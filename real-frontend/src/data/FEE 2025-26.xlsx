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 docs" sheetId="1" r:id="rId5"/>
    <sheet state="visible" name="ALL" sheetId="2" r:id="rId6"/>
    <sheet state="visible" name="wtsp" sheetId="3" r:id="rId7"/>
    <sheet state="visible" name="NURSERY" sheetId="4" r:id="rId8"/>
    <sheet state="visible" name="UKG" sheetId="5" r:id="rId9"/>
    <sheet state="visible" name="LKG" sheetId="6" r:id="rId10"/>
    <sheet state="visible" name="1st" sheetId="7" r:id="rId11"/>
    <sheet state="visible" name="2nd" sheetId="8" r:id="rId12"/>
    <sheet state="visible" name="3rd" sheetId="9" r:id="rId13"/>
    <sheet state="visible" name="4th" sheetId="10" r:id="rId14"/>
    <sheet state="visible" name="5th" sheetId="11" r:id="rId15"/>
    <sheet state="visible" name="6th" sheetId="12" r:id="rId16"/>
    <sheet state="visible" name="7th" sheetId="13" r:id="rId17"/>
    <sheet state="visible" name="8th" sheetId="14" r:id="rId18"/>
    <sheet state="visible" name="9th" sheetId="15" r:id="rId19"/>
    <sheet state="visible" name="10th" sheetId="16" r:id="rId20"/>
    <sheet state="visible" name="11th" sheetId="17" r:id="rId21"/>
    <sheet state="visible" name="12th" sheetId="18" r:id="rId22"/>
    <sheet state="visible" name="Hostel " sheetId="19" r:id="rId23"/>
    <sheet state="visible" name="Ex Student" sheetId="20" r:id="rId24"/>
    <sheet state="visible" name="INDRA GANDHI " sheetId="21" r:id="rId25"/>
  </sheets>
  <definedNames>
    <definedName hidden="1" localSheetId="20" name="_xlnm._FilterDatabase">'INDRA GANDHI '!$A$1:$L$22</definedName>
  </definedNames>
  <calcPr/>
</workbook>
</file>

<file path=xl/sharedStrings.xml><?xml version="1.0" encoding="utf-8"?>
<sst xmlns="http://schemas.openxmlformats.org/spreadsheetml/2006/main" count="5122" uniqueCount="2173">
  <si>
    <t>NAMAN SHARMA</t>
  </si>
  <si>
    <t>MUKESH KUMAR SHARMA</t>
  </si>
  <si>
    <t>English</t>
  </si>
  <si>
    <t>DHAMOTAR</t>
  </si>
  <si>
    <t>TANISHK KUMAWAT</t>
  </si>
  <si>
    <t>DINESH KUMAR RODWAL</t>
  </si>
  <si>
    <t>26/06/2023</t>
  </si>
  <si>
    <t>15/06/2023</t>
  </si>
  <si>
    <t>S.No.</t>
  </si>
  <si>
    <t>Student Name</t>
  </si>
  <si>
    <t>Father Name</t>
  </si>
  <si>
    <t>Class</t>
  </si>
  <si>
    <t>SR No.</t>
  </si>
  <si>
    <t xml:space="preserve">ADDRESS </t>
  </si>
  <si>
    <t xml:space="preserve">CONTACT </t>
  </si>
  <si>
    <t xml:space="preserve">AD. FEE </t>
  </si>
  <si>
    <t>FEE</t>
  </si>
  <si>
    <t>BUS</t>
  </si>
  <si>
    <t xml:space="preserve">HOSTEL </t>
  </si>
  <si>
    <t xml:space="preserve">CON. </t>
  </si>
  <si>
    <t xml:space="preserve">TOTAL </t>
  </si>
  <si>
    <t xml:space="preserve">REC. </t>
  </si>
  <si>
    <t>DUE</t>
  </si>
  <si>
    <t xml:space="preserve">CON. BY </t>
  </si>
  <si>
    <t>AMO.</t>
  </si>
  <si>
    <t xml:space="preserve">RN </t>
  </si>
  <si>
    <t xml:space="preserve">DATE </t>
  </si>
  <si>
    <t>ANKUSH MEENA</t>
  </si>
  <si>
    <t>RAJMAL MEENA</t>
  </si>
  <si>
    <t>NUR</t>
  </si>
  <si>
    <t>BARAWARDA</t>
  </si>
  <si>
    <t>BHAVYA GAYARI</t>
  </si>
  <si>
    <t>NITESH GAYARI</t>
  </si>
  <si>
    <t>PANMODI</t>
  </si>
  <si>
    <t>RONAK SIR</t>
  </si>
  <si>
    <t>JAYVARDHAN SINGH SONGARA</t>
  </si>
  <si>
    <t>JUGRAJ SINGH SONGARA</t>
  </si>
  <si>
    <t>INDRA COLONY PTG</t>
  </si>
  <si>
    <t>13/08/25</t>
  </si>
  <si>
    <t>JYANSHU NATH</t>
  </si>
  <si>
    <t>MUKESH NATH</t>
  </si>
  <si>
    <t>SHAILESH MEENA</t>
  </si>
  <si>
    <t>TULSIRAM MEENA</t>
  </si>
  <si>
    <t>TALAYA</t>
  </si>
  <si>
    <t>YADAV SIR</t>
  </si>
  <si>
    <t>ANSHIKA GURJAR</t>
  </si>
  <si>
    <t>BASANTI LAL</t>
  </si>
  <si>
    <t xml:space="preserve">LKG </t>
  </si>
  <si>
    <t>BARAVARDA</t>
  </si>
  <si>
    <t>ARAV GAYARI</t>
  </si>
  <si>
    <t>GHANSHYAM GAYARI</t>
  </si>
  <si>
    <t>DEVAANSH SHARMA</t>
  </si>
  <si>
    <t>YOGESH KUMAR SHARMA</t>
  </si>
  <si>
    <t>DIVYANSH KUMAR MEGHWAL</t>
  </si>
  <si>
    <t>SURESH MEGHWAL</t>
  </si>
  <si>
    <t>HIMANSHU GAYARI</t>
  </si>
  <si>
    <t>MOTILAL</t>
  </si>
  <si>
    <t>PRIYANSHI VAISHNAV</t>
  </si>
  <si>
    <t>AJAY VAISHNAV</t>
  </si>
  <si>
    <t>URAVANSHI SISODIYA</t>
  </si>
  <si>
    <t>JITENDRA SINGH</t>
  </si>
  <si>
    <t>VIHAAN TIWARI</t>
  </si>
  <si>
    <t>KULDEEP TIWARI</t>
  </si>
  <si>
    <t>AAYANSH</t>
  </si>
  <si>
    <t>LAKSHMINARAYAN</t>
  </si>
  <si>
    <t xml:space="preserve">UKG </t>
  </si>
  <si>
    <t>ANUJ SAHU</t>
  </si>
  <si>
    <t>DEVILAL SAHU</t>
  </si>
  <si>
    <t>AVANI BANJARA</t>
  </si>
  <si>
    <t>GOPAL BANJARA</t>
  </si>
  <si>
    <t>CHITRANSH</t>
  </si>
  <si>
    <t>RUPLAL BANJARA</t>
  </si>
  <si>
    <t>DARSHIKA LABANA</t>
  </si>
  <si>
    <t>VIKRAM LABANA</t>
  </si>
  <si>
    <t>DHURVI SEN</t>
  </si>
  <si>
    <t>JAGDISH SEN</t>
  </si>
  <si>
    <t>DIVYA LOHAR</t>
  </si>
  <si>
    <t>MANISH KUMAR LOHAR</t>
  </si>
  <si>
    <t>HARDIK SAHU</t>
  </si>
  <si>
    <t>JITENDRA SAHU</t>
  </si>
  <si>
    <t>JUNED SHAH</t>
  </si>
  <si>
    <t>HASAN ALI SHAH</t>
  </si>
  <si>
    <t>KARTIK GURJAR</t>
  </si>
  <si>
    <t>DEEPAK GURJAR</t>
  </si>
  <si>
    <t>LAKSH MEENA</t>
  </si>
  <si>
    <t>JAGDISH CHANDRA MEENA</t>
  </si>
  <si>
    <t>LAKSHYA PRAJAPAT</t>
  </si>
  <si>
    <t>SANJAY PRAJAPAT</t>
  </si>
  <si>
    <t>LAKSHYA PURI</t>
  </si>
  <si>
    <t>DEEPAK PURI GOSWAMI</t>
  </si>
  <si>
    <t>LAKSHYARAJ KUMAWAT</t>
  </si>
  <si>
    <t>HITESH KUMAWAT</t>
  </si>
  <si>
    <t>LAKSHYRAJ</t>
  </si>
  <si>
    <t>MITHASH JAT</t>
  </si>
  <si>
    <t>CHARAN SINGH JAT</t>
  </si>
  <si>
    <t>MOHAMMAD AYAN</t>
  </si>
  <si>
    <t>MUJAFAR GELA</t>
  </si>
  <si>
    <t>OVESH RAJA</t>
  </si>
  <si>
    <t>FAIZAN AJMERI</t>
  </si>
  <si>
    <t>PRITAM GURJAR</t>
  </si>
  <si>
    <t>VIKRAM GURJAR</t>
  </si>
  <si>
    <t>RADHEY KISHAN OAD</t>
  </si>
  <si>
    <t>SANJAY BANJARA</t>
  </si>
  <si>
    <t>RAGVEER SINGH CHARAN</t>
  </si>
  <si>
    <t>NATHU SINGH CHARAN</t>
  </si>
  <si>
    <t>REETI PATIDAR</t>
  </si>
  <si>
    <t>DILEEP PATIDAR</t>
  </si>
  <si>
    <t>RUCHIKA SHARMA</t>
  </si>
  <si>
    <t>DEEPAK SHARMA</t>
  </si>
  <si>
    <t>SIDHIKA SHARMA</t>
  </si>
  <si>
    <t>KULDEEP SHARMA</t>
  </si>
  <si>
    <t>SOURABH GAYARI</t>
  </si>
  <si>
    <t>VINOD GAYARI</t>
  </si>
  <si>
    <t>SWARA</t>
  </si>
  <si>
    <t>ISHWAR LAL TELI</t>
  </si>
  <si>
    <t>TANVEER BANJARA</t>
  </si>
  <si>
    <t>MADAN BANJARA</t>
  </si>
  <si>
    <t>VIRAT NAYAK</t>
  </si>
  <si>
    <t>AKSHAY NAYAK</t>
  </si>
  <si>
    <t>VIVEK BANJARA</t>
  </si>
  <si>
    <t>NARENDRA KUMAR BANJARA</t>
  </si>
  <si>
    <t>YOJANA GAYARI</t>
  </si>
  <si>
    <t>BABU LAL GAYRI</t>
  </si>
  <si>
    <t>SHIVAM RAIDAS</t>
  </si>
  <si>
    <t>MUKESH RAIDAS</t>
  </si>
  <si>
    <t>II C</t>
  </si>
  <si>
    <t>BORI</t>
  </si>
  <si>
    <t xml:space="preserve">DISHA ACADEMY FEE DATA 2025-26 CLASS - NURSERY </t>
  </si>
  <si>
    <t xml:space="preserve">AKANSH RAJPUT </t>
  </si>
  <si>
    <t>PAPPU SINGH RAJPUT</t>
  </si>
  <si>
    <t>KADIYAWAD</t>
  </si>
  <si>
    <t>RAHUL SIR</t>
  </si>
  <si>
    <t>20/11/25</t>
  </si>
  <si>
    <t xml:space="preserve">ANIK PATIDAR </t>
  </si>
  <si>
    <t>ANKIT PATIDAR</t>
  </si>
  <si>
    <t xml:space="preserve">JASWANTPURA </t>
  </si>
  <si>
    <t>16/09/25</t>
  </si>
  <si>
    <t xml:space="preserve">ANSHIKA GURJAR </t>
  </si>
  <si>
    <t xml:space="preserve">BASANT LAL </t>
  </si>
  <si>
    <t xml:space="preserve">NUR </t>
  </si>
  <si>
    <t>29/08/25</t>
  </si>
  <si>
    <t xml:space="preserve">BHAVESH DAMAMI </t>
  </si>
  <si>
    <t>HARISH DAMAMI</t>
  </si>
  <si>
    <t>BHAVESH SUTHAR</t>
  </si>
  <si>
    <t>ANIL SUTHAR</t>
  </si>
  <si>
    <t>BHUWASIYA</t>
  </si>
  <si>
    <t>DEEPIKA MALVIYA</t>
  </si>
  <si>
    <t>SURESH MALVIYA</t>
  </si>
  <si>
    <t xml:space="preserve">RAHUL SIR </t>
  </si>
  <si>
    <t xml:space="preserve">DEVANSH GURJAR </t>
  </si>
  <si>
    <t>dinesh gurjar</t>
  </si>
  <si>
    <t>DEVANSH SHARMA</t>
  </si>
  <si>
    <t>YOGESH SHARMA</t>
  </si>
  <si>
    <t>ROANK SIR</t>
  </si>
  <si>
    <t>DIKSHITA PRAJAPAT</t>
  </si>
  <si>
    <t>PANKAJ PRAJAPAT</t>
  </si>
  <si>
    <t>05//08/25</t>
  </si>
  <si>
    <t>ESHANT NAI</t>
  </si>
  <si>
    <t>ISHWAR LAL NAI</t>
  </si>
  <si>
    <t>MUKESH SIR</t>
  </si>
  <si>
    <t>18/08/25</t>
  </si>
  <si>
    <t xml:space="preserve">GAYU GURJAR </t>
  </si>
  <si>
    <t xml:space="preserve">SUNIL KUMAR GURJAR </t>
  </si>
  <si>
    <t>HARSHIT PATIDAR</t>
  </si>
  <si>
    <t>DEEPAK PATIDAR</t>
  </si>
  <si>
    <t>KULMIPURA</t>
  </si>
  <si>
    <t>17/07/25</t>
  </si>
  <si>
    <t>HIMESH LABANA</t>
  </si>
  <si>
    <t>GOPAL LAL LABANA</t>
  </si>
  <si>
    <t>TANDA</t>
  </si>
  <si>
    <t>21/07/25</t>
  </si>
  <si>
    <t>17/11/25</t>
  </si>
  <si>
    <t>KARU LAL GURJAR</t>
  </si>
  <si>
    <t>KIRTIKA BAIRAGI</t>
  </si>
  <si>
    <t>Rameshvar Bairagi</t>
  </si>
  <si>
    <t>KIRTIKA MEENA</t>
  </si>
  <si>
    <t>HARISH MEENA</t>
  </si>
  <si>
    <t xml:space="preserve">YADAV SIR </t>
  </si>
  <si>
    <t xml:space="preserve">KUNAL SHARMA </t>
  </si>
  <si>
    <t xml:space="preserve">VIJAY SHARMA </t>
  </si>
  <si>
    <t>KUSH LABANA</t>
  </si>
  <si>
    <t>RAHUL LABANA</t>
  </si>
  <si>
    <t>DALMU MANPURA</t>
  </si>
  <si>
    <t>27-11-25</t>
  </si>
  <si>
    <t xml:space="preserve">LALIT SINGH </t>
  </si>
  <si>
    <t xml:space="preserve">MUKESH </t>
  </si>
  <si>
    <t xml:space="preserve">NABIYA KHANAM </t>
  </si>
  <si>
    <t>kuyum ajmeri</t>
  </si>
  <si>
    <t xml:space="preserve">PANMODI </t>
  </si>
  <si>
    <t>NAVEEN SUTHAR</t>
  </si>
  <si>
    <t>HARISH SUTHAR</t>
  </si>
  <si>
    <t>14/07/25</t>
  </si>
  <si>
    <t>NAVYA MEENA</t>
  </si>
  <si>
    <t>SAMRATH MEENA</t>
  </si>
  <si>
    <t>BHUWASIYA(TANDA)</t>
  </si>
  <si>
    <t>28/06/25</t>
  </si>
  <si>
    <t>PARIKSHIT PATIDAR</t>
  </si>
  <si>
    <t>RAKESH PATIDAR</t>
  </si>
  <si>
    <t>PARTHRAJ BANJARA</t>
  </si>
  <si>
    <t>VISHAL BANJARA</t>
  </si>
  <si>
    <t>AMBAMATA ,CHHOTA MAJESRIYA</t>
  </si>
  <si>
    <t>PRACHI LABANA</t>
  </si>
  <si>
    <t>DILIP KUMAR LABANA</t>
  </si>
  <si>
    <t>PURVESH</t>
  </si>
  <si>
    <t>MUKESH BANJARA</t>
  </si>
  <si>
    <t>MAJESARIYA</t>
  </si>
  <si>
    <t>23/07/25</t>
  </si>
  <si>
    <t>25/11/25</t>
  </si>
  <si>
    <t>PURVIT PATIDAR</t>
  </si>
  <si>
    <t xml:space="preserve">VISHAL PATIDAR </t>
  </si>
  <si>
    <t xml:space="preserve">RIDHIKA MEENA </t>
  </si>
  <si>
    <t xml:space="preserve">JAYESH MEENA </t>
  </si>
  <si>
    <t>PILLU</t>
  </si>
  <si>
    <t xml:space="preserve">RIYANSH PATIDAR </t>
  </si>
  <si>
    <t xml:space="preserve">BHAVISHYA </t>
  </si>
  <si>
    <t xml:space="preserve">SRISHIT PRAJAPAT </t>
  </si>
  <si>
    <t>SURESH PRAJAPAT</t>
  </si>
  <si>
    <t>26/09/25</t>
  </si>
  <si>
    <t>SWARAJ MALVIYA</t>
  </si>
  <si>
    <t>PANJAJ MALVIY</t>
  </si>
  <si>
    <t>19/08/25</t>
  </si>
  <si>
    <t>TANIYA LABANA</t>
  </si>
  <si>
    <t>JASWANT LABANA</t>
  </si>
  <si>
    <t>DHALMU MANPURA</t>
  </si>
  <si>
    <t>16/06/25</t>
  </si>
  <si>
    <t>TASHVI NAGDA</t>
  </si>
  <si>
    <t>VINOD NAGDA</t>
  </si>
  <si>
    <t>TEJASWI RAIDAS</t>
  </si>
  <si>
    <t>ISHWAR LAL RAIDAS</t>
  </si>
  <si>
    <t>AMLAWAD</t>
  </si>
  <si>
    <t xml:space="preserve"> RAHUL SIR</t>
  </si>
  <si>
    <t>VEDIKA SEN</t>
  </si>
  <si>
    <t>LALIT NAI</t>
  </si>
  <si>
    <t>VISHNU MEENA</t>
  </si>
  <si>
    <t>HARLAL MEENA</t>
  </si>
  <si>
    <t xml:space="preserve">UNTHA KHERA </t>
  </si>
  <si>
    <t>YASHIKA MEENA</t>
  </si>
  <si>
    <t>DEVENDRA MEENA</t>
  </si>
  <si>
    <t xml:space="preserve">YUG SEN </t>
  </si>
  <si>
    <t>RAJMAL SEN</t>
  </si>
  <si>
    <t>SIYAKHEDI</t>
  </si>
  <si>
    <t>28/08/25</t>
  </si>
  <si>
    <t xml:space="preserve">MANTASHA BEE </t>
  </si>
  <si>
    <t xml:space="preserve">MANSAB AJMERI </t>
  </si>
  <si>
    <t xml:space="preserve">GADOLA </t>
  </si>
  <si>
    <t xml:space="preserve">YASHIKA PRAJAPAT </t>
  </si>
  <si>
    <t xml:space="preserve">KRISHNA GOPAL PRAJAPAT </t>
  </si>
  <si>
    <t>DISHA ACADEMY FEE DATA 2025-26 CLASS - UKG-+</t>
  </si>
  <si>
    <t xml:space="preserve">AD. </t>
  </si>
  <si>
    <t>REC.</t>
  </si>
  <si>
    <t xml:space="preserve">DUE </t>
  </si>
  <si>
    <t xml:space="preserve">AMO. </t>
  </si>
  <si>
    <t>RN</t>
  </si>
  <si>
    <t>DATE</t>
  </si>
  <si>
    <t xml:space="preserve">ANJALI SHARMA </t>
  </si>
  <si>
    <t>babu lal ji sharma</t>
  </si>
  <si>
    <t xml:space="preserve">UKG B </t>
  </si>
  <si>
    <t>BARAWADA</t>
  </si>
  <si>
    <t>ANSHIKA LABANA</t>
  </si>
  <si>
    <t>PAPPU LABANA</t>
  </si>
  <si>
    <t xml:space="preserve">UKG C </t>
  </si>
  <si>
    <t>24/11/25</t>
  </si>
  <si>
    <t>ARPITA KUNWAR SONIGRA</t>
  </si>
  <si>
    <t>JAYPAL SINGH SONIGRA</t>
  </si>
  <si>
    <t xml:space="preserve">DHAMOTAR </t>
  </si>
  <si>
    <t>ARVIND MEENA</t>
  </si>
  <si>
    <t>SHANTILAL MEENA</t>
  </si>
  <si>
    <t>AYUSHMAN PATIDAR</t>
  </si>
  <si>
    <t>SHYAM LAL PATIDAR</t>
  </si>
  <si>
    <t>UKG A</t>
  </si>
  <si>
    <t xml:space="preserve">KULMIPURA </t>
  </si>
  <si>
    <t>CHELASI KUMAWAT</t>
  </si>
  <si>
    <t>SURESH CHANDRA KUMAWAT</t>
  </si>
  <si>
    <t xml:space="preserve">UKG A </t>
  </si>
  <si>
    <t xml:space="preserve">MAJESARIYA </t>
  </si>
  <si>
    <t>19/07/25</t>
  </si>
  <si>
    <t>DENY SUTHAR</t>
  </si>
  <si>
    <t>RAVI SUTHAR</t>
  </si>
  <si>
    <t>UKG C</t>
  </si>
  <si>
    <t>13/12/25</t>
  </si>
  <si>
    <t xml:space="preserve">DILIP MEENA </t>
  </si>
  <si>
    <t xml:space="preserve">LAXMAN MEENA </t>
  </si>
  <si>
    <t xml:space="preserve">UNTAKHEDA </t>
  </si>
  <si>
    <t>DINAL BAIRAGI</t>
  </si>
  <si>
    <t>DISHANT DAS BAIRAGI</t>
  </si>
  <si>
    <t>UKG B</t>
  </si>
  <si>
    <t xml:space="preserve">BHUWASIYA </t>
  </si>
  <si>
    <t>DIVYA MEENA</t>
  </si>
  <si>
    <t>LALU RAM MEENA</t>
  </si>
  <si>
    <t xml:space="preserve">TALAYA </t>
  </si>
  <si>
    <t>16/07/25</t>
  </si>
  <si>
    <t>30/10/25</t>
  </si>
  <si>
    <t>GUNGUN KUNWAR</t>
  </si>
  <si>
    <t>SANJAY SINGH</t>
  </si>
  <si>
    <t>HARSHIT VAISHNAV</t>
  </si>
  <si>
    <t>BHAGWATI VAISHNAV</t>
  </si>
  <si>
    <t>HEMANT LABANA</t>
  </si>
  <si>
    <t>PRADEEP LABANA</t>
  </si>
  <si>
    <t xml:space="preserve">TANDA </t>
  </si>
  <si>
    <t>ISHANT MEENA</t>
  </si>
  <si>
    <t>ASHOK MEENA</t>
  </si>
  <si>
    <t>DHAMLIYA</t>
  </si>
  <si>
    <t>15/11/25</t>
  </si>
  <si>
    <t>JAANVI DAMAMI</t>
  </si>
  <si>
    <t>MUKESH DAMAMI</t>
  </si>
  <si>
    <t xml:space="preserve">PILLU </t>
  </si>
  <si>
    <t>JANVI PATIDAR</t>
  </si>
  <si>
    <t>SHAILENDRA PATIDAR</t>
  </si>
  <si>
    <t>JAY SHREE DAMAMI</t>
  </si>
  <si>
    <t>JAYVEER MEENA</t>
  </si>
  <si>
    <t>NARAYAN MEENA</t>
  </si>
  <si>
    <t xml:space="preserve">KHIJAN KHEDA </t>
  </si>
  <si>
    <t>21/11/25</t>
  </si>
  <si>
    <t>KANIKA SUTHAR</t>
  </si>
  <si>
    <t>RAMPRASAD SUTHAR</t>
  </si>
  <si>
    <t>KANISHKA PRAJAPAT</t>
  </si>
  <si>
    <t>ARJUN PRAJAPAT</t>
  </si>
  <si>
    <t xml:space="preserve">KHAYATI MEGHWAL </t>
  </si>
  <si>
    <t xml:space="preserve">BABU LAL MEGHWAL </t>
  </si>
  <si>
    <t>KHUSHVANT MEENA</t>
  </si>
  <si>
    <t>TULASIRAM MEENA</t>
  </si>
  <si>
    <t>25/08/25</t>
  </si>
  <si>
    <t>KUMKUM PATIDAR</t>
  </si>
  <si>
    <t>KARU LAL PATIDAR</t>
  </si>
  <si>
    <t>KUNDAN BANJARA</t>
  </si>
  <si>
    <t>LAKSHIT JAIN</t>
  </si>
  <si>
    <t>MANISH JAIN</t>
  </si>
  <si>
    <t>LAKSHIT SHARMA</t>
  </si>
  <si>
    <t>PRAVIN SHARMA</t>
  </si>
  <si>
    <t>LAKSHITA GURJAR</t>
  </si>
  <si>
    <t>RAJMAL GURJAR</t>
  </si>
  <si>
    <t>15/09/25</t>
  </si>
  <si>
    <t xml:space="preserve">LAKSHYA MEENA </t>
  </si>
  <si>
    <t xml:space="preserve">SURAJMAL MEENA </t>
  </si>
  <si>
    <t xml:space="preserve">MERIYAKHEDI </t>
  </si>
  <si>
    <t>LAVAVNYA SHARMMA</t>
  </si>
  <si>
    <t>BABULAL SHARMMAA</t>
  </si>
  <si>
    <t>UKG</t>
  </si>
  <si>
    <t xml:space="preserve">MAHI SUTHAR </t>
  </si>
  <si>
    <t>GOVIND KUMAR SUTHAR</t>
  </si>
  <si>
    <t xml:space="preserve">MAGRODA </t>
  </si>
  <si>
    <t>MAYA KUMARI KATDIYA</t>
  </si>
  <si>
    <t>RAMEH CHANDRA MEGHWAL</t>
  </si>
  <si>
    <t>MADURA TALAB</t>
  </si>
  <si>
    <t xml:space="preserve">MUKESH SIR </t>
  </si>
  <si>
    <t>MISTHI BANJARA</t>
  </si>
  <si>
    <t>ARJUN BANJARA</t>
  </si>
  <si>
    <t>NAKUL BAIRAGI</t>
  </si>
  <si>
    <t>TUSHAR BAIRAGI</t>
  </si>
  <si>
    <t>19/11/25</t>
  </si>
  <si>
    <t>PAVAN SUTHAR</t>
  </si>
  <si>
    <t>MAHESH SUTHAR</t>
  </si>
  <si>
    <t>PIYUSH MEGHWAL</t>
  </si>
  <si>
    <t>DASHRATH MEGHWAL</t>
  </si>
  <si>
    <t>DABADA</t>
  </si>
  <si>
    <t>PRADIP DARJI</t>
  </si>
  <si>
    <t>MANISH DARJI</t>
  </si>
  <si>
    <t>PRADIPTI PATIDAR</t>
  </si>
  <si>
    <t>PUSHKAR LAL DHANAWAT</t>
  </si>
  <si>
    <t>PRAFULL SUTHAR</t>
  </si>
  <si>
    <t>VINOD KUMAR SUTHAR</t>
  </si>
  <si>
    <t xml:space="preserve">BORI </t>
  </si>
  <si>
    <t>PRAGYA LABANA</t>
  </si>
  <si>
    <t>MUKESH KUMAR LABANA</t>
  </si>
  <si>
    <t>MANPURA</t>
  </si>
  <si>
    <t>PRASHANT DAMAMI</t>
  </si>
  <si>
    <t>SANDEEP DAMAMI</t>
  </si>
  <si>
    <t>PRATIK KUMAR MEENA</t>
  </si>
  <si>
    <t>OMPRAKASH MEENA</t>
  </si>
  <si>
    <t>8949727336
8949737337</t>
  </si>
  <si>
    <t>15/07/25</t>
  </si>
  <si>
    <t>PRIYA DARJI</t>
  </si>
  <si>
    <t>PRIYANSHI GURJAR</t>
  </si>
  <si>
    <t>LAKHAN GURJAR</t>
  </si>
  <si>
    <t>13/11/25</t>
  </si>
  <si>
    <t>PURVANSHI LABANA</t>
  </si>
  <si>
    <t>KALU LA LABANA</t>
  </si>
  <si>
    <t>RISHIRAJ LABANA</t>
  </si>
  <si>
    <t>NARENDRA LABANA</t>
  </si>
  <si>
    <t xml:space="preserve">RIYANSH GAYARI </t>
  </si>
  <si>
    <t xml:space="preserve">DASHRATH GAYARI </t>
  </si>
  <si>
    <t xml:space="preserve">RATHANJNA </t>
  </si>
  <si>
    <t>8290082014
9983416214</t>
  </si>
  <si>
    <t xml:space="preserve">RUCHIKA RAHORE </t>
  </si>
  <si>
    <t xml:space="preserve">NILESH RATHOR </t>
  </si>
  <si>
    <t xml:space="preserve">RUDRANSH CHOHAN </t>
  </si>
  <si>
    <t xml:space="preserve">AJAY CHOHAN </t>
  </si>
  <si>
    <t xml:space="preserve">VARMANDAL </t>
  </si>
  <si>
    <t>SAKSHAM JAT</t>
  </si>
  <si>
    <t>GOPAL LAL</t>
  </si>
  <si>
    <t xml:space="preserve">SAMRATH BANJARA </t>
  </si>
  <si>
    <t xml:space="preserve">PINTU BANJARA </t>
  </si>
  <si>
    <t>SATVIK JAT</t>
  </si>
  <si>
    <t>SATYAPAL SINGH CHAUDHARY</t>
  </si>
  <si>
    <t xml:space="preserve">SIDHIKA SHARMA </t>
  </si>
  <si>
    <t>RAHUL SIR (4 STUDENTS PER 1 FREE)</t>
  </si>
  <si>
    <t>SOMANSA LABANA</t>
  </si>
  <si>
    <t>DILIP LABANA</t>
  </si>
  <si>
    <t>TANISKA SEN</t>
  </si>
  <si>
    <t>RAMCHANDRA SEN</t>
  </si>
  <si>
    <t>SAKARIYA</t>
  </si>
  <si>
    <t>MUKESH SIR(3 STUDENTS)</t>
  </si>
  <si>
    <t>TANVI BANJARA</t>
  </si>
  <si>
    <t>GIRDHARI BANJARA</t>
  </si>
  <si>
    <t>VANSH MALI</t>
  </si>
  <si>
    <t>RAMKISHAN MALI</t>
  </si>
  <si>
    <t>MAGARODA</t>
  </si>
  <si>
    <t>VANSHIKA MEENA</t>
  </si>
  <si>
    <t>VENIRAM MEENA</t>
  </si>
  <si>
    <t xml:space="preserve"> </t>
  </si>
  <si>
    <t xml:space="preserve">MADHURA TALAB </t>
  </si>
  <si>
    <t>9001055989
7689950859</t>
  </si>
  <si>
    <t>VINOD MEENA</t>
  </si>
  <si>
    <t>JAGDISH MEENA</t>
  </si>
  <si>
    <t xml:space="preserve">KOTA TALAI </t>
  </si>
  <si>
    <t>28/11/25</t>
  </si>
  <si>
    <t>VIVAAN KATADIYA</t>
  </si>
  <si>
    <t>SHIV LAL MEGHWAL</t>
  </si>
  <si>
    <t>8290322218
9982763119</t>
  </si>
  <si>
    <t>YOGENDRA BANJARA</t>
  </si>
  <si>
    <t>INDARMAL BANJARA</t>
  </si>
  <si>
    <t>CHOTA MAJESARIYA</t>
  </si>
  <si>
    <t>18/07/25</t>
  </si>
  <si>
    <t>28/10/25</t>
  </si>
  <si>
    <t>LAKSHRAJ KUMAWAT</t>
  </si>
  <si>
    <t xml:space="preserve">HITESH KUMAWAT </t>
  </si>
  <si>
    <t xml:space="preserve">KADIYAWAD </t>
  </si>
  <si>
    <t>VINOD KUMAWAT</t>
  </si>
  <si>
    <t>DHEERAJ KUMAWAT</t>
  </si>
  <si>
    <t xml:space="preserve">CHALSI PATIDAR </t>
  </si>
  <si>
    <t xml:space="preserve">CHANDRAPRAKASH </t>
  </si>
  <si>
    <t xml:space="preserve">RONAK JI SAR </t>
  </si>
  <si>
    <t>NARENDRA BANJARA</t>
  </si>
  <si>
    <t>AMBAMATA</t>
  </si>
  <si>
    <t>ASHUTOSH MEENA</t>
  </si>
  <si>
    <t>MOHAN LAL MEENA</t>
  </si>
  <si>
    <t>UTHAKHERA</t>
  </si>
  <si>
    <t>DISHA ACADEMY FEE DATA 2025-26 CLASS - LKG</t>
  </si>
  <si>
    <t>AAYUSH MEENA</t>
  </si>
  <si>
    <t>RUPLAL MEENA</t>
  </si>
  <si>
    <t xml:space="preserve">LKG A </t>
  </si>
  <si>
    <t>ABHAYRAJ MEENA</t>
  </si>
  <si>
    <t>DHARMENDRA MEENA</t>
  </si>
  <si>
    <t>LKG B</t>
  </si>
  <si>
    <t xml:space="preserve">ABHINAV MEENA </t>
  </si>
  <si>
    <t xml:space="preserve">MAHESH MEENA </t>
  </si>
  <si>
    <t xml:space="preserve">LKG B </t>
  </si>
  <si>
    <t>ADVIK PATIDAR</t>
  </si>
  <si>
    <t>JASWANT KUMAR PATIDAR</t>
  </si>
  <si>
    <t xml:space="preserve">ANAYA PATIDAR </t>
  </si>
  <si>
    <t>PANKESH PATIDAR</t>
  </si>
  <si>
    <t xml:space="preserve">RATHANJANA </t>
  </si>
  <si>
    <t>30/08/25</t>
  </si>
  <si>
    <t xml:space="preserve">ANKUSH MEENA </t>
  </si>
  <si>
    <t xml:space="preserve">RAJMAL MEENA </t>
  </si>
  <si>
    <t>LKG A</t>
  </si>
  <si>
    <t xml:space="preserve">MERIKHEDI </t>
  </si>
  <si>
    <t>ANKUSH MEGHWAL</t>
  </si>
  <si>
    <t>SHANKAR LAL MEGHWAL</t>
  </si>
  <si>
    <t>DIKANIYA</t>
  </si>
  <si>
    <t xml:space="preserve">BHAVESH RAIDAS </t>
  </si>
  <si>
    <t>ROHIT RAIDAS</t>
  </si>
  <si>
    <t>KADIYAVAD</t>
  </si>
  <si>
    <t>BHAVIKA MALVIY</t>
  </si>
  <si>
    <t>ARUN MALVIYA</t>
  </si>
  <si>
    <t>BHAVISH MEENA</t>
  </si>
  <si>
    <t>AJAY MEENA</t>
  </si>
  <si>
    <t xml:space="preserve">BHAVYA GAYARI </t>
  </si>
  <si>
    <t xml:space="preserve">NITESH GAYARI </t>
  </si>
  <si>
    <t>BHUMIKA GAYARI</t>
  </si>
  <si>
    <t>KHEMRAJ GAYARI</t>
  </si>
  <si>
    <t>CHIRANJEET BAIRAGI</t>
  </si>
  <si>
    <t>GOVIND DAS BAIRAGI</t>
  </si>
  <si>
    <t>MANISH SHARMA</t>
  </si>
  <si>
    <t>GADOLA</t>
  </si>
  <si>
    <t>DHEER DUNGARWAL</t>
  </si>
  <si>
    <t>SHUBHAM DUNGARWAL</t>
  </si>
  <si>
    <t>DISHA KUMAWAT</t>
  </si>
  <si>
    <t>RAJESH KUMAWAT</t>
  </si>
  <si>
    <t>DIVYA SEN</t>
  </si>
  <si>
    <t>VINOD KUMAR SEN</t>
  </si>
  <si>
    <t>7742518135
7340401507</t>
  </si>
  <si>
    <t>DIVYANSHI DAMAMI</t>
  </si>
  <si>
    <t>HARISH SISODIYA</t>
  </si>
  <si>
    <t>DIVYANSHI JAIN</t>
  </si>
  <si>
    <t>RAHUL JAIN</t>
  </si>
  <si>
    <t>GAURANSH JAIN</t>
  </si>
  <si>
    <t>YOGESH JAIN</t>
  </si>
  <si>
    <t xml:space="preserve">GEETANSH SHARMA </t>
  </si>
  <si>
    <t>SHYAM KUMAR SHARMA</t>
  </si>
  <si>
    <t>29/07/25</t>
  </si>
  <si>
    <t xml:space="preserve">HIMANSHI GURJAR </t>
  </si>
  <si>
    <t>RAJU GURJAR</t>
  </si>
  <si>
    <t xml:space="preserve">HIMANSHU GURJAR </t>
  </si>
  <si>
    <t>VINOD LABANA</t>
  </si>
  <si>
    <t>9983849226
9166420787</t>
  </si>
  <si>
    <t>24/07/25</t>
  </si>
  <si>
    <t>HIYANSH PATIDAR</t>
  </si>
  <si>
    <t>GORAV PATIDAR</t>
  </si>
  <si>
    <t xml:space="preserve">JYANSH NATH </t>
  </si>
  <si>
    <t xml:space="preserve">MUKESH NATH </t>
  </si>
  <si>
    <t>KARTIK GAYARI</t>
  </si>
  <si>
    <t>DIENSH GAYARI</t>
  </si>
  <si>
    <t>KARTIK LABANA</t>
  </si>
  <si>
    <t>ANIL LABANA</t>
  </si>
  <si>
    <t xml:space="preserve">KIYAN PATIDAR </t>
  </si>
  <si>
    <t xml:space="preserve">JITENDRA PATIDAR </t>
  </si>
  <si>
    <t>KOUSHIKI SUTHAR</t>
  </si>
  <si>
    <t>HANUMAN PRASAD SUTHAR</t>
  </si>
  <si>
    <t>27/10/25</t>
  </si>
  <si>
    <t>KRISHNA DARJI</t>
  </si>
  <si>
    <t>BHARAT KUMAR</t>
  </si>
  <si>
    <t>23/06/25</t>
  </si>
  <si>
    <t xml:space="preserve">JAGDISH MEENA </t>
  </si>
  <si>
    <t>LAVIK</t>
  </si>
  <si>
    <t>ANTIM KUMAR SUTHAR</t>
  </si>
  <si>
    <t>LAXITA MEENA</t>
  </si>
  <si>
    <t>SHANKAR LAL MEENA</t>
  </si>
  <si>
    <t>7//10/25</t>
  </si>
  <si>
    <t>MADHAV PRAJAPAT</t>
  </si>
  <si>
    <t>CHANDRA PRAKASH KUMHAR</t>
  </si>
  <si>
    <t xml:space="preserve">MAHI KUNWAR JHALA </t>
  </si>
  <si>
    <t xml:space="preserve">VIJAY SINGH GHALA </t>
  </si>
  <si>
    <t>MINAKSHI TANK</t>
  </si>
  <si>
    <t>JYOTI PRAKASH TANK</t>
  </si>
  <si>
    <t>18/11/25</t>
  </si>
  <si>
    <t>MISTY LABANA</t>
  </si>
  <si>
    <t>VIJAY KUMAR LABANA</t>
  </si>
  <si>
    <t>NAKSHATRA BANJARA</t>
  </si>
  <si>
    <t xml:space="preserve">AMABAMATA </t>
  </si>
  <si>
    <t>PRASHVI SHARMA</t>
  </si>
  <si>
    <t>HEMANT KUMAR SHARMA</t>
  </si>
  <si>
    <t>PRATYANSH LOHAR</t>
  </si>
  <si>
    <t>MAHESH KUMAR LOHAR</t>
  </si>
  <si>
    <t xml:space="preserve">SIDHPURA </t>
  </si>
  <si>
    <t>PRIYA MEENA</t>
  </si>
  <si>
    <t>DEEPAK MEENA</t>
  </si>
  <si>
    <t>PRIYANSH GURJAR</t>
  </si>
  <si>
    <t>NARENDRA GURJAR</t>
  </si>
  <si>
    <t>RIDHI KUMARI SHARMA</t>
  </si>
  <si>
    <t>RAJESH SHARMA</t>
  </si>
  <si>
    <t>RITURAJ SEN</t>
  </si>
  <si>
    <t>GOPAL SEN</t>
  </si>
  <si>
    <t>RIYA MEENA</t>
  </si>
  <si>
    <t>HEERA LAL MEENA</t>
  </si>
  <si>
    <t>RUHI PATIDAR</t>
  </si>
  <si>
    <t>ANIL KUMAR PATIDAR</t>
  </si>
  <si>
    <t>RUTVI JAT</t>
  </si>
  <si>
    <t>SUMEET KUMAR JAT</t>
  </si>
  <si>
    <t>SARTHAK PATIDAR</t>
  </si>
  <si>
    <t>PUSHKAR PATIDAR</t>
  </si>
  <si>
    <t>6378530439
7340451772</t>
  </si>
  <si>
    <t>SIDDHIKA KUNWAR</t>
  </si>
  <si>
    <t>AJAY SINGH RAJPUT</t>
  </si>
  <si>
    <t xml:space="preserve">DHAMLIYA </t>
  </si>
  <si>
    <t>TANISHA SUTHAR</t>
  </si>
  <si>
    <t>OMPRAKASH</t>
  </si>
  <si>
    <t>TEJASVINI BAIRAGI</t>
  </si>
  <si>
    <t>MANGAL DAS BAIRAGI</t>
  </si>
  <si>
    <t>VEDIKA MEENA</t>
  </si>
  <si>
    <t>KANHAIYA LAL MEENA</t>
  </si>
  <si>
    <t>CHHOTA MAJESRIYA</t>
  </si>
  <si>
    <t>16/08/25</t>
  </si>
  <si>
    <t>VIDHI SUTHAR</t>
  </si>
  <si>
    <t>DINESH SUTHAR</t>
  </si>
  <si>
    <t>VIHAAN SUTHAR</t>
  </si>
  <si>
    <t>NARENDRA KUMAR SUTHAR</t>
  </si>
  <si>
    <t xml:space="preserve">LKG  </t>
  </si>
  <si>
    <t>VARMANDAL</t>
  </si>
  <si>
    <t>VIHAN RAIDAS</t>
  </si>
  <si>
    <t>KULDIP RAIDAS</t>
  </si>
  <si>
    <t xml:space="preserve">VIVAN SHARMA </t>
  </si>
  <si>
    <t xml:space="preserve">PANKAJ SHARMA </t>
  </si>
  <si>
    <t>VIVEK PATIDAR</t>
  </si>
  <si>
    <t>AKSHAY PATIDAR</t>
  </si>
  <si>
    <t>25/11//25</t>
  </si>
  <si>
    <t>YASH MALVIYA</t>
  </si>
  <si>
    <t xml:space="preserve">BHERULAL MALVIYA </t>
  </si>
  <si>
    <t xml:space="preserve">RONIKA LABANA </t>
  </si>
  <si>
    <t xml:space="preserve">vikram labana </t>
  </si>
  <si>
    <t xml:space="preserve">tanda </t>
  </si>
  <si>
    <t>LKG</t>
  </si>
  <si>
    <t>Section</t>
  </si>
  <si>
    <t xml:space="preserve">BUS </t>
  </si>
  <si>
    <t>AAROHI BAIRAGI</t>
  </si>
  <si>
    <t>DEVIDAS</t>
  </si>
  <si>
    <t>I A</t>
  </si>
  <si>
    <t>ABHIJEET LOHAR</t>
  </si>
  <si>
    <t>GANPAT LOHAR</t>
  </si>
  <si>
    <t>I B</t>
  </si>
  <si>
    <t>ADITYA SAHU</t>
  </si>
  <si>
    <t>KARU LAL TELI</t>
  </si>
  <si>
    <t>I</t>
  </si>
  <si>
    <t>AKSHITA PATIDAR</t>
  </si>
  <si>
    <t>RAMPRASAD PATIDAR</t>
  </si>
  <si>
    <t>ANKIT MEENA</t>
  </si>
  <si>
    <t>NARULAL MEENA</t>
  </si>
  <si>
    <t>KHIJAN KHEDA</t>
  </si>
  <si>
    <t>ARPITA KUMAWAT</t>
  </si>
  <si>
    <t>DHANPAL KUMAWAT</t>
  </si>
  <si>
    <t>31/10/25</t>
  </si>
  <si>
    <t>ASHARA BANU</t>
  </si>
  <si>
    <t>AABID HUSAIN</t>
  </si>
  <si>
    <t>AYUSH MEENA</t>
  </si>
  <si>
    <t>VISHAL MEENA</t>
  </si>
  <si>
    <t>BHAVYA KUMAWAT</t>
  </si>
  <si>
    <t>PRAVEEN KUMAWAT</t>
  </si>
  <si>
    <t>BHAVYANSH LABANA</t>
  </si>
  <si>
    <t>NILESH LABANA</t>
  </si>
  <si>
    <t>CHIRAG BANJARA</t>
  </si>
  <si>
    <t>ASHOK BANJARA</t>
  </si>
  <si>
    <t>DANVEER SINGH CHOUHAN</t>
  </si>
  <si>
    <t>SHAYAM SINGH CHOUHAN</t>
  </si>
  <si>
    <t xml:space="preserve">BARAWARDA </t>
  </si>
  <si>
    <t>DEVIKA MEENA</t>
  </si>
  <si>
    <t>LALURAM MEENA</t>
  </si>
  <si>
    <t>MERIYAKHEDI</t>
  </si>
  <si>
    <t>DHARMENDRA SUTHAR</t>
  </si>
  <si>
    <t>NARENDRA SUTHAR</t>
  </si>
  <si>
    <t xml:space="preserve">DHRUVI SEN </t>
  </si>
  <si>
    <t xml:space="preserve">DHURVI GUJAR </t>
  </si>
  <si>
    <t>RAHUL GURJAR</t>
  </si>
  <si>
    <t>DIMPAL SUTHAR</t>
  </si>
  <si>
    <t>GHAN SHYAM SUTHAR</t>
  </si>
  <si>
    <t>DIVYANSH SINGH</t>
  </si>
  <si>
    <t>DEVENDRA SINGH SANKHLA</t>
  </si>
  <si>
    <t>DIVYANSHI TAILOR</t>
  </si>
  <si>
    <t>AMBALAL</t>
  </si>
  <si>
    <t>21/06/25</t>
  </si>
  <si>
    <t>GORAV MEGHAWAL</t>
  </si>
  <si>
    <t>RAJU MEGHWAL</t>
  </si>
  <si>
    <t>GUNJAN TELI</t>
  </si>
  <si>
    <t>GOVIND RAM TELI</t>
  </si>
  <si>
    <t>HAMZA AJMERI</t>
  </si>
  <si>
    <t>HAKIM AJMERI</t>
  </si>
  <si>
    <t>07/1025</t>
  </si>
  <si>
    <t>HARDIK LABANA</t>
  </si>
  <si>
    <t>RANAJIT LABANA</t>
  </si>
  <si>
    <t xml:space="preserve">HARSHIT MEGHWAL </t>
  </si>
  <si>
    <t>PARAS RAM</t>
  </si>
  <si>
    <t>HARSHIT RAIDAS</t>
  </si>
  <si>
    <t>PARASRAM RAIDAS</t>
  </si>
  <si>
    <t>HEMANT SUTHAR</t>
  </si>
  <si>
    <t>BABU LAL SUTHAR</t>
  </si>
  <si>
    <t>HIMANSHU MEGHWAL</t>
  </si>
  <si>
    <t>LAKSHMICHAND MEGHWAL</t>
  </si>
  <si>
    <t xml:space="preserve">SEMLOPUR </t>
  </si>
  <si>
    <t>7742693058
9001200353</t>
  </si>
  <si>
    <t>ISHIKA MEENA</t>
  </si>
  <si>
    <t>ISHWAR LAL MEENA</t>
  </si>
  <si>
    <t>JAI KUMAWAT</t>
  </si>
  <si>
    <t>PAWAN KUMAWAT</t>
  </si>
  <si>
    <t>KHORIYA</t>
  </si>
  <si>
    <t>JAYA PRAJAPAT</t>
  </si>
  <si>
    <t>HARISHANKAR PRAJAPAT</t>
  </si>
  <si>
    <t>KANA MEENA</t>
  </si>
  <si>
    <t>DEVRAM MEENA</t>
  </si>
  <si>
    <t xml:space="preserve">KARTIK GURJAR </t>
  </si>
  <si>
    <t xml:space="preserve">DEEPAK GURJAR </t>
  </si>
  <si>
    <t>HARISH JI LABANA</t>
  </si>
  <si>
    <t>KARTIK PATIDAR</t>
  </si>
  <si>
    <t>RAKESH KUMAR PATIDAR</t>
  </si>
  <si>
    <t>SIDHPURA</t>
  </si>
  <si>
    <t>LAKSHITA SHARMA</t>
  </si>
  <si>
    <t>HARISH CHANDRA SHARMA</t>
  </si>
  <si>
    <t>LAKSHY PRAJAPAT</t>
  </si>
  <si>
    <t>CHATURBHUJ PRAJAPAT</t>
  </si>
  <si>
    <t>LAKSHYA LABANA</t>
  </si>
  <si>
    <t>SHARVAN LABANA</t>
  </si>
  <si>
    <t xml:space="preserve">KARAMDI KHEDA </t>
  </si>
  <si>
    <t>MANISHA MEGHWAL</t>
  </si>
  <si>
    <t>HEERA LAL MEGHWAL</t>
  </si>
  <si>
    <t>MAYANK GAYARI</t>
  </si>
  <si>
    <t>GOPAL GAYARI</t>
  </si>
  <si>
    <t>KAMLESH GAYARI</t>
  </si>
  <si>
    <t>NAGESH GAYARI</t>
  </si>
  <si>
    <t>MAKSHIKA LABANA</t>
  </si>
  <si>
    <t>RAVI  LABANA</t>
  </si>
  <si>
    <t>MITANSH GURJAR</t>
  </si>
  <si>
    <t>SHAMBHU LAL GURJAR</t>
  </si>
  <si>
    <t>MITANSH JAT</t>
  </si>
  <si>
    <t>KARAN SINGH</t>
  </si>
  <si>
    <t>MITANSH LOHAR</t>
  </si>
  <si>
    <t>VINOD LOHAR</t>
  </si>
  <si>
    <t>NAJIFA BEE</t>
  </si>
  <si>
    <t>SABER AJEMERI</t>
  </si>
  <si>
    <t>NIDHI GAYARI</t>
  </si>
  <si>
    <t>AMBA LAL GAYARI</t>
  </si>
  <si>
    <t>NIHANT PARMAR</t>
  </si>
  <si>
    <t>YOGESH KUMAR PARMAR</t>
  </si>
  <si>
    <t>PARTH RAIDAS</t>
  </si>
  <si>
    <t>RAJESH KUMAR RAIDAS</t>
  </si>
  <si>
    <t xml:space="preserve">SAKRIYA </t>
  </si>
  <si>
    <t>PRANJAL SHARMA</t>
  </si>
  <si>
    <t>NAVIN KUMAR SHARMA</t>
  </si>
  <si>
    <t>PRATIK TAILOR</t>
  </si>
  <si>
    <t>PANKESH TAILOR</t>
  </si>
  <si>
    <t>30/06/25</t>
  </si>
  <si>
    <t xml:space="preserve">PRITAM GURJAR </t>
  </si>
  <si>
    <t xml:space="preserve">VIKRAM GURJAR </t>
  </si>
  <si>
    <t>RAYANSH MEENA</t>
  </si>
  <si>
    <t>DILIP KUMAR MEENA</t>
  </si>
  <si>
    <t>PRATAPGARH</t>
  </si>
  <si>
    <t>29/10/25</t>
  </si>
  <si>
    <t>RISHABH KUMAR LABANA</t>
  </si>
  <si>
    <t>LARULAL LABANA</t>
  </si>
  <si>
    <t>RISHABH MEENA</t>
  </si>
  <si>
    <t>RITIK BANJARA</t>
  </si>
  <si>
    <t>HEERA LAL BANJARA</t>
  </si>
  <si>
    <t xml:space="preserve">AMBAMATA </t>
  </si>
  <si>
    <t>RIYANSHI KUNWAR</t>
  </si>
  <si>
    <t>ROANK SHARMA</t>
  </si>
  <si>
    <t>RAHUL KUMAR SHARMA</t>
  </si>
  <si>
    <t>ROHAN KUMAR SUTHAR</t>
  </si>
  <si>
    <t>KARU LAL SUTHAR</t>
  </si>
  <si>
    <t>SALMAN AJMERI</t>
  </si>
  <si>
    <t>MOHHMAD AJMERI</t>
  </si>
  <si>
    <t>SHADAB AJMERI</t>
  </si>
  <si>
    <t>MENSAB AJMERI</t>
  </si>
  <si>
    <t>1474/1769</t>
  </si>
  <si>
    <t>SHAILENDRA GAYARI</t>
  </si>
  <si>
    <t>NARENDRA GAYARI</t>
  </si>
  <si>
    <t>SHIFAN AANKI</t>
  </si>
  <si>
    <t>SIDHHIK AANKI</t>
  </si>
  <si>
    <t>SIDHIKA PATIDAR</t>
  </si>
  <si>
    <t>DINESH CHANDRA PATIDAR</t>
  </si>
  <si>
    <t xml:space="preserve">I A </t>
  </si>
  <si>
    <t>20/08/25</t>
  </si>
  <si>
    <t>TANIYA SUTHAR</t>
  </si>
  <si>
    <t>ROHIT KUMAR SUTHAR</t>
  </si>
  <si>
    <t>TARUN GAYARI</t>
  </si>
  <si>
    <t>SAMRATH MAL GAYARI</t>
  </si>
  <si>
    <t>TINU PRAJAPAT</t>
  </si>
  <si>
    <t>KOMESH PRAJAPAT</t>
  </si>
  <si>
    <t>TRIPURA RAJORA</t>
  </si>
  <si>
    <t>PRADEEP KUMAR RAJORA</t>
  </si>
  <si>
    <t>VIHAN SUTHAR</t>
  </si>
  <si>
    <t>JITENDRA SUTHAR</t>
  </si>
  <si>
    <t>BHUVASIYA</t>
  </si>
  <si>
    <t>22/09/25</t>
  </si>
  <si>
    <t>VIPIN MEENA</t>
  </si>
  <si>
    <t>DINESH MEENA</t>
  </si>
  <si>
    <t>HARISH LABANA</t>
  </si>
  <si>
    <t>DISHA ACADEMY FEE DATA 2025-26 CLASS - 2nd</t>
  </si>
  <si>
    <t>AADITYA LABANA</t>
  </si>
  <si>
    <t>II A</t>
  </si>
  <si>
    <t>AARAV PATIDAR</t>
  </si>
  <si>
    <t>SUNIL PATIDAR</t>
  </si>
  <si>
    <t>II B</t>
  </si>
  <si>
    <t>AAYAT BEE</t>
  </si>
  <si>
    <t>SADDAM HUSAIN</t>
  </si>
  <si>
    <t>AAYUSH BANJARA</t>
  </si>
  <si>
    <t>RAMESH BANJARA</t>
  </si>
  <si>
    <t xml:space="preserve">PRATAP PURA </t>
  </si>
  <si>
    <t>AKHILESH RANA</t>
  </si>
  <si>
    <t>PAWAN KUMAR</t>
  </si>
  <si>
    <t>KESARPUR</t>
  </si>
  <si>
    <t>ALPESH MEENA</t>
  </si>
  <si>
    <t>ANKITA MEENA</t>
  </si>
  <si>
    <t>BHEEMRAJ</t>
  </si>
  <si>
    <t>MADHURA TALAB</t>
  </si>
  <si>
    <t>21/08/25</t>
  </si>
  <si>
    <t>NATHU LAL MEENA</t>
  </si>
  <si>
    <t>UNTA KHEDA</t>
  </si>
  <si>
    <t>ASHWIN MEENA</t>
  </si>
  <si>
    <t>UDAY LAL MEENA</t>
  </si>
  <si>
    <t xml:space="preserve">SIYAKHEDI </t>
  </si>
  <si>
    <t>ATIFA BEE</t>
  </si>
  <si>
    <t>ASIF AJMERI</t>
  </si>
  <si>
    <t>BHAVIKA SHARMA</t>
  </si>
  <si>
    <t>ARVIND SHARMA</t>
  </si>
  <si>
    <t>07/11//25</t>
  </si>
  <si>
    <t>BHAVYA LABANA</t>
  </si>
  <si>
    <t>SUNIL LABANA</t>
  </si>
  <si>
    <t>VIJAY LABANA</t>
  </si>
  <si>
    <t>CHETAN SINGH</t>
  </si>
  <si>
    <t>LAXMAN SINGH DEVDA</t>
  </si>
  <si>
    <t>DAKSH NAGDA</t>
  </si>
  <si>
    <t>HARIOM NAGDA</t>
  </si>
  <si>
    <t>DAKSHRAJ MEENA</t>
  </si>
  <si>
    <t>SHANKARLAL MEENA</t>
  </si>
  <si>
    <t xml:space="preserve">DEVANSH LOHAR </t>
  </si>
  <si>
    <t xml:space="preserve">SORABH LOHAR </t>
  </si>
  <si>
    <t>28/010/25</t>
  </si>
  <si>
    <t>DEVANSHI LABANA</t>
  </si>
  <si>
    <t>DIVYANSH VAISHNAV</t>
  </si>
  <si>
    <t>SOHAN DAS VAIRAGI</t>
  </si>
  <si>
    <t>II</t>
  </si>
  <si>
    <t>DUSHYANT MEENA</t>
  </si>
  <si>
    <t>DARAM CHAND MEENA</t>
  </si>
  <si>
    <t>GAGAN SEN</t>
  </si>
  <si>
    <t>GORAV BALAI</t>
  </si>
  <si>
    <t>NAGESHAWAR BALAI</t>
  </si>
  <si>
    <t>DHARAMVEER</t>
  </si>
  <si>
    <t>HARSH PATIDAR</t>
  </si>
  <si>
    <t>PAWAN PATIDAR</t>
  </si>
  <si>
    <t>JASAWANTPURA</t>
  </si>
  <si>
    <t>HARSHIT LOHAR</t>
  </si>
  <si>
    <t>VIJAY KUMAR LOHAR</t>
  </si>
  <si>
    <t>HEMANT GAYARI</t>
  </si>
  <si>
    <t>KARU LAL GAYARI</t>
  </si>
  <si>
    <t>HEMANT MEENA</t>
  </si>
  <si>
    <t>PRAKASH CHAND MEENA</t>
  </si>
  <si>
    <t>HIMANSHU MEENA</t>
  </si>
  <si>
    <t>KELASH MEENA</t>
  </si>
  <si>
    <t>JAYESH RAIDAS</t>
  </si>
  <si>
    <t>DHANPAL</t>
  </si>
  <si>
    <t>SEMLOPUR</t>
  </si>
  <si>
    <t>DEVRAJ GURJAR</t>
  </si>
  <si>
    <t>MUKESH GURJAR</t>
  </si>
  <si>
    <t>JIVIKA PATIDAR</t>
  </si>
  <si>
    <t>DASRATH PATIDAR</t>
  </si>
  <si>
    <t>JIYA NOOR</t>
  </si>
  <si>
    <t>SHABEER AJMERI</t>
  </si>
  <si>
    <t>KAMAKSHI PATIDAR</t>
  </si>
  <si>
    <t>GOPAL PATIDAR</t>
  </si>
  <si>
    <t>KHUSHVANT SUTHAR</t>
  </si>
  <si>
    <t>RAJU LAL SUTHAR</t>
  </si>
  <si>
    <t>KUNAL LABANA</t>
  </si>
  <si>
    <t>VISHAL LABANA</t>
  </si>
  <si>
    <t>LUCKY LABANA</t>
  </si>
  <si>
    <t>MANSVI PATIDAR</t>
  </si>
  <si>
    <t>BHAYALAL PATIDAR</t>
  </si>
  <si>
    <t>TOFAKHEDA</t>
  </si>
  <si>
    <t>MUDRIKA SHARMA</t>
  </si>
  <si>
    <t>GOVIND SHARMA</t>
  </si>
  <si>
    <t>NAVEEN NAYAK</t>
  </si>
  <si>
    <t>MADAN LAL NAYAK</t>
  </si>
  <si>
    <t>NAVNIT KUMAR MEENA</t>
  </si>
  <si>
    <t>MADANLAL MEENA</t>
  </si>
  <si>
    <t>NAVYA PATIDAR</t>
  </si>
  <si>
    <t>MADHUSUDHAN PATIDAR</t>
  </si>
  <si>
    <t>PIYU SISODIYA</t>
  </si>
  <si>
    <t>BALVEER SINGH SISODIYA</t>
  </si>
  <si>
    <t>LALPURA</t>
  </si>
  <si>
    <t>POORAB KUMAR</t>
  </si>
  <si>
    <t>GOVIND KUMAR PRAJAPAT</t>
  </si>
  <si>
    <t>PRANJAL BANJARA</t>
  </si>
  <si>
    <t>ROOPLAL BANJARA</t>
  </si>
  <si>
    <t>AMBA MATA</t>
  </si>
  <si>
    <t>PRAVEEN MEENA</t>
  </si>
  <si>
    <t>PURAB KUMAR PRAJAPAT</t>
  </si>
  <si>
    <t>GOVIND PRAJAPAT</t>
  </si>
  <si>
    <t>ROSHAN MEENA</t>
  </si>
  <si>
    <t>KARULAL MEENA</t>
  </si>
  <si>
    <t>MERIYA KHEDI</t>
  </si>
  <si>
    <t>RUCHIKA JAIN</t>
  </si>
  <si>
    <t>RAKESH JAIN</t>
  </si>
  <si>
    <t>RUDRA NAYAK</t>
  </si>
  <si>
    <t>GAURAV NAYAK</t>
  </si>
  <si>
    <t xml:space="preserve">RUSHIKA MEENA </t>
  </si>
  <si>
    <t>SURAJMAL MEENA</t>
  </si>
  <si>
    <t>SANIDHYA MEGHWAL</t>
  </si>
  <si>
    <t>NEELESH MEGHWAL</t>
  </si>
  <si>
    <t>SANJAY MEENA</t>
  </si>
  <si>
    <t>BHAGWATI LAL MEENA</t>
  </si>
  <si>
    <t>SHEETAL PRAJAPAT</t>
  </si>
  <si>
    <t xml:space="preserve">PANKAJ PRAJAPAT </t>
  </si>
  <si>
    <t>SHIWANGI RATHOD</t>
  </si>
  <si>
    <t>LAXMINARAYAN</t>
  </si>
  <si>
    <t>SHOBHITA SUTHAR</t>
  </si>
  <si>
    <t>BUDHICHAND SUTHAR</t>
  </si>
  <si>
    <t>SHRESTHRAJ SINGH SISODIYA</t>
  </si>
  <si>
    <t>KRISHNA PAL SINGH SISODIYA</t>
  </si>
  <si>
    <t>RATHAJANA</t>
  </si>
  <si>
    <t>SHREYANS JAIN</t>
  </si>
  <si>
    <t>MAHAVIR JAIN</t>
  </si>
  <si>
    <t>SHUBH MOD</t>
  </si>
  <si>
    <t>DEEPAK KUMAR MOD</t>
  </si>
  <si>
    <t xml:space="preserve">II B </t>
  </si>
  <si>
    <t>SIDDHI MOD</t>
  </si>
  <si>
    <t>TANVI MEENA</t>
  </si>
  <si>
    <t>VIKRAM MEENA</t>
  </si>
  <si>
    <t>BAGWAS</t>
  </si>
  <si>
    <t>2860/</t>
  </si>
  <si>
    <t>TEJAS MALVIYA</t>
  </si>
  <si>
    <t>VIKAS MALVIYA</t>
  </si>
  <si>
    <t xml:space="preserve">UDDHAV SEN </t>
  </si>
  <si>
    <t>NITESH SEN</t>
  </si>
  <si>
    <t>VEDANK SHARMA</t>
  </si>
  <si>
    <t>VIJAY LAKSHMI MEENA</t>
  </si>
  <si>
    <t>MAHENDRA SINGH MEENA</t>
  </si>
  <si>
    <t>Vikash Meena</t>
  </si>
  <si>
    <t>Hira Lal Meena</t>
  </si>
  <si>
    <t>JODA MODA</t>
  </si>
  <si>
    <t>VIPIN DAS BAIRAGI</t>
  </si>
  <si>
    <t>GOPAL BAIRAGI</t>
  </si>
  <si>
    <t xml:space="preserve"> BHUVASIYA</t>
  </si>
  <si>
    <t>DINESH KUMAR MEENA</t>
  </si>
  <si>
    <t>YASH SHARMA</t>
  </si>
  <si>
    <t>ASHOK SHARMA</t>
  </si>
  <si>
    <t>YASHIKA JAT</t>
  </si>
  <si>
    <t>RAMKRISHNA JAT</t>
  </si>
  <si>
    <t>YUVANSH SHARMA</t>
  </si>
  <si>
    <t>PRAKASH CHANDRA SHARMA</t>
  </si>
  <si>
    <t>DISHA ACADEMY FEE DATA 2025-26 CLASS - 3rd</t>
  </si>
  <si>
    <t>AD.</t>
  </si>
  <si>
    <t>Aayush Banjara</t>
  </si>
  <si>
    <t>Sanjay Banjara</t>
  </si>
  <si>
    <t>III B</t>
  </si>
  <si>
    <t>CHOKDI</t>
  </si>
  <si>
    <t>ADITYARAJ SINGH SISODIYA</t>
  </si>
  <si>
    <t>HARI SINGH</t>
  </si>
  <si>
    <t>ALIFIYA KHAN</t>
  </si>
  <si>
    <t>SALMAN KHAN</t>
  </si>
  <si>
    <t>AMAN SHAH</t>
  </si>
  <si>
    <t>III A</t>
  </si>
  <si>
    <t>BHAVEN RAIDAS</t>
  </si>
  <si>
    <t>ISHWAR LAL</t>
  </si>
  <si>
    <t>JAYESH MEENA</t>
  </si>
  <si>
    <t xml:space="preserve">III A </t>
  </si>
  <si>
    <t>DEEPATI RATHOR</t>
  </si>
  <si>
    <t>NILESH RATHOR</t>
  </si>
  <si>
    <t>DEEPSHIKHA PATIDAR</t>
  </si>
  <si>
    <t>DEVILAL PATIDAR</t>
  </si>
  <si>
    <t>Devendra singh sisodiya</t>
  </si>
  <si>
    <t>Shankar singh sisodiya</t>
  </si>
  <si>
    <t>Dilkhush Meena</t>
  </si>
  <si>
    <t>Jagdish Meena</t>
  </si>
  <si>
    <t>DIVYANSHI MALVIYA</t>
  </si>
  <si>
    <t>VINOD MALVIYA</t>
  </si>
  <si>
    <t>GUNGUN NAGDA</t>
  </si>
  <si>
    <t>HEMANT KUMAR MEENA</t>
  </si>
  <si>
    <t>HIMANSHU PRAJAPAT</t>
  </si>
  <si>
    <t>HITESH SUTHAR</t>
  </si>
  <si>
    <t>CHANN PIPLIA</t>
  </si>
  <si>
    <t>14/11/25</t>
  </si>
  <si>
    <t>JAY LAXMI VESHNAV</t>
  </si>
  <si>
    <t>HARIOM VESHNAV</t>
  </si>
  <si>
    <t>BHUWASIA</t>
  </si>
  <si>
    <t>KRISHNA KUMAR MEGHWAL</t>
  </si>
  <si>
    <t>LAKHMICHAND</t>
  </si>
  <si>
    <t>LAKSHY</t>
  </si>
  <si>
    <t>BHOLASHANKAR GAYARI</t>
  </si>
  <si>
    <t>KARAMCHAND MEENA</t>
  </si>
  <si>
    <t xml:space="preserve">BAWADIKHEDA </t>
  </si>
  <si>
    <t>LAVANIYA PATIDAR</t>
  </si>
  <si>
    <t>MADHAV ANJANA</t>
  </si>
  <si>
    <t>NEPAL ANJANA</t>
  </si>
  <si>
    <t>MAYANK LABANA</t>
  </si>
  <si>
    <t>ARJUN LABANA</t>
  </si>
  <si>
    <t>KARAMDIKHEDA</t>
  </si>
  <si>
    <t>MAYANK MEENA</t>
  </si>
  <si>
    <t>GANGASHAY MEENA</t>
  </si>
  <si>
    <t>NIKUNJ SUTHAR</t>
  </si>
  <si>
    <t>VIJAY SUTHAR</t>
  </si>
  <si>
    <t>NIRMAL MEENA</t>
  </si>
  <si>
    <t>BABU LAL MEENA</t>
  </si>
  <si>
    <t>MERIKHEDI</t>
  </si>
  <si>
    <t>Piyush Banjara</t>
  </si>
  <si>
    <t>Lalsingh Banjara</t>
  </si>
  <si>
    <t>PIYUSH SHARMA</t>
  </si>
  <si>
    <t>BABULAL SHARMA</t>
  </si>
  <si>
    <t>PRADUMAN  SHARMAA</t>
  </si>
  <si>
    <t>RAHUL  SIR</t>
  </si>
  <si>
    <t>PRINCE SHARMA</t>
  </si>
  <si>
    <t>PRIYAL LOHAR</t>
  </si>
  <si>
    <t>MAHESH LOHAR</t>
  </si>
  <si>
    <t>RANVEER PATIDAR</t>
  </si>
  <si>
    <t>SHIVNARAYAN PATIDAR</t>
  </si>
  <si>
    <t>REYANSH LABANA</t>
  </si>
  <si>
    <t>MANISH LABANA</t>
  </si>
  <si>
    <t>22/08/25</t>
  </si>
  <si>
    <t>Rishika Kunwar</t>
  </si>
  <si>
    <t>Lokendra Singh</t>
  </si>
  <si>
    <t>MAGROGA</t>
  </si>
  <si>
    <t>ROHIT MEENA</t>
  </si>
  <si>
    <t>DEVILAL MEENA</t>
  </si>
  <si>
    <t>SADDAB AJMERI</t>
  </si>
  <si>
    <t>MANSAB AJMERI</t>
  </si>
  <si>
    <t>SAHDEV GURJAR</t>
  </si>
  <si>
    <t>SANAYA LABANA</t>
  </si>
  <si>
    <t>RAVI LABANA</t>
  </si>
  <si>
    <t>Shidharth meena</t>
  </si>
  <si>
    <t>Karulal meena</t>
  </si>
  <si>
    <t>Shreya patidar</t>
  </si>
  <si>
    <t>Chandraprakash patidar</t>
  </si>
  <si>
    <t>SIDDHIKA PATIDAR</t>
  </si>
  <si>
    <t>PANKAJ PATIDAR</t>
  </si>
  <si>
    <t>TAMNNA</t>
  </si>
  <si>
    <t>KANHAIYA LAL MEGHWAL</t>
  </si>
  <si>
    <t>Tanmay Prajapat</t>
  </si>
  <si>
    <t>Kanheyalal prajapat</t>
  </si>
  <si>
    <t>Tanvi Meena</t>
  </si>
  <si>
    <t>Devi Lal Meena</t>
  </si>
  <si>
    <t>DEVILAL</t>
  </si>
  <si>
    <t>TRISHITA SHARMA</t>
  </si>
  <si>
    <t>VAISHNAVI MEENA</t>
  </si>
  <si>
    <t>RADHESHYAM MEENA</t>
  </si>
  <si>
    <t>KHIJANKHEDA</t>
  </si>
  <si>
    <t>VANSH BANJARA</t>
  </si>
  <si>
    <t>PUSHKAR BANJARA</t>
  </si>
  <si>
    <t>AMBAMATA /MAJESHIYA</t>
  </si>
  <si>
    <t>HARISH SHARMA</t>
  </si>
  <si>
    <t>YASHI PATIDAR</t>
  </si>
  <si>
    <t>DURGASHANKAR PATIDAR</t>
  </si>
  <si>
    <t>YUVANI SHARMA</t>
  </si>
  <si>
    <t>VIJAY SHARMA</t>
  </si>
  <si>
    <t>YUVRAJ SAHU</t>
  </si>
  <si>
    <t xml:space="preserve">                                            DISHA ACADEMY FEE DATA 2025-26 CLASS - 4th</t>
  </si>
  <si>
    <t>Medium</t>
  </si>
  <si>
    <t xml:space="preserve">AMO </t>
  </si>
  <si>
    <t>AHMED RAZA</t>
  </si>
  <si>
    <t>AABID SHAH</t>
  </si>
  <si>
    <t>ANISH</t>
  </si>
  <si>
    <t>BHURU</t>
  </si>
  <si>
    <t>Hindi</t>
  </si>
  <si>
    <t>ANSHIKA JAT</t>
  </si>
  <si>
    <t>BHANU PRATAP SINGH</t>
  </si>
  <si>
    <t>BHERU SINGH</t>
  </si>
  <si>
    <t>GARDODI</t>
  </si>
  <si>
    <t>BHOOMIKA YADAV</t>
  </si>
  <si>
    <t>DINESH KUMAR YADAV</t>
  </si>
  <si>
    <t xml:space="preserve">KHANDELA SIKAR </t>
  </si>
  <si>
    <t>CHETAN BANJARA</t>
  </si>
  <si>
    <t>GYAN SINGH BANJARA</t>
  </si>
  <si>
    <t>DIVYANSHU SHARMA</t>
  </si>
  <si>
    <t>CHANDRASHEKHAR SHARMA</t>
  </si>
  <si>
    <t>GAJENDRA GURJAR</t>
  </si>
  <si>
    <t>SALIGRAM GURJAR</t>
  </si>
  <si>
    <t>26-11-25</t>
  </si>
  <si>
    <t>GAURAV LOHAR</t>
  </si>
  <si>
    <t>VINOD KUMAR LOHAR</t>
  </si>
  <si>
    <t>Gendmal Meena</t>
  </si>
  <si>
    <t>Rama Meena</t>
  </si>
  <si>
    <t>GORAV SHARMA</t>
  </si>
  <si>
    <t>MAHESH KUMAR SHARMA</t>
  </si>
  <si>
    <t>HARIOM PATIDAR</t>
  </si>
  <si>
    <t>SHIVLAL PATIDAR</t>
  </si>
  <si>
    <t>SIDHAPURA</t>
  </si>
  <si>
    <t>HARIOM SHARMA</t>
  </si>
  <si>
    <t>ANIL SHARMA</t>
  </si>
  <si>
    <t>SHYAMLAL MEENA</t>
  </si>
  <si>
    <t>DIKANIIYA</t>
  </si>
  <si>
    <t>HEMANT SHARMA</t>
  </si>
  <si>
    <t>DINESH SHARMA</t>
  </si>
  <si>
    <t>13/09/25</t>
  </si>
  <si>
    <t>HIMANSHI BAIRAGI</t>
  </si>
  <si>
    <t>KAMAL DASH BAIRAGI</t>
  </si>
  <si>
    <t>JINIT DAS</t>
  </si>
  <si>
    <t>PANKAJ DAS</t>
  </si>
  <si>
    <t>JITENDRA MEENA</t>
  </si>
  <si>
    <t>GANGASAHAY MEENA</t>
  </si>
  <si>
    <t>KRISHNA PATIDAR</t>
  </si>
  <si>
    <t>DILIP PATIDAR</t>
  </si>
  <si>
    <t>KULDEEP SUTHAR</t>
  </si>
  <si>
    <t>NARAYAN GURJAR</t>
  </si>
  <si>
    <t>LAKSHIT GAYRI</t>
  </si>
  <si>
    <t>LAKSHMI NARAYAN GAYRI</t>
  </si>
  <si>
    <t>MINAL JAT</t>
  </si>
  <si>
    <t>KAMLESH JAT</t>
  </si>
  <si>
    <t>DINESH CHANDRA JAT</t>
  </si>
  <si>
    <t>PALTHAN</t>
  </si>
  <si>
    <t>MUKESH MEENA</t>
  </si>
  <si>
    <t>MANGILAL MEENA</t>
  </si>
  <si>
    <t>MADHURATALAB</t>
  </si>
  <si>
    <t>NARENDRA SINGH</t>
  </si>
  <si>
    <t>KALU SINGH</t>
  </si>
  <si>
    <t>NAYAN TAILOR</t>
  </si>
  <si>
    <t>AJAY TAILOR</t>
  </si>
  <si>
    <t>NIDHI VAISHNAV</t>
  </si>
  <si>
    <t>RAMGOPAL VAISHNAV</t>
  </si>
  <si>
    <t>NIHIKA JAT</t>
  </si>
  <si>
    <t>RAMPRASAD JAT</t>
  </si>
  <si>
    <t>PARIDHI PATIDAR</t>
  </si>
  <si>
    <t>DHARMENDRA PATIDAR</t>
  </si>
  <si>
    <t>PARVAT MEENA</t>
  </si>
  <si>
    <t>RATAN MEENA</t>
  </si>
  <si>
    <t>UTAKHEDA</t>
  </si>
  <si>
    <t>PRAGYANSHIKA KUNWAR</t>
  </si>
  <si>
    <t>SANJAY SINGH RAJPUT</t>
  </si>
  <si>
    <t>hindi</t>
  </si>
  <si>
    <t>PRIYANSH LOHAR</t>
  </si>
  <si>
    <t>BHERU LAL LOHAR</t>
  </si>
  <si>
    <t>22/07/25</t>
  </si>
  <si>
    <t>PRIYANSHI LABANA</t>
  </si>
  <si>
    <t>ASHOK KUMAR LABANA</t>
  </si>
  <si>
    <t>PURVANSH LABANA</t>
  </si>
  <si>
    <t>GANPAT LABANA</t>
  </si>
  <si>
    <t>PURVI SAHU</t>
  </si>
  <si>
    <t>PRAKASH CHANDRA TELI</t>
  </si>
  <si>
    <t>RAM ACHARYA</t>
  </si>
  <si>
    <t xml:space="preserve">MANOJ KUMAR </t>
  </si>
  <si>
    <t>RUCHIKA MEENA</t>
  </si>
  <si>
    <t>GANESH LAL MEENA</t>
  </si>
  <si>
    <t>MAJESHRIYA</t>
  </si>
  <si>
    <t>25/09/25</t>
  </si>
  <si>
    <t>RUDRA PATIDAR</t>
  </si>
  <si>
    <t>MANISH PATIDAR</t>
  </si>
  <si>
    <t>SAVITA BANJARA</t>
  </si>
  <si>
    <t>DINESH BANJARA</t>
  </si>
  <si>
    <t>SHIVAM MEENA</t>
  </si>
  <si>
    <t>PINTU KUMAR MEENA</t>
  </si>
  <si>
    <t>Shivangi Kunvar</t>
  </si>
  <si>
    <t>Devi Singh</t>
  </si>
  <si>
    <t>SUJEET MEENA</t>
  </si>
  <si>
    <t>RAKESH MEENA</t>
  </si>
  <si>
    <t>TANVESH LABANA</t>
  </si>
  <si>
    <t>KAMAL LABANA</t>
  </si>
  <si>
    <t>TARUN SAHU</t>
  </si>
  <si>
    <t>PANKAJ SAHU</t>
  </si>
  <si>
    <t>VAIDIK SHARMA</t>
  </si>
  <si>
    <t>PRADIP SHARMA</t>
  </si>
  <si>
    <t>VASHU BANJARA</t>
  </si>
  <si>
    <t>MAHENDRA BANJARA</t>
  </si>
  <si>
    <t>VEDANSH KUMAR</t>
  </si>
  <si>
    <t>KAMAL KUMAR HARIJAN</t>
  </si>
  <si>
    <t>Veer Sharma</t>
  </si>
  <si>
    <t>Anil Sharma</t>
  </si>
  <si>
    <t xml:space="preserve">BAJANI </t>
  </si>
  <si>
    <t xml:space="preserve">VIKANSHI TAILOR </t>
  </si>
  <si>
    <t xml:space="preserve">VIJAY TAILOR </t>
  </si>
  <si>
    <t>VISHAL KUMAR GAYARI</t>
  </si>
  <si>
    <t>MADAN LAL GAYARI</t>
  </si>
  <si>
    <t xml:space="preserve">VISHAL SHARMA </t>
  </si>
  <si>
    <t>YASHASVI PATIDAR</t>
  </si>
  <si>
    <t>DISHA ACADEMY FEE DATA 2025-26 CLASS - 5th</t>
  </si>
  <si>
    <t>AARADHYA PATIDAR</t>
  </si>
  <si>
    <t>ANIL PATIDAR</t>
  </si>
  <si>
    <t>a</t>
  </si>
  <si>
    <t xml:space="preserve">aMO. </t>
  </si>
  <si>
    <t>AASAMA BEE</t>
  </si>
  <si>
    <t>HABIB AJMERI</t>
  </si>
  <si>
    <t>29/11/25</t>
  </si>
  <si>
    <t>Aayush Sharma</t>
  </si>
  <si>
    <t>Jitendra Sharma</t>
  </si>
  <si>
    <t>ANJALI LABANA</t>
  </si>
  <si>
    <t>ANUSHKA MEENA</t>
  </si>
  <si>
    <t>PRABHU LAL MEENA</t>
  </si>
  <si>
    <t>KOTA TALAI</t>
  </si>
  <si>
    <t>ARAV LABANA</t>
  </si>
  <si>
    <t xml:space="preserve"> SANTOSH LABANA</t>
  </si>
  <si>
    <t>HIndi</t>
  </si>
  <si>
    <t>AVNI PATIDAR</t>
  </si>
  <si>
    <t>BHARTI RAIDAS</t>
  </si>
  <si>
    <t>BHAVESH BAIRAGI</t>
  </si>
  <si>
    <t>RAMESHVAR BAIRAGI</t>
  </si>
  <si>
    <t>CHETAN PATIDAR</t>
  </si>
  <si>
    <t>RATHANJANA</t>
  </si>
  <si>
    <t>CHIRAG PRAJAPAT</t>
  </si>
  <si>
    <t>SHYAMLAL PRAJAPAT</t>
  </si>
  <si>
    <t>DAKSH KUMAWAT</t>
  </si>
  <si>
    <t>PRAKASH KUMAWAT</t>
  </si>
  <si>
    <t>DAKSHYA GAYARI</t>
  </si>
  <si>
    <t>Nanalal Gayari</t>
  </si>
  <si>
    <t>DEEPAK TAILOR</t>
  </si>
  <si>
    <t>DILIP TAILOR</t>
  </si>
  <si>
    <t>MANAK LAL MEENA</t>
  </si>
  <si>
    <t>Dipesh Labana</t>
  </si>
  <si>
    <t>Rajesh Labana</t>
  </si>
  <si>
    <t>DISHIKA SHARMA</t>
  </si>
  <si>
    <t>Divyanshi Labana</t>
  </si>
  <si>
    <t>Vikram Labana</t>
  </si>
  <si>
    <t>GAGAN TELI</t>
  </si>
  <si>
    <t>LAXMINARAYAN TELI</t>
  </si>
  <si>
    <t>GRISHMA MEGHWAL</t>
  </si>
  <si>
    <t>NARAYAN LAL MEGHWAL</t>
  </si>
  <si>
    <t>PRAVIN JI LABANA</t>
  </si>
  <si>
    <t>HARDIK YADAV</t>
  </si>
  <si>
    <t>MUKESH KUMAR YADAV</t>
  </si>
  <si>
    <t>DHARMVEER MEENA</t>
  </si>
  <si>
    <t>HARSHVARDHAN</t>
  </si>
  <si>
    <t>TRILOK SHARMA</t>
  </si>
  <si>
    <t>CHANDRASHEKHAR SUTHAR</t>
  </si>
  <si>
    <t>PURSHOTAM BAIRAGI</t>
  </si>
  <si>
    <t>JAGDISH PATIDAR</t>
  </si>
  <si>
    <t>KAVISH JAIN</t>
  </si>
  <si>
    <t>NAVEEN KUMAR JAIN</t>
  </si>
  <si>
    <t>Kritika Sharma</t>
  </si>
  <si>
    <t>Dinesh Chandra Sharma</t>
  </si>
  <si>
    <t>NARAYAN LAL GURJAR</t>
  </si>
  <si>
    <t>LAKSHY RAJ TELI</t>
  </si>
  <si>
    <t>GHANSHYAM TELI</t>
  </si>
  <si>
    <t>CHAMNA JI KA PIPLIYA</t>
  </si>
  <si>
    <t>LAVIK PATIDAR</t>
  </si>
  <si>
    <t>VIKAS PATIDAR</t>
  </si>
  <si>
    <t>LAXMI LABANA</t>
  </si>
  <si>
    <t>Mamata Darji</t>
  </si>
  <si>
    <t>Manish Darji</t>
  </si>
  <si>
    <t>MANOJ RAIDAS</t>
  </si>
  <si>
    <t>ARJUN KUMAR RAIDAS</t>
  </si>
  <si>
    <t>MAYANK MAKWANA</t>
  </si>
  <si>
    <t>PUSHKAR MAKWANA</t>
  </si>
  <si>
    <t>MOHAMMAD JUNED</t>
  </si>
  <si>
    <t>MOIN AJMERI</t>
  </si>
  <si>
    <t>Mohammad Sohel</t>
  </si>
  <si>
    <t>Samir Ajmeri</t>
  </si>
  <si>
    <t>MOKSHITA SHARMA</t>
  </si>
  <si>
    <t>NETIK SHARMA</t>
  </si>
  <si>
    <t>NAMITA GOUR</t>
  </si>
  <si>
    <t>PAVAN GOUR</t>
  </si>
  <si>
    <t>PRTAPGARH</t>
  </si>
  <si>
    <t>Nikshita Patidar</t>
  </si>
  <si>
    <t>Hariom Patidar</t>
  </si>
  <si>
    <t>NITIN BALAI</t>
  </si>
  <si>
    <t>MUKESH BALAI</t>
  </si>
  <si>
    <t>Pari Meena</t>
  </si>
  <si>
    <t>Heeralal Meena</t>
  </si>
  <si>
    <t>PARTH PATIDAR</t>
  </si>
  <si>
    <t>DHARMCHAND DHANAWAT</t>
  </si>
  <si>
    <t>PAYAL KUNWAR</t>
  </si>
  <si>
    <t>RAJENDRA SINGH RAJPUT</t>
  </si>
  <si>
    <t>PIYUSH MALI</t>
  </si>
  <si>
    <t>SURENDRA MALI</t>
  </si>
  <si>
    <t>MAGRODA</t>
  </si>
  <si>
    <t>PRATIK MEENA</t>
  </si>
  <si>
    <t>ISHWARLAL MEENA</t>
  </si>
  <si>
    <t>PRATIK NINAMA</t>
  </si>
  <si>
    <t>PRATIK TELI</t>
  </si>
  <si>
    <t>PANKESH TELI</t>
  </si>
  <si>
    <t>PRAVIN GAYARI</t>
  </si>
  <si>
    <t>PANKAJ KUMAR GAYARI</t>
  </si>
  <si>
    <t>RAJVIR SINGH</t>
  </si>
  <si>
    <t>VIJAY SINGH</t>
  </si>
  <si>
    <t>Ranjeet Gayari</t>
  </si>
  <si>
    <t>Samrath Gayari</t>
  </si>
  <si>
    <t>panmodi</t>
  </si>
  <si>
    <t>RUDRA JAT</t>
  </si>
  <si>
    <t>MANSUKA JAT</t>
  </si>
  <si>
    <t>RUDRESH</t>
  </si>
  <si>
    <t>GOPALSHARMA</t>
  </si>
  <si>
    <t>Sarthik Patidar</t>
  </si>
  <si>
    <t>SIDDHANT BANJARA</t>
  </si>
  <si>
    <t>Dinesh Banjara</t>
  </si>
  <si>
    <t>SUJAL JAIN</t>
  </si>
  <si>
    <t>KULDEEP JAIN</t>
  </si>
  <si>
    <t>TANISH LABANA</t>
  </si>
  <si>
    <t>TARUN LABANA</t>
  </si>
  <si>
    <t>TOSIF RAZA</t>
  </si>
  <si>
    <t>SADDAM HUSAIN ANKI</t>
  </si>
  <si>
    <t>VATSAL PATIDAR</t>
  </si>
  <si>
    <t>SUMAN KUMAR PATIDAR</t>
  </si>
  <si>
    <t>VIKASH MEGHWAL</t>
  </si>
  <si>
    <t xml:space="preserve">HARIOM MEGHWAL </t>
  </si>
  <si>
    <t>VIRAT</t>
  </si>
  <si>
    <t>AJAY</t>
  </si>
  <si>
    <t>MAKRANA</t>
  </si>
  <si>
    <t>YAKSH LABANA</t>
  </si>
  <si>
    <t>Ranjeet Labana</t>
  </si>
  <si>
    <t>YAKSHIT LABANA</t>
  </si>
  <si>
    <t>RAVI KUMAR LABANA</t>
  </si>
  <si>
    <t>YASHANK SHARMA</t>
  </si>
  <si>
    <t>DISHA ACADEMY FEE DATA 2025-26 CLASS - 6th</t>
  </si>
  <si>
    <t>AALIYA SHAH</t>
  </si>
  <si>
    <t>ASAD IQBAL SHAH</t>
  </si>
  <si>
    <t>Anil Kumar Meena</t>
  </si>
  <si>
    <t>Prakash Chandra Meena</t>
  </si>
  <si>
    <t xml:space="preserve">ANSHUMAN PATIDAR </t>
  </si>
  <si>
    <t xml:space="preserve">OM PARKASH PATIDAR </t>
  </si>
  <si>
    <t xml:space="preserve">RONAK SAR </t>
  </si>
  <si>
    <t>ARPIT MEENA</t>
  </si>
  <si>
    <t>DASHRATH MEENA</t>
  </si>
  <si>
    <t>AVNISH LABANA</t>
  </si>
  <si>
    <t>KAMLESH LABANA</t>
  </si>
  <si>
    <t>BATUL BEE</t>
  </si>
  <si>
    <t>BHAGYA SHREE SISODIYA</t>
  </si>
  <si>
    <t>SHANKAR SINGH SISODIYA</t>
  </si>
  <si>
    <t>GHANSHYAM SUTHAR</t>
  </si>
  <si>
    <t>CHANDRASHEKHAR BAWARI</t>
  </si>
  <si>
    <t>PUSHKAR BAWARI</t>
  </si>
  <si>
    <t>CHITRANSH PATIDAR</t>
  </si>
  <si>
    <t>SANJAY PATIDAR</t>
  </si>
  <si>
    <t>DEEPRAJ SINGH CHUNDAWA</t>
  </si>
  <si>
    <t>LOKENDRA SINGH CHUNDAWAT</t>
  </si>
  <si>
    <t>DIVYANSH TAILOR</t>
  </si>
  <si>
    <t>DILIP KUMAR TAILOR</t>
  </si>
  <si>
    <t>13/10/25</t>
  </si>
  <si>
    <t>DIVYANSH TELI</t>
  </si>
  <si>
    <t>OMPRAKASH TELI</t>
  </si>
  <si>
    <t>GARIMA KUMAWAT</t>
  </si>
  <si>
    <t>ARVIND KUMAR KUMAWAT</t>
  </si>
  <si>
    <t>HARSHIT LABANA</t>
  </si>
  <si>
    <t>ABHISHEK LABANA</t>
  </si>
  <si>
    <t>VIJAY SINGH MEENA</t>
  </si>
  <si>
    <t>HITESH GURJAR</t>
  </si>
  <si>
    <t>JAYDEEP SINGH</t>
  </si>
  <si>
    <t>JAYESH TAILOR</t>
  </si>
  <si>
    <t>KRISHNA GOPAL TAILOR</t>
  </si>
  <si>
    <t xml:space="preserve">RONAK SIR </t>
  </si>
  <si>
    <t>29/09/25</t>
  </si>
  <si>
    <t>JINAL LABANA</t>
  </si>
  <si>
    <t>KARULAL LABANA</t>
  </si>
  <si>
    <t>KALYANI MEENA</t>
  </si>
  <si>
    <t>MADAN LAL MEENA</t>
  </si>
  <si>
    <t xml:space="preserve">KIRTI LABANA </t>
  </si>
  <si>
    <t xml:space="preserve">parvin labana </t>
  </si>
  <si>
    <t>SIDHAPUR</t>
  </si>
  <si>
    <t>KUNAL MEGHWAL</t>
  </si>
  <si>
    <t>ISHWAR LAL MEGHWAL</t>
  </si>
  <si>
    <t>23/09/25</t>
  </si>
  <si>
    <t>LAKHAN PATIDAR</t>
  </si>
  <si>
    <t>PARASRAM PATIDAR</t>
  </si>
  <si>
    <t>LAKSHIT SUTHAR</t>
  </si>
  <si>
    <t>VINOD SUTHAR</t>
  </si>
  <si>
    <t>bori</t>
  </si>
  <si>
    <t>Lavnish Meena</t>
  </si>
  <si>
    <t>Prabhulal Meena</t>
  </si>
  <si>
    <t>MADHAVRAJ SINGH SISODIYA</t>
  </si>
  <si>
    <t>VIKRAM SINGH SISODIYA</t>
  </si>
  <si>
    <t xml:space="preserve">LALPURA </t>
  </si>
  <si>
    <t>MAHI KUNWAR</t>
  </si>
  <si>
    <t>MAHINUR</t>
  </si>
  <si>
    <t>NARU AJEMRI</t>
  </si>
  <si>
    <t>Manohar Das</t>
  </si>
  <si>
    <t>Mangal Das BAIRAGI</t>
  </si>
  <si>
    <t>SKARIYA</t>
  </si>
  <si>
    <t>MAYUR GAYARI</t>
  </si>
  <si>
    <t xml:space="preserve">KANORA </t>
  </si>
  <si>
    <t>MOKSHIT JAIN</t>
  </si>
  <si>
    <t>MONIKA RAIDAS</t>
  </si>
  <si>
    <t>NEHA SUTHAR</t>
  </si>
  <si>
    <t>PAWAN LOHAR</t>
  </si>
  <si>
    <t>GOPAL LOHAR</t>
  </si>
  <si>
    <t>Payal</t>
  </si>
  <si>
    <t>Mohan Lal Meen</t>
  </si>
  <si>
    <t>PIYUSH LABANA</t>
  </si>
  <si>
    <t>VARDICHAND LABANA</t>
  </si>
  <si>
    <t>PRACHI RAIDAS</t>
  </si>
  <si>
    <t>PUNIT KUMAR KANOJIYA</t>
  </si>
  <si>
    <t>17/11/2025</t>
  </si>
  <si>
    <t>RAGHAV BAWARI</t>
  </si>
  <si>
    <t>RAJ KUMAR</t>
  </si>
  <si>
    <t>RAJVEER SINGH CHARAN</t>
  </si>
  <si>
    <t>RANJEET MEGHWAL</t>
  </si>
  <si>
    <t>RANVEER KEER</t>
  </si>
  <si>
    <t>RAMNIWAS KEER</t>
  </si>
  <si>
    <t>RIDHAM SHARMA</t>
  </si>
  <si>
    <t>MAHESH SHARMA</t>
  </si>
  <si>
    <t>RITIKA MEENA</t>
  </si>
  <si>
    <t>dhamliya</t>
  </si>
  <si>
    <t xml:space="preserve">RIYA KUMAWAT </t>
  </si>
  <si>
    <t>Rohit Meena</t>
  </si>
  <si>
    <t>DHAMMOTAR</t>
  </si>
  <si>
    <t>SHIVANI MEENA</t>
  </si>
  <si>
    <t>SHREYA LABANA</t>
  </si>
  <si>
    <t>SURAJ MEENA</t>
  </si>
  <si>
    <t>GANPAT MEENA</t>
  </si>
  <si>
    <t>Tamanna Mehta</t>
  </si>
  <si>
    <t>Nitesh Mehata</t>
  </si>
  <si>
    <t>TANISH GAYARI</t>
  </si>
  <si>
    <t>BALMUKAND GAYARI</t>
  </si>
  <si>
    <t>TANISH SHARMA</t>
  </si>
  <si>
    <t>BHAGWATI LAL SHARMA</t>
  </si>
  <si>
    <t>TANISHA MALI</t>
  </si>
  <si>
    <t>UDAYLAL GAYARI</t>
  </si>
  <si>
    <t>RAMPRASAD GAYARI</t>
  </si>
  <si>
    <t>UMME HABIBA</t>
  </si>
  <si>
    <t>SHAFI AJMERI</t>
  </si>
  <si>
    <t>UMME HANI BEE</t>
  </si>
  <si>
    <t>VAISHNAVI LABANA</t>
  </si>
  <si>
    <t>LALIT KUMAR LABANA</t>
  </si>
  <si>
    <t>VIHAN MEENA</t>
  </si>
  <si>
    <t>PRAVIN MEENA</t>
  </si>
  <si>
    <t>VIVEK GURJAR</t>
  </si>
  <si>
    <t>ANIL GURJAR</t>
  </si>
  <si>
    <t>YOGITA PATIDAR</t>
  </si>
  <si>
    <t>RAJESH PATIDAR</t>
  </si>
  <si>
    <t>YUVRAJ LABANA</t>
  </si>
  <si>
    <t>SURENDRA LABANA</t>
  </si>
  <si>
    <t>DISHA ACADEMY FEE DATA 2025-26 CLASS - 7th</t>
  </si>
  <si>
    <t>ADARSH TAILOR</t>
  </si>
  <si>
    <t>HARISH TAILOR</t>
  </si>
  <si>
    <t>Anil meena</t>
  </si>
  <si>
    <t>Shanti Lal</t>
  </si>
  <si>
    <t>ANKUR MEGHWAL</t>
  </si>
  <si>
    <t>BABU LAL MEGHWAL</t>
  </si>
  <si>
    <t>Anurag Labana</t>
  </si>
  <si>
    <t>Ganesh Labana</t>
  </si>
  <si>
    <t>Anurag Suthar</t>
  </si>
  <si>
    <t>Chandra Shekhar Suthar</t>
  </si>
  <si>
    <t>ARTI</t>
  </si>
  <si>
    <t>KAMALRAM GAYARI</t>
  </si>
  <si>
    <t>AVISH JAT</t>
  </si>
  <si>
    <t>ISHWAR LAL JAT</t>
  </si>
  <si>
    <t>AYUSH LABANA</t>
  </si>
  <si>
    <t>SURESH LABANA</t>
  </si>
  <si>
    <t>BABU LAL LOHAR</t>
  </si>
  <si>
    <t>REKESH LOHAR</t>
  </si>
  <si>
    <t>meriyakhedi</t>
  </si>
  <si>
    <t>CHAHAK PATIDAR</t>
  </si>
  <si>
    <t>GANPAT PATIDAR</t>
  </si>
  <si>
    <t>YADAV  SIR</t>
  </si>
  <si>
    <t>DAKSHRAJ SHARMA</t>
  </si>
  <si>
    <t>VEDPRAKASH SHARMA</t>
  </si>
  <si>
    <t>Devendra Suthar</t>
  </si>
  <si>
    <t>Ghanshyam Suthar</t>
  </si>
  <si>
    <t>FARHAN KHAN</t>
  </si>
  <si>
    <t>FARUKH KHAN</t>
  </si>
  <si>
    <t>FIRDOS BEE</t>
  </si>
  <si>
    <t>MOINUDDIN SHAN</t>
  </si>
  <si>
    <t>HARISH KUMAWAT</t>
  </si>
  <si>
    <t xml:space="preserve">HARSH JAIN </t>
  </si>
  <si>
    <t>MUKESH JAIN</t>
  </si>
  <si>
    <t xml:space="preserve">HIRA COLONY PTG </t>
  </si>
  <si>
    <t>HARSHIT</t>
  </si>
  <si>
    <t>RAJKUMAR PRAJAPAT</t>
  </si>
  <si>
    <t>HITESHI MEENA</t>
  </si>
  <si>
    <t>KALPANA BAWARI</t>
  </si>
  <si>
    <t>RAJKUMAR BAWARI</t>
  </si>
  <si>
    <t>KALPANA GAYARI</t>
  </si>
  <si>
    <t>KANISHKA</t>
  </si>
  <si>
    <t>VIPIN VYAS</t>
  </si>
  <si>
    <t>KANISHKA KUMARI MAKAWANA</t>
  </si>
  <si>
    <t>PUSHKAR LAL MAKWANA</t>
  </si>
  <si>
    <t>KAPIL</t>
  </si>
  <si>
    <t>PURUSHOTAM VAISHNAV</t>
  </si>
  <si>
    <t>KAPIL GAYARI</t>
  </si>
  <si>
    <t>Karan Singh</t>
  </si>
  <si>
    <t>Chen Singh</t>
  </si>
  <si>
    <t xml:space="preserve">RAHUL SAR </t>
  </si>
  <si>
    <t>KESHAV MEENA</t>
  </si>
  <si>
    <t>KRISHANA BANJARA</t>
  </si>
  <si>
    <t>UDAYLAL BANJARA</t>
  </si>
  <si>
    <t>KRITIKA TELI</t>
  </si>
  <si>
    <t xml:space="preserve">CHAMAN JI KA PIPLIYA </t>
  </si>
  <si>
    <t>Kuldeep Singh Sisodiya</t>
  </si>
  <si>
    <t>Lal Singh</t>
  </si>
  <si>
    <t xml:space="preserve">NYA BORIYA </t>
  </si>
  <si>
    <t>Lakshit Suthar</t>
  </si>
  <si>
    <t>Ishwar Lal Suthar</t>
  </si>
  <si>
    <t>Lakshya Suthar</t>
  </si>
  <si>
    <t>Buddhichand suthar</t>
  </si>
  <si>
    <t>LALIT MEENA</t>
  </si>
  <si>
    <t>Lalit Suthar</t>
  </si>
  <si>
    <t>LAVESH BHATI</t>
  </si>
  <si>
    <t>Mahendra Singh</t>
  </si>
  <si>
    <t>Bhim Singh daroga</t>
  </si>
  <si>
    <t>Mansi jain</t>
  </si>
  <si>
    <t>Nemichand jain</t>
  </si>
  <si>
    <t>Mohit Sharma</t>
  </si>
  <si>
    <t>Rajesh Kumar Sharma</t>
  </si>
  <si>
    <t>BAJANI</t>
  </si>
  <si>
    <t>30/07/25</t>
  </si>
  <si>
    <t>NAMAN DAS BAIRAGI</t>
  </si>
  <si>
    <t>SHYAM DAS BAIRAGI</t>
  </si>
  <si>
    <t>NITIN GAYARI</t>
  </si>
  <si>
    <t>PANKESH GAYARI</t>
  </si>
  <si>
    <t>PIYUSH PATIDAR</t>
  </si>
  <si>
    <t>VARDICHAND PATIDAR</t>
  </si>
  <si>
    <t>Pratyakshi sahu</t>
  </si>
  <si>
    <t>PRIYANSHU MEENA</t>
  </si>
  <si>
    <t>Unkar Lal Meena</t>
  </si>
  <si>
    <t>Radha Tailor</t>
  </si>
  <si>
    <t>RAUNAK SUTHAR</t>
  </si>
  <si>
    <t>HARI PRASAD SUTHAR</t>
  </si>
  <si>
    <t>RIDHIKA PATIDAR</t>
  </si>
  <si>
    <t>CHANDRAPRAKASH PATIDAR</t>
  </si>
  <si>
    <t>Rohit Kumar Meena</t>
  </si>
  <si>
    <t>Ganesh Lal Meena</t>
  </si>
  <si>
    <t>Sandeep kumar Meena</t>
  </si>
  <si>
    <t>SANIDHY PATIDAR</t>
  </si>
  <si>
    <t>Gunwant patidar</t>
  </si>
  <si>
    <t>Shailendra Patidar</t>
  </si>
  <si>
    <t>Shiv Lal Patidar</t>
  </si>
  <si>
    <t>SHIVANI BAWARI</t>
  </si>
  <si>
    <t>PUSHKAR</t>
  </si>
  <si>
    <t>SHOYEB</t>
  </si>
  <si>
    <t>MOILUDDIN SHAH</t>
  </si>
  <si>
    <t>SHREYANSH SHARMA</t>
  </si>
  <si>
    <t>SUSHIL KUMAR SHARMA</t>
  </si>
  <si>
    <t>SIDDHARTH MEENA</t>
  </si>
  <si>
    <t>GHANSHYAM</t>
  </si>
  <si>
    <t xml:space="preserve">TANVI SHARMA </t>
  </si>
  <si>
    <t>vijay kumar sharma</t>
  </si>
  <si>
    <t xml:space="preserve">VANDANA KUMARI </t>
  </si>
  <si>
    <t>VARSHA KUMARI MEGHWAL</t>
  </si>
  <si>
    <t>MANNA LAL MEGHWAL</t>
  </si>
  <si>
    <t>VIJAYRAJ GURJAR</t>
  </si>
  <si>
    <t>JAMNA LAL GURJAR</t>
  </si>
  <si>
    <t>VIRA</t>
  </si>
  <si>
    <t>Virendra Prajapat</t>
  </si>
  <si>
    <t>Prakash Chandra Prajapat</t>
  </si>
  <si>
    <t>Yuvraj Singh</t>
  </si>
  <si>
    <t>Prahalad Singh</t>
  </si>
  <si>
    <t>BORKHEDA</t>
  </si>
  <si>
    <t>DISHA ACADEMY FEE DATA 2025-26 CLASS - 8th</t>
  </si>
  <si>
    <t>AAKRTI PATIDAR</t>
  </si>
  <si>
    <t>AARTI KUMARI</t>
  </si>
  <si>
    <t>CHHAGAN LAL RAIDAS</t>
  </si>
  <si>
    <t>SAKRIYA</t>
  </si>
  <si>
    <t>AAYUSH GAYARI</t>
  </si>
  <si>
    <t>MANNALAL GAYARI</t>
  </si>
  <si>
    <t>ABDUL KADIR</t>
  </si>
  <si>
    <t>SABBIR KHAN</t>
  </si>
  <si>
    <t>KANORA</t>
  </si>
  <si>
    <t>ABDUL MUTTLIB</t>
  </si>
  <si>
    <t>MOHAMMAD HUSSAIN AANKI</t>
  </si>
  <si>
    <t>Adtiya Dahangar</t>
  </si>
  <si>
    <t>Babu lal Dhangar</t>
  </si>
  <si>
    <t>ALFAIZ SHAH</t>
  </si>
  <si>
    <t>ASAD IQBAL</t>
  </si>
  <si>
    <t>ALISHA MEW</t>
  </si>
  <si>
    <t>ANIL MEENA</t>
  </si>
  <si>
    <t>TEJMAL MEENA</t>
  </si>
  <si>
    <t>ARPIT BALAI</t>
  </si>
  <si>
    <t>ARTI GURJAR</t>
  </si>
  <si>
    <t>Shantilal gurjar</t>
  </si>
  <si>
    <t>DEVENDRA RAIDAS</t>
  </si>
  <si>
    <t>KANWAR LAL RAIDAS</t>
  </si>
  <si>
    <t>DEVESH KUMAR MEENA</t>
  </si>
  <si>
    <t>SURAJMAL</t>
  </si>
  <si>
    <t>DEVKARAN JAT</t>
  </si>
  <si>
    <t>RAM KISHNA JAT</t>
  </si>
  <si>
    <t>DHARAM RAJ MEENA</t>
  </si>
  <si>
    <t>JAGANNATH MEENA</t>
  </si>
  <si>
    <t>DHEERAJ LABANA</t>
  </si>
  <si>
    <t>PARAS LABANA</t>
  </si>
  <si>
    <t>tanda</t>
  </si>
  <si>
    <t>GOKUL BANJARA</t>
  </si>
  <si>
    <t xml:space="preserve">PILLUKHEDA </t>
  </si>
  <si>
    <t>GOPAL LAL MEENA</t>
  </si>
  <si>
    <t>JAGDISH LAL</t>
  </si>
  <si>
    <t>GULAM NABI</t>
  </si>
  <si>
    <t>UMAR MOMIN</t>
  </si>
  <si>
    <t>HARISH GURJAR</t>
  </si>
  <si>
    <t>GOPAL GURJAR</t>
  </si>
  <si>
    <t>HARSHITA KUMARI SEN</t>
  </si>
  <si>
    <t>HARSHVARDHAN PATIDAR</t>
  </si>
  <si>
    <t>SHANTI LAL PATIDAR</t>
  </si>
  <si>
    <t>ISHAN KUMAWAT</t>
  </si>
  <si>
    <t>BALRAM KUMAWAT</t>
  </si>
  <si>
    <t>JAYESH KALAL</t>
  </si>
  <si>
    <t>NARENDRA KALAL</t>
  </si>
  <si>
    <t>JIVAN SINGH</t>
  </si>
  <si>
    <t>RAM SINGH</t>
  </si>
  <si>
    <t>KARTIK SUTHAR</t>
  </si>
  <si>
    <t>Bholashankar Suthar</t>
  </si>
  <si>
    <t>KESHAV SHARMA</t>
  </si>
  <si>
    <t>RAKESH SHARMA</t>
  </si>
  <si>
    <t>KISHAN GURJAR</t>
  </si>
  <si>
    <t>Mukesh Gurjar</t>
  </si>
  <si>
    <t>KRISHAN RAIDAS</t>
  </si>
  <si>
    <t>UNKAR LAL RAIDAS</t>
  </si>
  <si>
    <t>26/08/25</t>
  </si>
  <si>
    <t>KUNDAN GAYARI</t>
  </si>
  <si>
    <t>PANKAJ GAYARI</t>
  </si>
  <si>
    <t>Kundan Meena</t>
  </si>
  <si>
    <t>Devilal Meena</t>
  </si>
  <si>
    <t>LOKENDRA MEENA</t>
  </si>
  <si>
    <t>RAMESH CHANDRA MEENA</t>
  </si>
  <si>
    <t>BAWADIKHEDA</t>
  </si>
  <si>
    <t>MILAN PATIDAR</t>
  </si>
  <si>
    <t>KAMLESH KUMAR PATIDAR</t>
  </si>
  <si>
    <t>MOHAMMAD YASIN</t>
  </si>
  <si>
    <t>Naman Anjana</t>
  </si>
  <si>
    <t>Himmat Singh Anjana</t>
  </si>
  <si>
    <t>KAMLIYA</t>
  </si>
  <si>
    <t>NIKITA KUNWAR</t>
  </si>
  <si>
    <t>CHAIN SINGH</t>
  </si>
  <si>
    <t>PALAK RAIDAS</t>
  </si>
  <si>
    <t>GOPAL JI RAIDAS</t>
  </si>
  <si>
    <t>PRATIK GAYARI</t>
  </si>
  <si>
    <t>PRIYANK JAT</t>
  </si>
  <si>
    <t>KARU SINGH JAT</t>
  </si>
  <si>
    <t>PRIYANSHI PATIDAR</t>
  </si>
  <si>
    <t>RAJKUMAR PATIDAR</t>
  </si>
  <si>
    <t>21/11/2025</t>
  </si>
  <si>
    <t>GANESH MEENA</t>
  </si>
  <si>
    <t>GOPALPURA</t>
  </si>
  <si>
    <t xml:space="preserve">RANI JAIN </t>
  </si>
  <si>
    <t>RISHBH JAAT</t>
  </si>
  <si>
    <t>MANHOR LAL JAAT</t>
  </si>
  <si>
    <t>RITIK PRAJAPAT</t>
  </si>
  <si>
    <t>MUKESH KUMAR KUMHAR</t>
  </si>
  <si>
    <t>Riva Kunwar</t>
  </si>
  <si>
    <t>Vikram Singh Sisodiya</t>
  </si>
  <si>
    <t>Rohit Banjara</t>
  </si>
  <si>
    <t>Bakil Banjara</t>
  </si>
  <si>
    <t>RONAK MEENA</t>
  </si>
  <si>
    <t>RONAK TAILOR</t>
  </si>
  <si>
    <t>RUKSAR</t>
  </si>
  <si>
    <t>RAMJAN BEMIL</t>
  </si>
  <si>
    <t>SAKSHI KUMARI MEENA</t>
  </si>
  <si>
    <t>MADHAV LAL MEENA</t>
  </si>
  <si>
    <t>siyakhedi</t>
  </si>
  <si>
    <t>Rahul Sir</t>
  </si>
  <si>
    <t>Sarfraj</t>
  </si>
  <si>
    <t>Nasruddin</t>
  </si>
  <si>
    <t>SOMESH GAYARI</t>
  </si>
  <si>
    <t>JITENDRA GAYARI</t>
  </si>
  <si>
    <t>SUDHEER KUMAR KESHRI</t>
  </si>
  <si>
    <t>Niranjan Prasad Keshri</t>
  </si>
  <si>
    <t>SUMIT LOHAR</t>
  </si>
  <si>
    <t>SUMIT SEN</t>
  </si>
  <si>
    <t>TANMAY SEN</t>
  </si>
  <si>
    <t>MUKESH SEN</t>
  </si>
  <si>
    <t>UMESH PATIDAR</t>
  </si>
  <si>
    <t>GHANSHYAM PATIDAR</t>
  </si>
  <si>
    <t>UMMID PATIDAR</t>
  </si>
  <si>
    <t>DURGA SHANKAR PATIDAR</t>
  </si>
  <si>
    <t>kulmipura</t>
  </si>
  <si>
    <t>Vijesh Banjara</t>
  </si>
  <si>
    <t>Jagdish Banjara</t>
  </si>
  <si>
    <t>pillu kheda</t>
  </si>
  <si>
    <t>31/07/25</t>
  </si>
  <si>
    <t>VIKAS BANJARA</t>
  </si>
  <si>
    <t>VINAYAK BAIRAGI</t>
  </si>
  <si>
    <t>Harish Bairagi</t>
  </si>
  <si>
    <t>Yash Kumawat</t>
  </si>
  <si>
    <t>Ram Prasad Kumawat</t>
  </si>
  <si>
    <t>YASHRAJ SINGH</t>
  </si>
  <si>
    <t>SURENDRA SINGH</t>
  </si>
  <si>
    <t>YUVRAJ SINGH</t>
  </si>
  <si>
    <t xml:space="preserve">hindi </t>
  </si>
  <si>
    <t>DISHA ACADEMY FEE DATA 2025-26 CLASS - 9th</t>
  </si>
  <si>
    <t>AAYUSH PATIDAR</t>
  </si>
  <si>
    <t>DINESH PATIDAR</t>
  </si>
  <si>
    <t>ARVIND LABANA</t>
  </si>
  <si>
    <t>ARPIT LABANA</t>
  </si>
  <si>
    <t>RAJKUMAR LABANA</t>
  </si>
  <si>
    <t>ASHISH SHARMA</t>
  </si>
  <si>
    <t>HARIVALLABH SHARMA</t>
  </si>
  <si>
    <t>Gargee Patidar</t>
  </si>
  <si>
    <t>Shyam Lal Patidr</t>
  </si>
  <si>
    <t>GORAV MEENA</t>
  </si>
  <si>
    <t>GOVIND MEENA</t>
  </si>
  <si>
    <t>KAILASH MEENA</t>
  </si>
  <si>
    <t>GRANTHANA NAGDA</t>
  </si>
  <si>
    <t>DINESH KUMAR NAGDA</t>
  </si>
  <si>
    <t>GUNJAN PATIDAR</t>
  </si>
  <si>
    <t>SANTOSH PATIDAR</t>
  </si>
  <si>
    <t>HUSAINA BEE</t>
  </si>
  <si>
    <t>ISHWAR DAS VAISHNAV</t>
  </si>
  <si>
    <t>BABUDAS VAISHNAV</t>
  </si>
  <si>
    <t>KAJAL BANJARA</t>
  </si>
  <si>
    <t>VAKIL BANJARA</t>
  </si>
  <si>
    <t>Kalpana Raidas</t>
  </si>
  <si>
    <t>Vinod Kumar Raidas</t>
  </si>
  <si>
    <t>Kanak Sharma</t>
  </si>
  <si>
    <t>KASHISH SEN</t>
  </si>
  <si>
    <t>KHUSHBU GAYARI</t>
  </si>
  <si>
    <t>RAM NIWAS GAYARI</t>
  </si>
  <si>
    <t>KRISHNA LABANA</t>
  </si>
  <si>
    <t>SUKHDEV LABANA</t>
  </si>
  <si>
    <t>LAKSHVEER KEER</t>
  </si>
  <si>
    <t>MAHIMA LABANA</t>
  </si>
  <si>
    <t>BHAGWATI LABANA</t>
  </si>
  <si>
    <t>MANSI JAT</t>
  </si>
  <si>
    <t>MOHIT KUMAWAT</t>
  </si>
  <si>
    <t>KANHAIYA LAL KUMAWAT</t>
  </si>
  <si>
    <t>mohit tailor</t>
  </si>
  <si>
    <t>ramesh tailor</t>
  </si>
  <si>
    <t>NAINA LOHAR</t>
  </si>
  <si>
    <t xml:space="preserve">NARENDRA LOHAR </t>
  </si>
  <si>
    <t xml:space="preserve"> Hindi</t>
  </si>
  <si>
    <t>NETIK PATIDAR</t>
  </si>
  <si>
    <t>MAHESH PATIDAR</t>
  </si>
  <si>
    <t>NIRAJ LABANA</t>
  </si>
  <si>
    <t>BALU RAM LABANA</t>
  </si>
  <si>
    <t>Piyush Labana</t>
  </si>
  <si>
    <t>Pravin</t>
  </si>
  <si>
    <t>PRANJAL PATIDAR</t>
  </si>
  <si>
    <t>PRATIGYA BANJARA</t>
  </si>
  <si>
    <t>NAHAR SINGH</t>
  </si>
  <si>
    <t>Pratigya Labana</t>
  </si>
  <si>
    <t>Pappu Labana</t>
  </si>
  <si>
    <t>KARMDIKHEDA</t>
  </si>
  <si>
    <t>MOHANLAL GURJAR</t>
  </si>
  <si>
    <t>RAJVEER SINGH</t>
  </si>
  <si>
    <t>PRAHALAD SINGH</t>
  </si>
  <si>
    <t>BARKHEDA</t>
  </si>
  <si>
    <t>RANVEER SINGH</t>
  </si>
  <si>
    <t>MAHAVEER SINGH</t>
  </si>
  <si>
    <t>Dhamotar</t>
  </si>
  <si>
    <t>PAVAN LABANA</t>
  </si>
  <si>
    <t>SADIYA AJMERI</t>
  </si>
  <si>
    <t>SANJANA LOHAR</t>
  </si>
  <si>
    <t>BHERULAL LOHAR</t>
  </si>
  <si>
    <t>SHIVAM MENARIYA</t>
  </si>
  <si>
    <t>KAILASH CHANDRA</t>
  </si>
  <si>
    <t>SHIVAM SHARMA</t>
  </si>
  <si>
    <t>MUKESH SHARMA</t>
  </si>
  <si>
    <t>SHUBHAM SAHU</t>
  </si>
  <si>
    <t>OMPRAKASH SAHU</t>
  </si>
  <si>
    <t>SIDDHARTH JAIN</t>
  </si>
  <si>
    <t>PANKAJ JAIN</t>
  </si>
  <si>
    <t>SOLJAR MEENA</t>
  </si>
  <si>
    <t>SOHAN LAL MEENA</t>
  </si>
  <si>
    <t xml:space="preserve">BILYA RUNDI </t>
  </si>
  <si>
    <t>SUMITRA KUMARI MEENA</t>
  </si>
  <si>
    <t>TEJ PAL MEENA</t>
  </si>
  <si>
    <t>SURAJ JAT</t>
  </si>
  <si>
    <t>SHAYAMSUKH JAT</t>
  </si>
  <si>
    <t>SWIKRTI SHARMA</t>
  </si>
  <si>
    <t>VIJAY KUMAR SHARMA</t>
  </si>
  <si>
    <t>TAMANNA BEE</t>
  </si>
  <si>
    <t>SAMIR AJMERI</t>
  </si>
  <si>
    <t>gadola</t>
  </si>
  <si>
    <t>VAIBHAV PATIDAR</t>
  </si>
  <si>
    <t>KANHAIYALAL PATIDAR</t>
  </si>
  <si>
    <t>VANDANA LABANA</t>
  </si>
  <si>
    <t>NAVIN LABANA</t>
  </si>
  <si>
    <t>VANSHIKA SHARMA</t>
  </si>
  <si>
    <t>RAJU BANJARA</t>
  </si>
  <si>
    <t>Yash Sharma</t>
  </si>
  <si>
    <t>Keshav Sharma</t>
  </si>
  <si>
    <t>YUVRAJ  MALVI</t>
  </si>
  <si>
    <t>RANGLAL MALVI</t>
  </si>
  <si>
    <t>DISHA ACADEMY FEE DATA 2025-26 CLASS - 10th</t>
  </si>
  <si>
    <t>AAFRIN SHAH</t>
  </si>
  <si>
    <t>Tenth</t>
  </si>
  <si>
    <t>Aashish Sharma</t>
  </si>
  <si>
    <t>Shyam Lal Sharma</t>
  </si>
  <si>
    <t>13/08/2025</t>
  </si>
  <si>
    <t>ANUSHKA KUMARI MEENA</t>
  </si>
  <si>
    <t>Arpita Meghwal</t>
  </si>
  <si>
    <t>Babulal Meghwal</t>
  </si>
  <si>
    <t>Arvind Gayari</t>
  </si>
  <si>
    <t>Radheshyam Gayari</t>
  </si>
  <si>
    <t>AYUSH GURJAR</t>
  </si>
  <si>
    <t>PRITHVI RAJ GURJAR</t>
  </si>
  <si>
    <t>BALKISHAN GAYARI</t>
  </si>
  <si>
    <t>DEVILAL GAYARI</t>
  </si>
  <si>
    <t>CHANCHAL SHARMA</t>
  </si>
  <si>
    <t>RAJESH KUMAR SHARMA</t>
  </si>
  <si>
    <t>DEVI LAL MEENA</t>
  </si>
  <si>
    <t>DHARMVEER VAISHNAV</t>
  </si>
  <si>
    <t>Bhagvatidas Vaishnav</t>
  </si>
  <si>
    <t>DIPESH PATIDAR</t>
  </si>
  <si>
    <t>LAKSHMINARAYAN PATIDAR</t>
  </si>
  <si>
    <t>TOPAKHEDA</t>
  </si>
  <si>
    <t>Divya Meghwal</t>
  </si>
  <si>
    <t>Shanti Lal Meghwal</t>
  </si>
  <si>
    <t>GANPAT LAL MEENA</t>
  </si>
  <si>
    <t>MAN MAL MEENA</t>
  </si>
  <si>
    <t>GORAV GAYARI</t>
  </si>
  <si>
    <t>NANA LAL GAYARI</t>
  </si>
  <si>
    <t>27/06/25</t>
  </si>
  <si>
    <t>27/06/2025</t>
  </si>
  <si>
    <t>HASMUKH GURJAR</t>
  </si>
  <si>
    <t>SATYANARAYAN GURJAR</t>
  </si>
  <si>
    <t>Jayansh Bairagi</t>
  </si>
  <si>
    <t>Pradeep</t>
  </si>
  <si>
    <t>Jivan Labana</t>
  </si>
  <si>
    <t>KRISHNA BANJARA</t>
  </si>
  <si>
    <t>LAXMAN BANJARA</t>
  </si>
  <si>
    <t>KRISHNA GOSWAMI</t>
  </si>
  <si>
    <t>SUNIL GOSWAMI</t>
  </si>
  <si>
    <t xml:space="preserve">pratapgarh </t>
  </si>
  <si>
    <t>KRISHNPAL GURJAR</t>
  </si>
  <si>
    <t>SHYAMLAL GURJAR</t>
  </si>
  <si>
    <t>KULDEEP GAYARI</t>
  </si>
  <si>
    <t>BABU LAL GAYARI</t>
  </si>
  <si>
    <t>HEERA LAL</t>
  </si>
  <si>
    <t>MAHESH BAIRAGI</t>
  </si>
  <si>
    <t>Pushkar Das Bairagi</t>
  </si>
  <si>
    <t>Mahi Sharma</t>
  </si>
  <si>
    <t>MAYANK TIWARI</t>
  </si>
  <si>
    <t>MAHESH TIWARI</t>
  </si>
  <si>
    <t>MURLI MANOHAR MEENA</t>
  </si>
  <si>
    <t>SHANTI LAL MEENA</t>
  </si>
  <si>
    <t>NAYUM HUSAIN</t>
  </si>
  <si>
    <t>RAFIK SHAH</t>
  </si>
  <si>
    <t>NEELAM MEENA</t>
  </si>
  <si>
    <t>SHRAVAN KUMAR MEENA</t>
  </si>
  <si>
    <t>Prabhu Lal Meena</t>
  </si>
  <si>
    <t>Payal Labana</t>
  </si>
  <si>
    <t>Kamal Labana</t>
  </si>
  <si>
    <t>PIYUSH GURJAR</t>
  </si>
  <si>
    <t>DASRATH GURJAR</t>
  </si>
  <si>
    <t>PIYUSH KUMAWAT</t>
  </si>
  <si>
    <t>DINESH KUMAWAT</t>
  </si>
  <si>
    <t>PIYUSH MALVIYA</t>
  </si>
  <si>
    <t>RATAN LAL MALVIYA</t>
  </si>
  <si>
    <t>PRAMESH MEENA</t>
  </si>
  <si>
    <t>TARACHAND MEENA</t>
  </si>
  <si>
    <t>PRAMILA TELI</t>
  </si>
  <si>
    <t>HARIOM TELI</t>
  </si>
  <si>
    <t>PRITESH JAT</t>
  </si>
  <si>
    <t>RADHA KISHAN JAT</t>
  </si>
  <si>
    <t>PURVA LABANA</t>
  </si>
  <si>
    <t>Dashrath Labana</t>
  </si>
  <si>
    <t>REENA KUMARI MEENA</t>
  </si>
  <si>
    <t>GANESH LAL</t>
  </si>
  <si>
    <t>Shaymlal Meena</t>
  </si>
  <si>
    <t>SACHIN LABANA</t>
  </si>
  <si>
    <t>GOPAL</t>
  </si>
  <si>
    <t>SAKSHI PATIDAR</t>
  </si>
  <si>
    <t>Bhanwarlal Patidar</t>
  </si>
  <si>
    <t>27/09/25</t>
  </si>
  <si>
    <t>SANYAM JAIN</t>
  </si>
  <si>
    <t>KAMLESH KUMAR JAIN</t>
  </si>
  <si>
    <t>Sumit Balai</t>
  </si>
  <si>
    <t>Bharat Balai</t>
  </si>
  <si>
    <t>SUNDAR KUMARI MEENA</t>
  </si>
  <si>
    <t>GHANSHYAM MEENA</t>
  </si>
  <si>
    <t>Tanish Patidar</t>
  </si>
  <si>
    <t>Arjun Lal Patidar</t>
  </si>
  <si>
    <t>DISHA ACADEMY FEE DATA 2025-26 CLASS - 11th</t>
  </si>
  <si>
    <t>-</t>
  </si>
  <si>
    <t>Stream</t>
  </si>
  <si>
    <t>no aadhar</t>
  </si>
  <si>
    <t xml:space="preserve">ANKIT MEENA </t>
  </si>
  <si>
    <t xml:space="preserve">PARASMAL MEENA </t>
  </si>
  <si>
    <t>Ag</t>
  </si>
  <si>
    <t xml:space="preserve">ARBAJ SHAH </t>
  </si>
  <si>
    <t xml:space="preserve">RAFIK SHAH </t>
  </si>
  <si>
    <t xml:space="preserve">DEV SUTHAR </t>
  </si>
  <si>
    <t xml:space="preserve">MUKESH SUTHAR </t>
  </si>
  <si>
    <t xml:space="preserve">KRISHNA MEENA </t>
  </si>
  <si>
    <t xml:space="preserve">VARDICHAND MEENA </t>
  </si>
  <si>
    <t>14/08/25</t>
  </si>
  <si>
    <t xml:space="preserve">LOKESH SUTHAR </t>
  </si>
  <si>
    <t xml:space="preserve">SATYNARAYAN SUTHAR </t>
  </si>
  <si>
    <t>NIRMAL PATIDAR</t>
  </si>
  <si>
    <t>21/0/25</t>
  </si>
  <si>
    <t>TANISH TELI</t>
  </si>
  <si>
    <t xml:space="preserve">ANIL TELI </t>
  </si>
  <si>
    <t xml:space="preserve">VASHUDEV MEENA </t>
  </si>
  <si>
    <t>SHYAM LAL MEENA</t>
  </si>
  <si>
    <t>28/09/25</t>
  </si>
  <si>
    <t>KALURAM BANJARA</t>
  </si>
  <si>
    <t xml:space="preserve">PILLU KHEDA </t>
  </si>
  <si>
    <t xml:space="preserve">MADAN LAL </t>
  </si>
  <si>
    <t>ABHISHEK GAYARI</t>
  </si>
  <si>
    <t>MADAN GAYARI</t>
  </si>
  <si>
    <t>Arts</t>
  </si>
  <si>
    <t>ANURAG PRAJAPAT</t>
  </si>
  <si>
    <t>DEVILAL PRAJAPAT</t>
  </si>
  <si>
    <t>BHAVISHYA SUTHAR</t>
  </si>
  <si>
    <t>MANAK LAL SUTHAR</t>
  </si>
  <si>
    <t>Bhavishya Suthar</t>
  </si>
  <si>
    <t>Pawan Kumar Suthar</t>
  </si>
  <si>
    <t>DARSHIL LABANA</t>
  </si>
  <si>
    <t>Prahlad Labana</t>
  </si>
  <si>
    <t>Devendra Labana</t>
  </si>
  <si>
    <t>Ratan Lal Labana</t>
  </si>
  <si>
    <t>DEVENDRA PATIDAR</t>
  </si>
  <si>
    <t>DHIRAJ LABANA</t>
  </si>
  <si>
    <t>DIVYA LABANA</t>
  </si>
  <si>
    <t>durgesh gayari</t>
  </si>
  <si>
    <t>banshi lal gayari</t>
  </si>
  <si>
    <t>DURGESH LABANA</t>
  </si>
  <si>
    <t>FHULCHAND LABANA</t>
  </si>
  <si>
    <t>HARSHITA GURJAR</t>
  </si>
  <si>
    <t>MOHAN LAL GURJAR</t>
  </si>
  <si>
    <t>HARSHITA LABANA</t>
  </si>
  <si>
    <t>NAVEEN LABANA</t>
  </si>
  <si>
    <t>HITESH LABANA</t>
  </si>
  <si>
    <t>HITESH SHARMA</t>
  </si>
  <si>
    <t>VIRENDRA SHARMA</t>
  </si>
  <si>
    <t>ISHIKA GAYARI</t>
  </si>
  <si>
    <t>SAMRATH GAYARI</t>
  </si>
  <si>
    <t>nill</t>
  </si>
  <si>
    <t>ISHIKA LABANA</t>
  </si>
  <si>
    <t>BADRILAL LABANA</t>
  </si>
  <si>
    <t>25/07/25</t>
  </si>
  <si>
    <t>Jitesh Labana</t>
  </si>
  <si>
    <t>Mannalal Labana</t>
  </si>
  <si>
    <t>KAJAL GAYARI</t>
  </si>
  <si>
    <t>KRISH SHARMA</t>
  </si>
  <si>
    <t>LOKESH SHARMA</t>
  </si>
  <si>
    <t>DHAMOTTAR</t>
  </si>
  <si>
    <t>KRISHNA KUNWAR</t>
  </si>
  <si>
    <t>JAY SINGH</t>
  </si>
  <si>
    <t xml:space="preserve">LAKSHIT LABANA </t>
  </si>
  <si>
    <t>NATWAR LAL LABANA</t>
  </si>
  <si>
    <t>Mayank Jain</t>
  </si>
  <si>
    <t>Pramod Jain</t>
  </si>
  <si>
    <t>MITESH LABANA</t>
  </si>
  <si>
    <t>HIMMAT SINGH</t>
  </si>
  <si>
    <t>Mohit Meghwal</t>
  </si>
  <si>
    <t>Ghanshyam Meghwal</t>
  </si>
  <si>
    <t>20/09/25</t>
  </si>
  <si>
    <t>Naman Suthar</t>
  </si>
  <si>
    <t>Radha Kishan Suthar</t>
  </si>
  <si>
    <t>PIYUSH GAYARI</t>
  </si>
  <si>
    <t>RAMDAYAL GAYARI</t>
  </si>
  <si>
    <t>PRAVIN PURI</t>
  </si>
  <si>
    <t>PAPPU PURI</t>
  </si>
  <si>
    <t>RADHAKISHAN GAYARI</t>
  </si>
  <si>
    <t>KAMAL RAM GAYARI</t>
  </si>
  <si>
    <t>Sujal Sahu</t>
  </si>
  <si>
    <t>Hariom Teli</t>
  </si>
  <si>
    <t>Vedika Sharma</t>
  </si>
  <si>
    <t>Aashish Bairagi</t>
  </si>
  <si>
    <t>Arjun Das Bairagi</t>
  </si>
  <si>
    <t>Bio</t>
  </si>
  <si>
    <t>Anjana Bhuvaya</t>
  </si>
  <si>
    <t>Gavri Shankar</t>
  </si>
  <si>
    <t>KOLVI</t>
  </si>
  <si>
    <t>26/07/25</t>
  </si>
  <si>
    <t>arbina SHAH</t>
  </si>
  <si>
    <t>sheru shah</t>
  </si>
  <si>
    <t>DIPIKA GAYARI</t>
  </si>
  <si>
    <t>SATYNARAYAN GAYARI</t>
  </si>
  <si>
    <t>DABDA</t>
  </si>
  <si>
    <t>Divyansh Solanki</t>
  </si>
  <si>
    <t>Lokesh Solanki</t>
  </si>
  <si>
    <t>Divyanshi Suthar</t>
  </si>
  <si>
    <t>MINAKSHI SHARMA</t>
  </si>
  <si>
    <t>Payal Sharma</t>
  </si>
  <si>
    <t>Ashok Sharma</t>
  </si>
  <si>
    <t>ROSHANI LABANA</t>
  </si>
  <si>
    <t>SUHANA JAIN</t>
  </si>
  <si>
    <t>Tabish Bee Aanki</t>
  </si>
  <si>
    <t>Saddam Husain</t>
  </si>
  <si>
    <t>TAMANNA SUTHAR</t>
  </si>
  <si>
    <t>KOMAL SUTHAR</t>
  </si>
  <si>
    <t>bhuwasiya</t>
  </si>
  <si>
    <t>RAJESH LABANA</t>
  </si>
  <si>
    <t>ARCHITA JAT</t>
  </si>
  <si>
    <t>SANJAY JAT</t>
  </si>
  <si>
    <t>Maths</t>
  </si>
  <si>
    <t>GUNJAN SHARMA</t>
  </si>
  <si>
    <t>KRISH LABANA</t>
  </si>
  <si>
    <t>PANKAJ MEENA</t>
  </si>
  <si>
    <t>RONAK LABANA</t>
  </si>
  <si>
    <t>PRAVIN LABANA</t>
  </si>
  <si>
    <t>PRATHVEE RAJ SINGH</t>
  </si>
  <si>
    <t>RANJEET SINGH</t>
  </si>
  <si>
    <t>DISHA ACADEMY FEE DATA 2025-26 CLASS - 12th</t>
  </si>
  <si>
    <t>*0l</t>
  </si>
  <si>
    <t>ARYAN GURJAR</t>
  </si>
  <si>
    <t>RAM SINGH GURJAR</t>
  </si>
  <si>
    <t>CHHAYAN</t>
  </si>
  <si>
    <t>CHANCHAL KUMARI PRAJAPAT</t>
  </si>
  <si>
    <t>LALIT PRAJAPAT</t>
  </si>
  <si>
    <t>28-11-25</t>
  </si>
  <si>
    <t>DIKSHITA JAIN</t>
  </si>
  <si>
    <t>KAMLESH JAIN</t>
  </si>
  <si>
    <t>NANDKISHOR SHARMA</t>
  </si>
  <si>
    <t>HOSTEL KNORA</t>
  </si>
  <si>
    <t>KARUNA PRAJAPAT</t>
  </si>
  <si>
    <t>DURGASHANKAR PRAJAPAT</t>
  </si>
  <si>
    <t>LAXMI CHAND RAIDAS</t>
  </si>
  <si>
    <t>NITIN PATIDAR</t>
  </si>
  <si>
    <t>VINOD PATIDAR</t>
  </si>
  <si>
    <t>SAMRATH LABANA</t>
  </si>
  <si>
    <t>MADAN LABANA</t>
  </si>
  <si>
    <t>Aamir Hussain</t>
  </si>
  <si>
    <t>Zakir Hussain</t>
  </si>
  <si>
    <t>other school(govt gadola)</t>
  </si>
  <si>
    <t>Bulbul Belim</t>
  </si>
  <si>
    <t>Dauad</t>
  </si>
  <si>
    <t>Bulbul Patidar</t>
  </si>
  <si>
    <t>Mukesh Patidar</t>
  </si>
  <si>
    <t>KALPANA MEENA</t>
  </si>
  <si>
    <t>HOSTAL</t>
  </si>
  <si>
    <t>Kayum Kha</t>
  </si>
  <si>
    <t>Ramjan Kha</t>
  </si>
  <si>
    <t>LUCKY RAJ SINGH CHAUHAN</t>
  </si>
  <si>
    <t>PAPPU SINGH CHAUHAN</t>
  </si>
  <si>
    <t>9636770412, 8955359971</t>
  </si>
  <si>
    <t>PRIYRAGHAV VAISHNAV</t>
  </si>
  <si>
    <t>BHAGWATI DAS VERAGI</t>
  </si>
  <si>
    <t>BHUWANSIYA</t>
  </si>
  <si>
    <t xml:space="preserve">ANJALI BANJARA </t>
  </si>
  <si>
    <t xml:space="preserve">KARU RAM RATHOD </t>
  </si>
  <si>
    <t xml:space="preserve">Arts </t>
  </si>
  <si>
    <t xml:space="preserve">PIHLU KHEDA </t>
  </si>
  <si>
    <t xml:space="preserve">LATA MEENA </t>
  </si>
  <si>
    <t xml:space="preserve">KARU LAL JI MEENA </t>
  </si>
  <si>
    <t>SANJANA VESHNAV</t>
  </si>
  <si>
    <t>GOPAL VESHNAV</t>
  </si>
  <si>
    <t xml:space="preserve">VIRENDRA SINGH </t>
  </si>
  <si>
    <t>SAMAN SINGH</t>
  </si>
  <si>
    <t>Akshita Meghwal</t>
  </si>
  <si>
    <t>Chanchal Meghwal</t>
  </si>
  <si>
    <t>Dadam Chandra Meghwal</t>
  </si>
  <si>
    <t>Govind Suthar</t>
  </si>
  <si>
    <t>Karu Lal Suthar</t>
  </si>
  <si>
    <t>HEMLATA PATIDAR</t>
  </si>
  <si>
    <t>Jaya Suthar</t>
  </si>
  <si>
    <t>JAYSHREE VAISHNAV</t>
  </si>
  <si>
    <t>SOHAN DAS</t>
  </si>
  <si>
    <t>Krishnpal Suthar</t>
  </si>
  <si>
    <t>Shyam Lal Suthar</t>
  </si>
  <si>
    <t>Laxmi Raidas</t>
  </si>
  <si>
    <t>Ramprasad Raidas</t>
  </si>
  <si>
    <t>GHODAVADA</t>
  </si>
  <si>
    <t>udise pending - no aadhar card</t>
  </si>
  <si>
    <t>Madhubala Labana</t>
  </si>
  <si>
    <t>BHERULAL GAYARI</t>
  </si>
  <si>
    <t>DABARA</t>
  </si>
  <si>
    <t>Priti Labana</t>
  </si>
  <si>
    <t>Ranu Patidar</t>
  </si>
  <si>
    <t>Jagdish Patidar</t>
  </si>
  <si>
    <t>Riddhi Bairagi</t>
  </si>
  <si>
    <t>Shyam Das Bairagi</t>
  </si>
  <si>
    <t>GODOLA</t>
  </si>
  <si>
    <t>Sanjana Raidas</t>
  </si>
  <si>
    <t>Bhagawati Lal Raidas</t>
  </si>
  <si>
    <t>SIDDHI BAIRAGI</t>
  </si>
  <si>
    <t>Shayam das bairagi</t>
  </si>
  <si>
    <t>UJJAWAL MALI</t>
  </si>
  <si>
    <t>BHERU LAL MALI</t>
  </si>
  <si>
    <t>YATI SHARMA</t>
  </si>
  <si>
    <t>Harshita Lohar</t>
  </si>
  <si>
    <t>Bheru Lal Lohar</t>
  </si>
  <si>
    <t xml:space="preserve">Bio </t>
  </si>
  <si>
    <t>Dipika Labana</t>
  </si>
  <si>
    <t>Gopal Labana</t>
  </si>
  <si>
    <t>Gunjan Patidar</t>
  </si>
  <si>
    <t>Chandraprakash Patidar</t>
  </si>
  <si>
    <t>Himanshi Suthar</t>
  </si>
  <si>
    <t>Hariprasad Suthar</t>
  </si>
  <si>
    <t>RONAK SIR(10TH TOPPER)</t>
  </si>
  <si>
    <t>MITANSHI SHARMA</t>
  </si>
  <si>
    <t>JITENDRA SHARMA</t>
  </si>
  <si>
    <t>RONAK SIR()</t>
  </si>
  <si>
    <t>DISHA ACADEMY FEE DATA 2025-26 hostel</t>
  </si>
  <si>
    <t>Months</t>
  </si>
  <si>
    <t>DIKSHIT ANJANA</t>
  </si>
  <si>
    <t>PREM SINGH ANJANA</t>
  </si>
  <si>
    <t>18/02/26</t>
  </si>
  <si>
    <t>Lakhan Gayri</t>
  </si>
  <si>
    <t>Gendmal Gayri</t>
  </si>
  <si>
    <t>6TH HM</t>
  </si>
  <si>
    <t>19-03-2026</t>
  </si>
  <si>
    <t>PUSHPENDARA JAIN</t>
  </si>
  <si>
    <t xml:space="preserve">LALIT KUMAR JAIN </t>
  </si>
  <si>
    <t>HARWAR MP</t>
  </si>
  <si>
    <t xml:space="preserve">PRIYANSHU SUTHAR </t>
  </si>
  <si>
    <t>GOVIND SUTHAR</t>
  </si>
  <si>
    <t>04/1025</t>
  </si>
  <si>
    <t>14-01-2026</t>
  </si>
  <si>
    <t>Abhishek Kumawat</t>
  </si>
  <si>
    <t>Rajaram Kumawat</t>
  </si>
  <si>
    <t>8TH HM</t>
  </si>
  <si>
    <t>LAKSHY KUMAWAT</t>
  </si>
  <si>
    <t>Raju Lal Kumawat</t>
  </si>
  <si>
    <t>BHERULAL</t>
  </si>
  <si>
    <t>SURESH CHAND</t>
  </si>
  <si>
    <t>9TH HM</t>
  </si>
  <si>
    <t>DHAMLIYA MP</t>
  </si>
  <si>
    <t>22/11/25</t>
  </si>
  <si>
    <t>YOGESH MEENA</t>
  </si>
  <si>
    <t>10TH HM</t>
  </si>
  <si>
    <t>SABA KHEDA</t>
  </si>
  <si>
    <t>17/02/26</t>
  </si>
  <si>
    <t>23-12-25</t>
  </si>
  <si>
    <t>PARMESH MEENA</t>
  </si>
  <si>
    <t>10TH</t>
  </si>
  <si>
    <t>13-01-26</t>
  </si>
  <si>
    <t>SN</t>
  </si>
  <si>
    <t>NAME</t>
  </si>
  <si>
    <t>FATHER</t>
  </si>
  <si>
    <t>CLASS</t>
  </si>
  <si>
    <t>ADDRESS</t>
  </si>
  <si>
    <t>CONTACT</t>
  </si>
  <si>
    <t>HOSTEL</t>
  </si>
  <si>
    <t>TOTAL</t>
  </si>
  <si>
    <t>CON. BY</t>
  </si>
  <si>
    <t>Ankit Meena</t>
  </si>
  <si>
    <t>Parasmal Meena</t>
  </si>
  <si>
    <t xml:space="preserve">XI </t>
  </si>
  <si>
    <t>BANTI MEGHWAL</t>
  </si>
  <si>
    <t>BHANWAR LAL MEGHWAL</t>
  </si>
  <si>
    <t xml:space="preserve">X </t>
  </si>
  <si>
    <t xml:space="preserve">VIRAVLI ARNOD </t>
  </si>
  <si>
    <t>DINESH KUMAR</t>
  </si>
  <si>
    <t>BHERULAL MEENA</t>
  </si>
  <si>
    <t>XII BIO</t>
  </si>
  <si>
    <t xml:space="preserve">JAYDEEP GAYARI </t>
  </si>
  <si>
    <t xml:space="preserve">UDAYLAL GAYARI </t>
  </si>
  <si>
    <t xml:space="preserve">XI ARTS </t>
  </si>
  <si>
    <t>LAKSHIT LABANA</t>
  </si>
  <si>
    <t>NATVARLAL LABANA</t>
  </si>
  <si>
    <t>XI ARTS</t>
  </si>
  <si>
    <t>LOKENDRA LABANA</t>
  </si>
  <si>
    <t>RATAN LAL LABANA</t>
  </si>
  <si>
    <t xml:space="preserve">LOKENDRA RAIDAS </t>
  </si>
  <si>
    <t>PAPPU LAL RAIDAS</t>
  </si>
  <si>
    <t>RAJU LAL MEENA</t>
  </si>
  <si>
    <t>BHAGWAN LAL MEENA</t>
  </si>
  <si>
    <t>GOPALPURA ARNOD</t>
  </si>
  <si>
    <t xml:space="preserve">SACHIN SEN </t>
  </si>
  <si>
    <t xml:space="preserve">GOPAL </t>
  </si>
  <si>
    <t>SANJANA VAISHNAV</t>
  </si>
  <si>
    <t>GOPAL DAS VAISHNAV</t>
  </si>
  <si>
    <t xml:space="preserve">XII ARTS </t>
  </si>
  <si>
    <t>MALIKHEDA PTG</t>
  </si>
  <si>
    <t>SHERBANO</t>
  </si>
  <si>
    <t>MUBARIK</t>
  </si>
  <si>
    <t xml:space="preserve">XI BIO </t>
  </si>
  <si>
    <t>SR</t>
  </si>
  <si>
    <t>NIC CODE</t>
  </si>
  <si>
    <t xml:space="preserve">SR NO </t>
  </si>
  <si>
    <t>STREAM</t>
  </si>
  <si>
    <t>STUDENT NAME</t>
  </si>
  <si>
    <t>FATHER NAME</t>
  </si>
  <si>
    <t>MOTHER NAME</t>
  </si>
  <si>
    <t>D.O.B</t>
  </si>
  <si>
    <t>GENDER</t>
  </si>
  <si>
    <t>Cast Category</t>
  </si>
  <si>
    <t>Column 1</t>
  </si>
  <si>
    <t>Twelth</t>
  </si>
  <si>
    <t>ART'S</t>
  </si>
  <si>
    <t>VIJAY GURJAR</t>
  </si>
  <si>
    <t>BHAGAT RAM</t>
  </si>
  <si>
    <t>PAAN KUNWAR</t>
  </si>
  <si>
    <t>Male</t>
  </si>
  <si>
    <t>SBC</t>
  </si>
  <si>
    <t>BIO</t>
  </si>
  <si>
    <t>Tanisha Kumawat</t>
  </si>
  <si>
    <t>Rajesh Kumawat</t>
  </si>
  <si>
    <t>Rekha Kumawat</t>
  </si>
  <si>
    <t>26-11-2008</t>
  </si>
  <si>
    <t>Female</t>
  </si>
  <si>
    <t>OBC</t>
  </si>
  <si>
    <t>1940-1960,1967</t>
  </si>
  <si>
    <t>SAKSHI TAILOR</t>
  </si>
  <si>
    <t>DASHRATH TAILOR</t>
  </si>
  <si>
    <t>NITU DEVI DARJI</t>
  </si>
  <si>
    <t>22-04-2009</t>
  </si>
  <si>
    <t>udise pending</t>
  </si>
  <si>
    <t>Sakshi Patidar</t>
  </si>
  <si>
    <t>Dashrath Patidar</t>
  </si>
  <si>
    <t>Shkuntala Patidar</t>
  </si>
  <si>
    <t>28-03-2009</t>
  </si>
  <si>
    <t>ROHIT CHOUDHARY</t>
  </si>
  <si>
    <t>GHANSHYAM CHOUDHARY</t>
  </si>
  <si>
    <t>ANUSUYA</t>
  </si>
  <si>
    <t>29-07-2009</t>
  </si>
  <si>
    <t>RIYA PATIDAR</t>
  </si>
  <si>
    <t>KAMLESH PATIDAR</t>
  </si>
  <si>
    <t>LILA BAI</t>
  </si>
  <si>
    <t>13-12-2008</t>
  </si>
  <si>
    <t>REHAN KHAN PATHAN</t>
  </si>
  <si>
    <t>KHAN SHED KHAN PATHAN</t>
  </si>
  <si>
    <t>HANIFA BEE</t>
  </si>
  <si>
    <t>16-04-2008</t>
  </si>
  <si>
    <t>GENERAL</t>
  </si>
  <si>
    <t>RAVI SINGH TANWAR</t>
  </si>
  <si>
    <t>ISHWAR SINGH TANWAR</t>
  </si>
  <si>
    <t>GUDDI BAI TANWAR</t>
  </si>
  <si>
    <t>Pragya Patidar</t>
  </si>
  <si>
    <t>Sangeeta Bai</t>
  </si>
  <si>
    <t>POONAM CHOUDHARY</t>
  </si>
  <si>
    <t>DHARMENDRA CHOUDHARY</t>
  </si>
  <si>
    <t>ANTIMBALA CHOUDHARY</t>
  </si>
  <si>
    <t>13-08-2008</t>
  </si>
  <si>
    <t>Monika Patidar</t>
  </si>
  <si>
    <t>Ramkishan</t>
  </si>
  <si>
    <t>Jayanta Bai</t>
  </si>
  <si>
    <t>31-05-2009</t>
  </si>
  <si>
    <t>MOHIT DARJI</t>
  </si>
  <si>
    <t>PUSHKAR LAL DARJI</t>
  </si>
  <si>
    <t>PRIYANKA BAI DARJI</t>
  </si>
  <si>
    <t>17-07-2007</t>
  </si>
  <si>
    <t>LUCKY RAJ SINGH CHUNDAWAT</t>
  </si>
  <si>
    <t>DEVENDRA SINGH</t>
  </si>
  <si>
    <t>JEEVAN KUNWAR</t>
  </si>
  <si>
    <t>KRISHNA SAHU</t>
  </si>
  <si>
    <t>DASHRATH TELI</t>
  </si>
  <si>
    <t>PARVATI BAI</t>
  </si>
  <si>
    <t>15-11-2009</t>
  </si>
  <si>
    <t>KOMAL BANJARA</t>
  </si>
  <si>
    <t>PRAHALAD BANJARA</t>
  </si>
  <si>
    <t>SAMPAT BAI</t>
  </si>
  <si>
    <t>22-06-2009</t>
  </si>
  <si>
    <t>KARAN BAIRAGI</t>
  </si>
  <si>
    <t>GHANSHYAM DAS BAIRAGI</t>
  </si>
  <si>
    <t>YASHODA BAI BAIRAGI</t>
  </si>
  <si>
    <t>RAJMAL PATIDAR</t>
  </si>
  <si>
    <t>RADHA BAI PATIDAR</t>
  </si>
  <si>
    <t>GUNJAN GAYARI</t>
  </si>
  <si>
    <t>DASHRATH GAYARI</t>
  </si>
  <si>
    <t>MADHU GAYARI</t>
  </si>
  <si>
    <t>22-07-2008</t>
  </si>
  <si>
    <t>FAIZAL KHAN</t>
  </si>
  <si>
    <t>SIKANDAR KHAN</t>
  </si>
  <si>
    <t>AFSANA BEE</t>
  </si>
  <si>
    <t>21-07-2007</t>
  </si>
  <si>
    <t>Deepak Singh Tanwar</t>
  </si>
  <si>
    <t>Antar Singh</t>
  </si>
  <si>
    <t>Ganga Bai</t>
  </si>
  <si>
    <t>23/05/2008</t>
  </si>
  <si>
    <t>Akshita Jain</t>
  </si>
  <si>
    <t>Pankaj Jain</t>
  </si>
  <si>
    <t>Rina Devi</t>
  </si>
  <si>
    <t>18-06-2009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</si>
</sst>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m/dd/yyyy"/>
    <numFmt numFmtId="165" formatCode="mm/dd/yy"/>
    <numFmt numFmtId="166" formatCode="m/d/yy"/>
    <numFmt numFmtId="167" formatCode="m-d-yy"/>
    <numFmt numFmtId="168" formatCode="mm/yyyy"/>
    <numFmt numFmtId="169" formatCode="d mmmm yyyy"/>
    <numFmt numFmtId="170" formatCode="m/d/yyyy"/>
    <numFmt numFmtId="171" formatCode="M/d/yyyy"/>
    <numFmt numFmtId="172" formatCode="mm-dd-yy"/>
    <numFmt numFmtId="173" formatCode="mm-dd-yyyy"/>
    <numFmt numFmtId="174" formatCode="m-d-yyyy"/>
  </numFmts>
  <fonts count="19">
    <font>
      <sz val="10.0"/>
      <color rgb="FF000000"/>
      <name val="Arial"/>
      <scheme val="minor"/>
    </font>
    <font>
      <b/>
      <sz val="21.0"/>
      <color theme="1"/>
      <name val="Arial"/>
      <scheme val="minor"/>
    </font>
    <font/>
    <font>
      <color theme="1"/>
      <name val="Arial"/>
      <scheme val="minor"/>
    </font>
    <font>
      <b/>
      <sz val="11.0"/>
      <color rgb="FF406C80"/>
      <name val="Arial"/>
    </font>
    <font>
      <color theme="1"/>
      <name val="Arial"/>
    </font>
    <font>
      <sz val="9.0"/>
      <color rgb="FF000000"/>
      <name val="Arial"/>
    </font>
    <font>
      <b/>
      <color theme="1"/>
      <name val="Arial"/>
      <scheme val="minor"/>
    </font>
    <font>
      <sz val="9.0"/>
      <color theme="1"/>
      <name val="Arial"/>
    </font>
    <font>
      <b/>
      <sz val="17.0"/>
      <color theme="1"/>
      <name val="Arial"/>
      <scheme val="minor"/>
    </font>
    <font>
      <b/>
      <color theme="1"/>
      <name val="Arial"/>
    </font>
    <font>
      <b/>
      <sz val="21.0"/>
      <color rgb="FF000000"/>
      <name val="Arial"/>
      <scheme val="minor"/>
    </font>
    <font>
      <b/>
      <u/>
      <sz val="20.0"/>
      <color rgb="FF000000"/>
      <name val="Calibri"/>
    </font>
    <font>
      <b/>
      <color rgb="FF000000"/>
      <name val="Arial"/>
      <scheme val="minor"/>
    </font>
    <font>
      <sz val="11.0"/>
      <color rgb="FF000000"/>
      <name val="Calibri"/>
    </font>
    <font>
      <color rgb="FF000000"/>
      <name val="Arial"/>
      <scheme val="minor"/>
    </font>
    <font>
      <color rgb="FF000000"/>
      <name val="Arial"/>
    </font>
    <font>
      <sz val="11.0"/>
      <color theme="1"/>
      <name val="Calibri"/>
    </font>
    <font>
      <sz val="11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5F9FA"/>
        <bgColor rgb="FFF5F9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9F1F4"/>
        <bgColor rgb="FFE9F1F4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4A853"/>
      </left>
      <top style="thin">
        <color rgb="FF34A853"/>
      </top>
      <bottom style="thin">
        <color rgb="FF34A853"/>
      </bottom>
    </border>
    <border>
      <top style="thin">
        <color rgb="FF34A853"/>
      </top>
      <bottom style="thin">
        <color rgb="FF34A853"/>
      </bottom>
    </border>
    <border>
      <right style="thin">
        <color rgb="FF34A853"/>
      </right>
      <top style="thin">
        <color rgb="FF34A853"/>
      </top>
      <bottom style="thin">
        <color rgb="FF34A853"/>
      </bottom>
    </border>
    <border>
      <left style="thin">
        <color rgb="FF34A853"/>
      </left>
      <right style="thin">
        <color rgb="FF34A853"/>
      </right>
      <top style="thin">
        <color rgb="FF34A853"/>
      </top>
      <bottom style="thin">
        <color rgb="FF34A853"/>
      </bottom>
    </border>
    <border>
      <left style="thin">
        <color rgb="FF34A853"/>
      </left>
      <top style="thin">
        <color rgb="FF34A853"/>
      </top>
    </border>
    <border>
      <top style="thin">
        <color rgb="FF34A853"/>
      </top>
    </border>
  </borders>
  <cellStyleXfs count="1">
    <xf borderId="0" fillId="0" fontId="0" numFmtId="0" applyAlignment="1" applyFont="1"/>
  </cellStyleXfs>
  <cellXfs count="4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2" fontId="4" numFmtId="164" xfId="0" applyAlignment="1" applyFill="1" applyFont="1" applyNumberFormat="1">
      <alignment horizontal="right" readingOrder="0"/>
    </xf>
    <xf borderId="0" fillId="0" fontId="3" numFmtId="0" xfId="0" applyAlignment="1" applyFont="1">
      <alignment horizontal="center"/>
    </xf>
    <xf borderId="0" fillId="0" fontId="5" numFmtId="0" xfId="0" applyAlignment="1" applyFont="1">
      <alignment vertical="bottom"/>
    </xf>
    <xf borderId="0" fillId="2" fontId="4" numFmtId="0" xfId="0" applyAlignment="1" applyFont="1">
      <alignment horizontal="right" readingOrder="0"/>
    </xf>
    <xf borderId="0" fillId="2" fontId="6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65" xfId="0" applyAlignment="1" applyFont="1" applyNumberFormat="1">
      <alignment horizontal="right" vertical="bottom"/>
    </xf>
    <xf borderId="0" fillId="0" fontId="5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5" numFmtId="0" xfId="0" applyAlignment="1" applyFont="1">
      <alignment horizontal="center" readingOrder="0" vertical="top"/>
    </xf>
    <xf borderId="0" fillId="0" fontId="5" numFmtId="0" xfId="0" applyAlignment="1" applyFont="1">
      <alignment horizontal="center" vertical="top"/>
    </xf>
    <xf borderId="0" fillId="0" fontId="3" numFmtId="0" xfId="0" applyAlignment="1" applyFont="1">
      <alignment horizontal="center" vertical="top"/>
    </xf>
    <xf borderId="0" fillId="0" fontId="5" numFmtId="0" xfId="0" applyAlignment="1" applyFont="1">
      <alignment horizontal="right" vertical="top"/>
    </xf>
    <xf borderId="0" fillId="0" fontId="5" numFmtId="165" xfId="0" applyAlignment="1" applyFont="1" applyNumberFormat="1">
      <alignment horizontal="right" vertical="top"/>
    </xf>
    <xf borderId="0" fillId="0" fontId="5" numFmtId="0" xfId="0" applyAlignment="1" applyFont="1">
      <alignment readingOrder="0" vertical="top"/>
    </xf>
    <xf borderId="0" fillId="0" fontId="5" numFmtId="0" xfId="0" applyAlignment="1" applyFont="1">
      <alignment horizontal="center" readingOrder="0" vertical="bottom"/>
    </xf>
    <xf borderId="0" fillId="0" fontId="3" numFmtId="165" xfId="0" applyAlignment="1" applyFont="1" applyNumberFormat="1">
      <alignment readingOrder="0"/>
    </xf>
    <xf borderId="4" fillId="0" fontId="7" numFmtId="0" xfId="0" applyAlignment="1" applyBorder="1" applyFont="1">
      <alignment horizontal="center" readingOrder="0"/>
    </xf>
    <xf borderId="4" fillId="0" fontId="7" numFmtId="0" xfId="0" applyAlignment="1" applyBorder="1" applyFont="1">
      <alignment readingOrder="0"/>
    </xf>
    <xf borderId="4" fillId="0" fontId="7" numFmtId="0" xfId="0" applyAlignment="1" applyBorder="1" applyFont="1">
      <alignment horizontal="left"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7" numFmtId="0" xfId="0" applyFont="1"/>
    <xf borderId="0" fillId="0" fontId="5" numFmtId="165" xfId="0" applyAlignment="1" applyFont="1" applyNumberFormat="1">
      <alignment horizontal="center" vertical="bottom"/>
    </xf>
    <xf borderId="0" fillId="0" fontId="5" numFmtId="0" xfId="0" applyAlignment="1" applyFont="1">
      <alignment shrinkToFit="0" vertical="bottom" wrapText="0"/>
    </xf>
    <xf borderId="0" fillId="0" fontId="8" numFmtId="0" xfId="0" applyAlignment="1" applyFont="1">
      <alignment horizontal="left" readingOrder="0"/>
    </xf>
    <xf borderId="0" fillId="0" fontId="3" numFmtId="0" xfId="0" applyFont="1"/>
    <xf borderId="5" fillId="3" fontId="9" numFmtId="0" xfId="0" applyAlignment="1" applyBorder="1" applyFill="1" applyFon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3" fontId="1" numFmtId="0" xfId="0" applyAlignment="1" applyBorder="1" applyFont="1">
      <alignment horizontal="center" readingOrder="0"/>
    </xf>
    <xf borderId="8" fillId="3" fontId="7" numFmtId="0" xfId="0" applyAlignment="1" applyBorder="1" applyFont="1">
      <alignment horizontal="center" readingOrder="0"/>
    </xf>
    <xf borderId="8" fillId="3" fontId="7" numFmtId="0" xfId="0" applyAlignment="1" applyBorder="1" applyFont="1">
      <alignment readingOrder="0"/>
    </xf>
    <xf borderId="8" fillId="3" fontId="7" numFmtId="0" xfId="0" applyAlignment="1" applyBorder="1" applyFont="1">
      <alignment horizontal="left" readingOrder="0"/>
    </xf>
    <xf borderId="8" fillId="3" fontId="3" numFmtId="0" xfId="0" applyAlignment="1" applyBorder="1" applyFont="1">
      <alignment horizontal="center" readingOrder="0"/>
    </xf>
    <xf borderId="8" fillId="3" fontId="5" numFmtId="0" xfId="0" applyAlignment="1" applyBorder="1" applyFont="1">
      <alignment vertical="bottom"/>
    </xf>
    <xf borderId="8" fillId="3" fontId="5" numFmtId="0" xfId="0" applyAlignment="1" applyBorder="1" applyFont="1">
      <alignment horizontal="center" readingOrder="0" vertical="bottom"/>
    </xf>
    <xf borderId="8" fillId="3" fontId="3" numFmtId="0" xfId="0" applyBorder="1" applyFont="1"/>
    <xf borderId="8" fillId="3" fontId="5" numFmtId="0" xfId="0" applyAlignment="1" applyBorder="1" applyFont="1">
      <alignment horizontal="center" vertical="bottom"/>
    </xf>
    <xf borderId="8" fillId="3" fontId="5" numFmtId="165" xfId="0" applyAlignment="1" applyBorder="1" applyFont="1" applyNumberFormat="1">
      <alignment horizontal="center" readingOrder="0" vertical="bottom"/>
    </xf>
    <xf borderId="8" fillId="3" fontId="5" numFmtId="0" xfId="0" applyAlignment="1" applyBorder="1" applyFont="1">
      <alignment readingOrder="0" vertical="bottom"/>
    </xf>
    <xf borderId="8" fillId="3" fontId="3" numFmtId="0" xfId="0" applyAlignment="1" applyBorder="1" applyFont="1">
      <alignment readingOrder="0"/>
    </xf>
    <xf borderId="8" fillId="3" fontId="3" numFmtId="0" xfId="0" applyAlignment="1" applyBorder="1" applyFont="1">
      <alignment horizontal="left"/>
    </xf>
    <xf borderId="8" fillId="3" fontId="3" numFmtId="0" xfId="0" applyAlignment="1" applyBorder="1" applyFont="1">
      <alignment horizontal="center"/>
    </xf>
    <xf borderId="8" fillId="3" fontId="3" numFmtId="0" xfId="0" applyAlignment="1" applyBorder="1" applyFont="1">
      <alignment horizontal="left" readingOrder="0"/>
    </xf>
    <xf borderId="8" fillId="3" fontId="5" numFmtId="165" xfId="0" applyAlignment="1" applyBorder="1" applyFont="1" applyNumberFormat="1">
      <alignment horizontal="center" vertical="bottom"/>
    </xf>
    <xf borderId="8" fillId="3" fontId="3" numFmtId="166" xfId="0" applyAlignment="1" applyBorder="1" applyFont="1" applyNumberFormat="1">
      <alignment horizontal="center" readingOrder="0"/>
    </xf>
    <xf borderId="8" fillId="3" fontId="5" numFmtId="165" xfId="0" applyAlignment="1" applyBorder="1" applyFont="1" applyNumberFormat="1">
      <alignment readingOrder="0" vertical="bottom"/>
    </xf>
    <xf borderId="8" fillId="3" fontId="3" numFmtId="166" xfId="0" applyAlignment="1" applyBorder="1" applyFont="1" applyNumberFormat="1">
      <alignment readingOrder="0"/>
    </xf>
    <xf borderId="8" fillId="3" fontId="3" numFmtId="165" xfId="0" applyAlignment="1" applyBorder="1" applyFont="1" applyNumberFormat="1">
      <alignment horizontal="center" readingOrder="0"/>
    </xf>
    <xf borderId="8" fillId="4" fontId="3" numFmtId="0" xfId="0" applyAlignment="1" applyBorder="1" applyFill="1" applyFont="1">
      <alignment horizontal="center" readingOrder="0"/>
    </xf>
    <xf borderId="8" fillId="4" fontId="3" numFmtId="0" xfId="0" applyAlignment="1" applyBorder="1" applyFont="1">
      <alignment readingOrder="0"/>
    </xf>
    <xf borderId="8" fillId="4" fontId="3" numFmtId="0" xfId="0" applyAlignment="1" applyBorder="1" applyFont="1">
      <alignment horizontal="left" readingOrder="0"/>
    </xf>
    <xf borderId="8" fillId="4" fontId="5" numFmtId="0" xfId="0" applyAlignment="1" applyBorder="1" applyFont="1">
      <alignment horizontal="center" vertical="bottom"/>
    </xf>
    <xf borderId="8" fillId="4" fontId="5" numFmtId="0" xfId="0" applyAlignment="1" applyBorder="1" applyFont="1">
      <alignment horizontal="center" readingOrder="0" vertical="bottom"/>
    </xf>
    <xf borderId="8" fillId="4" fontId="3" numFmtId="0" xfId="0" applyAlignment="1" applyBorder="1" applyFont="1">
      <alignment horizontal="center"/>
    </xf>
    <xf borderId="8" fillId="4" fontId="3" numFmtId="0" xfId="0" applyBorder="1" applyFont="1"/>
    <xf borderId="0" fillId="4" fontId="3" numFmtId="0" xfId="0" applyFont="1"/>
    <xf borderId="8" fillId="3" fontId="5" numFmtId="0" xfId="0" applyAlignment="1" applyBorder="1" applyFont="1">
      <alignment horizontal="right" vertical="bottom"/>
    </xf>
    <xf borderId="8" fillId="3" fontId="3" numFmtId="165" xfId="0" applyAlignment="1" applyBorder="1" applyFont="1" applyNumberFormat="1">
      <alignment readingOrder="0"/>
    </xf>
    <xf borderId="8" fillId="3" fontId="5" numFmtId="165" xfId="0" applyAlignment="1" applyBorder="1" applyFont="1" applyNumberFormat="1">
      <alignment horizontal="right" vertical="bottom"/>
    </xf>
    <xf borderId="8" fillId="3" fontId="5" numFmtId="166" xfId="0" applyAlignment="1" applyBorder="1" applyFont="1" applyNumberFormat="1">
      <alignment readingOrder="0" vertical="bottom"/>
    </xf>
    <xf borderId="8" fillId="3" fontId="5" numFmtId="0" xfId="0" applyAlignment="1" applyBorder="1" applyFont="1">
      <alignment vertical="bottom"/>
    </xf>
    <xf borderId="8" fillId="3" fontId="5" numFmtId="0" xfId="0" applyAlignment="1" applyBorder="1" applyFont="1">
      <alignment horizontal="right" vertical="bottom"/>
    </xf>
    <xf borderId="0" fillId="0" fontId="3" numFmtId="166" xfId="0" applyAlignment="1" applyFont="1" applyNumberFormat="1">
      <alignment horizontal="center" readingOrder="0"/>
    </xf>
    <xf borderId="5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right" readingOrder="0"/>
    </xf>
    <xf borderId="8" fillId="0" fontId="7" numFmtId="0" xfId="0" applyAlignment="1" applyBorder="1" applyFont="1">
      <alignment horizontal="center" readingOrder="0"/>
    </xf>
    <xf borderId="8" fillId="0" fontId="7" numFmtId="0" xfId="0" applyAlignment="1" applyBorder="1" applyFont="1">
      <alignment readingOrder="0"/>
    </xf>
    <xf borderId="8" fillId="0" fontId="7" numFmtId="0" xfId="0" applyAlignment="1" applyBorder="1" applyFont="1">
      <alignment horizontal="left" readingOrder="0"/>
    </xf>
    <xf borderId="8" fillId="0" fontId="7" numFmtId="0" xfId="0" applyAlignment="1" applyBorder="1" applyFont="1">
      <alignment horizontal="right" readingOrder="0"/>
    </xf>
    <xf borderId="8" fillId="0" fontId="3" numFmtId="0" xfId="0" applyAlignment="1" applyBorder="1" applyFont="1">
      <alignment horizontal="center" readingOrder="0"/>
    </xf>
    <xf borderId="8" fillId="0" fontId="3" numFmtId="0" xfId="0" applyAlignment="1" applyBorder="1" applyFont="1">
      <alignment readingOrder="0"/>
    </xf>
    <xf borderId="8" fillId="0" fontId="3" numFmtId="0" xfId="0" applyAlignment="1" applyBorder="1" applyFont="1">
      <alignment horizontal="left"/>
    </xf>
    <xf borderId="8" fillId="0" fontId="3" numFmtId="0" xfId="0" applyBorder="1" applyFont="1"/>
    <xf borderId="8" fillId="0" fontId="3" numFmtId="0" xfId="0" applyAlignment="1" applyBorder="1" applyFont="1">
      <alignment horizontal="right" readingOrder="0"/>
    </xf>
    <xf borderId="8" fillId="0" fontId="3" numFmtId="0" xfId="0" applyAlignment="1" applyBorder="1" applyFont="1">
      <alignment horizontal="center"/>
    </xf>
    <xf borderId="8" fillId="0" fontId="3" numFmtId="0" xfId="0" applyAlignment="1" applyBorder="1" applyFont="1">
      <alignment horizontal="left" readingOrder="0"/>
    </xf>
    <xf borderId="8" fillId="0" fontId="5" numFmtId="0" xfId="0" applyAlignment="1" applyBorder="1" applyFont="1">
      <alignment vertical="bottom"/>
    </xf>
    <xf borderId="8" fillId="0" fontId="5" numFmtId="0" xfId="0" applyAlignment="1" applyBorder="1" applyFont="1">
      <alignment horizontal="center" vertical="bottom"/>
    </xf>
    <xf borderId="8" fillId="0" fontId="5" numFmtId="0" xfId="0" applyAlignment="1" applyBorder="1" applyFont="1">
      <alignment horizontal="right" vertical="bottom"/>
    </xf>
    <xf borderId="8" fillId="0" fontId="5" numFmtId="165" xfId="0" applyAlignment="1" applyBorder="1" applyFont="1" applyNumberFormat="1">
      <alignment horizontal="right" vertical="bottom"/>
    </xf>
    <xf borderId="8" fillId="0" fontId="3" numFmtId="165" xfId="0" applyAlignment="1" applyBorder="1" applyFont="1" applyNumberFormat="1">
      <alignment readingOrder="0"/>
    </xf>
    <xf borderId="8" fillId="0" fontId="5" numFmtId="0" xfId="0" applyAlignment="1" applyBorder="1" applyFont="1">
      <alignment readingOrder="0" vertical="bottom"/>
    </xf>
    <xf borderId="8" fillId="5" fontId="6" numFmtId="0" xfId="0" applyAlignment="1" applyBorder="1" applyFill="1" applyFont="1">
      <alignment horizontal="left" readingOrder="0"/>
    </xf>
    <xf borderId="8" fillId="0" fontId="3" numFmtId="166" xfId="0" applyAlignment="1" applyBorder="1" applyFont="1" applyNumberFormat="1">
      <alignment readingOrder="0"/>
    </xf>
    <xf borderId="8" fillId="0" fontId="5" numFmtId="0" xfId="0" applyAlignment="1" applyBorder="1" applyFont="1">
      <alignment horizontal="right" readingOrder="0" vertical="bottom"/>
    </xf>
    <xf borderId="8" fillId="0" fontId="5" numFmtId="165" xfId="0" applyAlignment="1" applyBorder="1" applyFont="1" applyNumberFormat="1">
      <alignment horizontal="right" readingOrder="0" vertical="bottom"/>
    </xf>
    <xf borderId="8" fillId="6" fontId="3" numFmtId="0" xfId="0" applyAlignment="1" applyBorder="1" applyFill="1" applyFont="1">
      <alignment horizontal="right" readingOrder="0"/>
    </xf>
    <xf borderId="8" fillId="6" fontId="3" numFmtId="0" xfId="0" applyBorder="1" applyFont="1"/>
    <xf borderId="8" fillId="6" fontId="3" numFmtId="0" xfId="0" applyAlignment="1" applyBorder="1" applyFont="1">
      <alignment horizontal="center"/>
    </xf>
    <xf borderId="8" fillId="0" fontId="3" numFmtId="164" xfId="0" applyAlignment="1" applyBorder="1" applyFont="1" applyNumberFormat="1">
      <alignment readingOrder="0"/>
    </xf>
    <xf borderId="8" fillId="0" fontId="5" numFmtId="0" xfId="0" applyAlignment="1" applyBorder="1" applyFont="1">
      <alignment horizontal="center" readingOrder="0" vertical="bottom"/>
    </xf>
    <xf borderId="8" fillId="0" fontId="3" numFmtId="0" xfId="0" applyAlignment="1" applyBorder="1" applyFont="1">
      <alignment horizontal="left" readingOrder="0" vertical="top"/>
    </xf>
    <xf borderId="8" fillId="0" fontId="5" numFmtId="0" xfId="0" applyAlignment="1" applyBorder="1" applyFont="1">
      <alignment horizontal="left" vertical="top"/>
    </xf>
    <xf borderId="8" fillId="0" fontId="5" numFmtId="0" xfId="0" applyAlignment="1" applyBorder="1" applyFont="1">
      <alignment horizontal="left" readingOrder="0" vertical="top"/>
    </xf>
    <xf borderId="8" fillId="0" fontId="5" numFmtId="0" xfId="0" applyAlignment="1" applyBorder="1" applyFont="1">
      <alignment horizontal="right" readingOrder="0" vertical="top"/>
    </xf>
    <xf borderId="8" fillId="0" fontId="3" numFmtId="166" xfId="0" applyAlignment="1" applyBorder="1" applyFont="1" applyNumberFormat="1">
      <alignment horizontal="left" readingOrder="0" vertical="top"/>
    </xf>
    <xf borderId="8" fillId="0" fontId="3" numFmtId="0" xfId="0" applyAlignment="1" applyBorder="1" applyFont="1">
      <alignment horizontal="left" vertical="top"/>
    </xf>
    <xf borderId="0" fillId="0" fontId="3" numFmtId="0" xfId="0" applyAlignment="1" applyFont="1">
      <alignment horizontal="left" vertical="top"/>
    </xf>
    <xf borderId="8" fillId="0" fontId="5" numFmtId="0" xfId="0" applyAlignment="1" applyBorder="1" applyFont="1">
      <alignment vertical="top"/>
    </xf>
    <xf borderId="8" fillId="0" fontId="3" numFmtId="0" xfId="0" applyAlignment="1" applyBorder="1" applyFont="1">
      <alignment vertical="top"/>
    </xf>
    <xf borderId="8" fillId="0" fontId="5" numFmtId="0" xfId="0" applyAlignment="1" applyBorder="1" applyFont="1">
      <alignment horizontal="center" readingOrder="0" vertical="top"/>
    </xf>
    <xf borderId="8" fillId="0" fontId="5" numFmtId="0" xfId="0" applyAlignment="1" applyBorder="1" applyFont="1">
      <alignment horizontal="center" vertical="top"/>
    </xf>
    <xf borderId="8" fillId="0" fontId="5" numFmtId="0" xfId="0" applyAlignment="1" applyBorder="1" applyFont="1">
      <alignment horizontal="right" vertical="top"/>
    </xf>
    <xf borderId="8" fillId="0" fontId="5" numFmtId="165" xfId="0" applyAlignment="1" applyBorder="1" applyFont="1" applyNumberFormat="1">
      <alignment horizontal="right" vertical="top"/>
    </xf>
    <xf borderId="8" fillId="0" fontId="5" numFmtId="0" xfId="0" applyAlignment="1" applyBorder="1" applyFont="1">
      <alignment readingOrder="0" vertical="top"/>
    </xf>
    <xf borderId="8" fillId="0" fontId="5" numFmtId="165" xfId="0" applyAlignment="1" applyBorder="1" applyFont="1" applyNumberFormat="1">
      <alignment readingOrder="0" vertical="top"/>
    </xf>
    <xf borderId="8" fillId="0" fontId="5" numFmtId="165" xfId="0" applyAlignment="1" applyBorder="1" applyFont="1" applyNumberFormat="1">
      <alignment horizontal="center" vertical="bottom"/>
    </xf>
    <xf borderId="0" fillId="0" fontId="3" numFmtId="0" xfId="0" applyAlignment="1" applyFont="1">
      <alignment horizontal="right"/>
    </xf>
    <xf borderId="5" fillId="3" fontId="1" numFmtId="0" xfId="0" applyAlignment="1" applyBorder="1" applyFont="1">
      <alignment horizontal="center" readingOrder="0"/>
    </xf>
    <xf borderId="8" fillId="3" fontId="10" numFmtId="0" xfId="0" applyAlignment="1" applyBorder="1" applyFont="1">
      <alignment horizontal="center" vertical="bottom"/>
    </xf>
    <xf borderId="8" fillId="3" fontId="10" numFmtId="0" xfId="0" applyAlignment="1" applyBorder="1" applyFont="1">
      <alignment vertical="bottom"/>
    </xf>
    <xf borderId="8" fillId="3" fontId="10" numFmtId="0" xfId="0" applyAlignment="1" applyBorder="1" applyFont="1">
      <alignment horizontal="center" vertical="bottom"/>
    </xf>
    <xf borderId="8" fillId="3" fontId="10" numFmtId="0" xfId="0" applyAlignment="1" applyBorder="1" applyFont="1">
      <alignment vertical="bottom"/>
    </xf>
    <xf borderId="8" fillId="3" fontId="5" numFmtId="0" xfId="0" applyAlignment="1" applyBorder="1" applyFont="1">
      <alignment horizontal="center" vertical="bottom"/>
    </xf>
    <xf borderId="8" fillId="3" fontId="5" numFmtId="165" xfId="0" applyAlignment="1" applyBorder="1" applyFont="1" applyNumberFormat="1">
      <alignment vertical="bottom"/>
    </xf>
    <xf borderId="8" fillId="3" fontId="5" numFmtId="0" xfId="0" applyAlignment="1" applyBorder="1" applyFont="1">
      <alignment horizontal="right" readingOrder="0" vertical="bottom"/>
    </xf>
    <xf borderId="8" fillId="3" fontId="5" numFmtId="0" xfId="0" applyAlignment="1" applyBorder="1" applyFont="1">
      <alignment vertical="top"/>
    </xf>
    <xf borderId="8" fillId="3" fontId="5" numFmtId="0" xfId="0" applyAlignment="1" applyBorder="1" applyFont="1">
      <alignment horizontal="center" vertical="top"/>
    </xf>
    <xf borderId="8" fillId="3" fontId="5" numFmtId="0" xfId="0" applyAlignment="1" applyBorder="1" applyFont="1">
      <alignment vertical="top"/>
    </xf>
    <xf borderId="8" fillId="3" fontId="5" numFmtId="0" xfId="0" applyAlignment="1" applyBorder="1" applyFont="1">
      <alignment horizontal="center" vertical="top"/>
    </xf>
    <xf borderId="8" fillId="3" fontId="5" numFmtId="0" xfId="0" applyAlignment="1" applyBorder="1" applyFont="1">
      <alignment readingOrder="0" vertical="top"/>
    </xf>
    <xf borderId="8" fillId="3" fontId="5" numFmtId="167" xfId="0" applyAlignment="1" applyBorder="1" applyFont="1" applyNumberFormat="1">
      <alignment readingOrder="0" vertical="top"/>
    </xf>
    <xf borderId="8" fillId="3" fontId="5" numFmtId="0" xfId="0" applyAlignment="1" applyBorder="1" applyFont="1">
      <alignment horizontal="right" vertical="top"/>
    </xf>
    <xf borderId="8" fillId="7" fontId="5" numFmtId="0" xfId="0" applyAlignment="1" applyBorder="1" applyFill="1" applyFont="1">
      <alignment horizontal="center" vertical="bottom"/>
    </xf>
    <xf borderId="8" fillId="7" fontId="5" numFmtId="0" xfId="0" applyAlignment="1" applyBorder="1" applyFont="1">
      <alignment vertical="bottom"/>
    </xf>
    <xf borderId="8" fillId="7" fontId="5" numFmtId="0" xfId="0" applyAlignment="1" applyBorder="1" applyFont="1">
      <alignment horizontal="right" vertical="bottom"/>
    </xf>
    <xf borderId="8" fillId="7" fontId="5" numFmtId="0" xfId="0" applyAlignment="1" applyBorder="1" applyFont="1">
      <alignment vertical="bottom"/>
    </xf>
    <xf borderId="8" fillId="7" fontId="5" numFmtId="0" xfId="0" applyAlignment="1" applyBorder="1" applyFont="1">
      <alignment horizontal="center" vertical="bottom"/>
    </xf>
    <xf borderId="8" fillId="7" fontId="5" numFmtId="0" xfId="0" applyAlignment="1" applyBorder="1" applyFont="1">
      <alignment readingOrder="0" vertical="bottom"/>
    </xf>
    <xf borderId="0" fillId="7" fontId="3" numFmtId="0" xfId="0" applyFont="1"/>
    <xf borderId="8" fillId="7" fontId="5" numFmtId="0" xfId="0" applyAlignment="1" applyBorder="1" applyFont="1">
      <alignment horizontal="center" readingOrder="0" vertical="bottom"/>
    </xf>
    <xf borderId="8" fillId="7" fontId="5" numFmtId="165" xfId="0" applyAlignment="1" applyBorder="1" applyFont="1" applyNumberFormat="1">
      <alignment readingOrder="0" vertical="bottom"/>
    </xf>
    <xf borderId="8" fillId="3" fontId="5" numFmtId="165" xfId="0" applyAlignment="1" applyBorder="1" applyFont="1" applyNumberFormat="1">
      <alignment readingOrder="0" vertical="top"/>
    </xf>
    <xf borderId="5" fillId="3" fontId="1" numFmtId="0" xfId="0" applyAlignment="1" applyBorder="1" applyFont="1">
      <alignment horizontal="left" readingOrder="0"/>
    </xf>
    <xf borderId="0" fillId="3" fontId="1" numFmtId="0" xfId="0" applyAlignment="1" applyFont="1">
      <alignment horizontal="center" readingOrder="0"/>
    </xf>
    <xf borderId="0" fillId="3" fontId="7" numFmtId="0" xfId="0" applyAlignment="1" applyFont="1">
      <alignment readingOrder="0"/>
    </xf>
    <xf borderId="8" fillId="3" fontId="3" numFmtId="1" xfId="0" applyAlignment="1" applyBorder="1" applyFont="1" applyNumberFormat="1">
      <alignment horizontal="center" readingOrder="0"/>
    </xf>
    <xf borderId="8" fillId="3" fontId="3" numFmtId="1" xfId="0" applyBorder="1" applyFont="1" applyNumberFormat="1"/>
    <xf borderId="0" fillId="3" fontId="3" numFmtId="0" xfId="0" applyFont="1"/>
    <xf borderId="8" fillId="3" fontId="5" numFmtId="0" xfId="0" applyAlignment="1" applyBorder="1" applyFont="1">
      <alignment horizontal="left" vertical="bottom"/>
    </xf>
    <xf borderId="8" fillId="3" fontId="5" numFmtId="0" xfId="0" applyAlignment="1" applyBorder="1" applyFont="1">
      <alignment horizontal="left" readingOrder="0" vertical="bottom"/>
    </xf>
    <xf borderId="8" fillId="3" fontId="3" numFmtId="168" xfId="0" applyAlignment="1" applyBorder="1" applyFont="1" applyNumberFormat="1">
      <alignment readingOrder="0"/>
    </xf>
    <xf borderId="8" fillId="3" fontId="3" numFmtId="167" xfId="0" applyAlignment="1" applyBorder="1" applyFont="1" applyNumberFormat="1">
      <alignment readingOrder="0"/>
    </xf>
    <xf borderId="8" fillId="3" fontId="3" numFmtId="0" xfId="0" applyAlignment="1" applyBorder="1" applyFont="1">
      <alignment readingOrder="0" vertical="top"/>
    </xf>
    <xf borderId="8" fillId="3" fontId="3" numFmtId="0" xfId="0" applyAlignment="1" applyBorder="1" applyFont="1">
      <alignment horizontal="center" readingOrder="0" vertical="top"/>
    </xf>
    <xf borderId="8" fillId="3" fontId="3" numFmtId="0" xfId="0" applyAlignment="1" applyBorder="1" applyFont="1">
      <alignment horizontal="left" readingOrder="0" vertical="top"/>
    </xf>
    <xf borderId="8" fillId="3" fontId="5" numFmtId="0" xfId="0" applyAlignment="1" applyBorder="1" applyFont="1">
      <alignment horizontal="left" vertical="top"/>
    </xf>
    <xf borderId="8" fillId="3" fontId="5" numFmtId="0" xfId="0" applyAlignment="1" applyBorder="1" applyFont="1">
      <alignment horizontal="center" readingOrder="0" vertical="top"/>
    </xf>
    <xf borderId="8" fillId="3" fontId="5" numFmtId="165" xfId="0" applyAlignment="1" applyBorder="1" applyFont="1" applyNumberFormat="1">
      <alignment horizontal="right" vertical="top"/>
    </xf>
    <xf borderId="8" fillId="3" fontId="3" numFmtId="165" xfId="0" applyAlignment="1" applyBorder="1" applyFont="1" applyNumberFormat="1">
      <alignment readingOrder="0" vertical="top"/>
    </xf>
    <xf borderId="8" fillId="3" fontId="3" numFmtId="0" xfId="0" applyAlignment="1" applyBorder="1" applyFont="1">
      <alignment vertical="top"/>
    </xf>
    <xf borderId="8" fillId="3" fontId="3" numFmtId="164" xfId="0" applyAlignment="1" applyBorder="1" applyFont="1" applyNumberFormat="1">
      <alignment readingOrder="0"/>
    </xf>
    <xf borderId="8" fillId="3" fontId="3" numFmtId="169" xfId="0" applyAlignment="1" applyBorder="1" applyFont="1" applyNumberFormat="1">
      <alignment readingOrder="0"/>
    </xf>
    <xf borderId="5" fillId="3" fontId="11" numFmtId="0" xfId="0" applyAlignment="1" applyBorder="1" applyFont="1">
      <alignment horizontal="left" readingOrder="0"/>
    </xf>
    <xf borderId="5" fillId="3" fontId="12" numFmtId="0" xfId="0" applyAlignment="1" applyBorder="1" applyFont="1">
      <alignment horizontal="center" shrinkToFit="0" vertical="bottom" wrapText="0"/>
    </xf>
    <xf borderId="8" fillId="3" fontId="13" numFmtId="0" xfId="0" applyAlignment="1" applyBorder="1" applyFont="1">
      <alignment horizontal="center" readingOrder="0"/>
    </xf>
    <xf borderId="8" fillId="3" fontId="13" numFmtId="0" xfId="0" applyAlignment="1" applyBorder="1" applyFont="1">
      <alignment readingOrder="0"/>
    </xf>
    <xf borderId="8" fillId="3" fontId="13" numFmtId="0" xfId="0" applyAlignment="1" applyBorder="1" applyFont="1">
      <alignment horizontal="left" readingOrder="0"/>
    </xf>
    <xf borderId="8" fillId="3" fontId="14" numFmtId="0" xfId="0" applyAlignment="1" applyBorder="1" applyFont="1">
      <alignment readingOrder="0" shrinkToFit="0" vertical="bottom" wrapText="0"/>
    </xf>
    <xf borderId="8" fillId="3" fontId="14" numFmtId="0" xfId="0" applyAlignment="1" applyBorder="1" applyFont="1">
      <alignment horizontal="center" readingOrder="0" shrinkToFit="0" vertical="bottom" wrapText="0"/>
    </xf>
    <xf borderId="8" fillId="3" fontId="15" numFmtId="0" xfId="0" applyAlignment="1" applyBorder="1" applyFont="1">
      <alignment readingOrder="0"/>
    </xf>
    <xf borderId="8" fillId="3" fontId="15" numFmtId="0" xfId="0" applyAlignment="1" applyBorder="1" applyFont="1">
      <alignment horizontal="center" readingOrder="0"/>
    </xf>
    <xf borderId="8" fillId="3" fontId="15" numFmtId="0" xfId="0" applyAlignment="1" applyBorder="1" applyFont="1">
      <alignment horizontal="left" readingOrder="0"/>
    </xf>
    <xf borderId="8" fillId="3" fontId="15" numFmtId="0" xfId="0" applyBorder="1" applyFont="1"/>
    <xf borderId="8" fillId="3" fontId="15" numFmtId="0" xfId="0" applyAlignment="1" applyBorder="1" applyFont="1">
      <alignment horizontal="center"/>
    </xf>
    <xf borderId="8" fillId="3" fontId="14" numFmtId="165" xfId="0" applyAlignment="1" applyBorder="1" applyFont="1" applyNumberFormat="1">
      <alignment horizontal="center" readingOrder="0" shrinkToFit="0" vertical="bottom" wrapText="0"/>
    </xf>
    <xf borderId="8" fillId="3" fontId="14" numFmtId="0" xfId="0" applyAlignment="1" applyBorder="1" applyFont="1">
      <alignment shrinkToFit="0" vertical="bottom" wrapText="0"/>
    </xf>
    <xf borderId="8" fillId="3" fontId="16" numFmtId="0" xfId="0" applyAlignment="1" applyBorder="1" applyFont="1">
      <alignment vertical="bottom"/>
    </xf>
    <xf borderId="8" fillId="3" fontId="16" numFmtId="0" xfId="0" applyAlignment="1" applyBorder="1" applyFont="1">
      <alignment horizontal="center" vertical="bottom"/>
    </xf>
    <xf borderId="8" fillId="3" fontId="14" numFmtId="0" xfId="0" applyAlignment="1" applyBorder="1" applyFont="1">
      <alignment horizontal="right" readingOrder="0" shrinkToFit="0" vertical="bottom" wrapText="0"/>
    </xf>
    <xf borderId="8" fillId="3" fontId="14" numFmtId="0" xfId="0" applyAlignment="1" applyBorder="1" applyFont="1">
      <alignment shrinkToFit="0" vertical="bottom" wrapText="0"/>
    </xf>
    <xf borderId="8" fillId="3" fontId="14" numFmtId="165" xfId="0" applyAlignment="1" applyBorder="1" applyFont="1" applyNumberFormat="1">
      <alignment readingOrder="0" shrinkToFit="0" vertical="bottom" wrapText="0"/>
    </xf>
    <xf borderId="8" fillId="3" fontId="14" numFmtId="170" xfId="0" applyAlignment="1" applyBorder="1" applyFont="1" applyNumberFormat="1">
      <alignment horizontal="center" readingOrder="0" shrinkToFit="0" vertical="bottom" wrapText="0"/>
    </xf>
    <xf borderId="8" fillId="3" fontId="14" numFmtId="166" xfId="0" applyAlignment="1" applyBorder="1" applyFont="1" applyNumberFormat="1">
      <alignment horizontal="center" readingOrder="0" shrinkToFit="0" vertical="bottom" wrapText="0"/>
    </xf>
    <xf borderId="8" fillId="3" fontId="14" numFmtId="0" xfId="0" applyAlignment="1" applyBorder="1" applyFont="1">
      <alignment horizontal="center" shrinkToFit="0" vertical="bottom" wrapText="0"/>
    </xf>
    <xf borderId="8" fillId="3" fontId="16" numFmtId="0" xfId="0" applyAlignment="1" applyBorder="1" applyFont="1">
      <alignment horizontal="left" vertical="bottom"/>
    </xf>
    <xf borderId="8" fillId="3" fontId="16" numFmtId="0" xfId="0" applyAlignment="1" applyBorder="1" applyFont="1">
      <alignment horizontal="center" readingOrder="0" vertical="bottom"/>
    </xf>
    <xf borderId="8" fillId="3" fontId="14" numFmtId="165" xfId="0" applyAlignment="1" applyBorder="1" applyFont="1" applyNumberFormat="1">
      <alignment shrinkToFit="0" vertical="bottom" wrapText="0"/>
    </xf>
    <xf borderId="8" fillId="3" fontId="15" numFmtId="0" xfId="0" applyAlignment="1" applyBorder="1" applyFont="1">
      <alignment horizontal="left"/>
    </xf>
    <xf borderId="8" fillId="3" fontId="14" numFmtId="166" xfId="0" applyAlignment="1" applyBorder="1" applyFont="1" applyNumberFormat="1">
      <alignment readingOrder="0" shrinkToFit="0" vertical="bottom" wrapText="0"/>
    </xf>
    <xf borderId="8" fillId="3" fontId="16" numFmtId="0" xfId="0" applyAlignment="1" applyBorder="1" applyFont="1">
      <alignment readingOrder="0" vertical="bottom"/>
    </xf>
    <xf borderId="8" fillId="3" fontId="15" numFmtId="165" xfId="0" applyAlignment="1" applyBorder="1" applyFont="1" applyNumberFormat="1">
      <alignment readingOrder="0"/>
    </xf>
    <xf borderId="8" fillId="3" fontId="14" numFmtId="170" xfId="0" applyAlignment="1" applyBorder="1" applyFont="1" applyNumberFormat="1">
      <alignment horizontal="right" readingOrder="0" shrinkToFit="0" vertical="bottom" wrapText="0"/>
    </xf>
    <xf borderId="8" fillId="3" fontId="16" numFmtId="0" xfId="0" applyAlignment="1" applyBorder="1" applyFont="1">
      <alignment horizontal="right" vertical="bottom"/>
    </xf>
    <xf borderId="8" fillId="3" fontId="16" numFmtId="165" xfId="0" applyAlignment="1" applyBorder="1" applyFont="1" applyNumberFormat="1">
      <alignment horizontal="center" vertical="bottom"/>
    </xf>
    <xf borderId="8" fillId="3" fontId="14" numFmtId="165" xfId="0" applyAlignment="1" applyBorder="1" applyFont="1" applyNumberFormat="1">
      <alignment horizontal="center" shrinkToFit="0" vertical="bottom" wrapText="0"/>
    </xf>
    <xf borderId="8" fillId="3" fontId="15" numFmtId="165" xfId="0" applyAlignment="1" applyBorder="1" applyFont="1" applyNumberFormat="1">
      <alignment horizontal="center" readingOrder="0"/>
    </xf>
    <xf borderId="8" fillId="3" fontId="15" numFmtId="166" xfId="0" applyAlignment="1" applyBorder="1" applyFont="1" applyNumberFormat="1">
      <alignment readingOrder="0"/>
    </xf>
    <xf borderId="0" fillId="8" fontId="3" numFmtId="0" xfId="0" applyAlignment="1" applyFill="1" applyFont="1">
      <alignment horizontal="center"/>
    </xf>
    <xf borderId="5" fillId="8" fontId="1" numFmtId="0" xfId="0" applyAlignment="1" applyBorder="1" applyFont="1">
      <alignment horizontal="center" readingOrder="0"/>
    </xf>
    <xf borderId="8" fillId="8" fontId="1" numFmtId="0" xfId="0" applyAlignment="1" applyBorder="1" applyFont="1">
      <alignment horizontal="center" readingOrder="0"/>
    </xf>
    <xf borderId="8" fillId="8" fontId="7" numFmtId="0" xfId="0" applyAlignment="1" applyBorder="1" applyFont="1">
      <alignment horizontal="center" readingOrder="0"/>
    </xf>
    <xf borderId="8" fillId="8" fontId="7" numFmtId="0" xfId="0" applyAlignment="1" applyBorder="1" applyFont="1">
      <alignment readingOrder="0"/>
    </xf>
    <xf borderId="8" fillId="8" fontId="7" numFmtId="0" xfId="0" applyAlignment="1" applyBorder="1" applyFont="1">
      <alignment horizontal="left" readingOrder="0"/>
    </xf>
    <xf borderId="8" fillId="8" fontId="7" numFmtId="0" xfId="0" applyAlignment="1" applyBorder="1" applyFont="1">
      <alignment horizontal="right" readingOrder="0"/>
    </xf>
    <xf borderId="8" fillId="8" fontId="10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8" fillId="8" fontId="3" numFmtId="0" xfId="0" applyAlignment="1" applyBorder="1" applyFont="1">
      <alignment horizontal="center" readingOrder="0"/>
    </xf>
    <xf borderId="8" fillId="8" fontId="3" numFmtId="0" xfId="0" applyAlignment="1" applyBorder="1" applyFont="1">
      <alignment readingOrder="0"/>
    </xf>
    <xf borderId="8" fillId="8" fontId="3" numFmtId="0" xfId="0" applyAlignment="1" applyBorder="1" applyFont="1">
      <alignment horizontal="left" readingOrder="0"/>
    </xf>
    <xf borderId="8" fillId="8" fontId="3" numFmtId="0" xfId="0" applyBorder="1" applyFont="1"/>
    <xf borderId="8" fillId="8" fontId="3" numFmtId="0" xfId="0" applyAlignment="1" applyBorder="1" applyFont="1">
      <alignment horizontal="right" readingOrder="0"/>
    </xf>
    <xf borderId="8" fillId="8" fontId="3" numFmtId="0" xfId="0" applyAlignment="1" applyBorder="1" applyFont="1">
      <alignment horizontal="center"/>
    </xf>
    <xf borderId="8" fillId="8" fontId="3" numFmtId="166" xfId="0" applyAlignment="1" applyBorder="1" applyFont="1" applyNumberFormat="1">
      <alignment readingOrder="0"/>
    </xf>
    <xf borderId="8" fillId="8" fontId="5" numFmtId="0" xfId="0" applyAlignment="1" applyBorder="1" applyFont="1">
      <alignment vertical="bottom"/>
    </xf>
    <xf borderId="8" fillId="8" fontId="5" numFmtId="0" xfId="0" applyAlignment="1" applyBorder="1" applyFont="1">
      <alignment horizontal="center" vertical="bottom"/>
    </xf>
    <xf borderId="8" fillId="8" fontId="5" numFmtId="0" xfId="0" applyAlignment="1" applyBorder="1" applyFont="1">
      <alignment horizontal="right" vertical="bottom"/>
    </xf>
    <xf borderId="8" fillId="8" fontId="5" numFmtId="0" xfId="0" applyAlignment="1" applyBorder="1" applyFont="1">
      <alignment horizontal="center" readingOrder="0" vertical="bottom"/>
    </xf>
    <xf borderId="8" fillId="8" fontId="5" numFmtId="165" xfId="0" applyAlignment="1" applyBorder="1" applyFont="1" applyNumberFormat="1">
      <alignment horizontal="right" vertical="bottom"/>
    </xf>
    <xf borderId="8" fillId="8" fontId="3" numFmtId="165" xfId="0" applyAlignment="1" applyBorder="1" applyFont="1" applyNumberFormat="1">
      <alignment readingOrder="0"/>
    </xf>
    <xf borderId="8" fillId="8" fontId="5" numFmtId="0" xfId="0" applyAlignment="1" applyBorder="1" applyFont="1">
      <alignment horizontal="right" readingOrder="0" vertical="bottom"/>
    </xf>
    <xf borderId="8" fillId="8" fontId="5" numFmtId="165" xfId="0" applyAlignment="1" applyBorder="1" applyFont="1" applyNumberFormat="1">
      <alignment horizontal="right" readingOrder="0" vertical="bottom"/>
    </xf>
    <xf borderId="8" fillId="8" fontId="3" numFmtId="168" xfId="0" applyAlignment="1" applyBorder="1" applyFont="1" applyNumberFormat="1">
      <alignment readingOrder="0"/>
    </xf>
    <xf borderId="8" fillId="8" fontId="3" numFmtId="0" xfId="0" applyAlignment="1" applyBorder="1" applyFont="1">
      <alignment horizontal="left"/>
    </xf>
    <xf borderId="0" fillId="0" fontId="5" numFmtId="0" xfId="0" applyAlignment="1" applyFont="1">
      <alignment horizontal="right" readingOrder="0" vertical="bottom"/>
    </xf>
    <xf borderId="0" fillId="0" fontId="5" numFmtId="165" xfId="0" applyAlignment="1" applyFont="1" applyNumberFormat="1">
      <alignment horizontal="right" readingOrder="0" vertical="bottom"/>
    </xf>
    <xf borderId="8" fillId="8" fontId="3" numFmtId="0" xfId="0" applyAlignment="1" applyBorder="1" applyFont="1">
      <alignment horizontal="right"/>
    </xf>
    <xf borderId="0" fillId="8" fontId="3" numFmtId="0" xfId="0" applyFont="1"/>
    <xf borderId="8" fillId="8" fontId="5" numFmtId="0" xfId="0" applyAlignment="1" applyBorder="1" applyFont="1">
      <alignment readingOrder="0" vertical="bottom"/>
    </xf>
    <xf borderId="8" fillId="8" fontId="3" numFmtId="1" xfId="0" applyAlignment="1" applyBorder="1" applyFont="1" applyNumberFormat="1">
      <alignment horizontal="center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7" numFmtId="0" xfId="0" applyAlignment="1" applyFont="1">
      <alignment horizontal="right" readingOrder="0"/>
    </xf>
    <xf borderId="0" fillId="0" fontId="3" numFmtId="0" xfId="0" applyFont="1"/>
    <xf borderId="0" fillId="0" fontId="3" numFmtId="0" xfId="0" applyAlignment="1" applyFont="1">
      <alignment horizontal="right" readingOrder="0"/>
    </xf>
    <xf borderId="0" fillId="0" fontId="10" numFmtId="0" xfId="0" applyAlignment="1" applyFont="1">
      <alignment readingOrder="0" vertical="bottom"/>
    </xf>
    <xf borderId="0" fillId="0" fontId="3" numFmtId="166" xfId="0" applyAlignment="1" applyFont="1" applyNumberFormat="1">
      <alignment readingOrder="0"/>
    </xf>
    <xf borderId="0" fillId="6" fontId="3" numFmtId="0" xfId="0" applyAlignment="1" applyFont="1">
      <alignment horizontal="right" readingOrder="0"/>
    </xf>
    <xf borderId="0" fillId="6" fontId="3" numFmtId="0" xfId="0" applyFont="1"/>
    <xf borderId="0" fillId="0" fontId="5" numFmtId="0" xfId="0" applyAlignment="1" applyFont="1">
      <alignment vertical="bottom"/>
    </xf>
    <xf borderId="0" fillId="6" fontId="3" numFmtId="0" xfId="0" applyAlignment="1" applyFont="1">
      <alignment readingOrder="0"/>
    </xf>
    <xf borderId="0" fillId="0" fontId="5" numFmtId="165" xfId="0" applyAlignment="1" applyFont="1" applyNumberFormat="1">
      <alignment readingOrder="0" vertical="bottom"/>
    </xf>
    <xf borderId="0" fillId="0" fontId="5" numFmtId="166" xfId="0" applyAlignment="1" applyFont="1" applyNumberFormat="1">
      <alignment readingOrder="0" vertical="bottom"/>
    </xf>
    <xf borderId="0" fillId="0" fontId="7" numFmtId="0" xfId="0" applyAlignment="1" applyFont="1">
      <alignment horizontal="left" readingOrder="0"/>
    </xf>
    <xf borderId="0" fillId="0" fontId="3" numFmtId="168" xfId="0" applyAlignment="1" applyFont="1" applyNumberFormat="1">
      <alignment readingOrder="0"/>
    </xf>
    <xf borderId="0" fillId="0" fontId="10" numFmtId="0" xfId="0" applyAlignment="1" applyFont="1">
      <alignment horizontal="left" vertical="bottom"/>
    </xf>
    <xf borderId="0" fillId="6" fontId="5" numFmtId="0" xfId="0" applyAlignment="1" applyFont="1">
      <alignment vertical="bottom"/>
    </xf>
    <xf borderId="0" fillId="6" fontId="5" numFmtId="0" xfId="0" applyAlignment="1" applyFont="1">
      <alignment horizontal="right" readingOrder="0" vertical="bottom"/>
    </xf>
    <xf borderId="0" fillId="6" fontId="5" numFmtId="0" xfId="0" applyAlignment="1" applyFont="1">
      <alignment horizontal="center" vertical="bottom"/>
    </xf>
    <xf borderId="0" fillId="6" fontId="5" numFmtId="0" xfId="0" applyAlignment="1" applyFont="1">
      <alignment horizontal="right" vertical="bottom"/>
    </xf>
    <xf borderId="0" fillId="0" fontId="5" numFmtId="0" xfId="0" applyAlignment="1" applyFont="1">
      <alignment horizontal="left" readingOrder="0" vertical="bottom"/>
    </xf>
    <xf borderId="0" fillId="6" fontId="3" numFmtId="0" xfId="0" applyAlignment="1" applyFont="1">
      <alignment horizontal="center" readingOrder="0"/>
    </xf>
    <xf borderId="0" fillId="6" fontId="3" numFmtId="0" xfId="0" applyAlignment="1" applyFont="1">
      <alignment horizontal="right"/>
    </xf>
    <xf borderId="0" fillId="4" fontId="3" numFmtId="0" xfId="0" applyAlignment="1" applyFont="1">
      <alignment horizontal="center" readingOrder="0"/>
    </xf>
    <xf borderId="0" fillId="4" fontId="3" numFmtId="0" xfId="0" applyAlignment="1" applyFont="1">
      <alignment readingOrder="0"/>
    </xf>
    <xf borderId="0" fillId="4" fontId="3" numFmtId="0" xfId="0" applyAlignment="1" applyFont="1">
      <alignment horizontal="left" readingOrder="0"/>
    </xf>
    <xf borderId="0" fillId="4" fontId="5" numFmtId="0" xfId="0" applyAlignment="1" applyFont="1">
      <alignment readingOrder="0" vertical="bottom"/>
    </xf>
    <xf borderId="0" fillId="4" fontId="3" numFmtId="0" xfId="0" applyAlignment="1" applyFont="1">
      <alignment horizontal="right" readingOrder="0"/>
    </xf>
    <xf borderId="0" fillId="4" fontId="3" numFmtId="165" xfId="0" applyAlignment="1" applyFont="1" applyNumberFormat="1">
      <alignment readingOrder="0"/>
    </xf>
    <xf borderId="0" fillId="6" fontId="5" numFmtId="0" xfId="0" applyAlignment="1" applyFont="1">
      <alignment readingOrder="0" vertical="bottom"/>
    </xf>
    <xf borderId="0" fillId="9" fontId="3" numFmtId="0" xfId="0" applyAlignment="1" applyFill="1" applyFont="1">
      <alignment horizontal="center" readingOrder="0"/>
    </xf>
    <xf borderId="0" fillId="9" fontId="3" numFmtId="0" xfId="0" applyAlignment="1" applyFont="1">
      <alignment readingOrder="0"/>
    </xf>
    <xf borderId="0" fillId="9" fontId="5" numFmtId="0" xfId="0" applyAlignment="1" applyFont="1">
      <alignment horizontal="left" readingOrder="0" vertical="bottom"/>
    </xf>
    <xf borderId="0" fillId="9" fontId="3" numFmtId="0" xfId="0" applyFont="1"/>
    <xf borderId="0" fillId="9" fontId="3" numFmtId="0" xfId="0" applyAlignment="1" applyFont="1">
      <alignment horizontal="right"/>
    </xf>
    <xf borderId="0" fillId="9" fontId="5" numFmtId="0" xfId="0" applyAlignment="1" applyFont="1">
      <alignment horizontal="center" vertical="bottom"/>
    </xf>
    <xf borderId="0" fillId="9" fontId="3" numFmtId="0" xfId="0" applyAlignment="1" applyFont="1">
      <alignment horizontal="center"/>
    </xf>
    <xf borderId="0" fillId="10" fontId="3" numFmtId="0" xfId="0" applyAlignment="1" applyFill="1" applyFont="1">
      <alignment horizontal="center" readingOrder="0"/>
    </xf>
    <xf borderId="0" fillId="10" fontId="3" numFmtId="0" xfId="0" applyAlignment="1" applyFont="1">
      <alignment readingOrder="0"/>
    </xf>
    <xf borderId="0" fillId="10" fontId="3" numFmtId="0" xfId="0" applyAlignment="1" applyFont="1">
      <alignment horizontal="left" readingOrder="0"/>
    </xf>
    <xf borderId="0" fillId="10" fontId="3" numFmtId="0" xfId="0" applyFont="1"/>
    <xf borderId="0" fillId="10" fontId="3" numFmtId="0" xfId="0" applyAlignment="1" applyFont="1">
      <alignment horizontal="right"/>
    </xf>
    <xf borderId="0" fillId="10" fontId="5" numFmtId="0" xfId="0" applyAlignment="1" applyFont="1">
      <alignment horizontal="center" vertical="bottom"/>
    </xf>
    <xf borderId="0" fillId="10" fontId="3" numFmtId="0" xfId="0" applyAlignment="1" applyFont="1">
      <alignment horizontal="center"/>
    </xf>
    <xf borderId="0" fillId="0" fontId="10" numFmtId="0" xfId="0" applyAlignment="1" applyFont="1">
      <alignment horizontal="center" vertical="bottom"/>
    </xf>
    <xf borderId="0" fillId="6" fontId="3" numFmtId="165" xfId="0" applyAlignment="1" applyFont="1" applyNumberFormat="1">
      <alignment readingOrder="0"/>
    </xf>
    <xf borderId="0" fillId="10" fontId="5" numFmtId="0" xfId="0" applyAlignment="1" applyFont="1">
      <alignment vertical="bottom"/>
    </xf>
    <xf borderId="0" fillId="10" fontId="5" numFmtId="0" xfId="0" applyAlignment="1" applyFont="1">
      <alignment horizontal="right" readingOrder="0" vertical="bottom"/>
    </xf>
    <xf borderId="0" fillId="10" fontId="5" numFmtId="0" xfId="0" applyAlignment="1" applyFont="1">
      <alignment horizontal="right" vertical="bottom"/>
    </xf>
    <xf borderId="0" fillId="10" fontId="5" numFmtId="165" xfId="0" applyAlignment="1" applyFont="1" applyNumberFormat="1">
      <alignment horizontal="right" vertical="bottom"/>
    </xf>
    <xf borderId="0" fillId="10" fontId="3" numFmtId="165" xfId="0" applyAlignment="1" applyFont="1" applyNumberFormat="1">
      <alignment readingOrder="0"/>
    </xf>
    <xf borderId="0" fillId="0" fontId="3" numFmtId="165" xfId="0" applyFont="1" applyNumberFormat="1"/>
    <xf borderId="4" fillId="3" fontId="14" numFmtId="0" xfId="0" applyAlignment="1" applyBorder="1" applyFont="1">
      <alignment horizontal="right" readingOrder="0" shrinkToFit="0" vertical="bottom" wrapText="0"/>
    </xf>
    <xf borderId="0" fillId="11" fontId="3" numFmtId="0" xfId="0" applyAlignment="1" applyFill="1" applyFont="1">
      <alignment readingOrder="0"/>
    </xf>
    <xf borderId="0" fillId="11" fontId="3" numFmtId="0" xfId="0" applyAlignment="1" applyFont="1">
      <alignment horizontal="left" readingOrder="0"/>
    </xf>
    <xf borderId="0" fillId="11" fontId="5" numFmtId="0" xfId="0" applyAlignment="1" applyFont="1">
      <alignment vertical="bottom"/>
    </xf>
    <xf borderId="0" fillId="11" fontId="5" numFmtId="0" xfId="0" applyAlignment="1" applyFont="1">
      <alignment horizontal="center" vertical="bottom"/>
    </xf>
    <xf borderId="0" fillId="11" fontId="3" numFmtId="0" xfId="0" applyFont="1"/>
    <xf borderId="0" fillId="11" fontId="3" numFmtId="0" xfId="0" applyAlignment="1" applyFont="1">
      <alignment horizontal="right" readingOrder="0"/>
    </xf>
    <xf borderId="0" fillId="11" fontId="5" numFmtId="0" xfId="0" applyAlignment="1" applyFont="1">
      <alignment horizontal="right" vertical="bottom"/>
    </xf>
    <xf borderId="0" fillId="11" fontId="5" numFmtId="0" xfId="0" applyAlignment="1" applyFont="1">
      <alignment horizontal="center" readingOrder="0" vertical="bottom"/>
    </xf>
    <xf borderId="0" fillId="11" fontId="5" numFmtId="165" xfId="0" applyAlignment="1" applyFont="1" applyNumberFormat="1">
      <alignment horizontal="right" vertical="bottom"/>
    </xf>
    <xf borderId="0" fillId="11" fontId="5" numFmtId="0" xfId="0" applyAlignment="1" applyFont="1">
      <alignment horizontal="right" readingOrder="0" vertical="bottom"/>
    </xf>
    <xf borderId="0" fillId="11" fontId="3" numFmtId="165" xfId="0" applyAlignment="1" applyFont="1" applyNumberFormat="1">
      <alignment readingOrder="0"/>
    </xf>
    <xf borderId="0" fillId="11" fontId="3" numFmtId="0" xfId="0" applyAlignment="1" applyFont="1">
      <alignment horizontal="center" readingOrder="0"/>
    </xf>
    <xf borderId="0" fillId="11" fontId="5" numFmtId="0" xfId="0" applyAlignment="1" applyFont="1">
      <alignment horizontal="left" readingOrder="0" vertical="bottom"/>
    </xf>
    <xf borderId="0" fillId="11" fontId="5" numFmtId="0" xfId="0" applyAlignment="1" applyFont="1">
      <alignment readingOrder="0" vertical="bottom"/>
    </xf>
    <xf borderId="0" fillId="11" fontId="3" numFmtId="166" xfId="0" applyAlignment="1" applyFont="1" applyNumberFormat="1">
      <alignment readingOrder="0"/>
    </xf>
    <xf borderId="0" fillId="11" fontId="3" numFmtId="0" xfId="0" applyAlignment="1" applyFont="1">
      <alignment horizontal="right"/>
    </xf>
    <xf borderId="0" fillId="0" fontId="5" numFmtId="0" xfId="0" applyAlignment="1" applyFont="1">
      <alignment horizontal="left" vertical="bottom"/>
    </xf>
    <xf borderId="0" fillId="10" fontId="5" numFmtId="0" xfId="0" applyAlignment="1" applyFont="1">
      <alignment horizontal="left" vertical="bottom"/>
    </xf>
    <xf borderId="0" fillId="10" fontId="5" numFmtId="0" xfId="0" applyAlignment="1" applyFont="1">
      <alignment readingOrder="0" vertical="bottom"/>
    </xf>
    <xf borderId="0" fillId="11" fontId="5" numFmtId="0" xfId="0" applyAlignment="1" applyFont="1">
      <alignment horizontal="left" vertical="bottom"/>
    </xf>
    <xf borderId="0" fillId="11" fontId="5" numFmtId="165" xfId="0" applyAlignment="1" applyFont="1" applyNumberFormat="1">
      <alignment readingOrder="0" vertical="bottom"/>
    </xf>
    <xf borderId="0" fillId="11" fontId="17" numFmtId="0" xfId="0" applyAlignment="1" applyFont="1">
      <alignment horizontal="center" vertical="bottom"/>
    </xf>
    <xf borderId="0" fillId="0" fontId="3" numFmtId="164" xfId="0" applyAlignment="1" applyFont="1" applyNumberFormat="1">
      <alignment readingOrder="0"/>
    </xf>
    <xf borderId="4" fillId="0" fontId="1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right" readingOrder="0"/>
    </xf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right" readingOrder="0"/>
    </xf>
    <xf borderId="4" fillId="0" fontId="3" numFmtId="0" xfId="0" applyBorder="1" applyFont="1"/>
    <xf borderId="4" fillId="0" fontId="3" numFmtId="0" xfId="0" applyAlignment="1" applyBorder="1" applyFont="1">
      <alignment horizontal="left"/>
    </xf>
    <xf borderId="4" fillId="0" fontId="3" numFmtId="164" xfId="0" applyAlignment="1" applyBorder="1" applyFont="1" applyNumberFormat="1">
      <alignment readingOrder="0"/>
    </xf>
    <xf borderId="4" fillId="11" fontId="3" numFmtId="0" xfId="0" applyAlignment="1" applyBorder="1" applyFont="1">
      <alignment readingOrder="0"/>
    </xf>
    <xf borderId="4" fillId="11" fontId="3" numFmtId="0" xfId="0" applyAlignment="1" applyBorder="1" applyFont="1">
      <alignment horizontal="center" readingOrder="0"/>
    </xf>
    <xf borderId="4" fillId="11" fontId="3" numFmtId="0" xfId="0" applyAlignment="1" applyBorder="1" applyFont="1">
      <alignment horizontal="center"/>
    </xf>
    <xf borderId="4" fillId="11" fontId="3" numFmtId="0" xfId="0" applyAlignment="1" applyBorder="1" applyFont="1">
      <alignment horizontal="right" readingOrder="0"/>
    </xf>
    <xf borderId="4" fillId="11" fontId="3" numFmtId="0" xfId="0" applyAlignment="1" applyBorder="1" applyFont="1">
      <alignment horizontal="left" readingOrder="0"/>
    </xf>
    <xf borderId="4" fillId="11" fontId="3" numFmtId="165" xfId="0" applyAlignment="1" applyBorder="1" applyFont="1" applyNumberFormat="1">
      <alignment readingOrder="0"/>
    </xf>
    <xf borderId="4" fillId="11" fontId="3" numFmtId="0" xfId="0" applyAlignment="1" applyBorder="1" applyFont="1">
      <alignment horizontal="right"/>
    </xf>
    <xf borderId="4" fillId="11" fontId="3" numFmtId="0" xfId="0" applyBorder="1" applyFont="1"/>
    <xf borderId="4" fillId="11" fontId="3" numFmtId="0" xfId="0" applyAlignment="1" applyBorder="1" applyFont="1">
      <alignment horizontal="left"/>
    </xf>
    <xf borderId="4" fillId="11" fontId="5" numFmtId="0" xfId="0" applyAlignment="1" applyBorder="1" applyFont="1">
      <alignment horizontal="right" vertical="bottom"/>
    </xf>
    <xf borderId="4" fillId="11" fontId="5" numFmtId="0" xfId="0" applyAlignment="1" applyBorder="1" applyFont="1">
      <alignment vertical="bottom"/>
    </xf>
    <xf borderId="4" fillId="11" fontId="3" numFmtId="166" xfId="0" applyAlignment="1" applyBorder="1" applyFont="1" applyNumberFormat="1">
      <alignment readingOrder="0"/>
    </xf>
    <xf borderId="4" fillId="0" fontId="14" numFmtId="0" xfId="0" applyAlignment="1" applyBorder="1" applyFont="1">
      <alignment readingOrder="0" shrinkToFit="0" vertical="bottom" wrapText="0"/>
    </xf>
    <xf borderId="4" fillId="0" fontId="3" numFmtId="165" xfId="0" applyAlignment="1" applyBorder="1" applyFont="1" applyNumberFormat="1">
      <alignment readingOrder="0"/>
    </xf>
    <xf borderId="4" fillId="0" fontId="5" numFmtId="0" xfId="0" applyAlignment="1" applyBorder="1" applyFont="1">
      <alignment vertical="bottom"/>
    </xf>
    <xf borderId="4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right" readingOrder="0" vertical="bottom"/>
    </xf>
    <xf borderId="4" fillId="0" fontId="5" numFmtId="0" xfId="0" applyAlignment="1" applyBorder="1" applyFont="1">
      <alignment horizontal="left" vertical="bottom"/>
    </xf>
    <xf borderId="4" fillId="0" fontId="5" numFmtId="0" xfId="0" applyAlignment="1" applyBorder="1" applyFont="1">
      <alignment horizontal="right" vertical="bottom"/>
    </xf>
    <xf borderId="4" fillId="11" fontId="5" numFmtId="0" xfId="0" applyAlignment="1" applyBorder="1" applyFont="1">
      <alignment horizontal="center" readingOrder="0" vertical="bottom"/>
    </xf>
    <xf borderId="4" fillId="11" fontId="5" numFmtId="0" xfId="0" applyAlignment="1" applyBorder="1" applyFont="1">
      <alignment horizontal="center" vertical="bottom"/>
    </xf>
    <xf borderId="4" fillId="11" fontId="5" numFmtId="0" xfId="0" applyAlignment="1" applyBorder="1" applyFont="1">
      <alignment horizontal="left" vertical="bottom"/>
    </xf>
    <xf borderId="4" fillId="11" fontId="5" numFmtId="0" xfId="0" applyAlignment="1" applyBorder="1" applyFont="1">
      <alignment horizontal="right" readingOrder="0" vertical="bottom"/>
    </xf>
    <xf borderId="4" fillId="11" fontId="14" numFmtId="0" xfId="0" applyAlignment="1" applyBorder="1" applyFont="1">
      <alignment readingOrder="0" shrinkToFit="0" vertical="bottom" wrapText="0"/>
    </xf>
    <xf borderId="4" fillId="10" fontId="3" numFmtId="0" xfId="0" applyAlignment="1" applyBorder="1" applyFont="1">
      <alignment readingOrder="0"/>
    </xf>
    <xf borderId="4" fillId="10" fontId="3" numFmtId="0" xfId="0" applyAlignment="1" applyBorder="1" applyFont="1">
      <alignment horizontal="center" readingOrder="0"/>
    </xf>
    <xf borderId="4" fillId="10" fontId="5" numFmtId="0" xfId="0" applyAlignment="1" applyBorder="1" applyFont="1">
      <alignment vertical="bottom"/>
    </xf>
    <xf borderId="4" fillId="10" fontId="5" numFmtId="0" xfId="0" applyAlignment="1" applyBorder="1" applyFont="1">
      <alignment horizontal="center" vertical="bottom"/>
    </xf>
    <xf borderId="4" fillId="10" fontId="5" numFmtId="0" xfId="0" applyAlignment="1" applyBorder="1" applyFont="1">
      <alignment readingOrder="0" vertical="bottom"/>
    </xf>
    <xf borderId="4" fillId="10" fontId="5" numFmtId="0" xfId="0" applyAlignment="1" applyBorder="1" applyFont="1">
      <alignment horizontal="right" readingOrder="0" vertical="bottom"/>
    </xf>
    <xf borderId="4" fillId="10" fontId="3" numFmtId="0" xfId="0" applyAlignment="1" applyBorder="1" applyFont="1">
      <alignment horizontal="center"/>
    </xf>
    <xf borderId="4" fillId="10" fontId="5" numFmtId="0" xfId="0" applyAlignment="1" applyBorder="1" applyFont="1">
      <alignment horizontal="left" vertical="bottom"/>
    </xf>
    <xf borderId="4" fillId="10" fontId="5" numFmtId="0" xfId="0" applyAlignment="1" applyBorder="1" applyFont="1">
      <alignment horizontal="right" vertical="bottom"/>
    </xf>
    <xf borderId="4" fillId="10" fontId="3" numFmtId="0" xfId="0" applyBorder="1" applyFont="1"/>
    <xf borderId="4" fillId="11" fontId="5" numFmtId="0" xfId="0" applyAlignment="1" applyBorder="1" applyFont="1">
      <alignment readingOrder="0" vertical="bottom"/>
    </xf>
    <xf borderId="4" fillId="11" fontId="5" numFmtId="165" xfId="0" applyAlignment="1" applyBorder="1" applyFont="1" applyNumberFormat="1">
      <alignment readingOrder="0" vertical="bottom"/>
    </xf>
    <xf borderId="0" fillId="11" fontId="7" numFmtId="0" xfId="0" applyAlignment="1" applyFont="1">
      <alignment readingOrder="0"/>
    </xf>
    <xf borderId="4" fillId="0" fontId="3" numFmtId="166" xfId="0" applyAlignment="1" applyBorder="1" applyFont="1" applyNumberFormat="1">
      <alignment readingOrder="0"/>
    </xf>
    <xf borderId="4" fillId="11" fontId="5" numFmtId="165" xfId="0" applyAlignment="1" applyBorder="1" applyFont="1" applyNumberFormat="1">
      <alignment horizontal="right" vertical="bottom"/>
    </xf>
    <xf borderId="4" fillId="10" fontId="5" numFmtId="0" xfId="0" applyAlignment="1" applyBorder="1" applyFont="1">
      <alignment horizontal="center" readingOrder="0" vertical="bottom"/>
    </xf>
    <xf borderId="4" fillId="10" fontId="3" numFmtId="0" xfId="0" applyAlignment="1" applyBorder="1" applyFont="1">
      <alignment horizontal="right" readingOrder="0"/>
    </xf>
    <xf borderId="4" fillId="10" fontId="3" numFmtId="0" xfId="0" applyAlignment="1" applyBorder="1" applyFont="1">
      <alignment horizontal="left"/>
    </xf>
    <xf borderId="4" fillId="0" fontId="14" numFmtId="0" xfId="0" applyAlignment="1" applyBorder="1" applyFont="1">
      <alignment horizontal="right" readingOrder="0" shrinkToFit="0" vertical="bottom" wrapText="0"/>
    </xf>
    <xf borderId="4" fillId="6" fontId="3" numFmtId="0" xfId="0" applyAlignment="1" applyBorder="1" applyFont="1">
      <alignment horizontal="center" readingOrder="0"/>
    </xf>
    <xf borderId="4" fillId="6" fontId="3" numFmtId="0" xfId="0" applyAlignment="1" applyBorder="1" applyFont="1">
      <alignment readingOrder="0"/>
    </xf>
    <xf borderId="4" fillId="6" fontId="3" numFmtId="0" xfId="0" applyAlignment="1" applyBorder="1" applyFont="1">
      <alignment horizontal="right"/>
    </xf>
    <xf borderId="4" fillId="6" fontId="3" numFmtId="0" xfId="0" applyBorder="1" applyFont="1"/>
    <xf borderId="4" fillId="6" fontId="3" numFmtId="0" xfId="0" applyAlignment="1" applyBorder="1" applyFont="1">
      <alignment horizontal="left"/>
    </xf>
    <xf borderId="4" fillId="6" fontId="3" numFmtId="165" xfId="0" applyAlignment="1" applyBorder="1" applyFont="1" applyNumberFormat="1">
      <alignment readingOrder="0"/>
    </xf>
    <xf borderId="4" fillId="6" fontId="3" numFmtId="0" xfId="0" applyAlignment="1" applyBorder="1" applyFont="1">
      <alignment horizontal="center"/>
    </xf>
    <xf borderId="4" fillId="6" fontId="3" numFmtId="0" xfId="0" applyAlignment="1" applyBorder="1" applyFont="1">
      <alignment horizontal="right" readingOrder="0"/>
    </xf>
    <xf borderId="4" fillId="10" fontId="3" numFmtId="0" xfId="0" applyAlignment="1" applyBorder="1" applyFont="1">
      <alignment horizontal="right"/>
    </xf>
    <xf borderId="4" fillId="0" fontId="3" numFmtId="0" xfId="0" applyAlignment="1" applyBorder="1" applyFont="1">
      <alignment horizontal="right"/>
    </xf>
    <xf borderId="4" fillId="0" fontId="3" numFmtId="0" xfId="0" applyAlignment="1" applyBorder="1" applyFont="1">
      <alignment horizontal="left" readingOrder="0"/>
    </xf>
    <xf borderId="0" fillId="11" fontId="3" numFmtId="0" xfId="0" applyAlignment="1" applyFont="1">
      <alignment horizontal="left"/>
    </xf>
    <xf borderId="0" fillId="11" fontId="3" numFmtId="0" xfId="0" applyAlignment="1" applyFont="1">
      <alignment horizontal="center"/>
    </xf>
    <xf borderId="0" fillId="7" fontId="3" numFmtId="0" xfId="0" applyAlignment="1" applyFont="1">
      <alignment readingOrder="0"/>
    </xf>
    <xf borderId="0" fillId="7" fontId="3" numFmtId="0" xfId="0" applyAlignment="1" applyFont="1">
      <alignment horizontal="center" readingOrder="0"/>
    </xf>
    <xf borderId="0" fillId="7" fontId="3" numFmtId="0" xfId="0" applyAlignment="1" applyFont="1">
      <alignment horizontal="left"/>
    </xf>
    <xf borderId="0" fillId="7" fontId="5" numFmtId="0" xfId="0" applyAlignment="1" applyFont="1">
      <alignment readingOrder="0" vertical="bottom"/>
    </xf>
    <xf borderId="0" fillId="7" fontId="3" numFmtId="0" xfId="0" applyAlignment="1" applyFont="1">
      <alignment horizontal="right" readingOrder="0"/>
    </xf>
    <xf borderId="0" fillId="7" fontId="3" numFmtId="0" xfId="0" applyAlignment="1" applyFont="1">
      <alignment horizontal="center"/>
    </xf>
    <xf borderId="0" fillId="7" fontId="3" numFmtId="165" xfId="0" applyAlignment="1" applyFont="1" applyNumberFormat="1">
      <alignment readingOrder="0"/>
    </xf>
    <xf borderId="0" fillId="6" fontId="3" numFmtId="0" xfId="0" applyAlignment="1" applyFont="1">
      <alignment horizontal="center"/>
    </xf>
    <xf borderId="0" fillId="3" fontId="3" numFmtId="0" xfId="0" applyAlignment="1" applyFont="1">
      <alignment readingOrder="0"/>
    </xf>
    <xf borderId="0" fillId="3" fontId="3" numFmtId="0" xfId="0" applyAlignment="1" applyFont="1">
      <alignment horizontal="center" readingOrder="0"/>
    </xf>
    <xf borderId="0" fillId="3" fontId="3" numFmtId="0" xfId="0" applyAlignment="1" applyFont="1">
      <alignment horizontal="left" readingOrder="0"/>
    </xf>
    <xf borderId="0" fillId="3" fontId="3" numFmtId="0" xfId="0" applyAlignment="1" applyFont="1">
      <alignment horizontal="right" readingOrder="0"/>
    </xf>
    <xf borderId="0" fillId="3" fontId="3" numFmtId="0" xfId="0" applyAlignment="1" applyFont="1">
      <alignment horizontal="center"/>
    </xf>
    <xf borderId="0" fillId="10" fontId="5" numFmtId="0" xfId="0" applyAlignment="1" applyFont="1">
      <alignment horizontal="center" readingOrder="0" vertical="bottom"/>
    </xf>
    <xf borderId="0" fillId="0" fontId="18" numFmtId="0" xfId="0" applyAlignment="1" applyFont="1">
      <alignment horizontal="right" readingOrder="0"/>
    </xf>
    <xf borderId="0" fillId="10" fontId="18" numFmtId="0" xfId="0" applyAlignment="1" applyFont="1">
      <alignment horizontal="right" readingOrder="0"/>
    </xf>
    <xf borderId="0" fillId="10" fontId="3" numFmtId="0" xfId="0" applyAlignment="1" applyFont="1">
      <alignment horizontal="right" readingOrder="0"/>
    </xf>
    <xf borderId="0" fillId="0" fontId="3" numFmtId="171" xfId="0" applyAlignment="1" applyFont="1" applyNumberFormat="1">
      <alignment readingOrder="0"/>
    </xf>
    <xf borderId="9" fillId="0" fontId="11" numFmtId="0" xfId="0" applyAlignment="1" applyBorder="1" applyFont="1">
      <alignment horizontal="center" readingOrder="0"/>
    </xf>
    <xf borderId="10" fillId="0" fontId="2" numFmtId="0" xfId="0" applyBorder="1" applyFont="1"/>
    <xf borderId="4" fillId="0" fontId="13" numFmtId="0" xfId="0" applyAlignment="1" applyBorder="1" applyFont="1">
      <alignment horizontal="left" readingOrder="0"/>
    </xf>
    <xf borderId="4" fillId="0" fontId="14" numFmtId="0" xfId="0" applyAlignment="1" applyBorder="1" applyFont="1">
      <alignment horizontal="left" readingOrder="0" shrinkToFit="0" vertical="bottom" wrapText="0"/>
    </xf>
    <xf borderId="4" fillId="0" fontId="5" numFmtId="0" xfId="0" applyAlignment="1" applyBorder="1" applyFont="1">
      <alignment horizontal="left" readingOrder="0" vertical="bottom"/>
    </xf>
    <xf borderId="4" fillId="0" fontId="5" numFmtId="165" xfId="0" applyAlignment="1" applyBorder="1" applyFont="1" applyNumberFormat="1">
      <alignment horizontal="left" vertical="bottom"/>
    </xf>
    <xf borderId="4" fillId="0" fontId="5" numFmtId="172" xfId="0" applyAlignment="1" applyBorder="1" applyFont="1" applyNumberFormat="1">
      <alignment horizontal="left" readingOrder="0" vertical="bottom"/>
    </xf>
    <xf borderId="4" fillId="0" fontId="5" numFmtId="168" xfId="0" applyAlignment="1" applyBorder="1" applyFont="1" applyNumberFormat="1">
      <alignment horizontal="left" readingOrder="0" vertical="bottom"/>
    </xf>
    <xf borderId="4" fillId="0" fontId="3" numFmtId="165" xfId="0" applyAlignment="1" applyBorder="1" applyFont="1" applyNumberFormat="1">
      <alignment horizontal="left" readingOrder="0"/>
    </xf>
    <xf borderId="0" fillId="0" fontId="3" numFmtId="173" xfId="0" applyAlignment="1" applyFont="1" applyNumberFormat="1">
      <alignment readingOrder="0"/>
    </xf>
    <xf borderId="0" fillId="0" fontId="3" numFmtId="172" xfId="0" applyAlignment="1" applyFont="1" applyNumberFormat="1">
      <alignment readingOrder="0"/>
    </xf>
    <xf borderId="0" fillId="3" fontId="5" numFmtId="0" xfId="0" applyAlignment="1" applyFont="1">
      <alignment horizontal="center" vertical="bottom"/>
    </xf>
    <xf borderId="4" fillId="0" fontId="3" numFmtId="0" xfId="0" applyAlignment="1" applyBorder="1" applyFont="1">
      <alignment horizontal="center" readingOrder="0" shrinkToFit="0" vertical="center" wrapText="0"/>
    </xf>
    <xf borderId="4" fillId="0" fontId="3" numFmtId="0" xfId="0" applyAlignment="1" applyBorder="1" applyFont="1">
      <alignment horizontal="left" readingOrder="0" shrinkToFit="0" vertical="center" wrapText="0"/>
    </xf>
    <xf borderId="4" fillId="0" fontId="10" numFmtId="0" xfId="0" applyAlignment="1" applyBorder="1" applyFon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4" fillId="0" fontId="14" numFmtId="0" xfId="0" applyAlignment="1" applyBorder="1" applyFont="1">
      <alignment horizontal="center" readingOrder="0" shrinkToFit="0" vertical="bottom" wrapText="0"/>
    </xf>
    <xf borderId="4" fillId="0" fontId="14" numFmtId="0" xfId="0" applyAlignment="1" applyBorder="1" applyFont="1">
      <alignment horizontal="center" readingOrder="0" shrinkToFit="0" vertical="bottom" wrapText="0"/>
    </xf>
    <xf borderId="4" fillId="12" fontId="14" numFmtId="0" xfId="0" applyAlignment="1" applyBorder="1" applyFill="1" applyFont="1">
      <alignment horizontal="left" readingOrder="0" shrinkToFit="0" vertical="bottom" wrapText="0"/>
    </xf>
    <xf borderId="4" fillId="0" fontId="14" numFmtId="0" xfId="0" applyAlignment="1" applyBorder="1" applyFont="1">
      <alignment horizontal="left" readingOrder="0" shrinkToFit="0" vertical="bottom" wrapText="0"/>
    </xf>
    <xf borderId="4" fillId="0" fontId="14" numFmtId="173" xfId="0" applyAlignment="1" applyBorder="1" applyFont="1" applyNumberFormat="1">
      <alignment horizontal="center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4" fillId="9" fontId="14" numFmtId="0" xfId="0" applyAlignment="1" applyBorder="1" applyFont="1">
      <alignment horizontal="lef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4" fillId="0" fontId="14" numFmtId="174" xfId="0" applyAlignment="1" applyBorder="1" applyFont="1" applyNumberFormat="1">
      <alignment horizontal="center" readingOrder="0" shrinkToFit="0" vertical="bottom" wrapText="0"/>
    </xf>
    <xf borderId="4" fillId="0" fontId="3" numFmtId="0" xfId="0" applyAlignment="1" applyBorder="1" applyFont="1">
      <alignment horizontal="center" readingOrder="0" shrinkToFit="0" vertical="center" wrapText="0"/>
    </xf>
    <xf borderId="4" fillId="0" fontId="3" numFmtId="0" xfId="0" applyAlignment="1" applyBorder="1" applyFont="1">
      <alignment readingOrder="0" shrinkToFit="0" vertical="center" wrapText="0"/>
    </xf>
    <xf borderId="4" fillId="9" fontId="3" numFmtId="0" xfId="0" applyAlignment="1" applyBorder="1" applyFont="1">
      <alignment horizontal="left" readingOrder="0" shrinkToFit="0" vertical="center" wrapText="0"/>
    </xf>
    <xf borderId="4" fillId="0" fontId="14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INDRA GANDHI 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22" displayName="Table1" name="Table1" id="1">
  <autoFilter ref="$A$1:$L$22"/>
  <tableColumns count="12">
    <tableColumn name="SR" id="1"/>
    <tableColumn name="NIC CODE" id="2"/>
    <tableColumn name="SR NO " id="3"/>
    <tableColumn name="CLASS" id="4"/>
    <tableColumn name="STREAM" id="5"/>
    <tableColumn name="STUDENT NAME" id="6"/>
    <tableColumn name="FATHER NAME" id="7"/>
    <tableColumn name="MOTHER NAME" id="8"/>
    <tableColumn name="D.O.B" id="9"/>
    <tableColumn name="GENDER" id="10"/>
    <tableColumn name="Cast Category" id="11"/>
    <tableColumn name="Column 1" id="12"/>
  </tableColumns>
  <tableStyleInfo name="INDRA GANDHI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88"/>
    <col customWidth="1" min="3" max="3" width="16.88"/>
    <col customWidth="1" min="4" max="4" width="22.25"/>
    <col customWidth="1" min="5" max="5" width="6.5"/>
    <col customWidth="1" min="6" max="6" width="4.75"/>
    <col customWidth="1" min="7" max="7" width="10.38"/>
    <col customWidth="1" min="8" max="8" width="10.25"/>
    <col customWidth="1" min="9" max="9" width="10.13"/>
    <col customWidth="1" min="10" max="10" width="4.75"/>
    <col customWidth="1" min="11" max="12" width="5.63"/>
    <col customWidth="1" min="13" max="13" width="6.88"/>
    <col customWidth="1" min="14" max="15" width="5.63"/>
    <col customWidth="1" min="16" max="16" width="1.88"/>
    <col customWidth="1" min="17" max="17" width="5.63"/>
    <col customWidth="1" min="18" max="18" width="4.75"/>
    <col customWidth="1" min="19" max="19" width="7.5"/>
    <col customWidth="1" min="20" max="20" width="5.88"/>
    <col customWidth="1" min="21" max="21" width="3.38"/>
    <col customWidth="1" min="22" max="22" width="5.38"/>
    <col customWidth="1" min="23" max="23" width="5.88"/>
    <col customWidth="1" min="24" max="24" width="3.38"/>
    <col customWidth="1" min="25" max="29" width="5.38"/>
  </cols>
  <sheetData>
    <row r="1">
      <c r="A1" s="1"/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/>
      <c r="B2" s="5">
        <v>42.0</v>
      </c>
      <c r="C2" s="6" t="s">
        <v>0</v>
      </c>
      <c r="D2" s="6" t="s">
        <v>1</v>
      </c>
      <c r="E2" s="7" t="s">
        <v>2</v>
      </c>
      <c r="F2" s="7">
        <v>1452.0</v>
      </c>
      <c r="G2" s="6" t="s">
        <v>3</v>
      </c>
      <c r="H2" s="5">
        <v>8.696158989E9</v>
      </c>
      <c r="I2" s="8">
        <v>45267.0</v>
      </c>
      <c r="K2" s="6">
        <v>20000.0</v>
      </c>
      <c r="L2" s="9"/>
      <c r="O2" s="9">
        <f t="shared" ref="O2:O3" si="1">(J2+K2+L2+M2-N2)</f>
        <v>20000</v>
      </c>
      <c r="P2" s="9">
        <f t="shared" ref="P2:P3" si="2">SUM(S2, V2, Y2)</f>
        <v>0</v>
      </c>
      <c r="Q2" s="9">
        <f t="shared" ref="Q2:Q3" si="3">(O2-P2)</f>
        <v>20000</v>
      </c>
      <c r="AC2" s="10"/>
    </row>
    <row r="3">
      <c r="A3" s="5"/>
      <c r="B3" s="5">
        <v>64.0</v>
      </c>
      <c r="C3" s="6" t="s">
        <v>4</v>
      </c>
      <c r="D3" s="6" t="s">
        <v>5</v>
      </c>
      <c r="E3" s="7" t="s">
        <v>2</v>
      </c>
      <c r="F3" s="7">
        <v>1281.0</v>
      </c>
      <c r="H3" s="5">
        <v>9.001530238E9</v>
      </c>
      <c r="I3" s="11" t="s">
        <v>6</v>
      </c>
      <c r="K3" s="6">
        <v>20000.0</v>
      </c>
      <c r="L3" s="9"/>
      <c r="O3" s="9">
        <f t="shared" si="1"/>
        <v>20000</v>
      </c>
      <c r="P3" s="9">
        <f t="shared" si="2"/>
        <v>0</v>
      </c>
      <c r="Q3" s="9">
        <f t="shared" si="3"/>
        <v>20000</v>
      </c>
    </row>
    <row r="4">
      <c r="A4" s="5"/>
      <c r="D4" s="7"/>
      <c r="E4" s="7"/>
      <c r="G4" s="5"/>
      <c r="H4" s="8"/>
      <c r="I4" s="12" t="s">
        <v>7</v>
      </c>
      <c r="K4" s="9"/>
      <c r="N4" s="9"/>
      <c r="O4" s="9"/>
      <c r="P4" s="9"/>
    </row>
    <row r="5">
      <c r="A5" s="5"/>
      <c r="D5" s="7"/>
      <c r="E5" s="7"/>
      <c r="G5" s="5"/>
      <c r="H5" s="11"/>
      <c r="K5" s="9"/>
      <c r="N5" s="9"/>
      <c r="O5" s="9"/>
      <c r="P5" s="9"/>
    </row>
    <row r="6">
      <c r="A6" s="5"/>
      <c r="D6" s="7"/>
      <c r="E6" s="7"/>
      <c r="G6" s="5"/>
      <c r="H6" s="8"/>
      <c r="K6" s="9"/>
      <c r="N6" s="9"/>
      <c r="O6" s="9"/>
      <c r="P6" s="9"/>
    </row>
    <row r="7">
      <c r="A7" s="5"/>
      <c r="D7" s="7"/>
      <c r="E7" s="7"/>
      <c r="G7" s="5"/>
      <c r="H7" s="11"/>
      <c r="K7" s="9"/>
      <c r="N7" s="9"/>
      <c r="O7" s="9"/>
      <c r="P7" s="9"/>
      <c r="AB7" s="10"/>
      <c r="AC7" s="10"/>
    </row>
    <row r="8">
      <c r="A8" s="5"/>
      <c r="D8" s="7"/>
      <c r="E8" s="7"/>
      <c r="G8" s="5"/>
      <c r="H8" s="8"/>
      <c r="K8" s="9"/>
      <c r="N8" s="9"/>
      <c r="O8" s="9"/>
      <c r="P8" s="9"/>
    </row>
    <row r="9">
      <c r="A9" s="5"/>
      <c r="D9" s="7"/>
      <c r="E9" s="7"/>
      <c r="G9" s="5"/>
      <c r="H9" s="11"/>
      <c r="K9" s="9"/>
      <c r="N9" s="9"/>
      <c r="O9" s="9"/>
      <c r="P9" s="9"/>
    </row>
    <row r="10">
      <c r="A10" s="5"/>
      <c r="D10" s="7"/>
      <c r="E10" s="7"/>
      <c r="G10" s="5"/>
      <c r="H10" s="8"/>
      <c r="K10" s="9"/>
      <c r="N10" s="9"/>
      <c r="O10" s="9"/>
      <c r="P10" s="9"/>
    </row>
    <row r="11">
      <c r="A11" s="5"/>
      <c r="D11" s="7"/>
      <c r="E11" s="7"/>
      <c r="G11" s="5"/>
      <c r="H11" s="11"/>
      <c r="K11" s="9"/>
      <c r="N11" s="9"/>
      <c r="O11" s="9"/>
      <c r="P11" s="9"/>
    </row>
    <row r="12">
      <c r="A12" s="5"/>
      <c r="D12" s="7"/>
      <c r="E12" s="7"/>
      <c r="G12" s="5"/>
      <c r="H12" s="8"/>
      <c r="K12" s="9"/>
      <c r="N12" s="9"/>
      <c r="O12" s="9"/>
      <c r="P12" s="9"/>
    </row>
    <row r="13">
      <c r="A13" s="5"/>
      <c r="D13" s="7"/>
      <c r="E13" s="7"/>
      <c r="G13" s="5"/>
      <c r="H13" s="11"/>
      <c r="K13" s="9"/>
      <c r="N13" s="9"/>
      <c r="O13" s="9"/>
      <c r="P13" s="9"/>
    </row>
    <row r="14">
      <c r="A14" s="5"/>
      <c r="D14" s="7"/>
      <c r="E14" s="7"/>
      <c r="G14" s="5"/>
      <c r="H14" s="8"/>
      <c r="K14" s="9"/>
      <c r="N14" s="9"/>
      <c r="O14" s="9"/>
      <c r="P14" s="9"/>
    </row>
    <row r="15">
      <c r="A15" s="5"/>
      <c r="D15" s="7"/>
      <c r="E15" s="7"/>
      <c r="G15" s="5"/>
      <c r="H15" s="11"/>
      <c r="K15" s="9"/>
      <c r="N15" s="9"/>
      <c r="O15" s="9"/>
      <c r="P15" s="9"/>
      <c r="AB15" s="10"/>
      <c r="AC15" s="10"/>
    </row>
    <row r="16">
      <c r="A16" s="5"/>
      <c r="D16" s="7"/>
      <c r="E16" s="7"/>
      <c r="G16" s="5"/>
      <c r="H16" s="8"/>
      <c r="K16" s="9"/>
      <c r="N16" s="9"/>
      <c r="O16" s="9"/>
      <c r="P16" s="9"/>
    </row>
    <row r="17">
      <c r="A17" s="5"/>
      <c r="D17" s="7"/>
      <c r="E17" s="7"/>
      <c r="G17" s="5"/>
      <c r="H17" s="11"/>
      <c r="K17" s="9"/>
      <c r="N17" s="9"/>
      <c r="O17" s="9"/>
      <c r="P17" s="9"/>
    </row>
    <row r="18">
      <c r="E18" s="9"/>
      <c r="H18" s="9"/>
      <c r="I18" s="9"/>
      <c r="K18" s="9"/>
      <c r="M18" s="9"/>
      <c r="N18" s="9"/>
      <c r="O18" s="9"/>
    </row>
    <row r="19" ht="15.0" customHeight="1">
      <c r="A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5"/>
      <c r="B20" s="6"/>
      <c r="C20" s="6"/>
      <c r="D20" s="6"/>
      <c r="E20" s="13"/>
      <c r="F20" s="6"/>
      <c r="L20" s="9"/>
      <c r="M20" s="9"/>
      <c r="N20" s="9"/>
      <c r="O20" s="9"/>
    </row>
    <row r="21">
      <c r="A21" s="5"/>
      <c r="B21" s="10"/>
      <c r="C21" s="10"/>
      <c r="D21" s="14"/>
      <c r="F21" s="10"/>
      <c r="G21" s="15"/>
      <c r="H21" s="15"/>
      <c r="I21" s="15"/>
      <c r="J21" s="15"/>
      <c r="K21" s="10"/>
      <c r="L21" s="15"/>
      <c r="M21" s="9"/>
      <c r="N21" s="9"/>
      <c r="O21" s="9"/>
      <c r="P21" s="10"/>
      <c r="Q21" s="16"/>
      <c r="R21" s="16"/>
      <c r="S21" s="17"/>
      <c r="T21" s="10"/>
      <c r="U21" s="10"/>
      <c r="V21" s="10"/>
      <c r="W21" s="10"/>
      <c r="X21" s="10"/>
      <c r="Y21" s="10"/>
    </row>
    <row r="22">
      <c r="A22" s="5"/>
      <c r="B22" s="6"/>
      <c r="C22" s="6"/>
      <c r="D22" s="6"/>
      <c r="E22" s="13"/>
      <c r="F22" s="6"/>
      <c r="G22" s="6"/>
      <c r="L22" s="9"/>
      <c r="M22" s="9"/>
      <c r="N22" s="9"/>
      <c r="O22" s="9"/>
    </row>
    <row r="23">
      <c r="A23" s="5"/>
      <c r="B23" s="6"/>
      <c r="C23" s="6"/>
      <c r="D23" s="6"/>
      <c r="E23" s="13"/>
      <c r="F23" s="6"/>
      <c r="G23" s="6"/>
      <c r="L23" s="9"/>
      <c r="M23" s="9"/>
      <c r="N23" s="9"/>
      <c r="O23" s="9"/>
    </row>
    <row r="24">
      <c r="A24" s="5"/>
      <c r="B24" s="14"/>
      <c r="C24" s="10"/>
      <c r="D24" s="14"/>
      <c r="F24" s="10"/>
      <c r="G24" s="10"/>
      <c r="H24" s="10"/>
      <c r="I24" s="15"/>
      <c r="J24" s="10"/>
      <c r="K24" s="10"/>
      <c r="L24" s="15"/>
      <c r="M24" s="9"/>
      <c r="N24" s="9"/>
      <c r="O24" s="9"/>
      <c r="P24" s="10"/>
      <c r="Q24" s="16"/>
      <c r="R24" s="16"/>
      <c r="S24" s="17"/>
      <c r="T24" s="10"/>
      <c r="U24" s="10"/>
      <c r="V24" s="10"/>
      <c r="W24" s="10"/>
      <c r="X24" s="10"/>
      <c r="Y24" s="10"/>
    </row>
    <row r="25" ht="15.75" customHeight="1">
      <c r="A25" s="5"/>
      <c r="B25" s="6"/>
      <c r="C25" s="6"/>
      <c r="D25" s="6"/>
      <c r="E25" s="13"/>
      <c r="F25" s="6"/>
      <c r="G25" s="6"/>
      <c r="L25" s="9"/>
      <c r="M25" s="9"/>
      <c r="N25" s="9"/>
      <c r="O25" s="9"/>
    </row>
    <row r="26">
      <c r="A26" s="5"/>
      <c r="B26" s="18"/>
      <c r="C26" s="18"/>
      <c r="D26" s="6"/>
      <c r="E26" s="19"/>
      <c r="F26" s="18"/>
      <c r="G26" s="20"/>
      <c r="H26" s="21"/>
      <c r="I26" s="21"/>
      <c r="J26" s="21"/>
      <c r="K26" s="18"/>
      <c r="L26" s="21"/>
      <c r="M26" s="22"/>
      <c r="N26" s="22"/>
      <c r="O26" s="22"/>
      <c r="P26" s="18"/>
      <c r="Q26" s="23"/>
      <c r="R26" s="23"/>
      <c r="S26" s="24"/>
      <c r="T26" s="18"/>
      <c r="U26" s="18"/>
      <c r="V26" s="18"/>
      <c r="W26" s="18"/>
      <c r="X26" s="18"/>
      <c r="Y26" s="18"/>
    </row>
    <row r="27">
      <c r="A27" s="5"/>
      <c r="B27" s="6"/>
      <c r="C27" s="6"/>
      <c r="D27" s="6"/>
      <c r="E27" s="13"/>
      <c r="F27" s="6"/>
      <c r="G27" s="6"/>
      <c r="L27" s="9"/>
      <c r="M27" s="9"/>
      <c r="N27" s="9"/>
      <c r="O27" s="9"/>
    </row>
    <row r="28">
      <c r="A28" s="5"/>
      <c r="B28" s="6"/>
      <c r="C28" s="6"/>
      <c r="D28" s="6"/>
      <c r="E28" s="13"/>
      <c r="F28" s="6"/>
      <c r="G28" s="6"/>
      <c r="L28" s="9"/>
      <c r="M28" s="9"/>
      <c r="N28" s="9"/>
      <c r="O28" s="9"/>
    </row>
    <row r="29">
      <c r="A29" s="5"/>
      <c r="B29" s="6"/>
      <c r="C29" s="6"/>
      <c r="D29" s="6"/>
      <c r="E29" s="13"/>
      <c r="F29" s="6"/>
      <c r="G29" s="6"/>
      <c r="L29" s="9"/>
      <c r="M29" s="9"/>
      <c r="N29" s="9"/>
      <c r="O29" s="9"/>
    </row>
    <row r="30">
      <c r="A30" s="5"/>
      <c r="B30" s="6"/>
      <c r="C30" s="6"/>
      <c r="D30" s="6"/>
      <c r="E30" s="13"/>
      <c r="F30" s="6"/>
      <c r="G30" s="6"/>
      <c r="L30" s="9"/>
      <c r="M30" s="9"/>
      <c r="N30" s="9"/>
      <c r="O30" s="9"/>
    </row>
    <row r="31">
      <c r="A31" s="5"/>
      <c r="B31" s="10"/>
      <c r="C31" s="10"/>
      <c r="D31" s="14"/>
      <c r="E31" s="10"/>
      <c r="F31" s="14"/>
      <c r="G31" s="14"/>
      <c r="H31" s="10"/>
      <c r="I31" s="15"/>
      <c r="J31" s="10"/>
      <c r="K31" s="10"/>
      <c r="L31" s="15"/>
      <c r="M31" s="9"/>
      <c r="N31" s="9"/>
      <c r="O31" s="9"/>
      <c r="P31" s="10"/>
      <c r="Q31" s="16"/>
      <c r="R31" s="16"/>
      <c r="S31" s="10"/>
      <c r="T31" s="10"/>
      <c r="U31" s="10"/>
      <c r="W31" s="10"/>
      <c r="X31" s="10"/>
      <c r="Y31" s="10"/>
    </row>
    <row r="32">
      <c r="A32" s="5"/>
      <c r="B32" s="18"/>
      <c r="C32" s="18"/>
      <c r="D32" s="25"/>
      <c r="E32" s="19"/>
      <c r="F32" s="18"/>
      <c r="G32" s="20"/>
      <c r="H32" s="18"/>
      <c r="I32" s="21"/>
      <c r="J32" s="18"/>
      <c r="K32" s="18"/>
      <c r="L32" s="21"/>
      <c r="M32" s="22"/>
      <c r="N32" s="22"/>
      <c r="O32" s="22"/>
      <c r="P32" s="18"/>
      <c r="Q32" s="23"/>
      <c r="R32" s="23"/>
      <c r="S32" s="18"/>
      <c r="T32" s="18"/>
      <c r="U32" s="18"/>
      <c r="V32" s="18"/>
      <c r="W32" s="18"/>
      <c r="X32" s="18"/>
      <c r="Y32" s="18"/>
    </row>
    <row r="33">
      <c r="A33" s="5"/>
      <c r="E33" s="7"/>
      <c r="I33" s="26"/>
      <c r="L33" s="5"/>
      <c r="M33" s="9"/>
      <c r="N33" s="22"/>
      <c r="O33" s="9"/>
      <c r="S33" s="27"/>
    </row>
    <row r="34">
      <c r="A34" s="5"/>
      <c r="E34" s="7"/>
      <c r="L34" s="5"/>
      <c r="M34" s="9"/>
      <c r="N34" s="22"/>
      <c r="O34" s="9"/>
    </row>
    <row r="35">
      <c r="A35" s="26"/>
      <c r="B35" s="6"/>
      <c r="C35" s="6"/>
      <c r="D35" s="6"/>
      <c r="E35" s="9"/>
      <c r="F35" s="6"/>
      <c r="G35" s="6"/>
      <c r="H35" s="5"/>
      <c r="I35" s="5"/>
      <c r="K35" s="9"/>
      <c r="M35" s="9"/>
      <c r="N35" s="22"/>
      <c r="O35" s="9"/>
      <c r="S35" s="27"/>
    </row>
    <row r="36">
      <c r="A36" s="26"/>
      <c r="B36" s="6"/>
      <c r="C36" s="6"/>
      <c r="D36" s="6"/>
      <c r="E36" s="9"/>
      <c r="F36" s="6"/>
      <c r="G36" s="6"/>
      <c r="H36" s="9"/>
      <c r="I36" s="9"/>
      <c r="K36" s="9"/>
      <c r="M36" s="9"/>
      <c r="N36" s="9"/>
      <c r="O36" s="9"/>
    </row>
    <row r="37">
      <c r="E37" s="9"/>
      <c r="H37" s="9"/>
      <c r="I37" s="9"/>
      <c r="K37" s="9"/>
      <c r="M37" s="9"/>
      <c r="N37" s="9"/>
      <c r="O37" s="9"/>
    </row>
    <row r="38">
      <c r="E38" s="9"/>
      <c r="H38" s="9"/>
      <c r="I38" s="9"/>
      <c r="K38" s="9"/>
      <c r="M38" s="9"/>
      <c r="N38" s="9"/>
      <c r="O38" s="9"/>
    </row>
    <row r="39">
      <c r="E39" s="9"/>
      <c r="H39" s="9"/>
      <c r="I39" s="9"/>
      <c r="K39" s="9"/>
      <c r="M39" s="9"/>
      <c r="N39" s="9"/>
      <c r="O39" s="9"/>
    </row>
    <row r="40">
      <c r="E40" s="9"/>
      <c r="H40" s="9"/>
      <c r="I40" s="9"/>
      <c r="K40" s="9"/>
      <c r="M40" s="9"/>
      <c r="N40" s="9"/>
      <c r="O40" s="9"/>
    </row>
    <row r="41">
      <c r="E41" s="9"/>
      <c r="H41" s="9"/>
      <c r="I41" s="9"/>
      <c r="K41" s="9"/>
      <c r="M41" s="9"/>
      <c r="N41" s="9"/>
      <c r="O41" s="9"/>
    </row>
    <row r="42">
      <c r="E42" s="9"/>
      <c r="H42" s="9"/>
      <c r="I42" s="9"/>
      <c r="K42" s="9"/>
      <c r="M42" s="9"/>
      <c r="N42" s="9"/>
      <c r="O42" s="9"/>
    </row>
    <row r="43">
      <c r="E43" s="9"/>
      <c r="H43" s="9"/>
      <c r="I43" s="9"/>
      <c r="K43" s="9"/>
      <c r="M43" s="9"/>
      <c r="N43" s="9"/>
      <c r="O43" s="9"/>
    </row>
    <row r="44">
      <c r="E44" s="9"/>
      <c r="H44" s="9"/>
      <c r="I44" s="9"/>
      <c r="K44" s="9"/>
      <c r="M44" s="9"/>
      <c r="N44" s="9"/>
      <c r="O44" s="9"/>
    </row>
    <row r="45">
      <c r="E45" s="9"/>
      <c r="H45" s="9"/>
      <c r="I45" s="9"/>
      <c r="K45" s="9"/>
      <c r="M45" s="9"/>
      <c r="N45" s="9"/>
      <c r="O45" s="9"/>
    </row>
    <row r="46">
      <c r="E46" s="9"/>
      <c r="H46" s="9"/>
      <c r="I46" s="9"/>
      <c r="K46" s="9"/>
      <c r="M46" s="9"/>
      <c r="N46" s="9"/>
      <c r="O46" s="9"/>
    </row>
    <row r="47">
      <c r="E47" s="9"/>
      <c r="H47" s="9"/>
      <c r="I47" s="9"/>
      <c r="K47" s="9"/>
      <c r="M47" s="9"/>
      <c r="N47" s="9"/>
      <c r="O47" s="9"/>
    </row>
    <row r="48">
      <c r="E48" s="9"/>
      <c r="H48" s="9"/>
      <c r="I48" s="9"/>
      <c r="K48" s="9"/>
      <c r="M48" s="9"/>
      <c r="N48" s="9"/>
      <c r="O48" s="9"/>
    </row>
    <row r="49">
      <c r="E49" s="9"/>
      <c r="H49" s="9"/>
      <c r="I49" s="9"/>
      <c r="K49" s="9"/>
      <c r="M49" s="9"/>
      <c r="N49" s="9"/>
      <c r="O49" s="9"/>
    </row>
    <row r="50">
      <c r="E50" s="9"/>
      <c r="H50" s="9"/>
      <c r="I50" s="9"/>
      <c r="K50" s="9"/>
      <c r="M50" s="9"/>
      <c r="N50" s="9"/>
      <c r="O50" s="9"/>
    </row>
    <row r="51">
      <c r="E51" s="9"/>
      <c r="H51" s="9"/>
      <c r="I51" s="9"/>
      <c r="K51" s="9"/>
      <c r="M51" s="9"/>
      <c r="N51" s="9"/>
      <c r="O51" s="9"/>
    </row>
    <row r="52" ht="15.75" customHeight="1">
      <c r="E52" s="9"/>
      <c r="H52" s="9"/>
      <c r="I52" s="9"/>
      <c r="K52" s="9"/>
      <c r="M52" s="9"/>
      <c r="N52" s="9"/>
      <c r="O52" s="9"/>
    </row>
    <row r="53">
      <c r="E53" s="9"/>
      <c r="H53" s="9"/>
      <c r="I53" s="9"/>
      <c r="K53" s="9"/>
      <c r="M53" s="9"/>
      <c r="N53" s="9"/>
      <c r="O53" s="9"/>
    </row>
    <row r="54">
      <c r="E54" s="9"/>
      <c r="H54" s="9"/>
      <c r="I54" s="9"/>
      <c r="K54" s="9"/>
      <c r="M54" s="9"/>
      <c r="N54" s="9"/>
      <c r="O54" s="9"/>
    </row>
    <row r="55">
      <c r="E55" s="9"/>
      <c r="H55" s="9"/>
      <c r="I55" s="9"/>
      <c r="K55" s="9"/>
      <c r="M55" s="9"/>
      <c r="N55" s="9"/>
      <c r="O55" s="9"/>
    </row>
    <row r="56">
      <c r="E56" s="9"/>
      <c r="H56" s="9"/>
      <c r="I56" s="9"/>
      <c r="K56" s="9"/>
      <c r="M56" s="9"/>
      <c r="N56" s="9"/>
      <c r="O56" s="9"/>
    </row>
    <row r="57">
      <c r="E57" s="9"/>
      <c r="H57" s="9"/>
      <c r="I57" s="9"/>
      <c r="K57" s="9"/>
      <c r="M57" s="9"/>
      <c r="N57" s="9"/>
      <c r="O57" s="9"/>
    </row>
    <row r="58">
      <c r="E58" s="9"/>
      <c r="H58" s="9"/>
      <c r="I58" s="9"/>
      <c r="K58" s="9"/>
      <c r="M58" s="9"/>
      <c r="N58" s="9"/>
      <c r="O58" s="9"/>
    </row>
    <row r="59">
      <c r="E59" s="9"/>
      <c r="H59" s="9"/>
      <c r="I59" s="9"/>
      <c r="K59" s="9"/>
      <c r="M59" s="9"/>
      <c r="N59" s="9"/>
      <c r="O59" s="9"/>
    </row>
    <row r="60">
      <c r="E60" s="9"/>
      <c r="H60" s="9"/>
      <c r="I60" s="9"/>
      <c r="K60" s="9"/>
      <c r="M60" s="9"/>
      <c r="N60" s="9"/>
      <c r="O60" s="9"/>
    </row>
    <row r="61">
      <c r="E61" s="9"/>
      <c r="H61" s="9"/>
      <c r="I61" s="9"/>
      <c r="K61" s="9"/>
      <c r="M61" s="9"/>
      <c r="N61" s="9"/>
      <c r="O61" s="9"/>
    </row>
    <row r="62">
      <c r="E62" s="9"/>
      <c r="H62" s="9"/>
      <c r="I62" s="9"/>
      <c r="K62" s="9"/>
      <c r="M62" s="9"/>
      <c r="N62" s="9"/>
      <c r="O62" s="9"/>
    </row>
    <row r="63">
      <c r="E63" s="9"/>
      <c r="H63" s="9"/>
      <c r="I63" s="9"/>
      <c r="K63" s="9"/>
      <c r="M63" s="9"/>
      <c r="N63" s="9"/>
      <c r="O63" s="9"/>
    </row>
    <row r="64">
      <c r="E64" s="9"/>
      <c r="H64" s="9"/>
      <c r="I64" s="9"/>
      <c r="K64" s="9"/>
      <c r="M64" s="9"/>
      <c r="N64" s="9"/>
      <c r="O64" s="9"/>
    </row>
    <row r="65">
      <c r="E65" s="9"/>
      <c r="H65" s="9"/>
      <c r="I65" s="9"/>
      <c r="K65" s="9"/>
      <c r="M65" s="9"/>
      <c r="N65" s="9"/>
      <c r="O65" s="9"/>
    </row>
    <row r="66">
      <c r="E66" s="9"/>
      <c r="H66" s="9"/>
      <c r="I66" s="9"/>
      <c r="K66" s="9"/>
      <c r="M66" s="9"/>
      <c r="N66" s="9"/>
      <c r="O66" s="9"/>
    </row>
    <row r="67">
      <c r="E67" s="9"/>
      <c r="H67" s="9"/>
      <c r="I67" s="9"/>
      <c r="K67" s="9"/>
      <c r="M67" s="9"/>
      <c r="N67" s="9"/>
      <c r="O67" s="9"/>
    </row>
    <row r="68">
      <c r="E68" s="9"/>
      <c r="H68" s="9"/>
      <c r="I68" s="9"/>
      <c r="K68" s="9"/>
      <c r="M68" s="9"/>
      <c r="N68" s="9"/>
      <c r="O68" s="9"/>
    </row>
    <row r="69">
      <c r="E69" s="9"/>
      <c r="H69" s="9"/>
      <c r="I69" s="9"/>
      <c r="K69" s="9"/>
      <c r="M69" s="9"/>
      <c r="N69" s="9"/>
      <c r="O69" s="9"/>
    </row>
    <row r="70">
      <c r="E70" s="9"/>
      <c r="H70" s="9"/>
      <c r="I70" s="9"/>
      <c r="K70" s="9"/>
      <c r="M70" s="9"/>
      <c r="N70" s="9"/>
      <c r="O70" s="9"/>
    </row>
    <row r="71">
      <c r="E71" s="9"/>
      <c r="H71" s="9"/>
      <c r="I71" s="9"/>
      <c r="K71" s="9"/>
      <c r="M71" s="9"/>
      <c r="N71" s="9"/>
      <c r="O71" s="9"/>
    </row>
    <row r="72">
      <c r="E72" s="9"/>
      <c r="H72" s="9"/>
      <c r="I72" s="9"/>
      <c r="K72" s="9"/>
      <c r="M72" s="9"/>
      <c r="N72" s="9"/>
      <c r="O72" s="9"/>
    </row>
    <row r="73">
      <c r="E73" s="9"/>
      <c r="H73" s="9"/>
      <c r="I73" s="9"/>
      <c r="K73" s="9"/>
      <c r="M73" s="9"/>
      <c r="N73" s="9"/>
      <c r="O73" s="9"/>
    </row>
    <row r="74">
      <c r="E74" s="9"/>
      <c r="H74" s="9"/>
      <c r="I74" s="9"/>
      <c r="K74" s="9"/>
      <c r="M74" s="9"/>
      <c r="N74" s="9"/>
      <c r="O74" s="9"/>
    </row>
    <row r="75">
      <c r="E75" s="9"/>
      <c r="H75" s="9"/>
      <c r="I75" s="9"/>
      <c r="K75" s="9"/>
      <c r="M75" s="9"/>
      <c r="N75" s="9"/>
      <c r="O75" s="9"/>
    </row>
    <row r="76">
      <c r="E76" s="9"/>
      <c r="H76" s="9"/>
      <c r="I76" s="9"/>
      <c r="K76" s="9"/>
      <c r="M76" s="9"/>
      <c r="N76" s="9"/>
      <c r="O76" s="9"/>
    </row>
    <row r="77">
      <c r="E77" s="9"/>
      <c r="H77" s="9"/>
      <c r="I77" s="9"/>
      <c r="K77" s="9"/>
      <c r="M77" s="9"/>
      <c r="N77" s="9"/>
      <c r="O77" s="9"/>
    </row>
    <row r="78">
      <c r="E78" s="9"/>
      <c r="H78" s="9"/>
      <c r="I78" s="9"/>
      <c r="K78" s="9"/>
      <c r="M78" s="9"/>
      <c r="N78" s="9"/>
      <c r="O78" s="9"/>
    </row>
    <row r="79">
      <c r="E79" s="9"/>
      <c r="H79" s="9"/>
      <c r="I79" s="9"/>
      <c r="K79" s="9"/>
      <c r="M79" s="9"/>
      <c r="N79" s="9"/>
      <c r="O79" s="9"/>
    </row>
    <row r="80">
      <c r="E80" s="9"/>
      <c r="H80" s="9"/>
      <c r="I80" s="9"/>
      <c r="K80" s="9"/>
      <c r="M80" s="9"/>
      <c r="N80" s="9"/>
      <c r="O80" s="9"/>
    </row>
    <row r="81">
      <c r="E81" s="9"/>
      <c r="H81" s="9"/>
      <c r="I81" s="9"/>
      <c r="K81" s="9"/>
      <c r="M81" s="9"/>
      <c r="N81" s="9"/>
      <c r="O81" s="9"/>
    </row>
    <row r="82">
      <c r="E82" s="9"/>
      <c r="H82" s="9"/>
      <c r="I82" s="9"/>
      <c r="K82" s="9"/>
      <c r="M82" s="9"/>
      <c r="N82" s="9"/>
      <c r="O82" s="9"/>
    </row>
    <row r="83">
      <c r="E83" s="9"/>
      <c r="H83" s="9"/>
      <c r="I83" s="9"/>
      <c r="K83" s="9"/>
      <c r="M83" s="9"/>
      <c r="N83" s="9"/>
      <c r="O83" s="9"/>
    </row>
    <row r="84">
      <c r="E84" s="9"/>
      <c r="H84" s="9"/>
      <c r="I84" s="9"/>
      <c r="K84" s="9"/>
      <c r="M84" s="9"/>
      <c r="N84" s="9"/>
      <c r="O84" s="9"/>
    </row>
    <row r="85">
      <c r="E85" s="9"/>
      <c r="H85" s="9"/>
      <c r="I85" s="9"/>
      <c r="K85" s="9"/>
      <c r="M85" s="9"/>
      <c r="N85" s="9"/>
      <c r="O85" s="9"/>
    </row>
    <row r="86">
      <c r="E86" s="9"/>
      <c r="H86" s="9"/>
      <c r="I86" s="9"/>
      <c r="K86" s="9"/>
      <c r="M86" s="9"/>
      <c r="N86" s="9"/>
      <c r="O86" s="9"/>
    </row>
    <row r="87">
      <c r="E87" s="9"/>
      <c r="H87" s="9"/>
      <c r="I87" s="9"/>
      <c r="K87" s="9"/>
      <c r="M87" s="9"/>
      <c r="N87" s="9"/>
      <c r="O87" s="9"/>
    </row>
    <row r="88">
      <c r="E88" s="9"/>
      <c r="H88" s="9"/>
      <c r="I88" s="9"/>
      <c r="K88" s="9"/>
      <c r="M88" s="9"/>
      <c r="N88" s="9"/>
      <c r="O88" s="9"/>
    </row>
    <row r="89">
      <c r="E89" s="9"/>
      <c r="H89" s="9"/>
      <c r="I89" s="9"/>
      <c r="K89" s="9"/>
      <c r="M89" s="9"/>
      <c r="N89" s="9"/>
      <c r="O89" s="9"/>
    </row>
    <row r="90">
      <c r="E90" s="9"/>
      <c r="H90" s="9"/>
      <c r="I90" s="9"/>
      <c r="K90" s="9"/>
      <c r="M90" s="9"/>
      <c r="N90" s="9"/>
      <c r="O90" s="9"/>
    </row>
    <row r="91">
      <c r="E91" s="9"/>
      <c r="H91" s="9"/>
      <c r="I91" s="9"/>
      <c r="K91" s="9"/>
      <c r="M91" s="9"/>
      <c r="N91" s="9"/>
      <c r="O91" s="9"/>
    </row>
    <row r="92">
      <c r="E92" s="9"/>
      <c r="H92" s="9"/>
      <c r="I92" s="9"/>
      <c r="K92" s="9"/>
      <c r="M92" s="9"/>
      <c r="N92" s="9"/>
      <c r="O92" s="9"/>
    </row>
    <row r="93">
      <c r="E93" s="9"/>
      <c r="H93" s="9"/>
      <c r="I93" s="9"/>
      <c r="K93" s="9"/>
      <c r="M93" s="9"/>
      <c r="N93" s="9"/>
      <c r="O93" s="9"/>
    </row>
    <row r="94">
      <c r="E94" s="9"/>
      <c r="H94" s="9"/>
      <c r="I94" s="9"/>
      <c r="K94" s="9"/>
      <c r="M94" s="9"/>
      <c r="N94" s="9"/>
      <c r="O94" s="9"/>
    </row>
    <row r="95">
      <c r="E95" s="9"/>
      <c r="H95" s="9"/>
      <c r="I95" s="9"/>
      <c r="K95" s="9"/>
      <c r="M95" s="9"/>
      <c r="N95" s="9"/>
      <c r="O95" s="9"/>
    </row>
    <row r="96">
      <c r="E96" s="9"/>
      <c r="H96" s="9"/>
      <c r="I96" s="9"/>
      <c r="K96" s="9"/>
      <c r="M96" s="9"/>
      <c r="N96" s="9"/>
      <c r="O96" s="9"/>
    </row>
    <row r="97">
      <c r="E97" s="9"/>
      <c r="H97" s="9"/>
      <c r="I97" s="9"/>
      <c r="K97" s="9"/>
      <c r="M97" s="9"/>
      <c r="N97" s="9"/>
      <c r="O97" s="9"/>
    </row>
    <row r="98">
      <c r="E98" s="9"/>
      <c r="H98" s="9"/>
      <c r="I98" s="9"/>
      <c r="K98" s="9"/>
      <c r="M98" s="9"/>
      <c r="N98" s="9"/>
      <c r="O98" s="9"/>
    </row>
    <row r="99">
      <c r="E99" s="9"/>
      <c r="H99" s="9"/>
      <c r="I99" s="9"/>
      <c r="K99" s="9"/>
      <c r="M99" s="9"/>
      <c r="N99" s="9"/>
      <c r="O99" s="9"/>
    </row>
    <row r="100">
      <c r="E100" s="9"/>
      <c r="H100" s="9"/>
      <c r="I100" s="9"/>
      <c r="K100" s="9"/>
      <c r="M100" s="9"/>
      <c r="N100" s="9"/>
      <c r="O100" s="9"/>
    </row>
    <row r="101">
      <c r="E101" s="9"/>
      <c r="H101" s="9"/>
      <c r="I101" s="9"/>
      <c r="K101" s="9"/>
      <c r="M101" s="9"/>
      <c r="N101" s="9"/>
      <c r="O101" s="9"/>
    </row>
    <row r="102">
      <c r="E102" s="9"/>
      <c r="H102" s="9"/>
      <c r="I102" s="9"/>
      <c r="K102" s="9"/>
      <c r="M102" s="9"/>
      <c r="N102" s="9"/>
      <c r="O102" s="9"/>
    </row>
    <row r="103">
      <c r="E103" s="9"/>
      <c r="H103" s="9"/>
      <c r="I103" s="9"/>
      <c r="K103" s="9"/>
      <c r="M103" s="9"/>
      <c r="N103" s="9"/>
      <c r="O103" s="9"/>
    </row>
    <row r="104">
      <c r="E104" s="9"/>
      <c r="H104" s="9"/>
      <c r="I104" s="9"/>
      <c r="K104" s="9"/>
      <c r="M104" s="9"/>
      <c r="N104" s="9"/>
      <c r="O104" s="9"/>
    </row>
    <row r="105">
      <c r="E105" s="9"/>
      <c r="H105" s="9"/>
      <c r="I105" s="9"/>
      <c r="K105" s="9"/>
      <c r="M105" s="9"/>
      <c r="N105" s="9"/>
      <c r="O105" s="9"/>
    </row>
    <row r="106">
      <c r="E106" s="9"/>
      <c r="H106" s="9"/>
      <c r="I106" s="9"/>
      <c r="K106" s="9"/>
      <c r="M106" s="9"/>
      <c r="N106" s="9"/>
      <c r="O106" s="9"/>
    </row>
    <row r="107">
      <c r="E107" s="9"/>
      <c r="H107" s="9"/>
      <c r="I107" s="9"/>
      <c r="K107" s="9"/>
      <c r="M107" s="9"/>
      <c r="N107" s="9"/>
      <c r="O107" s="9"/>
    </row>
    <row r="108">
      <c r="E108" s="9"/>
      <c r="H108" s="9"/>
      <c r="I108" s="9"/>
      <c r="K108" s="9"/>
      <c r="M108" s="9"/>
      <c r="N108" s="9"/>
      <c r="O108" s="9"/>
    </row>
    <row r="109">
      <c r="E109" s="9"/>
      <c r="H109" s="9"/>
      <c r="I109" s="9"/>
      <c r="K109" s="9"/>
      <c r="M109" s="9"/>
      <c r="N109" s="9"/>
      <c r="O109" s="9"/>
    </row>
    <row r="110">
      <c r="E110" s="9"/>
      <c r="H110" s="9"/>
      <c r="I110" s="9"/>
      <c r="K110" s="9"/>
      <c r="M110" s="9"/>
      <c r="N110" s="9"/>
      <c r="O110" s="9"/>
    </row>
    <row r="111">
      <c r="E111" s="9"/>
      <c r="H111" s="9"/>
      <c r="I111" s="9"/>
      <c r="K111" s="9"/>
      <c r="M111" s="9"/>
      <c r="N111" s="9"/>
      <c r="O111" s="9"/>
    </row>
    <row r="112">
      <c r="E112" s="9"/>
      <c r="H112" s="9"/>
      <c r="I112" s="9"/>
      <c r="K112" s="9"/>
      <c r="M112" s="9"/>
      <c r="N112" s="9"/>
      <c r="O112" s="9"/>
    </row>
    <row r="113">
      <c r="E113" s="9"/>
      <c r="H113" s="9"/>
      <c r="I113" s="9"/>
      <c r="K113" s="9"/>
      <c r="M113" s="9"/>
      <c r="N113" s="9"/>
      <c r="O113" s="9"/>
    </row>
    <row r="114">
      <c r="E114" s="9"/>
      <c r="H114" s="9"/>
      <c r="I114" s="9"/>
      <c r="K114" s="9"/>
      <c r="M114" s="9"/>
      <c r="N114" s="9"/>
      <c r="O114" s="9"/>
    </row>
    <row r="115">
      <c r="E115" s="9"/>
      <c r="H115" s="9"/>
      <c r="I115" s="9"/>
      <c r="K115" s="9"/>
      <c r="M115" s="9"/>
      <c r="N115" s="9"/>
      <c r="O115" s="9"/>
    </row>
    <row r="116">
      <c r="E116" s="9"/>
      <c r="H116" s="9"/>
      <c r="I116" s="9"/>
      <c r="K116" s="9"/>
      <c r="M116" s="9"/>
      <c r="N116" s="9"/>
      <c r="O116" s="9"/>
    </row>
    <row r="117">
      <c r="E117" s="9"/>
      <c r="H117" s="9"/>
      <c r="I117" s="9"/>
      <c r="K117" s="9"/>
      <c r="M117" s="9"/>
      <c r="N117" s="9"/>
      <c r="O117" s="9"/>
    </row>
    <row r="118">
      <c r="E118" s="9"/>
      <c r="H118" s="9"/>
      <c r="I118" s="9"/>
      <c r="K118" s="9"/>
      <c r="M118" s="9"/>
      <c r="N118" s="9"/>
      <c r="O118" s="9"/>
    </row>
    <row r="119">
      <c r="E119" s="9"/>
      <c r="H119" s="9"/>
      <c r="I119" s="9"/>
      <c r="K119" s="9"/>
      <c r="M119" s="9"/>
      <c r="N119" s="9"/>
      <c r="O119" s="9"/>
    </row>
    <row r="120">
      <c r="E120" s="9"/>
      <c r="H120" s="9"/>
      <c r="I120" s="9"/>
      <c r="K120" s="9"/>
      <c r="M120" s="9"/>
      <c r="N120" s="9"/>
      <c r="O120" s="9"/>
    </row>
    <row r="121">
      <c r="E121" s="9"/>
      <c r="H121" s="9"/>
      <c r="I121" s="9"/>
      <c r="K121" s="9"/>
      <c r="M121" s="9"/>
      <c r="N121" s="9"/>
      <c r="O121" s="9"/>
    </row>
    <row r="122">
      <c r="E122" s="9"/>
      <c r="H122" s="9"/>
      <c r="I122" s="9"/>
      <c r="K122" s="9"/>
      <c r="M122" s="9"/>
      <c r="N122" s="9"/>
      <c r="O122" s="9"/>
    </row>
    <row r="123">
      <c r="E123" s="9"/>
      <c r="H123" s="9"/>
      <c r="I123" s="9"/>
      <c r="K123" s="9"/>
      <c r="M123" s="9"/>
      <c r="N123" s="9"/>
      <c r="O123" s="9"/>
    </row>
    <row r="124">
      <c r="E124" s="9"/>
      <c r="H124" s="9"/>
      <c r="I124" s="9"/>
      <c r="K124" s="9"/>
      <c r="M124" s="9"/>
      <c r="N124" s="9"/>
      <c r="O124" s="9"/>
    </row>
    <row r="125">
      <c r="E125" s="9"/>
      <c r="H125" s="9"/>
      <c r="I125" s="9"/>
      <c r="K125" s="9"/>
      <c r="M125" s="9"/>
      <c r="N125" s="9"/>
      <c r="O125" s="9"/>
    </row>
    <row r="126">
      <c r="E126" s="9"/>
      <c r="H126" s="9"/>
      <c r="I126" s="9"/>
      <c r="K126" s="9"/>
      <c r="M126" s="9"/>
      <c r="N126" s="9"/>
      <c r="O126" s="9"/>
    </row>
    <row r="127">
      <c r="E127" s="9"/>
      <c r="H127" s="9"/>
      <c r="I127" s="9"/>
      <c r="K127" s="9"/>
      <c r="M127" s="9"/>
      <c r="N127" s="9"/>
      <c r="O127" s="9"/>
    </row>
    <row r="128">
      <c r="E128" s="9"/>
      <c r="H128" s="9"/>
      <c r="I128" s="9"/>
      <c r="K128" s="9"/>
      <c r="M128" s="9"/>
      <c r="N128" s="9"/>
      <c r="O128" s="9"/>
    </row>
    <row r="129">
      <c r="E129" s="9"/>
      <c r="H129" s="9"/>
      <c r="I129" s="9"/>
      <c r="K129" s="9"/>
      <c r="M129" s="9"/>
      <c r="N129" s="9"/>
      <c r="O129" s="9"/>
    </row>
    <row r="130">
      <c r="E130" s="9"/>
      <c r="H130" s="9"/>
      <c r="I130" s="9"/>
      <c r="K130" s="9"/>
      <c r="M130" s="9"/>
      <c r="N130" s="9"/>
      <c r="O130" s="9"/>
    </row>
    <row r="131">
      <c r="E131" s="9"/>
      <c r="H131" s="9"/>
      <c r="I131" s="9"/>
      <c r="K131" s="9"/>
      <c r="M131" s="9"/>
      <c r="N131" s="9"/>
      <c r="O131" s="9"/>
    </row>
    <row r="132">
      <c r="E132" s="9"/>
      <c r="H132" s="9"/>
      <c r="I132" s="9"/>
      <c r="K132" s="9"/>
      <c r="M132" s="9"/>
      <c r="N132" s="9"/>
      <c r="O132" s="9"/>
    </row>
    <row r="133">
      <c r="E133" s="9"/>
      <c r="H133" s="9"/>
      <c r="I133" s="9"/>
      <c r="K133" s="9"/>
      <c r="M133" s="9"/>
      <c r="N133" s="9"/>
      <c r="O133" s="9"/>
    </row>
    <row r="134">
      <c r="E134" s="9"/>
      <c r="H134" s="9"/>
      <c r="I134" s="9"/>
      <c r="K134" s="9"/>
      <c r="M134" s="9"/>
      <c r="N134" s="9"/>
      <c r="O134" s="9"/>
    </row>
    <row r="135">
      <c r="E135" s="9"/>
      <c r="H135" s="9"/>
      <c r="I135" s="9"/>
      <c r="K135" s="9"/>
      <c r="M135" s="9"/>
      <c r="N135" s="9"/>
      <c r="O135" s="9"/>
    </row>
    <row r="136">
      <c r="E136" s="9"/>
      <c r="H136" s="9"/>
      <c r="I136" s="9"/>
      <c r="K136" s="9"/>
      <c r="M136" s="9"/>
      <c r="N136" s="9"/>
      <c r="O136" s="9"/>
    </row>
    <row r="137">
      <c r="E137" s="9"/>
      <c r="H137" s="9"/>
      <c r="I137" s="9"/>
      <c r="K137" s="9"/>
      <c r="M137" s="9"/>
      <c r="N137" s="9"/>
      <c r="O137" s="9"/>
    </row>
    <row r="138">
      <c r="E138" s="9"/>
      <c r="H138" s="9"/>
      <c r="I138" s="9"/>
      <c r="K138" s="9"/>
      <c r="M138" s="9"/>
      <c r="N138" s="9"/>
      <c r="O138" s="9"/>
    </row>
    <row r="139">
      <c r="E139" s="9"/>
      <c r="H139" s="9"/>
      <c r="I139" s="9"/>
      <c r="K139" s="9"/>
      <c r="M139" s="9"/>
      <c r="N139" s="9"/>
      <c r="O139" s="9"/>
    </row>
    <row r="140">
      <c r="E140" s="9"/>
      <c r="H140" s="9"/>
      <c r="I140" s="9"/>
      <c r="K140" s="9"/>
      <c r="M140" s="9"/>
      <c r="N140" s="9"/>
      <c r="O140" s="9"/>
    </row>
    <row r="141">
      <c r="E141" s="9"/>
      <c r="H141" s="9"/>
      <c r="I141" s="9"/>
      <c r="K141" s="9"/>
      <c r="M141" s="9"/>
      <c r="N141" s="9"/>
      <c r="O141" s="9"/>
    </row>
    <row r="142">
      <c r="E142" s="9"/>
      <c r="H142" s="9"/>
      <c r="I142" s="9"/>
      <c r="K142" s="9"/>
      <c r="M142" s="9"/>
      <c r="N142" s="9"/>
      <c r="O142" s="9"/>
    </row>
    <row r="143">
      <c r="E143" s="9"/>
      <c r="H143" s="9"/>
      <c r="I143" s="9"/>
      <c r="K143" s="9"/>
      <c r="M143" s="9"/>
      <c r="N143" s="9"/>
      <c r="O143" s="9"/>
    </row>
    <row r="144">
      <c r="E144" s="9"/>
      <c r="H144" s="9"/>
      <c r="I144" s="9"/>
      <c r="K144" s="9"/>
      <c r="M144" s="9"/>
      <c r="N144" s="9"/>
      <c r="O144" s="9"/>
    </row>
    <row r="145">
      <c r="E145" s="9"/>
      <c r="H145" s="9"/>
      <c r="I145" s="9"/>
      <c r="K145" s="9"/>
      <c r="M145" s="9"/>
      <c r="N145" s="9"/>
      <c r="O145" s="9"/>
    </row>
    <row r="146">
      <c r="E146" s="9"/>
      <c r="H146" s="9"/>
      <c r="I146" s="9"/>
      <c r="K146" s="9"/>
      <c r="M146" s="9"/>
      <c r="N146" s="9"/>
      <c r="O146" s="9"/>
    </row>
    <row r="147">
      <c r="E147" s="9"/>
      <c r="H147" s="9"/>
      <c r="I147" s="9"/>
      <c r="K147" s="9"/>
      <c r="M147" s="9"/>
      <c r="N147" s="9"/>
      <c r="O147" s="9"/>
    </row>
    <row r="148">
      <c r="E148" s="9"/>
      <c r="H148" s="9"/>
      <c r="I148" s="9"/>
      <c r="K148" s="9"/>
      <c r="M148" s="9"/>
      <c r="N148" s="9"/>
      <c r="O148" s="9"/>
    </row>
    <row r="149">
      <c r="E149" s="9"/>
      <c r="H149" s="9"/>
      <c r="I149" s="9"/>
      <c r="K149" s="9"/>
      <c r="M149" s="9"/>
      <c r="N149" s="9"/>
      <c r="O149" s="9"/>
    </row>
    <row r="150">
      <c r="E150" s="9"/>
      <c r="H150" s="9"/>
      <c r="I150" s="9"/>
      <c r="K150" s="9"/>
      <c r="M150" s="9"/>
      <c r="N150" s="9"/>
      <c r="O150" s="9"/>
    </row>
    <row r="151">
      <c r="E151" s="9"/>
      <c r="H151" s="9"/>
      <c r="I151" s="9"/>
      <c r="K151" s="9"/>
      <c r="M151" s="9"/>
      <c r="N151" s="9"/>
      <c r="O151" s="9"/>
    </row>
    <row r="152">
      <c r="E152" s="9"/>
      <c r="H152" s="9"/>
      <c r="I152" s="9"/>
      <c r="K152" s="9"/>
      <c r="M152" s="9"/>
      <c r="N152" s="9"/>
      <c r="O152" s="9"/>
    </row>
    <row r="153">
      <c r="E153" s="9"/>
      <c r="H153" s="9"/>
      <c r="I153" s="9"/>
      <c r="K153" s="9"/>
      <c r="M153" s="9"/>
      <c r="N153" s="9"/>
      <c r="O153" s="9"/>
    </row>
    <row r="154">
      <c r="E154" s="9"/>
      <c r="H154" s="9"/>
      <c r="I154" s="9"/>
      <c r="K154" s="9"/>
      <c r="M154" s="9"/>
      <c r="N154" s="9"/>
      <c r="O154" s="9"/>
    </row>
    <row r="155">
      <c r="E155" s="9"/>
      <c r="H155" s="9"/>
      <c r="I155" s="9"/>
      <c r="K155" s="9"/>
      <c r="M155" s="9"/>
      <c r="N155" s="9"/>
      <c r="O155" s="9"/>
    </row>
    <row r="156">
      <c r="E156" s="9"/>
      <c r="H156" s="9"/>
      <c r="I156" s="9"/>
      <c r="K156" s="9"/>
      <c r="M156" s="9"/>
      <c r="N156" s="9"/>
      <c r="O156" s="9"/>
    </row>
    <row r="157">
      <c r="E157" s="9"/>
      <c r="H157" s="9"/>
      <c r="I157" s="9"/>
      <c r="K157" s="9"/>
      <c r="M157" s="9"/>
      <c r="N157" s="9"/>
      <c r="O157" s="9"/>
    </row>
    <row r="158">
      <c r="E158" s="9"/>
      <c r="H158" s="9"/>
      <c r="I158" s="9"/>
      <c r="K158" s="9"/>
      <c r="M158" s="9"/>
      <c r="N158" s="9"/>
      <c r="O158" s="9"/>
    </row>
    <row r="159">
      <c r="E159" s="9"/>
      <c r="H159" s="9"/>
      <c r="I159" s="9"/>
      <c r="K159" s="9"/>
      <c r="M159" s="9"/>
      <c r="N159" s="9"/>
      <c r="O159" s="9"/>
    </row>
    <row r="160">
      <c r="E160" s="9"/>
      <c r="H160" s="9"/>
      <c r="I160" s="9"/>
      <c r="K160" s="9"/>
      <c r="M160" s="9"/>
      <c r="N160" s="9"/>
      <c r="O160" s="9"/>
    </row>
    <row r="161">
      <c r="E161" s="9"/>
      <c r="H161" s="9"/>
      <c r="I161" s="9"/>
      <c r="K161" s="9"/>
      <c r="M161" s="9"/>
      <c r="N161" s="9"/>
      <c r="O161" s="9"/>
    </row>
    <row r="162">
      <c r="E162" s="9"/>
      <c r="H162" s="9"/>
      <c r="I162" s="9"/>
      <c r="K162" s="9"/>
      <c r="M162" s="9"/>
      <c r="N162" s="9"/>
      <c r="O162" s="9"/>
    </row>
    <row r="163">
      <c r="E163" s="9"/>
      <c r="H163" s="9"/>
      <c r="I163" s="9"/>
      <c r="K163" s="9"/>
      <c r="M163" s="9"/>
      <c r="N163" s="9"/>
      <c r="O163" s="9"/>
    </row>
    <row r="164">
      <c r="E164" s="9"/>
      <c r="H164" s="9"/>
      <c r="I164" s="9"/>
      <c r="K164" s="9"/>
      <c r="M164" s="9"/>
      <c r="N164" s="9"/>
      <c r="O164" s="9"/>
    </row>
    <row r="165">
      <c r="E165" s="9"/>
      <c r="H165" s="9"/>
      <c r="I165" s="9"/>
      <c r="K165" s="9"/>
      <c r="M165" s="9"/>
      <c r="N165" s="9"/>
      <c r="O165" s="9"/>
    </row>
    <row r="166">
      <c r="E166" s="9"/>
      <c r="H166" s="9"/>
      <c r="I166" s="9"/>
      <c r="K166" s="9"/>
      <c r="M166" s="9"/>
      <c r="N166" s="9"/>
      <c r="O166" s="9"/>
    </row>
    <row r="167">
      <c r="E167" s="9"/>
      <c r="H167" s="9"/>
      <c r="I167" s="9"/>
      <c r="K167" s="9"/>
      <c r="M167" s="9"/>
      <c r="N167" s="9"/>
      <c r="O167" s="9"/>
    </row>
    <row r="168">
      <c r="E168" s="9"/>
      <c r="H168" s="9"/>
      <c r="I168" s="9"/>
      <c r="K168" s="9"/>
      <c r="M168" s="9"/>
      <c r="N168" s="9"/>
      <c r="O168" s="9"/>
    </row>
    <row r="169">
      <c r="E169" s="9"/>
      <c r="H169" s="9"/>
      <c r="I169" s="9"/>
      <c r="K169" s="9"/>
      <c r="M169" s="9"/>
      <c r="N169" s="9"/>
      <c r="O169" s="9"/>
    </row>
    <row r="170">
      <c r="E170" s="9"/>
      <c r="H170" s="9"/>
      <c r="I170" s="9"/>
      <c r="K170" s="9"/>
      <c r="M170" s="9"/>
      <c r="N170" s="9"/>
      <c r="O170" s="9"/>
    </row>
    <row r="171">
      <c r="E171" s="9"/>
      <c r="H171" s="9"/>
      <c r="I171" s="9"/>
      <c r="K171" s="9"/>
      <c r="M171" s="9"/>
      <c r="N171" s="9"/>
      <c r="O171" s="9"/>
    </row>
    <row r="172">
      <c r="E172" s="9"/>
      <c r="H172" s="9"/>
      <c r="I172" s="9"/>
      <c r="K172" s="9"/>
      <c r="M172" s="9"/>
      <c r="N172" s="9"/>
      <c r="O172" s="9"/>
    </row>
    <row r="173">
      <c r="E173" s="9"/>
      <c r="H173" s="9"/>
      <c r="I173" s="9"/>
      <c r="K173" s="9"/>
      <c r="M173" s="9"/>
      <c r="N173" s="9"/>
      <c r="O173" s="9"/>
    </row>
    <row r="174">
      <c r="E174" s="9"/>
      <c r="H174" s="9"/>
      <c r="I174" s="9"/>
      <c r="K174" s="9"/>
      <c r="M174" s="9"/>
      <c r="N174" s="9"/>
      <c r="O174" s="9"/>
    </row>
    <row r="175">
      <c r="E175" s="9"/>
      <c r="H175" s="9"/>
      <c r="I175" s="9"/>
      <c r="K175" s="9"/>
      <c r="M175" s="9"/>
      <c r="N175" s="9"/>
      <c r="O175" s="9"/>
    </row>
    <row r="176">
      <c r="E176" s="9"/>
      <c r="H176" s="9"/>
      <c r="I176" s="9"/>
      <c r="K176" s="9"/>
      <c r="M176" s="9"/>
      <c r="N176" s="9"/>
      <c r="O176" s="9"/>
    </row>
    <row r="177">
      <c r="E177" s="9"/>
      <c r="H177" s="9"/>
      <c r="I177" s="9"/>
      <c r="K177" s="9"/>
      <c r="M177" s="9"/>
      <c r="N177" s="9"/>
      <c r="O177" s="9"/>
    </row>
    <row r="178">
      <c r="E178" s="9"/>
      <c r="H178" s="9"/>
      <c r="I178" s="9"/>
      <c r="K178" s="9"/>
      <c r="M178" s="9"/>
      <c r="N178" s="9"/>
      <c r="O178" s="9"/>
    </row>
    <row r="179">
      <c r="E179" s="9"/>
      <c r="H179" s="9"/>
      <c r="I179" s="9"/>
      <c r="K179" s="9"/>
      <c r="M179" s="9"/>
      <c r="N179" s="9"/>
      <c r="O179" s="9"/>
    </row>
    <row r="180">
      <c r="E180" s="9"/>
      <c r="H180" s="9"/>
      <c r="I180" s="9"/>
      <c r="K180" s="9"/>
      <c r="M180" s="9"/>
      <c r="N180" s="9"/>
      <c r="O180" s="9"/>
    </row>
    <row r="181">
      <c r="E181" s="9"/>
      <c r="H181" s="9"/>
      <c r="I181" s="9"/>
      <c r="K181" s="9"/>
      <c r="M181" s="9"/>
      <c r="N181" s="9"/>
      <c r="O181" s="9"/>
    </row>
    <row r="182">
      <c r="E182" s="9"/>
      <c r="H182" s="9"/>
      <c r="I182" s="9"/>
      <c r="K182" s="9"/>
      <c r="M182" s="9"/>
      <c r="N182" s="9"/>
      <c r="O182" s="9"/>
    </row>
    <row r="183">
      <c r="E183" s="9"/>
      <c r="H183" s="9"/>
      <c r="I183" s="9"/>
      <c r="K183" s="9"/>
      <c r="M183" s="9"/>
      <c r="N183" s="9"/>
      <c r="O183" s="9"/>
    </row>
    <row r="184">
      <c r="E184" s="9"/>
      <c r="H184" s="9"/>
      <c r="I184" s="9"/>
      <c r="K184" s="9"/>
      <c r="M184" s="9"/>
      <c r="N184" s="9"/>
      <c r="O184" s="9"/>
    </row>
    <row r="185">
      <c r="E185" s="9"/>
      <c r="H185" s="9"/>
      <c r="I185" s="9"/>
      <c r="K185" s="9"/>
      <c r="M185" s="9"/>
      <c r="N185" s="9"/>
      <c r="O185" s="9"/>
    </row>
    <row r="186">
      <c r="E186" s="9"/>
      <c r="H186" s="9"/>
      <c r="I186" s="9"/>
      <c r="K186" s="9"/>
      <c r="M186" s="9"/>
      <c r="N186" s="9"/>
      <c r="O186" s="9"/>
    </row>
    <row r="187">
      <c r="E187" s="9"/>
      <c r="H187" s="9"/>
      <c r="I187" s="9"/>
      <c r="K187" s="9"/>
      <c r="M187" s="9"/>
      <c r="N187" s="9"/>
      <c r="O187" s="9"/>
    </row>
    <row r="188">
      <c r="E188" s="9"/>
      <c r="H188" s="9"/>
      <c r="I188" s="9"/>
      <c r="K188" s="9"/>
      <c r="M188" s="9"/>
      <c r="N188" s="9"/>
      <c r="O188" s="9"/>
    </row>
    <row r="189">
      <c r="E189" s="9"/>
      <c r="H189" s="9"/>
      <c r="I189" s="9"/>
      <c r="K189" s="9"/>
      <c r="M189" s="9"/>
      <c r="N189" s="9"/>
      <c r="O189" s="9"/>
    </row>
    <row r="190">
      <c r="E190" s="9"/>
      <c r="H190" s="9"/>
      <c r="I190" s="9"/>
      <c r="K190" s="9"/>
      <c r="M190" s="9"/>
      <c r="N190" s="9"/>
      <c r="O190" s="9"/>
    </row>
    <row r="191">
      <c r="E191" s="9"/>
      <c r="H191" s="9"/>
      <c r="I191" s="9"/>
      <c r="K191" s="9"/>
      <c r="M191" s="9"/>
      <c r="N191" s="9"/>
      <c r="O191" s="9"/>
    </row>
    <row r="192">
      <c r="E192" s="9"/>
      <c r="H192" s="9"/>
      <c r="I192" s="9"/>
      <c r="K192" s="9"/>
      <c r="M192" s="9"/>
      <c r="N192" s="9"/>
      <c r="O192" s="9"/>
    </row>
    <row r="193">
      <c r="E193" s="9"/>
      <c r="H193" s="9"/>
      <c r="I193" s="9"/>
      <c r="K193" s="9"/>
      <c r="M193" s="9"/>
      <c r="N193" s="9"/>
      <c r="O193" s="9"/>
    </row>
    <row r="194">
      <c r="E194" s="9"/>
      <c r="H194" s="9"/>
      <c r="I194" s="9"/>
      <c r="K194" s="9"/>
      <c r="M194" s="9"/>
      <c r="N194" s="9"/>
      <c r="O194" s="9"/>
    </row>
    <row r="195">
      <c r="E195" s="9"/>
      <c r="H195" s="9"/>
      <c r="I195" s="9"/>
      <c r="K195" s="9"/>
      <c r="M195" s="9"/>
      <c r="N195" s="9"/>
      <c r="O195" s="9"/>
    </row>
    <row r="196">
      <c r="E196" s="9"/>
      <c r="H196" s="9"/>
      <c r="I196" s="9"/>
      <c r="K196" s="9"/>
      <c r="M196" s="9"/>
      <c r="N196" s="9"/>
      <c r="O196" s="9"/>
    </row>
    <row r="197">
      <c r="E197" s="9"/>
      <c r="H197" s="9"/>
      <c r="I197" s="9"/>
      <c r="K197" s="9"/>
      <c r="M197" s="9"/>
      <c r="N197" s="9"/>
      <c r="O197" s="9"/>
    </row>
    <row r="198">
      <c r="E198" s="9"/>
      <c r="H198" s="9"/>
      <c r="I198" s="9"/>
      <c r="K198" s="9"/>
      <c r="M198" s="9"/>
      <c r="N198" s="9"/>
      <c r="O198" s="9"/>
    </row>
    <row r="199">
      <c r="E199" s="9"/>
      <c r="H199" s="9"/>
      <c r="I199" s="9"/>
      <c r="K199" s="9"/>
      <c r="M199" s="9"/>
      <c r="N199" s="9"/>
      <c r="O199" s="9"/>
    </row>
    <row r="200">
      <c r="E200" s="9"/>
      <c r="H200" s="9"/>
      <c r="I200" s="9"/>
      <c r="K200" s="9"/>
      <c r="M200" s="9"/>
      <c r="N200" s="9"/>
      <c r="O200" s="9"/>
    </row>
    <row r="201">
      <c r="E201" s="9"/>
      <c r="H201" s="9"/>
      <c r="I201" s="9"/>
      <c r="K201" s="9"/>
      <c r="M201" s="9"/>
      <c r="N201" s="9"/>
      <c r="O201" s="9"/>
    </row>
    <row r="202">
      <c r="E202" s="9"/>
      <c r="H202" s="9"/>
      <c r="I202" s="9"/>
      <c r="K202" s="9"/>
      <c r="M202" s="9"/>
      <c r="N202" s="9"/>
      <c r="O202" s="9"/>
    </row>
    <row r="203">
      <c r="E203" s="9"/>
      <c r="H203" s="9"/>
      <c r="I203" s="9"/>
      <c r="K203" s="9"/>
      <c r="M203" s="9"/>
      <c r="N203" s="9"/>
      <c r="O203" s="9"/>
    </row>
    <row r="204">
      <c r="E204" s="9"/>
      <c r="H204" s="9"/>
      <c r="I204" s="9"/>
      <c r="K204" s="9"/>
      <c r="M204" s="9"/>
      <c r="N204" s="9"/>
      <c r="O204" s="9"/>
    </row>
    <row r="205">
      <c r="E205" s="9"/>
      <c r="H205" s="9"/>
      <c r="I205" s="9"/>
      <c r="K205" s="9"/>
      <c r="M205" s="9"/>
      <c r="N205" s="9"/>
      <c r="O205" s="9"/>
    </row>
    <row r="206">
      <c r="E206" s="9"/>
      <c r="H206" s="9"/>
      <c r="I206" s="9"/>
      <c r="K206" s="9"/>
      <c r="M206" s="9"/>
      <c r="N206" s="9"/>
      <c r="O206" s="9"/>
    </row>
    <row r="207">
      <c r="E207" s="9"/>
      <c r="H207" s="9"/>
      <c r="I207" s="9"/>
      <c r="K207" s="9"/>
      <c r="M207" s="9"/>
      <c r="N207" s="9"/>
      <c r="O207" s="9"/>
    </row>
    <row r="208">
      <c r="E208" s="9"/>
      <c r="H208" s="9"/>
      <c r="I208" s="9"/>
      <c r="K208" s="9"/>
      <c r="M208" s="9"/>
      <c r="N208" s="9"/>
      <c r="O208" s="9"/>
    </row>
    <row r="209">
      <c r="E209" s="9"/>
      <c r="H209" s="9"/>
      <c r="I209" s="9"/>
      <c r="K209" s="9"/>
      <c r="M209" s="9"/>
      <c r="N209" s="9"/>
      <c r="O209" s="9"/>
    </row>
    <row r="210">
      <c r="E210" s="9"/>
      <c r="H210" s="9"/>
      <c r="I210" s="9"/>
      <c r="K210" s="9"/>
      <c r="M210" s="9"/>
      <c r="N210" s="9"/>
      <c r="O210" s="9"/>
    </row>
    <row r="211">
      <c r="E211" s="9"/>
      <c r="H211" s="9"/>
      <c r="I211" s="9"/>
      <c r="K211" s="9"/>
      <c r="M211" s="9"/>
      <c r="N211" s="9"/>
      <c r="O211" s="9"/>
    </row>
    <row r="212">
      <c r="E212" s="9"/>
      <c r="H212" s="9"/>
      <c r="I212" s="9"/>
      <c r="K212" s="9"/>
      <c r="M212" s="9"/>
      <c r="N212" s="9"/>
      <c r="O212" s="9"/>
    </row>
    <row r="213">
      <c r="E213" s="9"/>
      <c r="H213" s="9"/>
      <c r="I213" s="9"/>
      <c r="K213" s="9"/>
      <c r="M213" s="9"/>
      <c r="N213" s="9"/>
      <c r="O213" s="9"/>
    </row>
    <row r="214">
      <c r="E214" s="9"/>
      <c r="H214" s="9"/>
      <c r="I214" s="9"/>
      <c r="K214" s="9"/>
      <c r="M214" s="9"/>
      <c r="N214" s="9"/>
      <c r="O214" s="9"/>
    </row>
    <row r="215">
      <c r="E215" s="9"/>
      <c r="H215" s="9"/>
      <c r="I215" s="9"/>
      <c r="K215" s="9"/>
      <c r="M215" s="9"/>
      <c r="N215" s="9"/>
      <c r="O215" s="9"/>
    </row>
    <row r="216">
      <c r="E216" s="9"/>
      <c r="H216" s="9"/>
      <c r="I216" s="9"/>
      <c r="K216" s="9"/>
      <c r="M216" s="9"/>
      <c r="N216" s="9"/>
      <c r="O216" s="9"/>
    </row>
    <row r="217">
      <c r="E217" s="9"/>
      <c r="H217" s="9"/>
      <c r="I217" s="9"/>
      <c r="K217" s="9"/>
      <c r="M217" s="9"/>
      <c r="N217" s="9"/>
      <c r="O217" s="9"/>
    </row>
    <row r="218">
      <c r="E218" s="9"/>
      <c r="H218" s="9"/>
      <c r="I218" s="9"/>
      <c r="K218" s="9"/>
      <c r="M218" s="9"/>
      <c r="N218" s="9"/>
      <c r="O218" s="9"/>
    </row>
    <row r="219">
      <c r="E219" s="9"/>
      <c r="H219" s="9"/>
      <c r="I219" s="9"/>
      <c r="K219" s="9"/>
      <c r="M219" s="9"/>
      <c r="N219" s="9"/>
      <c r="O219" s="9"/>
    </row>
    <row r="220">
      <c r="E220" s="9"/>
      <c r="H220" s="9"/>
      <c r="I220" s="9"/>
      <c r="K220" s="9"/>
      <c r="M220" s="9"/>
      <c r="N220" s="9"/>
      <c r="O220" s="9"/>
    </row>
    <row r="221">
      <c r="E221" s="9"/>
      <c r="H221" s="9"/>
      <c r="I221" s="9"/>
      <c r="K221" s="9"/>
      <c r="M221" s="9"/>
      <c r="N221" s="9"/>
      <c r="O221" s="9"/>
    </row>
    <row r="222">
      <c r="E222" s="9"/>
      <c r="H222" s="9"/>
      <c r="I222" s="9"/>
      <c r="K222" s="9"/>
      <c r="M222" s="9"/>
      <c r="N222" s="9"/>
      <c r="O222" s="9"/>
    </row>
    <row r="223">
      <c r="E223" s="9"/>
      <c r="H223" s="9"/>
      <c r="I223" s="9"/>
      <c r="K223" s="9"/>
      <c r="M223" s="9"/>
      <c r="N223" s="9"/>
      <c r="O223" s="9"/>
    </row>
    <row r="224">
      <c r="E224" s="9"/>
      <c r="H224" s="9"/>
      <c r="I224" s="9"/>
      <c r="K224" s="9"/>
      <c r="M224" s="9"/>
      <c r="N224" s="9"/>
      <c r="O224" s="9"/>
    </row>
    <row r="225">
      <c r="E225" s="9"/>
      <c r="H225" s="9"/>
      <c r="I225" s="9"/>
      <c r="K225" s="9"/>
      <c r="M225" s="9"/>
      <c r="N225" s="9"/>
      <c r="O225" s="9"/>
    </row>
    <row r="226">
      <c r="E226" s="9"/>
      <c r="H226" s="9"/>
      <c r="I226" s="9"/>
      <c r="K226" s="9"/>
      <c r="M226" s="9"/>
      <c r="N226" s="9"/>
      <c r="O226" s="9"/>
    </row>
    <row r="227">
      <c r="E227" s="9"/>
      <c r="H227" s="9"/>
      <c r="I227" s="9"/>
      <c r="K227" s="9"/>
      <c r="M227" s="9"/>
      <c r="N227" s="9"/>
      <c r="O227" s="9"/>
    </row>
    <row r="228">
      <c r="E228" s="9"/>
      <c r="H228" s="9"/>
      <c r="I228" s="9"/>
      <c r="K228" s="9"/>
      <c r="M228" s="9"/>
      <c r="N228" s="9"/>
      <c r="O228" s="9"/>
    </row>
    <row r="229">
      <c r="E229" s="9"/>
      <c r="H229" s="9"/>
      <c r="I229" s="9"/>
      <c r="K229" s="9"/>
      <c r="M229" s="9"/>
      <c r="N229" s="9"/>
      <c r="O229" s="9"/>
    </row>
    <row r="230">
      <c r="E230" s="9"/>
      <c r="H230" s="9"/>
      <c r="I230" s="9"/>
      <c r="K230" s="9"/>
      <c r="M230" s="9"/>
      <c r="N230" s="9"/>
      <c r="O230" s="9"/>
    </row>
    <row r="231">
      <c r="E231" s="9"/>
      <c r="H231" s="9"/>
      <c r="I231" s="9"/>
      <c r="K231" s="9"/>
      <c r="M231" s="9"/>
      <c r="N231" s="9"/>
      <c r="O231" s="9"/>
    </row>
    <row r="232">
      <c r="E232" s="9"/>
      <c r="H232" s="9"/>
      <c r="I232" s="9"/>
      <c r="K232" s="9"/>
      <c r="M232" s="9"/>
      <c r="N232" s="9"/>
      <c r="O232" s="9"/>
    </row>
    <row r="233">
      <c r="E233" s="9"/>
      <c r="H233" s="9"/>
      <c r="I233" s="9"/>
      <c r="K233" s="9"/>
      <c r="M233" s="9"/>
      <c r="N233" s="9"/>
      <c r="O233" s="9"/>
    </row>
    <row r="234">
      <c r="E234" s="9"/>
      <c r="H234" s="9"/>
      <c r="I234" s="9"/>
      <c r="K234" s="9"/>
      <c r="M234" s="9"/>
      <c r="N234" s="9"/>
      <c r="O234" s="9"/>
    </row>
    <row r="235">
      <c r="E235" s="9"/>
      <c r="H235" s="9"/>
      <c r="I235" s="9"/>
      <c r="K235" s="9"/>
      <c r="M235" s="9"/>
      <c r="N235" s="9"/>
      <c r="O235" s="9"/>
    </row>
    <row r="236">
      <c r="E236" s="9"/>
      <c r="H236" s="9"/>
      <c r="I236" s="9"/>
      <c r="K236" s="9"/>
      <c r="M236" s="9"/>
      <c r="N236" s="9"/>
      <c r="O236" s="9"/>
    </row>
    <row r="237">
      <c r="E237" s="9"/>
      <c r="H237" s="9"/>
      <c r="I237" s="9"/>
      <c r="K237" s="9"/>
      <c r="M237" s="9"/>
      <c r="N237" s="9"/>
      <c r="O237" s="9"/>
    </row>
    <row r="238">
      <c r="E238" s="9"/>
      <c r="H238" s="9"/>
      <c r="I238" s="9"/>
      <c r="K238" s="9"/>
      <c r="M238" s="9"/>
      <c r="N238" s="9"/>
      <c r="O238" s="9"/>
    </row>
    <row r="239">
      <c r="E239" s="9"/>
      <c r="H239" s="9"/>
      <c r="I239" s="9"/>
      <c r="K239" s="9"/>
      <c r="M239" s="9"/>
      <c r="N239" s="9"/>
      <c r="O239" s="9"/>
    </row>
    <row r="240">
      <c r="E240" s="9"/>
      <c r="H240" s="9"/>
      <c r="I240" s="9"/>
      <c r="K240" s="9"/>
      <c r="M240" s="9"/>
      <c r="N240" s="9"/>
      <c r="O240" s="9"/>
    </row>
    <row r="241">
      <c r="E241" s="9"/>
      <c r="H241" s="9"/>
      <c r="I241" s="9"/>
      <c r="K241" s="9"/>
      <c r="M241" s="9"/>
      <c r="N241" s="9"/>
      <c r="O241" s="9"/>
    </row>
    <row r="242">
      <c r="E242" s="9"/>
      <c r="H242" s="9"/>
      <c r="I242" s="9"/>
      <c r="K242" s="9"/>
      <c r="M242" s="9"/>
      <c r="N242" s="9"/>
      <c r="O242" s="9"/>
    </row>
    <row r="243">
      <c r="E243" s="9"/>
      <c r="H243" s="9"/>
      <c r="I243" s="9"/>
      <c r="K243" s="9"/>
      <c r="M243" s="9"/>
      <c r="N243" s="9"/>
      <c r="O243" s="9"/>
    </row>
    <row r="244">
      <c r="E244" s="9"/>
      <c r="H244" s="9"/>
      <c r="I244" s="9"/>
      <c r="K244" s="9"/>
      <c r="M244" s="9"/>
      <c r="N244" s="9"/>
      <c r="O244" s="9"/>
    </row>
    <row r="245">
      <c r="E245" s="9"/>
      <c r="H245" s="9"/>
      <c r="I245" s="9"/>
      <c r="K245" s="9"/>
      <c r="M245" s="9"/>
      <c r="N245" s="9"/>
      <c r="O245" s="9"/>
    </row>
    <row r="246">
      <c r="E246" s="9"/>
      <c r="H246" s="9"/>
      <c r="I246" s="9"/>
      <c r="K246" s="9"/>
      <c r="M246" s="9"/>
      <c r="N246" s="9"/>
      <c r="O246" s="9"/>
    </row>
    <row r="247">
      <c r="E247" s="9"/>
      <c r="H247" s="9"/>
      <c r="I247" s="9"/>
      <c r="K247" s="9"/>
      <c r="M247" s="9"/>
      <c r="N247" s="9"/>
      <c r="O247" s="9"/>
    </row>
    <row r="248">
      <c r="E248" s="9"/>
      <c r="H248" s="9"/>
      <c r="I248" s="9"/>
      <c r="K248" s="9"/>
      <c r="M248" s="9"/>
      <c r="N248" s="9"/>
      <c r="O248" s="9"/>
    </row>
    <row r="249">
      <c r="E249" s="9"/>
      <c r="H249" s="9"/>
      <c r="I249" s="9"/>
      <c r="K249" s="9"/>
      <c r="M249" s="9"/>
      <c r="N249" s="9"/>
      <c r="O249" s="9"/>
    </row>
    <row r="250">
      <c r="E250" s="9"/>
      <c r="H250" s="9"/>
      <c r="I250" s="9"/>
      <c r="K250" s="9"/>
      <c r="M250" s="9"/>
      <c r="N250" s="9"/>
      <c r="O250" s="9"/>
    </row>
    <row r="251">
      <c r="E251" s="9"/>
      <c r="H251" s="9"/>
      <c r="I251" s="9"/>
      <c r="K251" s="9"/>
      <c r="M251" s="9"/>
      <c r="N251" s="9"/>
      <c r="O251" s="9"/>
    </row>
    <row r="252">
      <c r="E252" s="9"/>
      <c r="H252" s="9"/>
      <c r="I252" s="9"/>
      <c r="K252" s="9"/>
      <c r="M252" s="9"/>
      <c r="N252" s="9"/>
      <c r="O252" s="9"/>
    </row>
    <row r="253">
      <c r="E253" s="9"/>
      <c r="H253" s="9"/>
      <c r="I253" s="9"/>
      <c r="K253" s="9"/>
      <c r="M253" s="9"/>
      <c r="N253" s="9"/>
      <c r="O253" s="9"/>
    </row>
    <row r="254">
      <c r="E254" s="9"/>
      <c r="H254" s="9"/>
      <c r="I254" s="9"/>
      <c r="K254" s="9"/>
      <c r="M254" s="9"/>
      <c r="N254" s="9"/>
      <c r="O254" s="9"/>
    </row>
    <row r="255">
      <c r="E255" s="9"/>
      <c r="H255" s="9"/>
      <c r="I255" s="9"/>
      <c r="K255" s="9"/>
      <c r="M255" s="9"/>
      <c r="N255" s="9"/>
      <c r="O255" s="9"/>
    </row>
    <row r="256">
      <c r="E256" s="9"/>
      <c r="H256" s="9"/>
      <c r="I256" s="9"/>
      <c r="K256" s="9"/>
      <c r="M256" s="9"/>
      <c r="N256" s="9"/>
      <c r="O256" s="9"/>
    </row>
    <row r="257">
      <c r="E257" s="9"/>
      <c r="H257" s="9"/>
      <c r="I257" s="9"/>
      <c r="K257" s="9"/>
      <c r="M257" s="9"/>
      <c r="N257" s="9"/>
      <c r="O257" s="9"/>
    </row>
    <row r="258">
      <c r="E258" s="9"/>
      <c r="H258" s="9"/>
      <c r="I258" s="9"/>
      <c r="K258" s="9"/>
      <c r="M258" s="9"/>
      <c r="N258" s="9"/>
      <c r="O258" s="9"/>
    </row>
    <row r="259">
      <c r="E259" s="9"/>
      <c r="H259" s="9"/>
      <c r="I259" s="9"/>
      <c r="K259" s="9"/>
      <c r="M259" s="9"/>
      <c r="N259" s="9"/>
      <c r="O259" s="9"/>
    </row>
    <row r="260">
      <c r="E260" s="9"/>
      <c r="H260" s="9"/>
      <c r="I260" s="9"/>
      <c r="K260" s="9"/>
      <c r="M260" s="9"/>
      <c r="N260" s="9"/>
      <c r="O260" s="9"/>
    </row>
    <row r="261">
      <c r="E261" s="9"/>
      <c r="H261" s="9"/>
      <c r="I261" s="9"/>
      <c r="K261" s="9"/>
      <c r="M261" s="9"/>
      <c r="N261" s="9"/>
      <c r="O261" s="9"/>
    </row>
    <row r="262">
      <c r="E262" s="9"/>
      <c r="H262" s="9"/>
      <c r="I262" s="9"/>
      <c r="K262" s="9"/>
      <c r="M262" s="9"/>
      <c r="N262" s="9"/>
      <c r="O262" s="9"/>
    </row>
    <row r="263">
      <c r="E263" s="9"/>
      <c r="H263" s="9"/>
      <c r="I263" s="9"/>
      <c r="K263" s="9"/>
      <c r="M263" s="9"/>
      <c r="N263" s="9"/>
      <c r="O263" s="9"/>
    </row>
    <row r="264">
      <c r="E264" s="9"/>
      <c r="H264" s="9"/>
      <c r="I264" s="9"/>
      <c r="K264" s="9"/>
      <c r="M264" s="9"/>
      <c r="N264" s="9"/>
      <c r="O264" s="9"/>
    </row>
    <row r="265">
      <c r="E265" s="9"/>
      <c r="H265" s="9"/>
      <c r="I265" s="9"/>
      <c r="K265" s="9"/>
      <c r="M265" s="9"/>
      <c r="N265" s="9"/>
      <c r="O265" s="9"/>
    </row>
    <row r="266">
      <c r="E266" s="9"/>
      <c r="H266" s="9"/>
      <c r="I266" s="9"/>
      <c r="K266" s="9"/>
      <c r="M266" s="9"/>
      <c r="N266" s="9"/>
      <c r="O266" s="9"/>
    </row>
    <row r="267">
      <c r="E267" s="9"/>
      <c r="H267" s="9"/>
      <c r="I267" s="9"/>
      <c r="K267" s="9"/>
      <c r="M267" s="9"/>
      <c r="N267" s="9"/>
      <c r="O267" s="9"/>
    </row>
    <row r="268">
      <c r="E268" s="9"/>
      <c r="H268" s="9"/>
      <c r="I268" s="9"/>
      <c r="K268" s="9"/>
      <c r="M268" s="9"/>
      <c r="N268" s="9"/>
      <c r="O268" s="9"/>
    </row>
    <row r="269">
      <c r="E269" s="9"/>
      <c r="H269" s="9"/>
      <c r="I269" s="9"/>
      <c r="K269" s="9"/>
      <c r="M269" s="9"/>
      <c r="N269" s="9"/>
      <c r="O269" s="9"/>
    </row>
    <row r="270">
      <c r="E270" s="9"/>
      <c r="H270" s="9"/>
      <c r="I270" s="9"/>
      <c r="K270" s="9"/>
      <c r="M270" s="9"/>
      <c r="N270" s="9"/>
      <c r="O270" s="9"/>
    </row>
    <row r="271">
      <c r="E271" s="9"/>
      <c r="H271" s="9"/>
      <c r="I271" s="9"/>
      <c r="K271" s="9"/>
      <c r="M271" s="9"/>
      <c r="N271" s="9"/>
      <c r="O271" s="9"/>
    </row>
    <row r="272">
      <c r="E272" s="9"/>
      <c r="H272" s="9"/>
      <c r="I272" s="9"/>
      <c r="K272" s="9"/>
      <c r="M272" s="9"/>
      <c r="N272" s="9"/>
      <c r="O272" s="9"/>
    </row>
    <row r="273">
      <c r="E273" s="9"/>
      <c r="H273" s="9"/>
      <c r="I273" s="9"/>
      <c r="K273" s="9"/>
      <c r="M273" s="9"/>
      <c r="N273" s="9"/>
      <c r="O273" s="9"/>
    </row>
    <row r="274">
      <c r="E274" s="9"/>
      <c r="H274" s="9"/>
      <c r="I274" s="9"/>
      <c r="K274" s="9"/>
      <c r="M274" s="9"/>
      <c r="N274" s="9"/>
      <c r="O274" s="9"/>
    </row>
    <row r="275">
      <c r="E275" s="9"/>
      <c r="H275" s="9"/>
      <c r="I275" s="9"/>
      <c r="K275" s="9"/>
      <c r="M275" s="9"/>
      <c r="N275" s="9"/>
      <c r="O275" s="9"/>
    </row>
    <row r="276">
      <c r="E276" s="9"/>
      <c r="H276" s="9"/>
      <c r="I276" s="9"/>
      <c r="K276" s="9"/>
      <c r="M276" s="9"/>
      <c r="N276" s="9"/>
      <c r="O276" s="9"/>
    </row>
    <row r="277">
      <c r="E277" s="9"/>
      <c r="H277" s="9"/>
      <c r="I277" s="9"/>
      <c r="K277" s="9"/>
      <c r="M277" s="9"/>
      <c r="N277" s="9"/>
      <c r="O277" s="9"/>
    </row>
    <row r="278">
      <c r="E278" s="9"/>
      <c r="H278" s="9"/>
      <c r="I278" s="9"/>
      <c r="K278" s="9"/>
      <c r="M278" s="9"/>
      <c r="N278" s="9"/>
      <c r="O278" s="9"/>
    </row>
    <row r="279">
      <c r="E279" s="9"/>
      <c r="H279" s="9"/>
      <c r="I279" s="9"/>
      <c r="K279" s="9"/>
      <c r="M279" s="9"/>
      <c r="N279" s="9"/>
      <c r="O279" s="9"/>
    </row>
    <row r="280">
      <c r="E280" s="9"/>
      <c r="H280" s="9"/>
      <c r="I280" s="9"/>
      <c r="K280" s="9"/>
      <c r="M280" s="9"/>
      <c r="N280" s="9"/>
      <c r="O280" s="9"/>
    </row>
    <row r="281">
      <c r="E281" s="9"/>
      <c r="H281" s="9"/>
      <c r="I281" s="9"/>
      <c r="K281" s="9"/>
      <c r="M281" s="9"/>
      <c r="N281" s="9"/>
      <c r="O281" s="9"/>
    </row>
    <row r="282">
      <c r="E282" s="9"/>
      <c r="H282" s="9"/>
      <c r="I282" s="9"/>
      <c r="K282" s="9"/>
      <c r="M282" s="9"/>
      <c r="N282" s="9"/>
      <c r="O282" s="9"/>
    </row>
    <row r="283">
      <c r="E283" s="9"/>
      <c r="H283" s="9"/>
      <c r="I283" s="9"/>
      <c r="K283" s="9"/>
      <c r="M283" s="9"/>
      <c r="N283" s="9"/>
      <c r="O283" s="9"/>
    </row>
    <row r="284">
      <c r="E284" s="9"/>
      <c r="H284" s="9"/>
      <c r="I284" s="9"/>
      <c r="K284" s="9"/>
      <c r="M284" s="9"/>
      <c r="N284" s="9"/>
      <c r="O284" s="9"/>
    </row>
    <row r="285">
      <c r="E285" s="9"/>
      <c r="H285" s="9"/>
      <c r="I285" s="9"/>
      <c r="K285" s="9"/>
      <c r="M285" s="9"/>
      <c r="N285" s="9"/>
      <c r="O285" s="9"/>
    </row>
    <row r="286">
      <c r="E286" s="9"/>
      <c r="H286" s="9"/>
      <c r="I286" s="9"/>
      <c r="K286" s="9"/>
      <c r="M286" s="9"/>
      <c r="N286" s="9"/>
      <c r="O286" s="9"/>
    </row>
    <row r="287">
      <c r="E287" s="9"/>
      <c r="H287" s="9"/>
      <c r="I287" s="9"/>
      <c r="K287" s="9"/>
      <c r="M287" s="9"/>
      <c r="N287" s="9"/>
      <c r="O287" s="9"/>
    </row>
    <row r="288">
      <c r="E288" s="9"/>
      <c r="H288" s="9"/>
      <c r="I288" s="9"/>
      <c r="K288" s="9"/>
      <c r="M288" s="9"/>
      <c r="N288" s="9"/>
      <c r="O288" s="9"/>
    </row>
    <row r="289">
      <c r="E289" s="9"/>
      <c r="H289" s="9"/>
      <c r="I289" s="9"/>
      <c r="K289" s="9"/>
      <c r="M289" s="9"/>
      <c r="N289" s="9"/>
      <c r="O289" s="9"/>
    </row>
    <row r="290">
      <c r="E290" s="9"/>
      <c r="H290" s="9"/>
      <c r="I290" s="9"/>
      <c r="K290" s="9"/>
      <c r="M290" s="9"/>
      <c r="N290" s="9"/>
      <c r="O290" s="9"/>
    </row>
    <row r="291">
      <c r="E291" s="9"/>
      <c r="H291" s="9"/>
      <c r="I291" s="9"/>
      <c r="K291" s="9"/>
      <c r="M291" s="9"/>
      <c r="N291" s="9"/>
      <c r="O291" s="9"/>
    </row>
    <row r="292">
      <c r="E292" s="9"/>
      <c r="H292" s="9"/>
      <c r="I292" s="9"/>
      <c r="K292" s="9"/>
      <c r="M292" s="9"/>
      <c r="N292" s="9"/>
      <c r="O292" s="9"/>
    </row>
    <row r="293">
      <c r="E293" s="9"/>
      <c r="H293" s="9"/>
      <c r="I293" s="9"/>
      <c r="K293" s="9"/>
      <c r="M293" s="9"/>
      <c r="N293" s="9"/>
      <c r="O293" s="9"/>
    </row>
    <row r="294">
      <c r="E294" s="9"/>
      <c r="H294" s="9"/>
      <c r="I294" s="9"/>
      <c r="K294" s="9"/>
      <c r="M294" s="9"/>
      <c r="N294" s="9"/>
      <c r="O294" s="9"/>
    </row>
    <row r="295">
      <c r="E295" s="9"/>
      <c r="H295" s="9"/>
      <c r="I295" s="9"/>
      <c r="K295" s="9"/>
      <c r="M295" s="9"/>
      <c r="N295" s="9"/>
      <c r="O295" s="9"/>
    </row>
    <row r="296">
      <c r="E296" s="9"/>
      <c r="H296" s="9"/>
      <c r="I296" s="9"/>
      <c r="K296" s="9"/>
      <c r="M296" s="9"/>
      <c r="N296" s="9"/>
      <c r="O296" s="9"/>
    </row>
    <row r="297">
      <c r="E297" s="9"/>
      <c r="H297" s="9"/>
      <c r="I297" s="9"/>
      <c r="K297" s="9"/>
      <c r="M297" s="9"/>
      <c r="N297" s="9"/>
      <c r="O297" s="9"/>
    </row>
    <row r="298">
      <c r="E298" s="9"/>
      <c r="H298" s="9"/>
      <c r="I298" s="9"/>
      <c r="K298" s="9"/>
      <c r="M298" s="9"/>
      <c r="N298" s="9"/>
      <c r="O298" s="9"/>
    </row>
    <row r="299">
      <c r="E299" s="9"/>
      <c r="H299" s="9"/>
      <c r="I299" s="9"/>
      <c r="K299" s="9"/>
      <c r="M299" s="9"/>
      <c r="N299" s="9"/>
      <c r="O299" s="9"/>
    </row>
    <row r="300">
      <c r="E300" s="9"/>
      <c r="H300" s="9"/>
      <c r="I300" s="9"/>
      <c r="K300" s="9"/>
      <c r="M300" s="9"/>
      <c r="N300" s="9"/>
      <c r="O300" s="9"/>
    </row>
    <row r="301">
      <c r="E301" s="9"/>
      <c r="H301" s="9"/>
      <c r="I301" s="9"/>
      <c r="K301" s="9"/>
      <c r="M301" s="9"/>
      <c r="N301" s="9"/>
      <c r="O301" s="9"/>
    </row>
    <row r="302">
      <c r="E302" s="9"/>
      <c r="H302" s="9"/>
      <c r="I302" s="9"/>
      <c r="K302" s="9"/>
      <c r="M302" s="9"/>
      <c r="N302" s="9"/>
      <c r="O302" s="9"/>
    </row>
    <row r="303">
      <c r="E303" s="9"/>
      <c r="H303" s="9"/>
      <c r="I303" s="9"/>
      <c r="K303" s="9"/>
      <c r="M303" s="9"/>
      <c r="N303" s="9"/>
      <c r="O303" s="9"/>
    </row>
    <row r="304">
      <c r="E304" s="9"/>
      <c r="H304" s="9"/>
      <c r="I304" s="9"/>
      <c r="K304" s="9"/>
      <c r="M304" s="9"/>
      <c r="N304" s="9"/>
      <c r="O304" s="9"/>
    </row>
    <row r="305">
      <c r="E305" s="9"/>
      <c r="H305" s="9"/>
      <c r="I305" s="9"/>
      <c r="K305" s="9"/>
      <c r="M305" s="9"/>
      <c r="N305" s="9"/>
      <c r="O305" s="9"/>
    </row>
    <row r="306">
      <c r="E306" s="9"/>
      <c r="H306" s="9"/>
      <c r="I306" s="9"/>
      <c r="K306" s="9"/>
      <c r="M306" s="9"/>
      <c r="N306" s="9"/>
      <c r="O306" s="9"/>
    </row>
    <row r="307">
      <c r="E307" s="9"/>
      <c r="H307" s="9"/>
      <c r="I307" s="9"/>
      <c r="K307" s="9"/>
      <c r="M307" s="9"/>
      <c r="N307" s="9"/>
      <c r="O307" s="9"/>
    </row>
    <row r="308">
      <c r="E308" s="9"/>
      <c r="H308" s="9"/>
      <c r="I308" s="9"/>
      <c r="K308" s="9"/>
      <c r="M308" s="9"/>
      <c r="N308" s="9"/>
      <c r="O308" s="9"/>
    </row>
    <row r="309">
      <c r="E309" s="9"/>
      <c r="H309" s="9"/>
      <c r="I309" s="9"/>
      <c r="K309" s="9"/>
      <c r="M309" s="9"/>
      <c r="N309" s="9"/>
      <c r="O309" s="9"/>
    </row>
    <row r="310">
      <c r="E310" s="9"/>
      <c r="H310" s="9"/>
      <c r="I310" s="9"/>
      <c r="K310" s="9"/>
      <c r="M310" s="9"/>
      <c r="N310" s="9"/>
      <c r="O310" s="9"/>
    </row>
    <row r="311">
      <c r="E311" s="9"/>
      <c r="H311" s="9"/>
      <c r="I311" s="9"/>
      <c r="K311" s="9"/>
      <c r="M311" s="9"/>
      <c r="N311" s="9"/>
      <c r="O311" s="9"/>
    </row>
    <row r="312">
      <c r="E312" s="9"/>
      <c r="H312" s="9"/>
      <c r="I312" s="9"/>
      <c r="K312" s="9"/>
      <c r="M312" s="9"/>
      <c r="N312" s="9"/>
      <c r="O312" s="9"/>
    </row>
    <row r="313">
      <c r="E313" s="9"/>
      <c r="H313" s="9"/>
      <c r="I313" s="9"/>
      <c r="K313" s="9"/>
      <c r="M313" s="9"/>
      <c r="N313" s="9"/>
      <c r="O313" s="9"/>
    </row>
    <row r="314">
      <c r="E314" s="9"/>
      <c r="H314" s="9"/>
      <c r="I314" s="9"/>
      <c r="K314" s="9"/>
      <c r="M314" s="9"/>
      <c r="N314" s="9"/>
      <c r="O314" s="9"/>
    </row>
    <row r="315">
      <c r="E315" s="9"/>
      <c r="H315" s="9"/>
      <c r="I315" s="9"/>
      <c r="K315" s="9"/>
      <c r="M315" s="9"/>
      <c r="N315" s="9"/>
      <c r="O315" s="9"/>
    </row>
    <row r="316">
      <c r="E316" s="9"/>
      <c r="H316" s="9"/>
      <c r="I316" s="9"/>
      <c r="K316" s="9"/>
      <c r="M316" s="9"/>
      <c r="N316" s="9"/>
      <c r="O316" s="9"/>
    </row>
    <row r="317">
      <c r="E317" s="9"/>
      <c r="H317" s="9"/>
      <c r="I317" s="9"/>
      <c r="K317" s="9"/>
      <c r="M317" s="9"/>
      <c r="N317" s="9"/>
      <c r="O317" s="9"/>
    </row>
    <row r="318">
      <c r="E318" s="9"/>
      <c r="H318" s="9"/>
      <c r="I318" s="9"/>
      <c r="K318" s="9"/>
      <c r="M318" s="9"/>
      <c r="N318" s="9"/>
      <c r="O318" s="9"/>
    </row>
    <row r="319">
      <c r="E319" s="9"/>
      <c r="H319" s="9"/>
      <c r="I319" s="9"/>
      <c r="K319" s="9"/>
      <c r="M319" s="9"/>
      <c r="N319" s="9"/>
      <c r="O319" s="9"/>
    </row>
    <row r="320">
      <c r="E320" s="9"/>
      <c r="H320" s="9"/>
      <c r="I320" s="9"/>
      <c r="K320" s="9"/>
      <c r="M320" s="9"/>
      <c r="N320" s="9"/>
      <c r="O320" s="9"/>
    </row>
    <row r="321">
      <c r="E321" s="9"/>
      <c r="H321" s="9"/>
      <c r="I321" s="9"/>
      <c r="K321" s="9"/>
      <c r="M321" s="9"/>
      <c r="N321" s="9"/>
      <c r="O321" s="9"/>
    </row>
    <row r="322">
      <c r="E322" s="9"/>
      <c r="H322" s="9"/>
      <c r="I322" s="9"/>
      <c r="K322" s="9"/>
      <c r="M322" s="9"/>
      <c r="N322" s="9"/>
      <c r="O322" s="9"/>
    </row>
    <row r="323">
      <c r="E323" s="9"/>
      <c r="H323" s="9"/>
      <c r="I323" s="9"/>
      <c r="K323" s="9"/>
      <c r="M323" s="9"/>
      <c r="N323" s="9"/>
      <c r="O323" s="9"/>
    </row>
    <row r="324">
      <c r="E324" s="9"/>
      <c r="H324" s="9"/>
      <c r="I324" s="9"/>
      <c r="K324" s="9"/>
      <c r="M324" s="9"/>
      <c r="N324" s="9"/>
      <c r="O324" s="9"/>
    </row>
    <row r="325">
      <c r="E325" s="9"/>
      <c r="H325" s="9"/>
      <c r="I325" s="9"/>
      <c r="K325" s="9"/>
      <c r="M325" s="9"/>
      <c r="N325" s="9"/>
      <c r="O325" s="9"/>
    </row>
    <row r="326">
      <c r="E326" s="9"/>
      <c r="H326" s="9"/>
      <c r="I326" s="9"/>
      <c r="K326" s="9"/>
      <c r="M326" s="9"/>
      <c r="N326" s="9"/>
      <c r="O326" s="9"/>
    </row>
    <row r="327">
      <c r="E327" s="9"/>
      <c r="H327" s="9"/>
      <c r="I327" s="9"/>
      <c r="K327" s="9"/>
      <c r="M327" s="9"/>
      <c r="N327" s="9"/>
      <c r="O327" s="9"/>
    </row>
    <row r="328">
      <c r="E328" s="9"/>
      <c r="H328" s="9"/>
      <c r="I328" s="9"/>
      <c r="K328" s="9"/>
      <c r="M328" s="9"/>
      <c r="N328" s="9"/>
      <c r="O328" s="9"/>
    </row>
    <row r="329">
      <c r="E329" s="9"/>
      <c r="H329" s="9"/>
      <c r="I329" s="9"/>
      <c r="K329" s="9"/>
      <c r="M329" s="9"/>
      <c r="N329" s="9"/>
      <c r="O329" s="9"/>
    </row>
    <row r="330">
      <c r="E330" s="9"/>
      <c r="H330" s="9"/>
      <c r="I330" s="9"/>
      <c r="K330" s="9"/>
      <c r="M330" s="9"/>
      <c r="N330" s="9"/>
      <c r="O330" s="9"/>
    </row>
    <row r="331">
      <c r="E331" s="9"/>
      <c r="H331" s="9"/>
      <c r="I331" s="9"/>
      <c r="K331" s="9"/>
      <c r="M331" s="9"/>
      <c r="N331" s="9"/>
      <c r="O331" s="9"/>
    </row>
    <row r="332">
      <c r="E332" s="9"/>
      <c r="H332" s="9"/>
      <c r="I332" s="9"/>
      <c r="K332" s="9"/>
      <c r="M332" s="9"/>
      <c r="N332" s="9"/>
      <c r="O332" s="9"/>
    </row>
    <row r="333">
      <c r="E333" s="9"/>
      <c r="H333" s="9"/>
      <c r="I333" s="9"/>
      <c r="K333" s="9"/>
      <c r="M333" s="9"/>
      <c r="N333" s="9"/>
      <c r="O333" s="9"/>
    </row>
    <row r="334">
      <c r="E334" s="9"/>
      <c r="H334" s="9"/>
      <c r="I334" s="9"/>
      <c r="K334" s="9"/>
      <c r="M334" s="9"/>
      <c r="N334" s="9"/>
      <c r="O334" s="9"/>
    </row>
    <row r="335">
      <c r="E335" s="9"/>
      <c r="H335" s="9"/>
      <c r="I335" s="9"/>
      <c r="K335" s="9"/>
      <c r="M335" s="9"/>
      <c r="N335" s="9"/>
      <c r="O335" s="9"/>
    </row>
    <row r="336">
      <c r="E336" s="9"/>
      <c r="H336" s="9"/>
      <c r="I336" s="9"/>
      <c r="K336" s="9"/>
      <c r="M336" s="9"/>
      <c r="N336" s="9"/>
      <c r="O336" s="9"/>
    </row>
    <row r="337">
      <c r="E337" s="9"/>
      <c r="H337" s="9"/>
      <c r="I337" s="9"/>
      <c r="K337" s="9"/>
      <c r="M337" s="9"/>
      <c r="N337" s="9"/>
      <c r="O337" s="9"/>
    </row>
    <row r="338">
      <c r="E338" s="9"/>
      <c r="H338" s="9"/>
      <c r="I338" s="9"/>
      <c r="K338" s="9"/>
      <c r="M338" s="9"/>
      <c r="N338" s="9"/>
      <c r="O338" s="9"/>
    </row>
    <row r="339">
      <c r="E339" s="9"/>
      <c r="H339" s="9"/>
      <c r="I339" s="9"/>
      <c r="K339" s="9"/>
      <c r="M339" s="9"/>
      <c r="N339" s="9"/>
      <c r="O339" s="9"/>
    </row>
    <row r="340">
      <c r="E340" s="9"/>
      <c r="H340" s="9"/>
      <c r="I340" s="9"/>
      <c r="K340" s="9"/>
      <c r="M340" s="9"/>
      <c r="N340" s="9"/>
      <c r="O340" s="9"/>
    </row>
    <row r="341">
      <c r="E341" s="9"/>
      <c r="H341" s="9"/>
      <c r="I341" s="9"/>
      <c r="K341" s="9"/>
      <c r="M341" s="9"/>
      <c r="N341" s="9"/>
      <c r="O341" s="9"/>
    </row>
    <row r="342">
      <c r="E342" s="9"/>
      <c r="H342" s="9"/>
      <c r="I342" s="9"/>
      <c r="K342" s="9"/>
      <c r="M342" s="9"/>
      <c r="N342" s="9"/>
      <c r="O342" s="9"/>
    </row>
    <row r="343">
      <c r="E343" s="9"/>
      <c r="H343" s="9"/>
      <c r="I343" s="9"/>
      <c r="K343" s="9"/>
      <c r="M343" s="9"/>
      <c r="N343" s="9"/>
      <c r="O343" s="9"/>
    </row>
    <row r="344">
      <c r="E344" s="9"/>
      <c r="H344" s="9"/>
      <c r="I344" s="9"/>
      <c r="K344" s="9"/>
      <c r="M344" s="9"/>
      <c r="N344" s="9"/>
      <c r="O344" s="9"/>
    </row>
    <row r="345">
      <c r="E345" s="9"/>
      <c r="H345" s="9"/>
      <c r="I345" s="9"/>
      <c r="K345" s="9"/>
      <c r="M345" s="9"/>
      <c r="N345" s="9"/>
      <c r="O345" s="9"/>
    </row>
    <row r="346">
      <c r="E346" s="9"/>
      <c r="H346" s="9"/>
      <c r="I346" s="9"/>
      <c r="K346" s="9"/>
      <c r="M346" s="9"/>
      <c r="N346" s="9"/>
      <c r="O346" s="9"/>
    </row>
    <row r="347">
      <c r="E347" s="9"/>
      <c r="H347" s="9"/>
      <c r="I347" s="9"/>
      <c r="K347" s="9"/>
      <c r="M347" s="9"/>
      <c r="N347" s="9"/>
      <c r="O347" s="9"/>
    </row>
    <row r="348">
      <c r="E348" s="9"/>
      <c r="H348" s="9"/>
      <c r="I348" s="9"/>
      <c r="K348" s="9"/>
      <c r="M348" s="9"/>
      <c r="N348" s="9"/>
      <c r="O348" s="9"/>
    </row>
    <row r="349">
      <c r="E349" s="9"/>
      <c r="H349" s="9"/>
      <c r="I349" s="9"/>
      <c r="K349" s="9"/>
      <c r="M349" s="9"/>
      <c r="N349" s="9"/>
      <c r="O349" s="9"/>
    </row>
    <row r="350">
      <c r="E350" s="9"/>
      <c r="H350" s="9"/>
      <c r="I350" s="9"/>
      <c r="K350" s="9"/>
      <c r="M350" s="9"/>
      <c r="N350" s="9"/>
      <c r="O350" s="9"/>
    </row>
    <row r="351">
      <c r="E351" s="9"/>
      <c r="H351" s="9"/>
      <c r="I351" s="9"/>
      <c r="K351" s="9"/>
      <c r="M351" s="9"/>
      <c r="N351" s="9"/>
      <c r="O351" s="9"/>
    </row>
    <row r="352">
      <c r="E352" s="9"/>
      <c r="H352" s="9"/>
      <c r="I352" s="9"/>
      <c r="K352" s="9"/>
      <c r="M352" s="9"/>
      <c r="N352" s="9"/>
      <c r="O352" s="9"/>
    </row>
    <row r="353">
      <c r="E353" s="9"/>
      <c r="H353" s="9"/>
      <c r="I353" s="9"/>
      <c r="K353" s="9"/>
      <c r="M353" s="9"/>
      <c r="N353" s="9"/>
      <c r="O353" s="9"/>
    </row>
    <row r="354">
      <c r="E354" s="9"/>
      <c r="H354" s="9"/>
      <c r="I354" s="9"/>
      <c r="K354" s="9"/>
      <c r="M354" s="9"/>
      <c r="N354" s="9"/>
      <c r="O354" s="9"/>
    </row>
    <row r="355">
      <c r="E355" s="9"/>
      <c r="H355" s="9"/>
      <c r="I355" s="9"/>
      <c r="K355" s="9"/>
      <c r="M355" s="9"/>
      <c r="N355" s="9"/>
      <c r="O355" s="9"/>
    </row>
    <row r="356">
      <c r="E356" s="9"/>
      <c r="H356" s="9"/>
      <c r="I356" s="9"/>
      <c r="K356" s="9"/>
      <c r="M356" s="9"/>
      <c r="N356" s="9"/>
      <c r="O356" s="9"/>
    </row>
    <row r="357">
      <c r="E357" s="9"/>
      <c r="H357" s="9"/>
      <c r="I357" s="9"/>
      <c r="K357" s="9"/>
      <c r="M357" s="9"/>
      <c r="N357" s="9"/>
      <c r="O357" s="9"/>
    </row>
    <row r="358">
      <c r="E358" s="9"/>
      <c r="H358" s="9"/>
      <c r="I358" s="9"/>
      <c r="K358" s="9"/>
      <c r="M358" s="9"/>
      <c r="N358" s="9"/>
      <c r="O358" s="9"/>
    </row>
    <row r="359">
      <c r="E359" s="9"/>
      <c r="H359" s="9"/>
      <c r="I359" s="9"/>
      <c r="K359" s="9"/>
      <c r="M359" s="9"/>
      <c r="N359" s="9"/>
      <c r="O359" s="9"/>
    </row>
    <row r="360">
      <c r="E360" s="9"/>
      <c r="H360" s="9"/>
      <c r="I360" s="9"/>
      <c r="K360" s="9"/>
      <c r="M360" s="9"/>
      <c r="N360" s="9"/>
      <c r="O360" s="9"/>
    </row>
    <row r="361">
      <c r="E361" s="9"/>
      <c r="H361" s="9"/>
      <c r="I361" s="9"/>
      <c r="K361" s="9"/>
      <c r="M361" s="9"/>
      <c r="N361" s="9"/>
      <c r="O361" s="9"/>
    </row>
    <row r="362">
      <c r="E362" s="9"/>
      <c r="H362" s="9"/>
      <c r="I362" s="9"/>
      <c r="K362" s="9"/>
      <c r="M362" s="9"/>
      <c r="N362" s="9"/>
      <c r="O362" s="9"/>
    </row>
    <row r="363">
      <c r="E363" s="9"/>
      <c r="H363" s="9"/>
      <c r="I363" s="9"/>
      <c r="K363" s="9"/>
      <c r="M363" s="9"/>
      <c r="N363" s="9"/>
      <c r="O363" s="9"/>
    </row>
    <row r="364">
      <c r="E364" s="9"/>
      <c r="H364" s="9"/>
      <c r="I364" s="9"/>
      <c r="K364" s="9"/>
      <c r="M364" s="9"/>
      <c r="N364" s="9"/>
      <c r="O364" s="9"/>
    </row>
    <row r="365">
      <c r="E365" s="9"/>
      <c r="H365" s="9"/>
      <c r="I365" s="9"/>
      <c r="K365" s="9"/>
      <c r="M365" s="9"/>
      <c r="N365" s="9"/>
      <c r="O365" s="9"/>
    </row>
    <row r="366">
      <c r="E366" s="9"/>
      <c r="H366" s="9"/>
      <c r="I366" s="9"/>
      <c r="K366" s="9"/>
      <c r="M366" s="9"/>
      <c r="N366" s="9"/>
      <c r="O366" s="9"/>
    </row>
    <row r="367">
      <c r="E367" s="9"/>
      <c r="H367" s="9"/>
      <c r="I367" s="9"/>
      <c r="K367" s="9"/>
      <c r="M367" s="9"/>
      <c r="N367" s="9"/>
      <c r="O367" s="9"/>
    </row>
    <row r="368">
      <c r="E368" s="9"/>
      <c r="H368" s="9"/>
      <c r="I368" s="9"/>
      <c r="K368" s="9"/>
      <c r="M368" s="9"/>
      <c r="N368" s="9"/>
      <c r="O368" s="9"/>
    </row>
    <row r="369">
      <c r="E369" s="9"/>
      <c r="H369" s="9"/>
      <c r="I369" s="9"/>
      <c r="K369" s="9"/>
      <c r="M369" s="9"/>
      <c r="N369" s="9"/>
      <c r="O369" s="9"/>
    </row>
    <row r="370">
      <c r="E370" s="9"/>
      <c r="H370" s="9"/>
      <c r="I370" s="9"/>
      <c r="K370" s="9"/>
      <c r="M370" s="9"/>
      <c r="N370" s="9"/>
      <c r="O370" s="9"/>
    </row>
    <row r="371">
      <c r="E371" s="9"/>
      <c r="H371" s="9"/>
      <c r="I371" s="9"/>
      <c r="K371" s="9"/>
      <c r="M371" s="9"/>
      <c r="N371" s="9"/>
      <c r="O371" s="9"/>
    </row>
    <row r="372">
      <c r="E372" s="9"/>
      <c r="H372" s="9"/>
      <c r="I372" s="9"/>
      <c r="K372" s="9"/>
      <c r="M372" s="9"/>
      <c r="N372" s="9"/>
      <c r="O372" s="9"/>
    </row>
    <row r="373">
      <c r="E373" s="9"/>
      <c r="H373" s="9"/>
      <c r="I373" s="9"/>
      <c r="K373" s="9"/>
      <c r="M373" s="9"/>
      <c r="N373" s="9"/>
      <c r="O373" s="9"/>
    </row>
    <row r="374">
      <c r="E374" s="9"/>
      <c r="H374" s="9"/>
      <c r="I374" s="9"/>
      <c r="K374" s="9"/>
      <c r="M374" s="9"/>
      <c r="N374" s="9"/>
      <c r="O374" s="9"/>
    </row>
    <row r="375">
      <c r="E375" s="9"/>
      <c r="H375" s="9"/>
      <c r="I375" s="9"/>
      <c r="K375" s="9"/>
      <c r="M375" s="9"/>
      <c r="N375" s="9"/>
      <c r="O375" s="9"/>
    </row>
    <row r="376">
      <c r="E376" s="9"/>
      <c r="H376" s="9"/>
      <c r="I376" s="9"/>
      <c r="K376" s="9"/>
      <c r="M376" s="9"/>
      <c r="N376" s="9"/>
      <c r="O376" s="9"/>
    </row>
    <row r="377">
      <c r="E377" s="9"/>
      <c r="H377" s="9"/>
      <c r="I377" s="9"/>
      <c r="K377" s="9"/>
      <c r="M377" s="9"/>
      <c r="N377" s="9"/>
      <c r="O377" s="9"/>
    </row>
    <row r="378">
      <c r="E378" s="9"/>
      <c r="H378" s="9"/>
      <c r="I378" s="9"/>
      <c r="K378" s="9"/>
      <c r="M378" s="9"/>
      <c r="N378" s="9"/>
      <c r="O378" s="9"/>
    </row>
    <row r="379">
      <c r="E379" s="9"/>
      <c r="H379" s="9"/>
      <c r="I379" s="9"/>
      <c r="K379" s="9"/>
      <c r="M379" s="9"/>
      <c r="N379" s="9"/>
      <c r="O379" s="9"/>
    </row>
    <row r="380">
      <c r="E380" s="9"/>
      <c r="H380" s="9"/>
      <c r="I380" s="9"/>
      <c r="K380" s="9"/>
      <c r="M380" s="9"/>
      <c r="N380" s="9"/>
      <c r="O380" s="9"/>
    </row>
    <row r="381">
      <c r="E381" s="9"/>
      <c r="H381" s="9"/>
      <c r="I381" s="9"/>
      <c r="K381" s="9"/>
      <c r="M381" s="9"/>
      <c r="N381" s="9"/>
      <c r="O381" s="9"/>
    </row>
    <row r="382">
      <c r="E382" s="9"/>
      <c r="H382" s="9"/>
      <c r="I382" s="9"/>
      <c r="K382" s="9"/>
      <c r="M382" s="9"/>
      <c r="N382" s="9"/>
      <c r="O382" s="9"/>
    </row>
    <row r="383">
      <c r="E383" s="9"/>
      <c r="H383" s="9"/>
      <c r="I383" s="9"/>
      <c r="K383" s="9"/>
      <c r="M383" s="9"/>
      <c r="N383" s="9"/>
      <c r="O383" s="9"/>
    </row>
    <row r="384">
      <c r="E384" s="9"/>
      <c r="H384" s="9"/>
      <c r="I384" s="9"/>
      <c r="K384" s="9"/>
      <c r="M384" s="9"/>
      <c r="N384" s="9"/>
      <c r="O384" s="9"/>
    </row>
    <row r="385">
      <c r="E385" s="9"/>
      <c r="H385" s="9"/>
      <c r="I385" s="9"/>
      <c r="K385" s="9"/>
      <c r="M385" s="9"/>
      <c r="N385" s="9"/>
      <c r="O385" s="9"/>
    </row>
    <row r="386">
      <c r="E386" s="9"/>
      <c r="H386" s="9"/>
      <c r="I386" s="9"/>
      <c r="K386" s="9"/>
      <c r="M386" s="9"/>
      <c r="N386" s="9"/>
      <c r="O386" s="9"/>
    </row>
    <row r="387">
      <c r="E387" s="9"/>
      <c r="H387" s="9"/>
      <c r="I387" s="9"/>
      <c r="K387" s="9"/>
      <c r="M387" s="9"/>
      <c r="N387" s="9"/>
      <c r="O387" s="9"/>
    </row>
    <row r="388">
      <c r="E388" s="9"/>
      <c r="H388" s="9"/>
      <c r="I388" s="9"/>
      <c r="K388" s="9"/>
      <c r="M388" s="9"/>
      <c r="N388" s="9"/>
      <c r="O388" s="9"/>
    </row>
    <row r="389">
      <c r="E389" s="9"/>
      <c r="H389" s="9"/>
      <c r="I389" s="9"/>
      <c r="K389" s="9"/>
      <c r="M389" s="9"/>
      <c r="N389" s="9"/>
      <c r="O389" s="9"/>
    </row>
    <row r="390">
      <c r="E390" s="9"/>
      <c r="H390" s="9"/>
      <c r="I390" s="9"/>
      <c r="K390" s="9"/>
      <c r="M390" s="9"/>
      <c r="N390" s="9"/>
      <c r="O390" s="9"/>
    </row>
    <row r="391">
      <c r="E391" s="9"/>
      <c r="H391" s="9"/>
      <c r="I391" s="9"/>
      <c r="K391" s="9"/>
      <c r="M391" s="9"/>
      <c r="N391" s="9"/>
      <c r="O391" s="9"/>
    </row>
    <row r="392">
      <c r="E392" s="9"/>
      <c r="H392" s="9"/>
      <c r="I392" s="9"/>
      <c r="K392" s="9"/>
      <c r="M392" s="9"/>
      <c r="N392" s="9"/>
      <c r="O392" s="9"/>
    </row>
    <row r="393">
      <c r="E393" s="9"/>
      <c r="H393" s="9"/>
      <c r="I393" s="9"/>
      <c r="K393" s="9"/>
      <c r="M393" s="9"/>
      <c r="N393" s="9"/>
      <c r="O393" s="9"/>
    </row>
    <row r="394">
      <c r="E394" s="9"/>
      <c r="H394" s="9"/>
      <c r="I394" s="9"/>
      <c r="K394" s="9"/>
      <c r="M394" s="9"/>
      <c r="N394" s="9"/>
      <c r="O394" s="9"/>
    </row>
    <row r="395">
      <c r="E395" s="9"/>
      <c r="H395" s="9"/>
      <c r="I395" s="9"/>
      <c r="K395" s="9"/>
      <c r="M395" s="9"/>
      <c r="N395" s="9"/>
      <c r="O395" s="9"/>
    </row>
    <row r="396">
      <c r="E396" s="9"/>
      <c r="H396" s="9"/>
      <c r="I396" s="9"/>
      <c r="K396" s="9"/>
      <c r="M396" s="9"/>
      <c r="N396" s="9"/>
      <c r="O396" s="9"/>
    </row>
    <row r="397">
      <c r="E397" s="9"/>
      <c r="H397" s="9"/>
      <c r="I397" s="9"/>
      <c r="K397" s="9"/>
      <c r="M397" s="9"/>
      <c r="N397" s="9"/>
      <c r="O397" s="9"/>
    </row>
    <row r="398">
      <c r="E398" s="9"/>
      <c r="H398" s="9"/>
      <c r="I398" s="9"/>
      <c r="K398" s="9"/>
      <c r="M398" s="9"/>
      <c r="N398" s="9"/>
      <c r="O398" s="9"/>
    </row>
    <row r="399">
      <c r="E399" s="9"/>
      <c r="H399" s="9"/>
      <c r="I399" s="9"/>
      <c r="K399" s="9"/>
      <c r="M399" s="9"/>
      <c r="N399" s="9"/>
      <c r="O399" s="9"/>
    </row>
    <row r="400">
      <c r="E400" s="9"/>
      <c r="H400" s="9"/>
      <c r="I400" s="9"/>
      <c r="K400" s="9"/>
      <c r="M400" s="9"/>
      <c r="N400" s="9"/>
      <c r="O400" s="9"/>
    </row>
    <row r="401">
      <c r="E401" s="9"/>
      <c r="H401" s="9"/>
      <c r="I401" s="9"/>
      <c r="K401" s="9"/>
      <c r="M401" s="9"/>
      <c r="N401" s="9"/>
      <c r="O401" s="9"/>
    </row>
    <row r="402">
      <c r="E402" s="9"/>
      <c r="H402" s="9"/>
      <c r="I402" s="9"/>
      <c r="K402" s="9"/>
      <c r="M402" s="9"/>
      <c r="N402" s="9"/>
      <c r="O402" s="9"/>
    </row>
    <row r="403">
      <c r="E403" s="9"/>
      <c r="H403" s="9"/>
      <c r="I403" s="9"/>
      <c r="K403" s="9"/>
      <c r="M403" s="9"/>
      <c r="N403" s="9"/>
      <c r="O403" s="9"/>
    </row>
    <row r="404">
      <c r="E404" s="9"/>
      <c r="H404" s="9"/>
      <c r="I404" s="9"/>
      <c r="K404" s="9"/>
      <c r="M404" s="9"/>
      <c r="N404" s="9"/>
      <c r="O404" s="9"/>
    </row>
    <row r="405">
      <c r="E405" s="9"/>
      <c r="H405" s="9"/>
      <c r="I405" s="9"/>
      <c r="K405" s="9"/>
      <c r="M405" s="9"/>
      <c r="N405" s="9"/>
      <c r="O405" s="9"/>
    </row>
    <row r="406">
      <c r="E406" s="9"/>
      <c r="H406" s="9"/>
      <c r="I406" s="9"/>
      <c r="K406" s="9"/>
      <c r="M406" s="9"/>
      <c r="N406" s="9"/>
      <c r="O406" s="9"/>
    </row>
    <row r="407">
      <c r="E407" s="9"/>
      <c r="H407" s="9"/>
      <c r="I407" s="9"/>
      <c r="K407" s="9"/>
      <c r="M407" s="9"/>
      <c r="N407" s="9"/>
      <c r="O407" s="9"/>
    </row>
    <row r="408">
      <c r="E408" s="9"/>
      <c r="H408" s="9"/>
      <c r="I408" s="9"/>
      <c r="K408" s="9"/>
      <c r="M408" s="9"/>
      <c r="N408" s="9"/>
      <c r="O408" s="9"/>
    </row>
    <row r="409">
      <c r="E409" s="9"/>
      <c r="H409" s="9"/>
      <c r="I409" s="9"/>
      <c r="K409" s="9"/>
      <c r="M409" s="9"/>
      <c r="N409" s="9"/>
      <c r="O409" s="9"/>
    </row>
    <row r="410">
      <c r="E410" s="9"/>
      <c r="H410" s="9"/>
      <c r="I410" s="9"/>
      <c r="K410" s="9"/>
      <c r="M410" s="9"/>
      <c r="N410" s="9"/>
      <c r="O410" s="9"/>
    </row>
    <row r="411">
      <c r="E411" s="9"/>
      <c r="H411" s="9"/>
      <c r="I411" s="9"/>
      <c r="K411" s="9"/>
      <c r="M411" s="9"/>
      <c r="N411" s="9"/>
      <c r="O411" s="9"/>
    </row>
    <row r="412">
      <c r="E412" s="9"/>
      <c r="H412" s="9"/>
      <c r="I412" s="9"/>
      <c r="K412" s="9"/>
      <c r="M412" s="9"/>
      <c r="N412" s="9"/>
      <c r="O412" s="9"/>
    </row>
    <row r="413">
      <c r="E413" s="9"/>
      <c r="H413" s="9"/>
      <c r="I413" s="9"/>
      <c r="K413" s="9"/>
      <c r="M413" s="9"/>
      <c r="N413" s="9"/>
      <c r="O413" s="9"/>
    </row>
    <row r="414">
      <c r="E414" s="9"/>
      <c r="H414" s="9"/>
      <c r="I414" s="9"/>
      <c r="K414" s="9"/>
      <c r="M414" s="9"/>
      <c r="N414" s="9"/>
      <c r="O414" s="9"/>
    </row>
    <row r="415">
      <c r="E415" s="9"/>
      <c r="H415" s="9"/>
      <c r="I415" s="9"/>
      <c r="K415" s="9"/>
      <c r="M415" s="9"/>
      <c r="N415" s="9"/>
      <c r="O415" s="9"/>
    </row>
    <row r="416">
      <c r="E416" s="9"/>
      <c r="H416" s="9"/>
      <c r="I416" s="9"/>
      <c r="K416" s="9"/>
      <c r="M416" s="9"/>
      <c r="N416" s="9"/>
      <c r="O416" s="9"/>
    </row>
    <row r="417">
      <c r="E417" s="9"/>
      <c r="H417" s="9"/>
      <c r="I417" s="9"/>
      <c r="K417" s="9"/>
      <c r="M417" s="9"/>
      <c r="N417" s="9"/>
      <c r="O417" s="9"/>
    </row>
    <row r="418">
      <c r="E418" s="9"/>
      <c r="H418" s="9"/>
      <c r="I418" s="9"/>
      <c r="K418" s="9"/>
      <c r="M418" s="9"/>
      <c r="N418" s="9"/>
      <c r="O418" s="9"/>
    </row>
    <row r="419">
      <c r="E419" s="9"/>
      <c r="H419" s="9"/>
      <c r="I419" s="9"/>
      <c r="K419" s="9"/>
      <c r="M419" s="9"/>
      <c r="N419" s="9"/>
      <c r="O419" s="9"/>
    </row>
    <row r="420">
      <c r="E420" s="9"/>
      <c r="H420" s="9"/>
      <c r="I420" s="9"/>
      <c r="K420" s="9"/>
      <c r="M420" s="9"/>
      <c r="N420" s="9"/>
      <c r="O420" s="9"/>
    </row>
    <row r="421">
      <c r="E421" s="9"/>
      <c r="H421" s="9"/>
      <c r="I421" s="9"/>
      <c r="K421" s="9"/>
      <c r="M421" s="9"/>
      <c r="N421" s="9"/>
      <c r="O421" s="9"/>
    </row>
    <row r="422">
      <c r="E422" s="9"/>
      <c r="H422" s="9"/>
      <c r="I422" s="9"/>
      <c r="K422" s="9"/>
      <c r="M422" s="9"/>
      <c r="N422" s="9"/>
      <c r="O422" s="9"/>
    </row>
    <row r="423">
      <c r="E423" s="9"/>
      <c r="H423" s="9"/>
      <c r="I423" s="9"/>
      <c r="K423" s="9"/>
      <c r="M423" s="9"/>
      <c r="N423" s="9"/>
      <c r="O423" s="9"/>
    </row>
    <row r="424">
      <c r="E424" s="9"/>
      <c r="H424" s="9"/>
      <c r="I424" s="9"/>
      <c r="K424" s="9"/>
      <c r="M424" s="9"/>
      <c r="N424" s="9"/>
      <c r="O424" s="9"/>
    </row>
    <row r="425">
      <c r="E425" s="9"/>
      <c r="H425" s="9"/>
      <c r="I425" s="9"/>
      <c r="K425" s="9"/>
      <c r="M425" s="9"/>
      <c r="N425" s="9"/>
      <c r="O425" s="9"/>
    </row>
    <row r="426">
      <c r="E426" s="9"/>
      <c r="H426" s="9"/>
      <c r="I426" s="9"/>
      <c r="K426" s="9"/>
      <c r="M426" s="9"/>
      <c r="N426" s="9"/>
      <c r="O426" s="9"/>
    </row>
    <row r="427">
      <c r="E427" s="9"/>
      <c r="H427" s="9"/>
      <c r="I427" s="9"/>
      <c r="K427" s="9"/>
      <c r="M427" s="9"/>
      <c r="N427" s="9"/>
      <c r="O427" s="9"/>
    </row>
    <row r="428">
      <c r="E428" s="9"/>
      <c r="H428" s="9"/>
      <c r="I428" s="9"/>
      <c r="K428" s="9"/>
      <c r="M428" s="9"/>
      <c r="N428" s="9"/>
      <c r="O428" s="9"/>
    </row>
    <row r="429">
      <c r="E429" s="9"/>
      <c r="H429" s="9"/>
      <c r="I429" s="9"/>
      <c r="K429" s="9"/>
      <c r="M429" s="9"/>
      <c r="N429" s="9"/>
      <c r="O429" s="9"/>
    </row>
    <row r="430">
      <c r="E430" s="9"/>
      <c r="H430" s="9"/>
      <c r="I430" s="9"/>
      <c r="K430" s="9"/>
      <c r="M430" s="9"/>
      <c r="N430" s="9"/>
      <c r="O430" s="9"/>
    </row>
    <row r="431">
      <c r="E431" s="9"/>
      <c r="H431" s="9"/>
      <c r="I431" s="9"/>
      <c r="K431" s="9"/>
      <c r="M431" s="9"/>
      <c r="N431" s="9"/>
      <c r="O431" s="9"/>
    </row>
    <row r="432">
      <c r="E432" s="9"/>
      <c r="H432" s="9"/>
      <c r="I432" s="9"/>
      <c r="K432" s="9"/>
      <c r="M432" s="9"/>
      <c r="N432" s="9"/>
      <c r="O432" s="9"/>
    </row>
    <row r="433">
      <c r="E433" s="9"/>
      <c r="H433" s="9"/>
      <c r="I433" s="9"/>
      <c r="K433" s="9"/>
      <c r="M433" s="9"/>
      <c r="N433" s="9"/>
      <c r="O433" s="9"/>
    </row>
    <row r="434">
      <c r="E434" s="9"/>
      <c r="H434" s="9"/>
      <c r="I434" s="9"/>
      <c r="K434" s="9"/>
      <c r="M434" s="9"/>
      <c r="N434" s="9"/>
      <c r="O434" s="9"/>
    </row>
    <row r="435">
      <c r="E435" s="9"/>
      <c r="H435" s="9"/>
      <c r="I435" s="9"/>
      <c r="K435" s="9"/>
      <c r="M435" s="9"/>
      <c r="N435" s="9"/>
      <c r="O435" s="9"/>
    </row>
    <row r="436">
      <c r="E436" s="9"/>
      <c r="H436" s="9"/>
      <c r="I436" s="9"/>
      <c r="K436" s="9"/>
      <c r="M436" s="9"/>
      <c r="N436" s="9"/>
      <c r="O436" s="9"/>
    </row>
    <row r="437">
      <c r="E437" s="9"/>
      <c r="H437" s="9"/>
      <c r="I437" s="9"/>
      <c r="K437" s="9"/>
      <c r="M437" s="9"/>
      <c r="N437" s="9"/>
      <c r="O437" s="9"/>
    </row>
    <row r="438">
      <c r="E438" s="9"/>
      <c r="H438" s="9"/>
      <c r="I438" s="9"/>
      <c r="K438" s="9"/>
      <c r="M438" s="9"/>
      <c r="N438" s="9"/>
      <c r="O438" s="9"/>
    </row>
    <row r="439">
      <c r="E439" s="9"/>
      <c r="H439" s="9"/>
      <c r="I439" s="9"/>
      <c r="K439" s="9"/>
      <c r="M439" s="9"/>
      <c r="N439" s="9"/>
      <c r="O439" s="9"/>
    </row>
    <row r="440">
      <c r="E440" s="9"/>
      <c r="H440" s="9"/>
      <c r="I440" s="9"/>
      <c r="K440" s="9"/>
      <c r="M440" s="9"/>
      <c r="N440" s="9"/>
      <c r="O440" s="9"/>
    </row>
    <row r="441">
      <c r="E441" s="9"/>
      <c r="H441" s="9"/>
      <c r="I441" s="9"/>
      <c r="K441" s="9"/>
      <c r="M441" s="9"/>
      <c r="N441" s="9"/>
      <c r="O441" s="9"/>
    </row>
    <row r="442">
      <c r="E442" s="9"/>
      <c r="H442" s="9"/>
      <c r="I442" s="9"/>
      <c r="K442" s="9"/>
      <c r="M442" s="9"/>
      <c r="N442" s="9"/>
      <c r="O442" s="9"/>
    </row>
    <row r="443">
      <c r="E443" s="9"/>
      <c r="H443" s="9"/>
      <c r="I443" s="9"/>
      <c r="K443" s="9"/>
      <c r="M443" s="9"/>
      <c r="N443" s="9"/>
      <c r="O443" s="9"/>
    </row>
    <row r="444">
      <c r="E444" s="9"/>
      <c r="H444" s="9"/>
      <c r="I444" s="9"/>
      <c r="K444" s="9"/>
      <c r="M444" s="9"/>
      <c r="N444" s="9"/>
      <c r="O444" s="9"/>
    </row>
    <row r="445">
      <c r="E445" s="9"/>
      <c r="H445" s="9"/>
      <c r="I445" s="9"/>
      <c r="K445" s="9"/>
      <c r="M445" s="9"/>
      <c r="N445" s="9"/>
      <c r="O445" s="9"/>
    </row>
    <row r="446">
      <c r="E446" s="9"/>
      <c r="H446" s="9"/>
      <c r="I446" s="9"/>
      <c r="K446" s="9"/>
      <c r="M446" s="9"/>
      <c r="N446" s="9"/>
      <c r="O446" s="9"/>
    </row>
    <row r="447">
      <c r="E447" s="9"/>
      <c r="H447" s="9"/>
      <c r="I447" s="9"/>
      <c r="K447" s="9"/>
      <c r="M447" s="9"/>
      <c r="N447" s="9"/>
      <c r="O447" s="9"/>
    </row>
    <row r="448">
      <c r="E448" s="9"/>
      <c r="H448" s="9"/>
      <c r="I448" s="9"/>
      <c r="K448" s="9"/>
      <c r="M448" s="9"/>
      <c r="N448" s="9"/>
      <c r="O448" s="9"/>
    </row>
    <row r="449">
      <c r="E449" s="9"/>
      <c r="H449" s="9"/>
      <c r="I449" s="9"/>
      <c r="K449" s="9"/>
      <c r="M449" s="9"/>
      <c r="N449" s="9"/>
      <c r="O449" s="9"/>
    </row>
    <row r="450">
      <c r="E450" s="9"/>
      <c r="H450" s="9"/>
      <c r="I450" s="9"/>
      <c r="K450" s="9"/>
      <c r="M450" s="9"/>
      <c r="N450" s="9"/>
      <c r="O450" s="9"/>
    </row>
    <row r="451">
      <c r="E451" s="9"/>
      <c r="H451" s="9"/>
      <c r="I451" s="9"/>
      <c r="K451" s="9"/>
      <c r="M451" s="9"/>
      <c r="N451" s="9"/>
      <c r="O451" s="9"/>
    </row>
    <row r="452">
      <c r="E452" s="9"/>
      <c r="H452" s="9"/>
      <c r="I452" s="9"/>
      <c r="K452" s="9"/>
      <c r="M452" s="9"/>
      <c r="N452" s="9"/>
      <c r="O452" s="9"/>
    </row>
    <row r="453">
      <c r="E453" s="9"/>
      <c r="H453" s="9"/>
      <c r="I453" s="9"/>
      <c r="K453" s="9"/>
      <c r="M453" s="9"/>
      <c r="N453" s="9"/>
      <c r="O453" s="9"/>
    </row>
    <row r="454">
      <c r="E454" s="9"/>
      <c r="H454" s="9"/>
      <c r="I454" s="9"/>
      <c r="K454" s="9"/>
      <c r="M454" s="9"/>
      <c r="N454" s="9"/>
      <c r="O454" s="9"/>
    </row>
    <row r="455">
      <c r="E455" s="9"/>
      <c r="H455" s="9"/>
      <c r="I455" s="9"/>
      <c r="K455" s="9"/>
      <c r="M455" s="9"/>
      <c r="N455" s="9"/>
      <c r="O455" s="9"/>
    </row>
    <row r="456">
      <c r="E456" s="9"/>
      <c r="H456" s="9"/>
      <c r="I456" s="9"/>
      <c r="K456" s="9"/>
      <c r="M456" s="9"/>
      <c r="N456" s="9"/>
      <c r="O456" s="9"/>
    </row>
    <row r="457">
      <c r="E457" s="9"/>
      <c r="H457" s="9"/>
      <c r="I457" s="9"/>
      <c r="K457" s="9"/>
      <c r="M457" s="9"/>
      <c r="N457" s="9"/>
      <c r="O457" s="9"/>
    </row>
    <row r="458">
      <c r="E458" s="9"/>
      <c r="H458" s="9"/>
      <c r="I458" s="9"/>
      <c r="K458" s="9"/>
      <c r="M458" s="9"/>
      <c r="N458" s="9"/>
      <c r="O458" s="9"/>
    </row>
    <row r="459">
      <c r="E459" s="9"/>
      <c r="H459" s="9"/>
      <c r="I459" s="9"/>
      <c r="K459" s="9"/>
      <c r="M459" s="9"/>
      <c r="N459" s="9"/>
      <c r="O459" s="9"/>
    </row>
    <row r="460">
      <c r="E460" s="9"/>
      <c r="H460" s="9"/>
      <c r="I460" s="9"/>
      <c r="K460" s="9"/>
      <c r="M460" s="9"/>
      <c r="N460" s="9"/>
      <c r="O460" s="9"/>
    </row>
    <row r="461">
      <c r="E461" s="9"/>
      <c r="H461" s="9"/>
      <c r="I461" s="9"/>
      <c r="K461" s="9"/>
      <c r="M461" s="9"/>
      <c r="N461" s="9"/>
      <c r="O461" s="9"/>
    </row>
    <row r="462">
      <c r="E462" s="9"/>
      <c r="H462" s="9"/>
      <c r="I462" s="9"/>
      <c r="K462" s="9"/>
      <c r="M462" s="9"/>
      <c r="N462" s="9"/>
      <c r="O462" s="9"/>
    </row>
    <row r="463">
      <c r="E463" s="9"/>
      <c r="H463" s="9"/>
      <c r="I463" s="9"/>
      <c r="K463" s="9"/>
      <c r="M463" s="9"/>
      <c r="N463" s="9"/>
      <c r="O463" s="9"/>
    </row>
    <row r="464">
      <c r="E464" s="9"/>
      <c r="H464" s="9"/>
      <c r="I464" s="9"/>
      <c r="K464" s="9"/>
      <c r="M464" s="9"/>
      <c r="N464" s="9"/>
      <c r="O464" s="9"/>
    </row>
    <row r="465">
      <c r="E465" s="9"/>
      <c r="H465" s="9"/>
      <c r="I465" s="9"/>
      <c r="K465" s="9"/>
      <c r="M465" s="9"/>
      <c r="N465" s="9"/>
      <c r="O465" s="9"/>
    </row>
    <row r="466">
      <c r="E466" s="9"/>
      <c r="H466" s="9"/>
      <c r="I466" s="9"/>
      <c r="K466" s="9"/>
      <c r="M466" s="9"/>
      <c r="N466" s="9"/>
      <c r="O466" s="9"/>
    </row>
    <row r="467">
      <c r="E467" s="9"/>
      <c r="H467" s="9"/>
      <c r="I467" s="9"/>
      <c r="K467" s="9"/>
      <c r="M467" s="9"/>
      <c r="N467" s="9"/>
      <c r="O467" s="9"/>
    </row>
    <row r="468">
      <c r="E468" s="9"/>
      <c r="H468" s="9"/>
      <c r="I468" s="9"/>
      <c r="K468" s="9"/>
      <c r="M468" s="9"/>
      <c r="N468" s="9"/>
      <c r="O468" s="9"/>
    </row>
    <row r="469">
      <c r="E469" s="9"/>
      <c r="H469" s="9"/>
      <c r="I469" s="9"/>
      <c r="K469" s="9"/>
      <c r="M469" s="9"/>
      <c r="N469" s="9"/>
      <c r="O469" s="9"/>
    </row>
    <row r="470">
      <c r="E470" s="9"/>
      <c r="H470" s="9"/>
      <c r="I470" s="9"/>
      <c r="K470" s="9"/>
      <c r="M470" s="9"/>
      <c r="N470" s="9"/>
      <c r="O470" s="9"/>
    </row>
    <row r="471">
      <c r="E471" s="9"/>
      <c r="H471" s="9"/>
      <c r="I471" s="9"/>
      <c r="K471" s="9"/>
      <c r="M471" s="9"/>
      <c r="N471" s="9"/>
      <c r="O471" s="9"/>
    </row>
    <row r="472">
      <c r="E472" s="9"/>
      <c r="H472" s="9"/>
      <c r="I472" s="9"/>
      <c r="K472" s="9"/>
      <c r="M472" s="9"/>
      <c r="N472" s="9"/>
      <c r="O472" s="9"/>
    </row>
    <row r="473">
      <c r="E473" s="9"/>
      <c r="H473" s="9"/>
      <c r="I473" s="9"/>
      <c r="K473" s="9"/>
      <c r="M473" s="9"/>
      <c r="N473" s="9"/>
      <c r="O473" s="9"/>
    </row>
    <row r="474">
      <c r="E474" s="9"/>
      <c r="H474" s="9"/>
      <c r="I474" s="9"/>
      <c r="K474" s="9"/>
      <c r="M474" s="9"/>
      <c r="N474" s="9"/>
      <c r="O474" s="9"/>
    </row>
    <row r="475">
      <c r="E475" s="9"/>
      <c r="H475" s="9"/>
      <c r="I475" s="9"/>
      <c r="K475" s="9"/>
      <c r="M475" s="9"/>
      <c r="N475" s="9"/>
      <c r="O475" s="9"/>
    </row>
    <row r="476">
      <c r="E476" s="9"/>
      <c r="H476" s="9"/>
      <c r="I476" s="9"/>
      <c r="K476" s="9"/>
      <c r="M476" s="9"/>
      <c r="N476" s="9"/>
      <c r="O476" s="9"/>
    </row>
    <row r="477">
      <c r="E477" s="9"/>
      <c r="H477" s="9"/>
      <c r="I477" s="9"/>
      <c r="K477" s="9"/>
      <c r="M477" s="9"/>
      <c r="N477" s="9"/>
      <c r="O477" s="9"/>
    </row>
    <row r="478">
      <c r="E478" s="9"/>
      <c r="H478" s="9"/>
      <c r="I478" s="9"/>
      <c r="K478" s="9"/>
      <c r="M478" s="9"/>
      <c r="N478" s="9"/>
      <c r="O478" s="9"/>
    </row>
    <row r="479">
      <c r="E479" s="9"/>
      <c r="H479" s="9"/>
      <c r="I479" s="9"/>
      <c r="K479" s="9"/>
      <c r="M479" s="9"/>
      <c r="N479" s="9"/>
      <c r="O479" s="9"/>
    </row>
    <row r="480">
      <c r="E480" s="9"/>
      <c r="H480" s="9"/>
      <c r="I480" s="9"/>
      <c r="K480" s="9"/>
      <c r="M480" s="9"/>
      <c r="N480" s="9"/>
      <c r="O480" s="9"/>
    </row>
    <row r="481">
      <c r="E481" s="9"/>
      <c r="H481" s="9"/>
      <c r="I481" s="9"/>
      <c r="K481" s="9"/>
      <c r="M481" s="9"/>
      <c r="N481" s="9"/>
      <c r="O481" s="9"/>
    </row>
    <row r="482">
      <c r="E482" s="9"/>
      <c r="H482" s="9"/>
      <c r="I482" s="9"/>
      <c r="K482" s="9"/>
      <c r="M482" s="9"/>
      <c r="N482" s="9"/>
      <c r="O482" s="9"/>
    </row>
    <row r="483">
      <c r="E483" s="9"/>
      <c r="H483" s="9"/>
      <c r="I483" s="9"/>
      <c r="K483" s="9"/>
      <c r="M483" s="9"/>
      <c r="N483" s="9"/>
      <c r="O483" s="9"/>
    </row>
    <row r="484">
      <c r="E484" s="9"/>
      <c r="H484" s="9"/>
      <c r="I484" s="9"/>
      <c r="K484" s="9"/>
      <c r="M484" s="9"/>
      <c r="N484" s="9"/>
      <c r="O484" s="9"/>
    </row>
    <row r="485">
      <c r="E485" s="9"/>
      <c r="H485" s="9"/>
      <c r="I485" s="9"/>
      <c r="K485" s="9"/>
      <c r="M485" s="9"/>
      <c r="N485" s="9"/>
      <c r="O485" s="9"/>
    </row>
    <row r="486">
      <c r="E486" s="9"/>
      <c r="H486" s="9"/>
      <c r="I486" s="9"/>
      <c r="K486" s="9"/>
      <c r="M486" s="9"/>
      <c r="N486" s="9"/>
      <c r="O486" s="9"/>
    </row>
    <row r="487">
      <c r="E487" s="9"/>
      <c r="H487" s="9"/>
      <c r="I487" s="9"/>
      <c r="K487" s="9"/>
      <c r="M487" s="9"/>
      <c r="N487" s="9"/>
      <c r="O487" s="9"/>
    </row>
    <row r="488">
      <c r="E488" s="9"/>
      <c r="H488" s="9"/>
      <c r="I488" s="9"/>
      <c r="K488" s="9"/>
      <c r="M488" s="9"/>
      <c r="N488" s="9"/>
      <c r="O488" s="9"/>
    </row>
    <row r="489">
      <c r="E489" s="9"/>
      <c r="H489" s="9"/>
      <c r="I489" s="9"/>
      <c r="K489" s="9"/>
      <c r="M489" s="9"/>
      <c r="N489" s="9"/>
      <c r="O489" s="9"/>
    </row>
    <row r="490">
      <c r="E490" s="9"/>
      <c r="H490" s="9"/>
      <c r="I490" s="9"/>
      <c r="K490" s="9"/>
      <c r="M490" s="9"/>
      <c r="N490" s="9"/>
      <c r="O490" s="9"/>
    </row>
    <row r="491">
      <c r="E491" s="9"/>
      <c r="H491" s="9"/>
      <c r="I491" s="9"/>
      <c r="K491" s="9"/>
      <c r="M491" s="9"/>
      <c r="N491" s="9"/>
      <c r="O491" s="9"/>
    </row>
    <row r="492">
      <c r="E492" s="9"/>
      <c r="H492" s="9"/>
      <c r="I492" s="9"/>
      <c r="K492" s="9"/>
      <c r="M492" s="9"/>
      <c r="N492" s="9"/>
      <c r="O492" s="9"/>
    </row>
    <row r="493">
      <c r="E493" s="9"/>
      <c r="H493" s="9"/>
      <c r="I493" s="9"/>
      <c r="K493" s="9"/>
      <c r="M493" s="9"/>
      <c r="N493" s="9"/>
      <c r="O493" s="9"/>
    </row>
    <row r="494">
      <c r="E494" s="9"/>
      <c r="H494" s="9"/>
      <c r="I494" s="9"/>
      <c r="K494" s="9"/>
      <c r="M494" s="9"/>
      <c r="N494" s="9"/>
      <c r="O494" s="9"/>
    </row>
    <row r="495">
      <c r="E495" s="9"/>
      <c r="H495" s="9"/>
      <c r="I495" s="9"/>
      <c r="K495" s="9"/>
      <c r="M495" s="9"/>
      <c r="N495" s="9"/>
      <c r="O495" s="9"/>
    </row>
    <row r="496">
      <c r="E496" s="9"/>
      <c r="H496" s="9"/>
      <c r="I496" s="9"/>
      <c r="K496" s="9"/>
      <c r="M496" s="9"/>
      <c r="N496" s="9"/>
      <c r="O496" s="9"/>
    </row>
    <row r="497">
      <c r="E497" s="9"/>
      <c r="H497" s="9"/>
      <c r="I497" s="9"/>
      <c r="K497" s="9"/>
      <c r="M497" s="9"/>
      <c r="N497" s="9"/>
      <c r="O497" s="9"/>
    </row>
    <row r="498">
      <c r="E498" s="9"/>
      <c r="H498" s="9"/>
      <c r="I498" s="9"/>
      <c r="K498" s="9"/>
      <c r="M498" s="9"/>
      <c r="N498" s="9"/>
      <c r="O498" s="9"/>
    </row>
    <row r="499">
      <c r="E499" s="9"/>
      <c r="H499" s="9"/>
      <c r="I499" s="9"/>
      <c r="K499" s="9"/>
      <c r="M499" s="9"/>
      <c r="N499" s="9"/>
      <c r="O499" s="9"/>
    </row>
    <row r="500">
      <c r="E500" s="9"/>
      <c r="H500" s="9"/>
      <c r="I500" s="9"/>
      <c r="K500" s="9"/>
      <c r="M500" s="9"/>
      <c r="N500" s="9"/>
      <c r="O500" s="9"/>
    </row>
    <row r="501">
      <c r="E501" s="9"/>
      <c r="H501" s="9"/>
      <c r="I501" s="9"/>
      <c r="K501" s="9"/>
      <c r="M501" s="9"/>
      <c r="N501" s="9"/>
      <c r="O501" s="9"/>
    </row>
    <row r="502">
      <c r="E502" s="9"/>
      <c r="H502" s="9"/>
      <c r="I502" s="9"/>
      <c r="K502" s="9"/>
      <c r="M502" s="9"/>
      <c r="N502" s="9"/>
      <c r="O502" s="9"/>
    </row>
    <row r="503">
      <c r="E503" s="9"/>
      <c r="H503" s="9"/>
      <c r="I503" s="9"/>
      <c r="K503" s="9"/>
      <c r="M503" s="9"/>
      <c r="N503" s="9"/>
      <c r="O503" s="9"/>
    </row>
    <row r="504">
      <c r="E504" s="9"/>
      <c r="H504" s="9"/>
      <c r="I504" s="9"/>
      <c r="K504" s="9"/>
      <c r="M504" s="9"/>
      <c r="N504" s="9"/>
      <c r="O504" s="9"/>
    </row>
    <row r="505">
      <c r="E505" s="9"/>
      <c r="H505" s="9"/>
      <c r="I505" s="9"/>
      <c r="K505" s="9"/>
      <c r="M505" s="9"/>
      <c r="N505" s="9"/>
      <c r="O505" s="9"/>
    </row>
    <row r="506">
      <c r="E506" s="9"/>
      <c r="H506" s="9"/>
      <c r="I506" s="9"/>
      <c r="K506" s="9"/>
      <c r="M506" s="9"/>
      <c r="N506" s="9"/>
      <c r="O506" s="9"/>
    </row>
    <row r="507">
      <c r="E507" s="9"/>
      <c r="H507" s="9"/>
      <c r="I507" s="9"/>
      <c r="K507" s="9"/>
      <c r="M507" s="9"/>
      <c r="N507" s="9"/>
      <c r="O507" s="9"/>
    </row>
    <row r="508">
      <c r="E508" s="9"/>
      <c r="H508" s="9"/>
      <c r="I508" s="9"/>
      <c r="K508" s="9"/>
      <c r="M508" s="9"/>
      <c r="N508" s="9"/>
      <c r="O508" s="9"/>
    </row>
    <row r="509">
      <c r="E509" s="9"/>
      <c r="H509" s="9"/>
      <c r="I509" s="9"/>
      <c r="K509" s="9"/>
      <c r="M509" s="9"/>
      <c r="N509" s="9"/>
      <c r="O509" s="9"/>
    </row>
    <row r="510">
      <c r="E510" s="9"/>
      <c r="H510" s="9"/>
      <c r="I510" s="9"/>
      <c r="K510" s="9"/>
      <c r="M510" s="9"/>
      <c r="N510" s="9"/>
      <c r="O510" s="9"/>
    </row>
    <row r="511">
      <c r="E511" s="9"/>
      <c r="H511" s="9"/>
      <c r="I511" s="9"/>
      <c r="K511" s="9"/>
      <c r="M511" s="9"/>
      <c r="N511" s="9"/>
      <c r="O511" s="9"/>
    </row>
    <row r="512">
      <c r="E512" s="9"/>
      <c r="H512" s="9"/>
      <c r="I512" s="9"/>
      <c r="K512" s="9"/>
      <c r="M512" s="9"/>
      <c r="N512" s="9"/>
      <c r="O512" s="9"/>
    </row>
    <row r="513">
      <c r="E513" s="9"/>
      <c r="H513" s="9"/>
      <c r="I513" s="9"/>
      <c r="K513" s="9"/>
      <c r="M513" s="9"/>
      <c r="N513" s="9"/>
      <c r="O513" s="9"/>
    </row>
    <row r="514">
      <c r="E514" s="9"/>
      <c r="H514" s="9"/>
      <c r="I514" s="9"/>
      <c r="K514" s="9"/>
      <c r="M514" s="9"/>
      <c r="N514" s="9"/>
      <c r="O514" s="9"/>
    </row>
    <row r="515">
      <c r="E515" s="9"/>
      <c r="H515" s="9"/>
      <c r="I515" s="9"/>
      <c r="K515" s="9"/>
      <c r="M515" s="9"/>
      <c r="N515" s="9"/>
      <c r="O515" s="9"/>
    </row>
    <row r="516">
      <c r="E516" s="9"/>
      <c r="H516" s="9"/>
      <c r="I516" s="9"/>
      <c r="K516" s="9"/>
      <c r="M516" s="9"/>
      <c r="N516" s="9"/>
      <c r="O516" s="9"/>
    </row>
    <row r="517">
      <c r="E517" s="9"/>
      <c r="H517" s="9"/>
      <c r="I517" s="9"/>
      <c r="K517" s="9"/>
      <c r="M517" s="9"/>
      <c r="N517" s="9"/>
      <c r="O517" s="9"/>
    </row>
    <row r="518">
      <c r="E518" s="9"/>
      <c r="H518" s="9"/>
      <c r="I518" s="9"/>
      <c r="K518" s="9"/>
      <c r="M518" s="9"/>
      <c r="N518" s="9"/>
      <c r="O518" s="9"/>
    </row>
    <row r="519">
      <c r="E519" s="9"/>
      <c r="H519" s="9"/>
      <c r="I519" s="9"/>
      <c r="K519" s="9"/>
      <c r="M519" s="9"/>
      <c r="N519" s="9"/>
      <c r="O519" s="9"/>
    </row>
    <row r="520">
      <c r="E520" s="9"/>
      <c r="H520" s="9"/>
      <c r="I520" s="9"/>
      <c r="K520" s="9"/>
      <c r="M520" s="9"/>
      <c r="N520" s="9"/>
      <c r="O520" s="9"/>
    </row>
    <row r="521">
      <c r="E521" s="9"/>
      <c r="H521" s="9"/>
      <c r="I521" s="9"/>
      <c r="K521" s="9"/>
      <c r="M521" s="9"/>
      <c r="N521" s="9"/>
      <c r="O521" s="9"/>
    </row>
    <row r="522">
      <c r="E522" s="9"/>
      <c r="H522" s="9"/>
      <c r="I522" s="9"/>
      <c r="K522" s="9"/>
      <c r="M522" s="9"/>
      <c r="N522" s="9"/>
      <c r="O522" s="9"/>
    </row>
    <row r="523">
      <c r="E523" s="9"/>
      <c r="H523" s="9"/>
      <c r="I523" s="9"/>
      <c r="K523" s="9"/>
      <c r="M523" s="9"/>
      <c r="N523" s="9"/>
      <c r="O523" s="9"/>
    </row>
    <row r="524">
      <c r="E524" s="9"/>
      <c r="H524" s="9"/>
      <c r="I524" s="9"/>
      <c r="K524" s="9"/>
      <c r="M524" s="9"/>
      <c r="N524" s="9"/>
      <c r="O524" s="9"/>
    </row>
    <row r="525">
      <c r="E525" s="9"/>
      <c r="H525" s="9"/>
      <c r="I525" s="9"/>
      <c r="K525" s="9"/>
      <c r="M525" s="9"/>
      <c r="N525" s="9"/>
      <c r="O525" s="9"/>
    </row>
    <row r="526">
      <c r="E526" s="9"/>
      <c r="H526" s="9"/>
      <c r="I526" s="9"/>
      <c r="K526" s="9"/>
      <c r="M526" s="9"/>
      <c r="N526" s="9"/>
      <c r="O526" s="9"/>
    </row>
    <row r="527">
      <c r="E527" s="9"/>
      <c r="H527" s="9"/>
      <c r="I527" s="9"/>
      <c r="K527" s="9"/>
      <c r="M527" s="9"/>
      <c r="N527" s="9"/>
      <c r="O527" s="9"/>
    </row>
    <row r="528">
      <c r="E528" s="9"/>
      <c r="H528" s="9"/>
      <c r="I528" s="9"/>
      <c r="K528" s="9"/>
      <c r="M528" s="9"/>
      <c r="N528" s="9"/>
      <c r="O528" s="9"/>
    </row>
    <row r="529">
      <c r="E529" s="9"/>
      <c r="H529" s="9"/>
      <c r="I529" s="9"/>
      <c r="K529" s="9"/>
      <c r="M529" s="9"/>
      <c r="N529" s="9"/>
      <c r="O529" s="9"/>
    </row>
    <row r="530">
      <c r="E530" s="9"/>
      <c r="H530" s="9"/>
      <c r="I530" s="9"/>
      <c r="K530" s="9"/>
      <c r="M530" s="9"/>
      <c r="N530" s="9"/>
      <c r="O530" s="9"/>
    </row>
    <row r="531">
      <c r="E531" s="9"/>
      <c r="H531" s="9"/>
      <c r="I531" s="9"/>
      <c r="K531" s="9"/>
      <c r="M531" s="9"/>
      <c r="N531" s="9"/>
      <c r="O531" s="9"/>
    </row>
    <row r="532">
      <c r="E532" s="9"/>
      <c r="H532" s="9"/>
      <c r="I532" s="9"/>
      <c r="K532" s="9"/>
      <c r="M532" s="9"/>
      <c r="N532" s="9"/>
      <c r="O532" s="9"/>
    </row>
    <row r="533">
      <c r="E533" s="9"/>
      <c r="H533" s="9"/>
      <c r="I533" s="9"/>
      <c r="K533" s="9"/>
      <c r="M533" s="9"/>
      <c r="N533" s="9"/>
      <c r="O533" s="9"/>
    </row>
    <row r="534">
      <c r="E534" s="9"/>
      <c r="H534" s="9"/>
      <c r="I534" s="9"/>
      <c r="K534" s="9"/>
      <c r="M534" s="9"/>
      <c r="N534" s="9"/>
      <c r="O534" s="9"/>
    </row>
    <row r="535">
      <c r="E535" s="9"/>
      <c r="H535" s="9"/>
      <c r="I535" s="9"/>
      <c r="K535" s="9"/>
      <c r="M535" s="9"/>
      <c r="N535" s="9"/>
      <c r="O535" s="9"/>
    </row>
    <row r="536">
      <c r="E536" s="9"/>
      <c r="H536" s="9"/>
      <c r="I536" s="9"/>
      <c r="K536" s="9"/>
      <c r="M536" s="9"/>
      <c r="N536" s="9"/>
      <c r="O536" s="9"/>
    </row>
    <row r="537">
      <c r="E537" s="9"/>
      <c r="H537" s="9"/>
      <c r="I537" s="9"/>
      <c r="K537" s="9"/>
      <c r="M537" s="9"/>
      <c r="N537" s="9"/>
      <c r="O537" s="9"/>
    </row>
    <row r="538">
      <c r="E538" s="9"/>
      <c r="H538" s="9"/>
      <c r="I538" s="9"/>
      <c r="K538" s="9"/>
      <c r="M538" s="9"/>
      <c r="N538" s="9"/>
      <c r="O538" s="9"/>
    </row>
    <row r="539">
      <c r="E539" s="9"/>
      <c r="H539" s="9"/>
      <c r="I539" s="9"/>
      <c r="K539" s="9"/>
      <c r="M539" s="9"/>
      <c r="N539" s="9"/>
      <c r="O539" s="9"/>
    </row>
    <row r="540">
      <c r="E540" s="9"/>
      <c r="H540" s="9"/>
      <c r="I540" s="9"/>
      <c r="K540" s="9"/>
      <c r="M540" s="9"/>
      <c r="N540" s="9"/>
      <c r="O540" s="9"/>
    </row>
    <row r="541">
      <c r="E541" s="9"/>
      <c r="H541" s="9"/>
      <c r="I541" s="9"/>
      <c r="K541" s="9"/>
      <c r="M541" s="9"/>
      <c r="N541" s="9"/>
      <c r="O541" s="9"/>
    </row>
    <row r="542">
      <c r="E542" s="9"/>
      <c r="H542" s="9"/>
      <c r="I542" s="9"/>
      <c r="K542" s="9"/>
      <c r="M542" s="9"/>
      <c r="N542" s="9"/>
      <c r="O542" s="9"/>
    </row>
    <row r="543">
      <c r="E543" s="9"/>
      <c r="H543" s="9"/>
      <c r="I543" s="9"/>
      <c r="K543" s="9"/>
      <c r="M543" s="9"/>
      <c r="N543" s="9"/>
      <c r="O543" s="9"/>
    </row>
    <row r="544">
      <c r="E544" s="9"/>
      <c r="H544" s="9"/>
      <c r="I544" s="9"/>
      <c r="K544" s="9"/>
      <c r="M544" s="9"/>
      <c r="N544" s="9"/>
      <c r="O544" s="9"/>
    </row>
    <row r="545">
      <c r="E545" s="9"/>
      <c r="H545" s="9"/>
      <c r="I545" s="9"/>
      <c r="K545" s="9"/>
      <c r="M545" s="9"/>
      <c r="N545" s="9"/>
      <c r="O545" s="9"/>
    </row>
    <row r="546">
      <c r="E546" s="9"/>
      <c r="H546" s="9"/>
      <c r="I546" s="9"/>
      <c r="K546" s="9"/>
      <c r="M546" s="9"/>
      <c r="N546" s="9"/>
      <c r="O546" s="9"/>
    </row>
    <row r="547">
      <c r="E547" s="9"/>
      <c r="H547" s="9"/>
      <c r="I547" s="9"/>
      <c r="K547" s="9"/>
      <c r="M547" s="9"/>
      <c r="N547" s="9"/>
      <c r="O547" s="9"/>
    </row>
    <row r="548">
      <c r="E548" s="9"/>
      <c r="H548" s="9"/>
      <c r="I548" s="9"/>
      <c r="K548" s="9"/>
      <c r="M548" s="9"/>
      <c r="N548" s="9"/>
      <c r="O548" s="9"/>
    </row>
    <row r="549">
      <c r="E549" s="9"/>
      <c r="H549" s="9"/>
      <c r="I549" s="9"/>
      <c r="K549" s="9"/>
      <c r="M549" s="9"/>
      <c r="N549" s="9"/>
      <c r="O549" s="9"/>
    </row>
    <row r="550">
      <c r="E550" s="9"/>
      <c r="H550" s="9"/>
      <c r="I550" s="9"/>
      <c r="K550" s="9"/>
      <c r="M550" s="9"/>
      <c r="N550" s="9"/>
      <c r="O550" s="9"/>
    </row>
    <row r="551">
      <c r="E551" s="9"/>
      <c r="H551" s="9"/>
      <c r="I551" s="9"/>
      <c r="K551" s="9"/>
      <c r="M551" s="9"/>
      <c r="N551" s="9"/>
      <c r="O551" s="9"/>
    </row>
    <row r="552">
      <c r="E552" s="9"/>
      <c r="H552" s="9"/>
      <c r="I552" s="9"/>
      <c r="K552" s="9"/>
      <c r="M552" s="9"/>
      <c r="N552" s="9"/>
      <c r="O552" s="9"/>
    </row>
    <row r="553">
      <c r="E553" s="9"/>
      <c r="H553" s="9"/>
      <c r="I553" s="9"/>
      <c r="K553" s="9"/>
      <c r="M553" s="9"/>
      <c r="N553" s="9"/>
      <c r="O553" s="9"/>
    </row>
    <row r="554">
      <c r="E554" s="9"/>
      <c r="H554" s="9"/>
      <c r="I554" s="9"/>
      <c r="K554" s="9"/>
      <c r="M554" s="9"/>
      <c r="N554" s="9"/>
      <c r="O554" s="9"/>
    </row>
    <row r="555">
      <c r="E555" s="9"/>
      <c r="H555" s="9"/>
      <c r="I555" s="9"/>
      <c r="K555" s="9"/>
      <c r="M555" s="9"/>
      <c r="N555" s="9"/>
      <c r="O555" s="9"/>
    </row>
    <row r="556">
      <c r="E556" s="9"/>
      <c r="H556" s="9"/>
      <c r="I556" s="9"/>
      <c r="K556" s="9"/>
      <c r="M556" s="9"/>
      <c r="N556" s="9"/>
      <c r="O556" s="9"/>
    </row>
    <row r="557">
      <c r="E557" s="9"/>
      <c r="H557" s="9"/>
      <c r="I557" s="9"/>
      <c r="K557" s="9"/>
      <c r="M557" s="9"/>
      <c r="N557" s="9"/>
      <c r="O557" s="9"/>
    </row>
    <row r="558">
      <c r="E558" s="9"/>
      <c r="H558" s="9"/>
      <c r="I558" s="9"/>
      <c r="K558" s="9"/>
      <c r="M558" s="9"/>
      <c r="N558" s="9"/>
      <c r="O558" s="9"/>
    </row>
    <row r="559">
      <c r="E559" s="9"/>
      <c r="H559" s="9"/>
      <c r="I559" s="9"/>
      <c r="K559" s="9"/>
      <c r="M559" s="9"/>
      <c r="N559" s="9"/>
      <c r="O559" s="9"/>
    </row>
    <row r="560">
      <c r="E560" s="9"/>
      <c r="H560" s="9"/>
      <c r="I560" s="9"/>
      <c r="K560" s="9"/>
      <c r="M560" s="9"/>
      <c r="N560" s="9"/>
      <c r="O560" s="9"/>
    </row>
    <row r="561">
      <c r="E561" s="9"/>
      <c r="H561" s="9"/>
      <c r="I561" s="9"/>
      <c r="K561" s="9"/>
      <c r="M561" s="9"/>
      <c r="N561" s="9"/>
      <c r="O561" s="9"/>
    </row>
    <row r="562">
      <c r="E562" s="9"/>
      <c r="H562" s="9"/>
      <c r="I562" s="9"/>
      <c r="K562" s="9"/>
      <c r="M562" s="9"/>
      <c r="N562" s="9"/>
      <c r="O562" s="9"/>
    </row>
    <row r="563">
      <c r="E563" s="9"/>
      <c r="H563" s="9"/>
      <c r="I563" s="9"/>
      <c r="K563" s="9"/>
      <c r="M563" s="9"/>
      <c r="N563" s="9"/>
      <c r="O563" s="9"/>
    </row>
    <row r="564">
      <c r="E564" s="9"/>
      <c r="H564" s="9"/>
      <c r="I564" s="9"/>
      <c r="K564" s="9"/>
      <c r="M564" s="9"/>
      <c r="N564" s="9"/>
      <c r="O564" s="9"/>
    </row>
    <row r="565">
      <c r="E565" s="9"/>
      <c r="H565" s="9"/>
      <c r="I565" s="9"/>
      <c r="K565" s="9"/>
      <c r="M565" s="9"/>
      <c r="N565" s="9"/>
      <c r="O565" s="9"/>
    </row>
    <row r="566">
      <c r="E566" s="9"/>
      <c r="H566" s="9"/>
      <c r="I566" s="9"/>
      <c r="K566" s="9"/>
      <c r="M566" s="9"/>
      <c r="N566" s="9"/>
      <c r="O566" s="9"/>
    </row>
    <row r="567">
      <c r="E567" s="9"/>
      <c r="H567" s="9"/>
      <c r="I567" s="9"/>
      <c r="K567" s="9"/>
      <c r="M567" s="9"/>
      <c r="N567" s="9"/>
      <c r="O567" s="9"/>
    </row>
    <row r="568">
      <c r="E568" s="9"/>
      <c r="H568" s="9"/>
      <c r="I568" s="9"/>
      <c r="K568" s="9"/>
      <c r="M568" s="9"/>
      <c r="N568" s="9"/>
      <c r="O568" s="9"/>
    </row>
    <row r="569">
      <c r="E569" s="9"/>
      <c r="H569" s="9"/>
      <c r="I569" s="9"/>
      <c r="K569" s="9"/>
      <c r="M569" s="9"/>
      <c r="N569" s="9"/>
      <c r="O569" s="9"/>
    </row>
    <row r="570">
      <c r="E570" s="9"/>
      <c r="H570" s="9"/>
      <c r="I570" s="9"/>
      <c r="K570" s="9"/>
      <c r="M570" s="9"/>
      <c r="N570" s="9"/>
      <c r="O570" s="9"/>
    </row>
    <row r="571">
      <c r="E571" s="9"/>
      <c r="H571" s="9"/>
      <c r="I571" s="9"/>
      <c r="K571" s="9"/>
      <c r="M571" s="9"/>
      <c r="N571" s="9"/>
      <c r="O571" s="9"/>
    </row>
    <row r="572">
      <c r="E572" s="9"/>
      <c r="H572" s="9"/>
      <c r="I572" s="9"/>
      <c r="K572" s="9"/>
      <c r="M572" s="9"/>
      <c r="N572" s="9"/>
      <c r="O572" s="9"/>
    </row>
    <row r="573">
      <c r="E573" s="9"/>
      <c r="H573" s="9"/>
      <c r="I573" s="9"/>
      <c r="K573" s="9"/>
      <c r="M573" s="9"/>
      <c r="N573" s="9"/>
      <c r="O573" s="9"/>
    </row>
    <row r="574">
      <c r="E574" s="9"/>
      <c r="H574" s="9"/>
      <c r="I574" s="9"/>
      <c r="K574" s="9"/>
      <c r="M574" s="9"/>
      <c r="N574" s="9"/>
      <c r="O574" s="9"/>
    </row>
    <row r="575">
      <c r="E575" s="9"/>
      <c r="H575" s="9"/>
      <c r="I575" s="9"/>
      <c r="K575" s="9"/>
      <c r="M575" s="9"/>
      <c r="N575" s="9"/>
      <c r="O575" s="9"/>
    </row>
    <row r="576">
      <c r="E576" s="9"/>
      <c r="H576" s="9"/>
      <c r="I576" s="9"/>
      <c r="K576" s="9"/>
      <c r="M576" s="9"/>
      <c r="N576" s="9"/>
      <c r="O576" s="9"/>
    </row>
    <row r="577">
      <c r="E577" s="9"/>
      <c r="H577" s="9"/>
      <c r="I577" s="9"/>
      <c r="K577" s="9"/>
      <c r="M577" s="9"/>
      <c r="N577" s="9"/>
      <c r="O577" s="9"/>
    </row>
    <row r="578">
      <c r="E578" s="9"/>
      <c r="H578" s="9"/>
      <c r="I578" s="9"/>
      <c r="K578" s="9"/>
      <c r="M578" s="9"/>
      <c r="N578" s="9"/>
      <c r="O578" s="9"/>
    </row>
    <row r="579">
      <c r="E579" s="9"/>
      <c r="H579" s="9"/>
      <c r="I579" s="9"/>
      <c r="K579" s="9"/>
      <c r="M579" s="9"/>
      <c r="N579" s="9"/>
      <c r="O579" s="9"/>
    </row>
    <row r="580">
      <c r="E580" s="9"/>
      <c r="H580" s="9"/>
      <c r="I580" s="9"/>
      <c r="K580" s="9"/>
      <c r="M580" s="9"/>
      <c r="N580" s="9"/>
      <c r="O580" s="9"/>
    </row>
    <row r="581">
      <c r="E581" s="9"/>
      <c r="H581" s="9"/>
      <c r="I581" s="9"/>
      <c r="K581" s="9"/>
      <c r="M581" s="9"/>
      <c r="N581" s="9"/>
      <c r="O581" s="9"/>
    </row>
    <row r="582">
      <c r="E582" s="9"/>
      <c r="H582" s="9"/>
      <c r="I582" s="9"/>
      <c r="K582" s="9"/>
      <c r="M582" s="9"/>
      <c r="N582" s="9"/>
      <c r="O582" s="9"/>
    </row>
    <row r="583">
      <c r="E583" s="9"/>
      <c r="H583" s="9"/>
      <c r="I583" s="9"/>
      <c r="K583" s="9"/>
      <c r="M583" s="9"/>
      <c r="N583" s="9"/>
      <c r="O583" s="9"/>
    </row>
    <row r="584">
      <c r="E584" s="9"/>
      <c r="H584" s="9"/>
      <c r="I584" s="9"/>
      <c r="K584" s="9"/>
      <c r="M584" s="9"/>
      <c r="N584" s="9"/>
      <c r="O584" s="9"/>
    </row>
    <row r="585">
      <c r="E585" s="9"/>
      <c r="H585" s="9"/>
      <c r="I585" s="9"/>
      <c r="K585" s="9"/>
      <c r="M585" s="9"/>
      <c r="N585" s="9"/>
      <c r="O585" s="9"/>
    </row>
    <row r="586">
      <c r="E586" s="9"/>
      <c r="H586" s="9"/>
      <c r="I586" s="9"/>
      <c r="K586" s="9"/>
      <c r="M586" s="9"/>
      <c r="N586" s="9"/>
      <c r="O586" s="9"/>
    </row>
    <row r="587">
      <c r="E587" s="9"/>
      <c r="H587" s="9"/>
      <c r="I587" s="9"/>
      <c r="K587" s="9"/>
      <c r="M587" s="9"/>
      <c r="N587" s="9"/>
      <c r="O587" s="9"/>
    </row>
    <row r="588">
      <c r="E588" s="9"/>
      <c r="H588" s="9"/>
      <c r="I588" s="9"/>
      <c r="K588" s="9"/>
      <c r="M588" s="9"/>
      <c r="N588" s="9"/>
      <c r="O588" s="9"/>
    </row>
    <row r="589">
      <c r="E589" s="9"/>
      <c r="H589" s="9"/>
      <c r="I589" s="9"/>
      <c r="K589" s="9"/>
      <c r="M589" s="9"/>
      <c r="N589" s="9"/>
      <c r="O589" s="9"/>
    </row>
    <row r="590">
      <c r="E590" s="9"/>
      <c r="H590" s="9"/>
      <c r="I590" s="9"/>
      <c r="K590" s="9"/>
      <c r="M590" s="9"/>
      <c r="N590" s="9"/>
      <c r="O590" s="9"/>
    </row>
    <row r="591">
      <c r="E591" s="9"/>
      <c r="H591" s="9"/>
      <c r="I591" s="9"/>
      <c r="K591" s="9"/>
      <c r="M591" s="9"/>
      <c r="N591" s="9"/>
      <c r="O591" s="9"/>
    </row>
    <row r="592">
      <c r="E592" s="9"/>
      <c r="H592" s="9"/>
      <c r="I592" s="9"/>
      <c r="K592" s="9"/>
      <c r="M592" s="9"/>
      <c r="N592" s="9"/>
      <c r="O592" s="9"/>
    </row>
    <row r="593">
      <c r="E593" s="9"/>
      <c r="H593" s="9"/>
      <c r="I593" s="9"/>
      <c r="K593" s="9"/>
      <c r="M593" s="9"/>
      <c r="N593" s="9"/>
      <c r="O593" s="9"/>
    </row>
    <row r="594">
      <c r="E594" s="9"/>
      <c r="H594" s="9"/>
      <c r="I594" s="9"/>
      <c r="K594" s="9"/>
      <c r="M594" s="9"/>
      <c r="N594" s="9"/>
      <c r="O594" s="9"/>
    </row>
    <row r="595">
      <c r="E595" s="9"/>
      <c r="H595" s="9"/>
      <c r="I595" s="9"/>
      <c r="K595" s="9"/>
      <c r="M595" s="9"/>
      <c r="N595" s="9"/>
      <c r="O595" s="9"/>
    </row>
    <row r="596">
      <c r="E596" s="9"/>
      <c r="H596" s="9"/>
      <c r="I596" s="9"/>
      <c r="K596" s="9"/>
      <c r="M596" s="9"/>
      <c r="N596" s="9"/>
      <c r="O596" s="9"/>
    </row>
    <row r="597">
      <c r="E597" s="9"/>
      <c r="H597" s="9"/>
      <c r="I597" s="9"/>
      <c r="K597" s="9"/>
      <c r="M597" s="9"/>
      <c r="N597" s="9"/>
      <c r="O597" s="9"/>
    </row>
    <row r="598">
      <c r="E598" s="9"/>
      <c r="H598" s="9"/>
      <c r="I598" s="9"/>
      <c r="K598" s="9"/>
      <c r="M598" s="9"/>
      <c r="N598" s="9"/>
      <c r="O598" s="9"/>
    </row>
    <row r="599">
      <c r="E599" s="9"/>
      <c r="H599" s="9"/>
      <c r="I599" s="9"/>
      <c r="K599" s="9"/>
      <c r="M599" s="9"/>
      <c r="N599" s="9"/>
      <c r="O599" s="9"/>
    </row>
    <row r="600">
      <c r="E600" s="9"/>
      <c r="H600" s="9"/>
      <c r="I600" s="9"/>
      <c r="K600" s="9"/>
      <c r="M600" s="9"/>
      <c r="N600" s="9"/>
      <c r="O600" s="9"/>
    </row>
    <row r="601">
      <c r="E601" s="9"/>
      <c r="H601" s="9"/>
      <c r="I601" s="9"/>
      <c r="K601" s="9"/>
      <c r="M601" s="9"/>
      <c r="N601" s="9"/>
      <c r="O601" s="9"/>
    </row>
    <row r="602">
      <c r="E602" s="9"/>
      <c r="H602" s="9"/>
      <c r="I602" s="9"/>
      <c r="K602" s="9"/>
      <c r="M602" s="9"/>
      <c r="N602" s="9"/>
      <c r="O602" s="9"/>
    </row>
    <row r="603">
      <c r="E603" s="9"/>
      <c r="H603" s="9"/>
      <c r="I603" s="9"/>
      <c r="K603" s="9"/>
      <c r="M603" s="9"/>
      <c r="N603" s="9"/>
      <c r="O603" s="9"/>
    </row>
    <row r="604">
      <c r="E604" s="9"/>
      <c r="H604" s="9"/>
      <c r="I604" s="9"/>
      <c r="K604" s="9"/>
      <c r="M604" s="9"/>
      <c r="N604" s="9"/>
      <c r="O604" s="9"/>
    </row>
    <row r="605">
      <c r="E605" s="9"/>
      <c r="H605" s="9"/>
      <c r="I605" s="9"/>
      <c r="K605" s="9"/>
      <c r="M605" s="9"/>
      <c r="N605" s="9"/>
      <c r="O605" s="9"/>
    </row>
    <row r="606">
      <c r="E606" s="9"/>
      <c r="H606" s="9"/>
      <c r="I606" s="9"/>
      <c r="K606" s="9"/>
      <c r="M606" s="9"/>
      <c r="N606" s="9"/>
      <c r="O606" s="9"/>
    </row>
    <row r="607">
      <c r="E607" s="9"/>
      <c r="H607" s="9"/>
      <c r="I607" s="9"/>
      <c r="K607" s="9"/>
      <c r="M607" s="9"/>
      <c r="N607" s="9"/>
      <c r="O607" s="9"/>
    </row>
    <row r="608">
      <c r="E608" s="9"/>
      <c r="H608" s="9"/>
      <c r="I608" s="9"/>
      <c r="K608" s="9"/>
      <c r="M608" s="9"/>
      <c r="N608" s="9"/>
      <c r="O608" s="9"/>
    </row>
    <row r="609">
      <c r="E609" s="9"/>
      <c r="H609" s="9"/>
      <c r="I609" s="9"/>
      <c r="K609" s="9"/>
      <c r="M609" s="9"/>
      <c r="N609" s="9"/>
      <c r="O609" s="9"/>
    </row>
    <row r="610">
      <c r="E610" s="9"/>
      <c r="H610" s="9"/>
      <c r="I610" s="9"/>
      <c r="K610" s="9"/>
      <c r="M610" s="9"/>
      <c r="N610" s="9"/>
      <c r="O610" s="9"/>
    </row>
    <row r="611">
      <c r="E611" s="9"/>
      <c r="H611" s="9"/>
      <c r="I611" s="9"/>
      <c r="K611" s="9"/>
      <c r="M611" s="9"/>
      <c r="N611" s="9"/>
      <c r="O611" s="9"/>
    </row>
    <row r="612">
      <c r="E612" s="9"/>
      <c r="H612" s="9"/>
      <c r="I612" s="9"/>
      <c r="K612" s="9"/>
      <c r="M612" s="9"/>
      <c r="N612" s="9"/>
      <c r="O612" s="9"/>
    </row>
    <row r="613">
      <c r="E613" s="9"/>
      <c r="H613" s="9"/>
      <c r="I613" s="9"/>
      <c r="K613" s="9"/>
      <c r="M613" s="9"/>
      <c r="N613" s="9"/>
      <c r="O613" s="9"/>
    </row>
    <row r="614">
      <c r="E614" s="9"/>
      <c r="H614" s="9"/>
      <c r="I614" s="9"/>
      <c r="K614" s="9"/>
      <c r="M614" s="9"/>
      <c r="N614" s="9"/>
      <c r="O614" s="9"/>
    </row>
    <row r="615">
      <c r="E615" s="9"/>
      <c r="H615" s="9"/>
      <c r="I615" s="9"/>
      <c r="K615" s="9"/>
      <c r="M615" s="9"/>
      <c r="N615" s="9"/>
      <c r="O615" s="9"/>
    </row>
    <row r="616">
      <c r="E616" s="9"/>
      <c r="H616" s="9"/>
      <c r="I616" s="9"/>
      <c r="K616" s="9"/>
      <c r="M616" s="9"/>
      <c r="N616" s="9"/>
      <c r="O616" s="9"/>
    </row>
    <row r="617">
      <c r="E617" s="9"/>
      <c r="H617" s="9"/>
      <c r="I617" s="9"/>
      <c r="K617" s="9"/>
      <c r="M617" s="9"/>
      <c r="N617" s="9"/>
      <c r="O617" s="9"/>
    </row>
    <row r="618">
      <c r="E618" s="9"/>
      <c r="H618" s="9"/>
      <c r="I618" s="9"/>
      <c r="K618" s="9"/>
      <c r="M618" s="9"/>
      <c r="N618" s="9"/>
      <c r="O618" s="9"/>
    </row>
    <row r="619">
      <c r="E619" s="9"/>
      <c r="H619" s="9"/>
      <c r="I619" s="9"/>
      <c r="K619" s="9"/>
      <c r="M619" s="9"/>
      <c r="N619" s="9"/>
      <c r="O619" s="9"/>
    </row>
    <row r="620">
      <c r="E620" s="9"/>
      <c r="H620" s="9"/>
      <c r="I620" s="9"/>
      <c r="K620" s="9"/>
      <c r="M620" s="9"/>
      <c r="N620" s="9"/>
      <c r="O620" s="9"/>
    </row>
    <row r="621">
      <c r="E621" s="9"/>
      <c r="H621" s="9"/>
      <c r="I621" s="9"/>
      <c r="K621" s="9"/>
      <c r="M621" s="9"/>
      <c r="N621" s="9"/>
      <c r="O621" s="9"/>
    </row>
    <row r="622">
      <c r="E622" s="9"/>
      <c r="H622" s="9"/>
      <c r="I622" s="9"/>
      <c r="K622" s="9"/>
      <c r="M622" s="9"/>
      <c r="N622" s="9"/>
      <c r="O622" s="9"/>
    </row>
    <row r="623">
      <c r="E623" s="9"/>
      <c r="H623" s="9"/>
      <c r="I623" s="9"/>
      <c r="K623" s="9"/>
      <c r="M623" s="9"/>
      <c r="N623" s="9"/>
      <c r="O623" s="9"/>
    </row>
    <row r="624">
      <c r="E624" s="9"/>
      <c r="H624" s="9"/>
      <c r="I624" s="9"/>
      <c r="K624" s="9"/>
      <c r="M624" s="9"/>
      <c r="N624" s="9"/>
      <c r="O624" s="9"/>
    </row>
    <row r="625">
      <c r="E625" s="9"/>
      <c r="H625" s="9"/>
      <c r="I625" s="9"/>
      <c r="K625" s="9"/>
      <c r="M625" s="9"/>
      <c r="N625" s="9"/>
      <c r="O625" s="9"/>
    </row>
    <row r="626">
      <c r="E626" s="9"/>
      <c r="H626" s="9"/>
      <c r="I626" s="9"/>
      <c r="K626" s="9"/>
      <c r="M626" s="9"/>
      <c r="N626" s="9"/>
      <c r="O626" s="9"/>
    </row>
    <row r="627">
      <c r="E627" s="9"/>
      <c r="H627" s="9"/>
      <c r="I627" s="9"/>
      <c r="K627" s="9"/>
      <c r="M627" s="9"/>
      <c r="N627" s="9"/>
      <c r="O627" s="9"/>
    </row>
    <row r="628">
      <c r="E628" s="9"/>
      <c r="H628" s="9"/>
      <c r="I628" s="9"/>
      <c r="K628" s="9"/>
      <c r="M628" s="9"/>
      <c r="N628" s="9"/>
      <c r="O628" s="9"/>
    </row>
    <row r="629">
      <c r="E629" s="9"/>
      <c r="H629" s="9"/>
      <c r="I629" s="9"/>
      <c r="K629" s="9"/>
      <c r="M629" s="9"/>
      <c r="N629" s="9"/>
      <c r="O629" s="9"/>
    </row>
    <row r="630">
      <c r="E630" s="9"/>
      <c r="H630" s="9"/>
      <c r="I630" s="9"/>
      <c r="K630" s="9"/>
      <c r="M630" s="9"/>
      <c r="N630" s="9"/>
      <c r="O630" s="9"/>
    </row>
    <row r="631">
      <c r="E631" s="9"/>
      <c r="H631" s="9"/>
      <c r="I631" s="9"/>
      <c r="K631" s="9"/>
      <c r="M631" s="9"/>
      <c r="N631" s="9"/>
      <c r="O631" s="9"/>
    </row>
    <row r="632">
      <c r="E632" s="9"/>
      <c r="H632" s="9"/>
      <c r="I632" s="9"/>
      <c r="K632" s="9"/>
      <c r="M632" s="9"/>
      <c r="N632" s="9"/>
      <c r="O632" s="9"/>
    </row>
    <row r="633">
      <c r="E633" s="9"/>
      <c r="H633" s="9"/>
      <c r="I633" s="9"/>
      <c r="K633" s="9"/>
      <c r="M633" s="9"/>
      <c r="N633" s="9"/>
      <c r="O633" s="9"/>
    </row>
    <row r="634">
      <c r="E634" s="9"/>
      <c r="H634" s="9"/>
      <c r="I634" s="9"/>
      <c r="K634" s="9"/>
      <c r="M634" s="9"/>
      <c r="N634" s="9"/>
      <c r="O634" s="9"/>
    </row>
    <row r="635">
      <c r="E635" s="9"/>
      <c r="H635" s="9"/>
      <c r="I635" s="9"/>
      <c r="K635" s="9"/>
      <c r="M635" s="9"/>
      <c r="N635" s="9"/>
      <c r="O635" s="9"/>
    </row>
    <row r="636">
      <c r="E636" s="9"/>
      <c r="H636" s="9"/>
      <c r="I636" s="9"/>
      <c r="K636" s="9"/>
      <c r="M636" s="9"/>
      <c r="N636" s="9"/>
      <c r="O636" s="9"/>
    </row>
    <row r="637">
      <c r="E637" s="9"/>
      <c r="H637" s="9"/>
      <c r="I637" s="9"/>
      <c r="K637" s="9"/>
      <c r="M637" s="9"/>
      <c r="N637" s="9"/>
      <c r="O637" s="9"/>
    </row>
    <row r="638">
      <c r="E638" s="9"/>
      <c r="H638" s="9"/>
      <c r="I638" s="9"/>
      <c r="K638" s="9"/>
      <c r="M638" s="9"/>
      <c r="N638" s="9"/>
      <c r="O638" s="9"/>
    </row>
    <row r="639">
      <c r="E639" s="9"/>
      <c r="H639" s="9"/>
      <c r="I639" s="9"/>
      <c r="K639" s="9"/>
      <c r="M639" s="9"/>
      <c r="N639" s="9"/>
      <c r="O639" s="9"/>
    </row>
    <row r="640">
      <c r="E640" s="9"/>
      <c r="H640" s="9"/>
      <c r="I640" s="9"/>
      <c r="K640" s="9"/>
      <c r="M640" s="9"/>
      <c r="N640" s="9"/>
      <c r="O640" s="9"/>
    </row>
    <row r="641">
      <c r="E641" s="9"/>
      <c r="H641" s="9"/>
      <c r="I641" s="9"/>
      <c r="K641" s="9"/>
      <c r="M641" s="9"/>
      <c r="N641" s="9"/>
      <c r="O641" s="9"/>
    </row>
    <row r="642">
      <c r="E642" s="9"/>
      <c r="H642" s="9"/>
      <c r="I642" s="9"/>
      <c r="K642" s="9"/>
      <c r="M642" s="9"/>
      <c r="N642" s="9"/>
      <c r="O642" s="9"/>
    </row>
    <row r="643">
      <c r="E643" s="9"/>
      <c r="H643" s="9"/>
      <c r="I643" s="9"/>
      <c r="K643" s="9"/>
      <c r="M643" s="9"/>
      <c r="N643" s="9"/>
      <c r="O643" s="9"/>
    </row>
    <row r="644">
      <c r="E644" s="9"/>
      <c r="H644" s="9"/>
      <c r="I644" s="9"/>
      <c r="K644" s="9"/>
      <c r="M644" s="9"/>
      <c r="N644" s="9"/>
      <c r="O644" s="9"/>
    </row>
    <row r="645">
      <c r="E645" s="9"/>
      <c r="H645" s="9"/>
      <c r="I645" s="9"/>
      <c r="K645" s="9"/>
      <c r="M645" s="9"/>
      <c r="N645" s="9"/>
      <c r="O645" s="9"/>
    </row>
    <row r="646">
      <c r="E646" s="9"/>
      <c r="H646" s="9"/>
      <c r="I646" s="9"/>
      <c r="K646" s="9"/>
      <c r="M646" s="9"/>
      <c r="N646" s="9"/>
      <c r="O646" s="9"/>
    </row>
    <row r="647">
      <c r="E647" s="9"/>
      <c r="H647" s="9"/>
      <c r="I647" s="9"/>
      <c r="K647" s="9"/>
      <c r="M647" s="9"/>
      <c r="N647" s="9"/>
      <c r="O647" s="9"/>
    </row>
    <row r="648">
      <c r="E648" s="9"/>
      <c r="H648" s="9"/>
      <c r="I648" s="9"/>
      <c r="K648" s="9"/>
      <c r="M648" s="9"/>
      <c r="N648" s="9"/>
      <c r="O648" s="9"/>
    </row>
    <row r="649">
      <c r="E649" s="9"/>
      <c r="H649" s="9"/>
      <c r="I649" s="9"/>
      <c r="K649" s="9"/>
      <c r="M649" s="9"/>
      <c r="N649" s="9"/>
      <c r="O649" s="9"/>
    </row>
    <row r="650">
      <c r="E650" s="9"/>
      <c r="H650" s="9"/>
      <c r="I650" s="9"/>
      <c r="K650" s="9"/>
      <c r="M650" s="9"/>
      <c r="N650" s="9"/>
      <c r="O650" s="9"/>
    </row>
    <row r="651">
      <c r="E651" s="9"/>
      <c r="H651" s="9"/>
      <c r="I651" s="9"/>
      <c r="K651" s="9"/>
      <c r="M651" s="9"/>
      <c r="N651" s="9"/>
      <c r="O651" s="9"/>
    </row>
    <row r="652">
      <c r="E652" s="9"/>
      <c r="H652" s="9"/>
      <c r="I652" s="9"/>
      <c r="K652" s="9"/>
      <c r="M652" s="9"/>
      <c r="N652" s="9"/>
      <c r="O652" s="9"/>
    </row>
    <row r="653">
      <c r="E653" s="9"/>
      <c r="H653" s="9"/>
      <c r="I653" s="9"/>
      <c r="K653" s="9"/>
      <c r="M653" s="9"/>
      <c r="N653" s="9"/>
      <c r="O653" s="9"/>
    </row>
    <row r="654">
      <c r="E654" s="9"/>
      <c r="H654" s="9"/>
      <c r="I654" s="9"/>
      <c r="K654" s="9"/>
      <c r="M654" s="9"/>
      <c r="N654" s="9"/>
      <c r="O654" s="9"/>
    </row>
    <row r="655">
      <c r="E655" s="9"/>
      <c r="H655" s="9"/>
      <c r="I655" s="9"/>
      <c r="K655" s="9"/>
      <c r="M655" s="9"/>
      <c r="N655" s="9"/>
      <c r="O655" s="9"/>
    </row>
    <row r="656">
      <c r="E656" s="9"/>
      <c r="H656" s="9"/>
      <c r="I656" s="9"/>
      <c r="K656" s="9"/>
      <c r="M656" s="9"/>
      <c r="N656" s="9"/>
      <c r="O656" s="9"/>
    </row>
    <row r="657">
      <c r="E657" s="9"/>
      <c r="H657" s="9"/>
      <c r="I657" s="9"/>
      <c r="K657" s="9"/>
      <c r="M657" s="9"/>
      <c r="N657" s="9"/>
      <c r="O657" s="9"/>
    </row>
    <row r="658">
      <c r="E658" s="9"/>
      <c r="H658" s="9"/>
      <c r="I658" s="9"/>
      <c r="K658" s="9"/>
      <c r="M658" s="9"/>
      <c r="N658" s="9"/>
      <c r="O658" s="9"/>
    </row>
    <row r="659">
      <c r="E659" s="9"/>
      <c r="H659" s="9"/>
      <c r="I659" s="9"/>
      <c r="K659" s="9"/>
      <c r="M659" s="9"/>
      <c r="N659" s="9"/>
      <c r="O659" s="9"/>
    </row>
    <row r="660">
      <c r="E660" s="9"/>
      <c r="H660" s="9"/>
      <c r="I660" s="9"/>
      <c r="K660" s="9"/>
      <c r="M660" s="9"/>
      <c r="N660" s="9"/>
      <c r="O660" s="9"/>
    </row>
    <row r="661">
      <c r="E661" s="9"/>
      <c r="H661" s="9"/>
      <c r="I661" s="9"/>
      <c r="K661" s="9"/>
      <c r="M661" s="9"/>
      <c r="N661" s="9"/>
      <c r="O661" s="9"/>
    </row>
    <row r="662">
      <c r="E662" s="9"/>
      <c r="H662" s="9"/>
      <c r="I662" s="9"/>
      <c r="K662" s="9"/>
      <c r="M662" s="9"/>
      <c r="N662" s="9"/>
      <c r="O662" s="9"/>
    </row>
    <row r="663">
      <c r="E663" s="9"/>
      <c r="H663" s="9"/>
      <c r="I663" s="9"/>
      <c r="K663" s="9"/>
      <c r="M663" s="9"/>
      <c r="N663" s="9"/>
      <c r="O663" s="9"/>
    </row>
    <row r="664">
      <c r="E664" s="9"/>
      <c r="H664" s="9"/>
      <c r="I664" s="9"/>
      <c r="K664" s="9"/>
      <c r="M664" s="9"/>
      <c r="N664" s="9"/>
      <c r="O664" s="9"/>
    </row>
    <row r="665">
      <c r="E665" s="9"/>
      <c r="H665" s="9"/>
      <c r="I665" s="9"/>
      <c r="K665" s="9"/>
      <c r="M665" s="9"/>
      <c r="N665" s="9"/>
      <c r="O665" s="9"/>
    </row>
    <row r="666">
      <c r="E666" s="9"/>
      <c r="H666" s="9"/>
      <c r="I666" s="9"/>
      <c r="K666" s="9"/>
      <c r="M666" s="9"/>
      <c r="N666" s="9"/>
      <c r="O666" s="9"/>
    </row>
    <row r="667">
      <c r="E667" s="9"/>
      <c r="H667" s="9"/>
      <c r="I667" s="9"/>
      <c r="K667" s="9"/>
      <c r="M667" s="9"/>
      <c r="N667" s="9"/>
      <c r="O667" s="9"/>
    </row>
    <row r="668">
      <c r="E668" s="9"/>
      <c r="H668" s="9"/>
      <c r="I668" s="9"/>
      <c r="K668" s="9"/>
      <c r="M668" s="9"/>
      <c r="N668" s="9"/>
      <c r="O668" s="9"/>
    </row>
    <row r="669">
      <c r="E669" s="9"/>
      <c r="H669" s="9"/>
      <c r="I669" s="9"/>
      <c r="K669" s="9"/>
      <c r="M669" s="9"/>
      <c r="N669" s="9"/>
      <c r="O669" s="9"/>
    </row>
    <row r="670">
      <c r="E670" s="9"/>
      <c r="H670" s="9"/>
      <c r="I670" s="9"/>
      <c r="K670" s="9"/>
      <c r="M670" s="9"/>
      <c r="N670" s="9"/>
      <c r="O670" s="9"/>
    </row>
    <row r="671">
      <c r="E671" s="9"/>
      <c r="H671" s="9"/>
      <c r="I671" s="9"/>
      <c r="K671" s="9"/>
      <c r="M671" s="9"/>
      <c r="N671" s="9"/>
      <c r="O671" s="9"/>
    </row>
    <row r="672">
      <c r="E672" s="9"/>
      <c r="H672" s="9"/>
      <c r="I672" s="9"/>
      <c r="K672" s="9"/>
      <c r="M672" s="9"/>
      <c r="N672" s="9"/>
      <c r="O672" s="9"/>
    </row>
    <row r="673">
      <c r="E673" s="9"/>
      <c r="H673" s="9"/>
      <c r="I673" s="9"/>
      <c r="K673" s="9"/>
      <c r="M673" s="9"/>
      <c r="N673" s="9"/>
      <c r="O673" s="9"/>
    </row>
    <row r="674">
      <c r="E674" s="9"/>
      <c r="H674" s="9"/>
      <c r="I674" s="9"/>
      <c r="K674" s="9"/>
      <c r="M674" s="9"/>
      <c r="N674" s="9"/>
      <c r="O674" s="9"/>
    </row>
    <row r="675">
      <c r="E675" s="9"/>
      <c r="H675" s="9"/>
      <c r="I675" s="9"/>
      <c r="K675" s="9"/>
      <c r="M675" s="9"/>
      <c r="N675" s="9"/>
      <c r="O675" s="9"/>
    </row>
    <row r="676">
      <c r="E676" s="9"/>
      <c r="H676" s="9"/>
      <c r="I676" s="9"/>
      <c r="K676" s="9"/>
      <c r="M676" s="9"/>
      <c r="N676" s="9"/>
      <c r="O676" s="9"/>
    </row>
    <row r="677">
      <c r="E677" s="9"/>
      <c r="H677" s="9"/>
      <c r="I677" s="9"/>
      <c r="K677" s="9"/>
      <c r="M677" s="9"/>
      <c r="N677" s="9"/>
      <c r="O677" s="9"/>
    </row>
    <row r="678">
      <c r="E678" s="9"/>
      <c r="H678" s="9"/>
      <c r="I678" s="9"/>
      <c r="K678" s="9"/>
      <c r="M678" s="9"/>
      <c r="N678" s="9"/>
      <c r="O678" s="9"/>
    </row>
    <row r="679">
      <c r="E679" s="9"/>
      <c r="H679" s="9"/>
      <c r="I679" s="9"/>
      <c r="K679" s="9"/>
      <c r="M679" s="9"/>
      <c r="N679" s="9"/>
      <c r="O679" s="9"/>
    </row>
    <row r="680">
      <c r="E680" s="9"/>
      <c r="H680" s="9"/>
      <c r="I680" s="9"/>
      <c r="K680" s="9"/>
      <c r="M680" s="9"/>
      <c r="N680" s="9"/>
      <c r="O680" s="9"/>
    </row>
    <row r="681">
      <c r="E681" s="9"/>
      <c r="H681" s="9"/>
      <c r="I681" s="9"/>
      <c r="K681" s="9"/>
      <c r="M681" s="9"/>
      <c r="N681" s="9"/>
      <c r="O681" s="9"/>
    </row>
    <row r="682">
      <c r="E682" s="9"/>
      <c r="H682" s="9"/>
      <c r="I682" s="9"/>
      <c r="K682" s="9"/>
      <c r="M682" s="9"/>
      <c r="N682" s="9"/>
      <c r="O682" s="9"/>
    </row>
    <row r="683">
      <c r="E683" s="9"/>
      <c r="H683" s="9"/>
      <c r="I683" s="9"/>
      <c r="K683" s="9"/>
      <c r="M683" s="9"/>
      <c r="N683" s="9"/>
      <c r="O683" s="9"/>
    </row>
    <row r="684">
      <c r="E684" s="9"/>
      <c r="H684" s="9"/>
      <c r="I684" s="9"/>
      <c r="K684" s="9"/>
      <c r="M684" s="9"/>
      <c r="N684" s="9"/>
      <c r="O684" s="9"/>
    </row>
    <row r="685">
      <c r="E685" s="9"/>
      <c r="H685" s="9"/>
      <c r="I685" s="9"/>
      <c r="K685" s="9"/>
      <c r="M685" s="9"/>
      <c r="N685" s="9"/>
      <c r="O685" s="9"/>
    </row>
    <row r="686">
      <c r="E686" s="9"/>
      <c r="H686" s="9"/>
      <c r="I686" s="9"/>
      <c r="K686" s="9"/>
      <c r="M686" s="9"/>
      <c r="N686" s="9"/>
      <c r="O686" s="9"/>
    </row>
    <row r="687">
      <c r="E687" s="9"/>
      <c r="H687" s="9"/>
      <c r="I687" s="9"/>
      <c r="K687" s="9"/>
      <c r="M687" s="9"/>
      <c r="N687" s="9"/>
      <c r="O687" s="9"/>
    </row>
    <row r="688">
      <c r="E688" s="9"/>
      <c r="H688" s="9"/>
      <c r="I688" s="9"/>
      <c r="K688" s="9"/>
      <c r="M688" s="9"/>
      <c r="N688" s="9"/>
      <c r="O688" s="9"/>
    </row>
    <row r="689">
      <c r="E689" s="9"/>
      <c r="H689" s="9"/>
      <c r="I689" s="9"/>
      <c r="K689" s="9"/>
      <c r="M689" s="9"/>
      <c r="N689" s="9"/>
      <c r="O689" s="9"/>
    </row>
    <row r="690">
      <c r="E690" s="9"/>
      <c r="H690" s="9"/>
      <c r="I690" s="9"/>
      <c r="K690" s="9"/>
      <c r="M690" s="9"/>
      <c r="N690" s="9"/>
      <c r="O690" s="9"/>
    </row>
    <row r="691">
      <c r="E691" s="9"/>
      <c r="H691" s="9"/>
      <c r="I691" s="9"/>
      <c r="K691" s="9"/>
      <c r="M691" s="9"/>
      <c r="N691" s="9"/>
      <c r="O691" s="9"/>
    </row>
    <row r="692">
      <c r="E692" s="9"/>
      <c r="H692" s="9"/>
      <c r="I692" s="9"/>
      <c r="K692" s="9"/>
      <c r="M692" s="9"/>
      <c r="N692" s="9"/>
      <c r="O692" s="9"/>
    </row>
    <row r="693">
      <c r="E693" s="9"/>
      <c r="H693" s="9"/>
      <c r="I693" s="9"/>
      <c r="K693" s="9"/>
      <c r="M693" s="9"/>
      <c r="N693" s="9"/>
      <c r="O693" s="9"/>
    </row>
    <row r="694">
      <c r="E694" s="9"/>
      <c r="H694" s="9"/>
      <c r="I694" s="9"/>
      <c r="K694" s="9"/>
      <c r="M694" s="9"/>
      <c r="N694" s="9"/>
      <c r="O694" s="9"/>
    </row>
    <row r="695">
      <c r="E695" s="9"/>
      <c r="H695" s="9"/>
      <c r="I695" s="9"/>
      <c r="K695" s="9"/>
      <c r="M695" s="9"/>
      <c r="N695" s="9"/>
      <c r="O695" s="9"/>
    </row>
    <row r="696">
      <c r="E696" s="9"/>
      <c r="H696" s="9"/>
      <c r="I696" s="9"/>
      <c r="K696" s="9"/>
      <c r="M696" s="9"/>
      <c r="N696" s="9"/>
      <c r="O696" s="9"/>
    </row>
    <row r="697">
      <c r="E697" s="9"/>
      <c r="H697" s="9"/>
      <c r="I697" s="9"/>
      <c r="K697" s="9"/>
      <c r="M697" s="9"/>
      <c r="N697" s="9"/>
      <c r="O697" s="9"/>
    </row>
    <row r="698">
      <c r="E698" s="9"/>
      <c r="H698" s="9"/>
      <c r="I698" s="9"/>
      <c r="K698" s="9"/>
      <c r="M698" s="9"/>
      <c r="N698" s="9"/>
      <c r="O698" s="9"/>
    </row>
    <row r="699">
      <c r="E699" s="9"/>
      <c r="H699" s="9"/>
      <c r="I699" s="9"/>
      <c r="K699" s="9"/>
      <c r="M699" s="9"/>
      <c r="N699" s="9"/>
      <c r="O699" s="9"/>
    </row>
    <row r="700">
      <c r="E700" s="9"/>
      <c r="H700" s="9"/>
      <c r="I700" s="9"/>
      <c r="K700" s="9"/>
      <c r="M700" s="9"/>
      <c r="N700" s="9"/>
      <c r="O700" s="9"/>
    </row>
    <row r="701">
      <c r="E701" s="9"/>
      <c r="H701" s="9"/>
      <c r="I701" s="9"/>
      <c r="K701" s="9"/>
      <c r="M701" s="9"/>
      <c r="N701" s="9"/>
      <c r="O701" s="9"/>
    </row>
    <row r="702">
      <c r="E702" s="9"/>
      <c r="H702" s="9"/>
      <c r="I702" s="9"/>
      <c r="K702" s="9"/>
      <c r="M702" s="9"/>
      <c r="N702" s="9"/>
      <c r="O702" s="9"/>
    </row>
    <row r="703">
      <c r="E703" s="9"/>
      <c r="H703" s="9"/>
      <c r="I703" s="9"/>
      <c r="K703" s="9"/>
      <c r="M703" s="9"/>
      <c r="N703" s="9"/>
      <c r="O703" s="9"/>
    </row>
    <row r="704">
      <c r="E704" s="9"/>
      <c r="H704" s="9"/>
      <c r="I704" s="9"/>
      <c r="K704" s="9"/>
      <c r="M704" s="9"/>
      <c r="N704" s="9"/>
      <c r="O704" s="9"/>
    </row>
    <row r="705">
      <c r="E705" s="9"/>
      <c r="H705" s="9"/>
      <c r="I705" s="9"/>
      <c r="K705" s="9"/>
      <c r="M705" s="9"/>
      <c r="N705" s="9"/>
      <c r="O705" s="9"/>
    </row>
    <row r="706">
      <c r="E706" s="9"/>
      <c r="H706" s="9"/>
      <c r="I706" s="9"/>
      <c r="K706" s="9"/>
      <c r="M706" s="9"/>
      <c r="N706" s="9"/>
      <c r="O706" s="9"/>
    </row>
    <row r="707">
      <c r="E707" s="9"/>
      <c r="H707" s="9"/>
      <c r="I707" s="9"/>
      <c r="K707" s="9"/>
      <c r="M707" s="9"/>
      <c r="N707" s="9"/>
      <c r="O707" s="9"/>
    </row>
    <row r="708">
      <c r="E708" s="9"/>
      <c r="H708" s="9"/>
      <c r="I708" s="9"/>
      <c r="K708" s="9"/>
      <c r="M708" s="9"/>
      <c r="N708" s="9"/>
      <c r="O708" s="9"/>
    </row>
    <row r="709">
      <c r="E709" s="9"/>
      <c r="H709" s="9"/>
      <c r="I709" s="9"/>
      <c r="K709" s="9"/>
      <c r="M709" s="9"/>
      <c r="N709" s="9"/>
      <c r="O709" s="9"/>
    </row>
    <row r="710">
      <c r="E710" s="9"/>
      <c r="H710" s="9"/>
      <c r="I710" s="9"/>
      <c r="K710" s="9"/>
      <c r="M710" s="9"/>
      <c r="N710" s="9"/>
      <c r="O710" s="9"/>
    </row>
    <row r="711">
      <c r="E711" s="9"/>
      <c r="H711" s="9"/>
      <c r="I711" s="9"/>
      <c r="K711" s="9"/>
      <c r="M711" s="9"/>
      <c r="N711" s="9"/>
      <c r="O711" s="9"/>
    </row>
    <row r="712">
      <c r="E712" s="9"/>
      <c r="H712" s="9"/>
      <c r="I712" s="9"/>
      <c r="K712" s="9"/>
      <c r="M712" s="9"/>
      <c r="N712" s="9"/>
      <c r="O712" s="9"/>
    </row>
    <row r="713">
      <c r="E713" s="9"/>
      <c r="H713" s="9"/>
      <c r="I713" s="9"/>
      <c r="K713" s="9"/>
      <c r="M713" s="9"/>
      <c r="N713" s="9"/>
      <c r="O713" s="9"/>
    </row>
    <row r="714">
      <c r="E714" s="9"/>
      <c r="H714" s="9"/>
      <c r="I714" s="9"/>
      <c r="K714" s="9"/>
      <c r="M714" s="9"/>
      <c r="N714" s="9"/>
      <c r="O714" s="9"/>
    </row>
    <row r="715">
      <c r="E715" s="9"/>
      <c r="H715" s="9"/>
      <c r="I715" s="9"/>
      <c r="K715" s="9"/>
      <c r="M715" s="9"/>
      <c r="N715" s="9"/>
      <c r="O715" s="9"/>
    </row>
    <row r="716">
      <c r="E716" s="9"/>
      <c r="H716" s="9"/>
      <c r="I716" s="9"/>
      <c r="K716" s="9"/>
      <c r="M716" s="9"/>
      <c r="N716" s="9"/>
      <c r="O716" s="9"/>
    </row>
    <row r="717">
      <c r="E717" s="9"/>
      <c r="H717" s="9"/>
      <c r="I717" s="9"/>
      <c r="K717" s="9"/>
      <c r="M717" s="9"/>
      <c r="N717" s="9"/>
      <c r="O717" s="9"/>
    </row>
    <row r="718">
      <c r="E718" s="9"/>
      <c r="H718" s="9"/>
      <c r="I718" s="9"/>
      <c r="K718" s="9"/>
      <c r="M718" s="9"/>
      <c r="N718" s="9"/>
      <c r="O718" s="9"/>
    </row>
    <row r="719">
      <c r="E719" s="9"/>
      <c r="H719" s="9"/>
      <c r="I719" s="9"/>
      <c r="K719" s="9"/>
      <c r="M719" s="9"/>
      <c r="N719" s="9"/>
      <c r="O719" s="9"/>
    </row>
    <row r="720">
      <c r="E720" s="9"/>
      <c r="H720" s="9"/>
      <c r="I720" s="9"/>
      <c r="K720" s="9"/>
      <c r="M720" s="9"/>
      <c r="N720" s="9"/>
      <c r="O720" s="9"/>
    </row>
    <row r="721">
      <c r="E721" s="9"/>
      <c r="H721" s="9"/>
      <c r="I721" s="9"/>
      <c r="K721" s="9"/>
      <c r="M721" s="9"/>
      <c r="N721" s="9"/>
      <c r="O721" s="9"/>
    </row>
    <row r="722">
      <c r="E722" s="9"/>
      <c r="H722" s="9"/>
      <c r="I722" s="9"/>
      <c r="K722" s="9"/>
      <c r="M722" s="9"/>
      <c r="N722" s="9"/>
      <c r="O722" s="9"/>
    </row>
    <row r="723">
      <c r="E723" s="9"/>
      <c r="H723" s="9"/>
      <c r="I723" s="9"/>
      <c r="K723" s="9"/>
      <c r="M723" s="9"/>
      <c r="N723" s="9"/>
      <c r="O723" s="9"/>
    </row>
    <row r="724">
      <c r="E724" s="9"/>
      <c r="H724" s="9"/>
      <c r="I724" s="9"/>
      <c r="K724" s="9"/>
      <c r="M724" s="9"/>
      <c r="N724" s="9"/>
      <c r="O724" s="9"/>
    </row>
    <row r="725">
      <c r="E725" s="9"/>
      <c r="H725" s="9"/>
      <c r="I725" s="9"/>
      <c r="K725" s="9"/>
      <c r="M725" s="9"/>
      <c r="N725" s="9"/>
      <c r="O725" s="9"/>
    </row>
    <row r="726">
      <c r="E726" s="9"/>
      <c r="H726" s="9"/>
      <c r="I726" s="9"/>
      <c r="K726" s="9"/>
      <c r="M726" s="9"/>
      <c r="N726" s="9"/>
      <c r="O726" s="9"/>
    </row>
    <row r="727">
      <c r="E727" s="9"/>
      <c r="H727" s="9"/>
      <c r="I727" s="9"/>
      <c r="K727" s="9"/>
      <c r="M727" s="9"/>
      <c r="N727" s="9"/>
      <c r="O727" s="9"/>
    </row>
    <row r="728">
      <c r="E728" s="9"/>
      <c r="H728" s="9"/>
      <c r="I728" s="9"/>
      <c r="K728" s="9"/>
      <c r="M728" s="9"/>
      <c r="N728" s="9"/>
      <c r="O728" s="9"/>
    </row>
    <row r="729">
      <c r="E729" s="9"/>
      <c r="H729" s="9"/>
      <c r="I729" s="9"/>
      <c r="K729" s="9"/>
      <c r="M729" s="9"/>
      <c r="N729" s="9"/>
      <c r="O729" s="9"/>
    </row>
    <row r="730">
      <c r="E730" s="9"/>
      <c r="H730" s="9"/>
      <c r="I730" s="9"/>
      <c r="K730" s="9"/>
      <c r="M730" s="9"/>
      <c r="N730" s="9"/>
      <c r="O730" s="9"/>
    </row>
    <row r="731">
      <c r="E731" s="9"/>
      <c r="H731" s="9"/>
      <c r="I731" s="9"/>
      <c r="K731" s="9"/>
      <c r="M731" s="9"/>
      <c r="N731" s="9"/>
      <c r="O731" s="9"/>
    </row>
    <row r="732">
      <c r="E732" s="9"/>
      <c r="H732" s="9"/>
      <c r="I732" s="9"/>
      <c r="K732" s="9"/>
      <c r="M732" s="9"/>
      <c r="N732" s="9"/>
      <c r="O732" s="9"/>
    </row>
    <row r="733">
      <c r="E733" s="9"/>
      <c r="H733" s="9"/>
      <c r="I733" s="9"/>
      <c r="K733" s="9"/>
      <c r="M733" s="9"/>
      <c r="N733" s="9"/>
      <c r="O733" s="9"/>
    </row>
    <row r="734">
      <c r="E734" s="9"/>
      <c r="H734" s="9"/>
      <c r="I734" s="9"/>
      <c r="K734" s="9"/>
      <c r="M734" s="9"/>
      <c r="N734" s="9"/>
      <c r="O734" s="9"/>
    </row>
    <row r="735">
      <c r="E735" s="9"/>
      <c r="H735" s="9"/>
      <c r="I735" s="9"/>
      <c r="K735" s="9"/>
      <c r="M735" s="9"/>
      <c r="N735" s="9"/>
      <c r="O735" s="9"/>
    </row>
    <row r="736">
      <c r="E736" s="9"/>
      <c r="H736" s="9"/>
      <c r="I736" s="9"/>
      <c r="K736" s="9"/>
      <c r="M736" s="9"/>
      <c r="N736" s="9"/>
      <c r="O736" s="9"/>
    </row>
    <row r="737">
      <c r="E737" s="9"/>
      <c r="H737" s="9"/>
      <c r="I737" s="9"/>
      <c r="K737" s="9"/>
      <c r="M737" s="9"/>
      <c r="N737" s="9"/>
      <c r="O737" s="9"/>
    </row>
    <row r="738">
      <c r="E738" s="9"/>
      <c r="H738" s="9"/>
      <c r="I738" s="9"/>
      <c r="K738" s="9"/>
      <c r="M738" s="9"/>
      <c r="N738" s="9"/>
      <c r="O738" s="9"/>
    </row>
    <row r="739">
      <c r="E739" s="9"/>
      <c r="H739" s="9"/>
      <c r="I739" s="9"/>
      <c r="K739" s="9"/>
      <c r="M739" s="9"/>
      <c r="N739" s="9"/>
      <c r="O739" s="9"/>
    </row>
    <row r="740">
      <c r="E740" s="9"/>
      <c r="H740" s="9"/>
      <c r="I740" s="9"/>
      <c r="K740" s="9"/>
      <c r="M740" s="9"/>
      <c r="N740" s="9"/>
      <c r="O740" s="9"/>
    </row>
    <row r="741">
      <c r="E741" s="9"/>
      <c r="H741" s="9"/>
      <c r="I741" s="9"/>
      <c r="K741" s="9"/>
      <c r="M741" s="9"/>
      <c r="N741" s="9"/>
      <c r="O741" s="9"/>
    </row>
    <row r="742">
      <c r="E742" s="9"/>
      <c r="H742" s="9"/>
      <c r="I742" s="9"/>
      <c r="K742" s="9"/>
      <c r="M742" s="9"/>
      <c r="N742" s="9"/>
      <c r="O742" s="9"/>
    </row>
    <row r="743">
      <c r="E743" s="9"/>
      <c r="H743" s="9"/>
      <c r="I743" s="9"/>
      <c r="K743" s="9"/>
      <c r="M743" s="9"/>
      <c r="N743" s="9"/>
      <c r="O743" s="9"/>
    </row>
    <row r="744">
      <c r="E744" s="9"/>
      <c r="H744" s="9"/>
      <c r="I744" s="9"/>
      <c r="K744" s="9"/>
      <c r="M744" s="9"/>
      <c r="N744" s="9"/>
      <c r="O744" s="9"/>
    </row>
    <row r="745">
      <c r="E745" s="9"/>
      <c r="H745" s="9"/>
      <c r="I745" s="9"/>
      <c r="K745" s="9"/>
      <c r="M745" s="9"/>
      <c r="N745" s="9"/>
      <c r="O745" s="9"/>
    </row>
    <row r="746">
      <c r="E746" s="9"/>
      <c r="H746" s="9"/>
      <c r="I746" s="9"/>
      <c r="K746" s="9"/>
      <c r="M746" s="9"/>
      <c r="N746" s="9"/>
      <c r="O746" s="9"/>
    </row>
    <row r="747">
      <c r="E747" s="9"/>
      <c r="H747" s="9"/>
      <c r="I747" s="9"/>
      <c r="K747" s="9"/>
      <c r="M747" s="9"/>
      <c r="N747" s="9"/>
      <c r="O747" s="9"/>
    </row>
    <row r="748">
      <c r="E748" s="9"/>
      <c r="H748" s="9"/>
      <c r="I748" s="9"/>
      <c r="K748" s="9"/>
      <c r="M748" s="9"/>
      <c r="N748" s="9"/>
      <c r="O748" s="9"/>
    </row>
    <row r="749">
      <c r="E749" s="9"/>
      <c r="H749" s="9"/>
      <c r="I749" s="9"/>
      <c r="K749" s="9"/>
      <c r="M749" s="9"/>
      <c r="N749" s="9"/>
      <c r="O749" s="9"/>
    </row>
    <row r="750">
      <c r="E750" s="9"/>
      <c r="H750" s="9"/>
      <c r="I750" s="9"/>
      <c r="K750" s="9"/>
      <c r="M750" s="9"/>
      <c r="N750" s="9"/>
      <c r="O750" s="9"/>
    </row>
    <row r="751">
      <c r="E751" s="9"/>
      <c r="H751" s="9"/>
      <c r="I751" s="9"/>
      <c r="K751" s="9"/>
      <c r="M751" s="9"/>
      <c r="N751" s="9"/>
      <c r="O751" s="9"/>
    </row>
    <row r="752">
      <c r="E752" s="9"/>
      <c r="H752" s="9"/>
      <c r="I752" s="9"/>
      <c r="K752" s="9"/>
      <c r="M752" s="9"/>
      <c r="N752" s="9"/>
      <c r="O752" s="9"/>
    </row>
    <row r="753">
      <c r="E753" s="9"/>
      <c r="H753" s="9"/>
      <c r="I753" s="9"/>
      <c r="K753" s="9"/>
      <c r="M753" s="9"/>
      <c r="N753" s="9"/>
      <c r="O753" s="9"/>
    </row>
    <row r="754">
      <c r="E754" s="9"/>
      <c r="H754" s="9"/>
      <c r="I754" s="9"/>
      <c r="K754" s="9"/>
      <c r="M754" s="9"/>
      <c r="N754" s="9"/>
      <c r="O754" s="9"/>
    </row>
    <row r="755">
      <c r="E755" s="9"/>
      <c r="H755" s="9"/>
      <c r="I755" s="9"/>
      <c r="K755" s="9"/>
      <c r="M755" s="9"/>
      <c r="N755" s="9"/>
      <c r="O755" s="9"/>
    </row>
    <row r="756">
      <c r="E756" s="9"/>
      <c r="H756" s="9"/>
      <c r="I756" s="9"/>
      <c r="K756" s="9"/>
      <c r="M756" s="9"/>
      <c r="N756" s="9"/>
      <c r="O756" s="9"/>
    </row>
    <row r="757">
      <c r="E757" s="9"/>
      <c r="H757" s="9"/>
      <c r="I757" s="9"/>
      <c r="K757" s="9"/>
      <c r="M757" s="9"/>
      <c r="N757" s="9"/>
      <c r="O757" s="9"/>
    </row>
    <row r="758">
      <c r="E758" s="9"/>
      <c r="H758" s="9"/>
      <c r="I758" s="9"/>
      <c r="K758" s="9"/>
      <c r="M758" s="9"/>
      <c r="N758" s="9"/>
      <c r="O758" s="9"/>
    </row>
    <row r="759">
      <c r="E759" s="9"/>
      <c r="H759" s="9"/>
      <c r="I759" s="9"/>
      <c r="K759" s="9"/>
      <c r="M759" s="9"/>
      <c r="N759" s="9"/>
      <c r="O759" s="9"/>
    </row>
    <row r="760">
      <c r="E760" s="9"/>
      <c r="H760" s="9"/>
      <c r="I760" s="9"/>
      <c r="K760" s="9"/>
      <c r="M760" s="9"/>
      <c r="N760" s="9"/>
      <c r="O760" s="9"/>
    </row>
    <row r="761">
      <c r="E761" s="9"/>
      <c r="H761" s="9"/>
      <c r="I761" s="9"/>
      <c r="K761" s="9"/>
      <c r="M761" s="9"/>
      <c r="N761" s="9"/>
      <c r="O761" s="9"/>
    </row>
    <row r="762">
      <c r="E762" s="9"/>
      <c r="H762" s="9"/>
      <c r="I762" s="9"/>
      <c r="K762" s="9"/>
      <c r="M762" s="9"/>
      <c r="N762" s="9"/>
      <c r="O762" s="9"/>
    </row>
    <row r="763">
      <c r="E763" s="9"/>
      <c r="H763" s="9"/>
      <c r="I763" s="9"/>
      <c r="K763" s="9"/>
      <c r="M763" s="9"/>
      <c r="N763" s="9"/>
      <c r="O763" s="9"/>
    </row>
    <row r="764">
      <c r="E764" s="9"/>
      <c r="H764" s="9"/>
      <c r="I764" s="9"/>
      <c r="K764" s="9"/>
      <c r="M764" s="9"/>
      <c r="N764" s="9"/>
      <c r="O764" s="9"/>
    </row>
    <row r="765">
      <c r="E765" s="9"/>
      <c r="H765" s="9"/>
      <c r="I765" s="9"/>
      <c r="K765" s="9"/>
      <c r="M765" s="9"/>
      <c r="N765" s="9"/>
      <c r="O765" s="9"/>
    </row>
    <row r="766">
      <c r="E766" s="9"/>
      <c r="H766" s="9"/>
      <c r="I766" s="9"/>
      <c r="K766" s="9"/>
      <c r="M766" s="9"/>
      <c r="N766" s="9"/>
      <c r="O766" s="9"/>
    </row>
    <row r="767">
      <c r="E767" s="9"/>
      <c r="H767" s="9"/>
      <c r="I767" s="9"/>
      <c r="K767" s="9"/>
      <c r="M767" s="9"/>
      <c r="N767" s="9"/>
      <c r="O767" s="9"/>
    </row>
    <row r="768">
      <c r="E768" s="9"/>
      <c r="H768" s="9"/>
      <c r="I768" s="9"/>
      <c r="K768" s="9"/>
      <c r="M768" s="9"/>
      <c r="N768" s="9"/>
      <c r="O768" s="9"/>
    </row>
    <row r="769">
      <c r="E769" s="9"/>
      <c r="H769" s="9"/>
      <c r="I769" s="9"/>
      <c r="K769" s="9"/>
      <c r="M769" s="9"/>
      <c r="N769" s="9"/>
      <c r="O769" s="9"/>
    </row>
    <row r="770">
      <c r="E770" s="9"/>
      <c r="H770" s="9"/>
      <c r="I770" s="9"/>
      <c r="K770" s="9"/>
      <c r="M770" s="9"/>
      <c r="N770" s="9"/>
      <c r="O770" s="9"/>
    </row>
    <row r="771">
      <c r="E771" s="9"/>
      <c r="H771" s="9"/>
      <c r="I771" s="9"/>
      <c r="K771" s="9"/>
      <c r="M771" s="9"/>
      <c r="N771" s="9"/>
      <c r="O771" s="9"/>
    </row>
    <row r="772">
      <c r="E772" s="9"/>
      <c r="H772" s="9"/>
      <c r="I772" s="9"/>
      <c r="K772" s="9"/>
      <c r="M772" s="9"/>
      <c r="N772" s="9"/>
      <c r="O772" s="9"/>
    </row>
    <row r="773">
      <c r="E773" s="9"/>
      <c r="H773" s="9"/>
      <c r="I773" s="9"/>
      <c r="K773" s="9"/>
      <c r="M773" s="9"/>
      <c r="N773" s="9"/>
      <c r="O773" s="9"/>
    </row>
    <row r="774">
      <c r="E774" s="9"/>
      <c r="H774" s="9"/>
      <c r="I774" s="9"/>
      <c r="K774" s="9"/>
      <c r="M774" s="9"/>
      <c r="N774" s="9"/>
      <c r="O774" s="9"/>
    </row>
    <row r="775">
      <c r="E775" s="9"/>
      <c r="H775" s="9"/>
      <c r="I775" s="9"/>
      <c r="K775" s="9"/>
      <c r="M775" s="9"/>
      <c r="N775" s="9"/>
      <c r="O775" s="9"/>
    </row>
    <row r="776">
      <c r="E776" s="9"/>
      <c r="H776" s="9"/>
      <c r="I776" s="9"/>
      <c r="K776" s="9"/>
      <c r="M776" s="9"/>
      <c r="N776" s="9"/>
      <c r="O776" s="9"/>
    </row>
    <row r="777">
      <c r="E777" s="9"/>
      <c r="H777" s="9"/>
      <c r="I777" s="9"/>
      <c r="K777" s="9"/>
      <c r="M777" s="9"/>
      <c r="N777" s="9"/>
      <c r="O777" s="9"/>
    </row>
    <row r="778">
      <c r="E778" s="9"/>
      <c r="H778" s="9"/>
      <c r="I778" s="9"/>
      <c r="K778" s="9"/>
      <c r="M778" s="9"/>
      <c r="N778" s="9"/>
      <c r="O778" s="9"/>
    </row>
    <row r="779">
      <c r="E779" s="9"/>
      <c r="H779" s="9"/>
      <c r="I779" s="9"/>
      <c r="K779" s="9"/>
      <c r="M779" s="9"/>
      <c r="N779" s="9"/>
      <c r="O779" s="9"/>
    </row>
    <row r="780">
      <c r="E780" s="9"/>
      <c r="H780" s="9"/>
      <c r="I780" s="9"/>
      <c r="K780" s="9"/>
      <c r="M780" s="9"/>
      <c r="N780" s="9"/>
      <c r="O780" s="9"/>
    </row>
    <row r="781">
      <c r="E781" s="9"/>
      <c r="H781" s="9"/>
      <c r="I781" s="9"/>
      <c r="K781" s="9"/>
      <c r="M781" s="9"/>
      <c r="N781" s="9"/>
      <c r="O781" s="9"/>
    </row>
    <row r="782">
      <c r="E782" s="9"/>
      <c r="H782" s="9"/>
      <c r="I782" s="9"/>
      <c r="K782" s="9"/>
      <c r="M782" s="9"/>
      <c r="N782" s="9"/>
      <c r="O782" s="9"/>
    </row>
    <row r="783">
      <c r="E783" s="9"/>
      <c r="H783" s="9"/>
      <c r="I783" s="9"/>
      <c r="K783" s="9"/>
      <c r="M783" s="9"/>
      <c r="N783" s="9"/>
      <c r="O783" s="9"/>
    </row>
    <row r="784">
      <c r="E784" s="9"/>
      <c r="H784" s="9"/>
      <c r="I784" s="9"/>
      <c r="K784" s="9"/>
      <c r="M784" s="9"/>
      <c r="N784" s="9"/>
      <c r="O784" s="9"/>
    </row>
    <row r="785">
      <c r="E785" s="9"/>
      <c r="H785" s="9"/>
      <c r="I785" s="9"/>
      <c r="K785" s="9"/>
      <c r="M785" s="9"/>
      <c r="N785" s="9"/>
      <c r="O785" s="9"/>
    </row>
    <row r="786">
      <c r="E786" s="9"/>
      <c r="H786" s="9"/>
      <c r="I786" s="9"/>
      <c r="K786" s="9"/>
      <c r="M786" s="9"/>
      <c r="N786" s="9"/>
      <c r="O786" s="9"/>
    </row>
    <row r="787">
      <c r="E787" s="9"/>
      <c r="H787" s="9"/>
      <c r="I787" s="9"/>
      <c r="K787" s="9"/>
      <c r="M787" s="9"/>
      <c r="N787" s="9"/>
      <c r="O787" s="9"/>
    </row>
    <row r="788">
      <c r="E788" s="9"/>
      <c r="H788" s="9"/>
      <c r="I788" s="9"/>
      <c r="K788" s="9"/>
      <c r="M788" s="9"/>
      <c r="N788" s="9"/>
      <c r="O788" s="9"/>
    </row>
    <row r="789">
      <c r="E789" s="9"/>
      <c r="H789" s="9"/>
      <c r="I789" s="9"/>
      <c r="K789" s="9"/>
      <c r="M789" s="9"/>
      <c r="N789" s="9"/>
      <c r="O789" s="9"/>
    </row>
    <row r="790">
      <c r="E790" s="9"/>
      <c r="H790" s="9"/>
      <c r="I790" s="9"/>
      <c r="K790" s="9"/>
      <c r="M790" s="9"/>
      <c r="N790" s="9"/>
      <c r="O790" s="9"/>
    </row>
    <row r="791">
      <c r="E791" s="9"/>
      <c r="H791" s="9"/>
      <c r="I791" s="9"/>
      <c r="K791" s="9"/>
      <c r="M791" s="9"/>
      <c r="N791" s="9"/>
      <c r="O791" s="9"/>
    </row>
    <row r="792">
      <c r="E792" s="9"/>
      <c r="H792" s="9"/>
      <c r="I792" s="9"/>
      <c r="K792" s="9"/>
      <c r="M792" s="9"/>
      <c r="N792" s="9"/>
      <c r="O792" s="9"/>
    </row>
    <row r="793">
      <c r="E793" s="9"/>
      <c r="H793" s="9"/>
      <c r="I793" s="9"/>
      <c r="K793" s="9"/>
      <c r="M793" s="9"/>
      <c r="N793" s="9"/>
      <c r="O793" s="9"/>
    </row>
    <row r="794">
      <c r="E794" s="9"/>
      <c r="H794" s="9"/>
      <c r="I794" s="9"/>
      <c r="K794" s="9"/>
      <c r="M794" s="9"/>
      <c r="N794" s="9"/>
      <c r="O794" s="9"/>
    </row>
    <row r="795">
      <c r="E795" s="9"/>
      <c r="H795" s="9"/>
      <c r="I795" s="9"/>
      <c r="K795" s="9"/>
      <c r="M795" s="9"/>
      <c r="N795" s="9"/>
      <c r="O795" s="9"/>
    </row>
    <row r="796">
      <c r="E796" s="9"/>
      <c r="H796" s="9"/>
      <c r="I796" s="9"/>
      <c r="K796" s="9"/>
      <c r="M796" s="9"/>
      <c r="N796" s="9"/>
      <c r="O796" s="9"/>
    </row>
    <row r="797">
      <c r="E797" s="9"/>
      <c r="H797" s="9"/>
      <c r="I797" s="9"/>
      <c r="K797" s="9"/>
      <c r="M797" s="9"/>
      <c r="N797" s="9"/>
      <c r="O797" s="9"/>
    </row>
    <row r="798">
      <c r="E798" s="9"/>
      <c r="H798" s="9"/>
      <c r="I798" s="9"/>
      <c r="K798" s="9"/>
      <c r="M798" s="9"/>
      <c r="N798" s="9"/>
      <c r="O798" s="9"/>
    </row>
    <row r="799">
      <c r="E799" s="9"/>
      <c r="H799" s="9"/>
      <c r="I799" s="9"/>
      <c r="K799" s="9"/>
      <c r="M799" s="9"/>
      <c r="N799" s="9"/>
      <c r="O799" s="9"/>
    </row>
    <row r="800">
      <c r="E800" s="9"/>
      <c r="H800" s="9"/>
      <c r="I800" s="9"/>
      <c r="K800" s="9"/>
      <c r="M800" s="9"/>
      <c r="N800" s="9"/>
      <c r="O800" s="9"/>
    </row>
    <row r="801">
      <c r="E801" s="9"/>
      <c r="H801" s="9"/>
      <c r="I801" s="9"/>
      <c r="K801" s="9"/>
      <c r="M801" s="9"/>
      <c r="N801" s="9"/>
      <c r="O801" s="9"/>
    </row>
    <row r="802">
      <c r="E802" s="9"/>
      <c r="H802" s="9"/>
      <c r="I802" s="9"/>
      <c r="K802" s="9"/>
      <c r="M802" s="9"/>
      <c r="N802" s="9"/>
      <c r="O802" s="9"/>
    </row>
    <row r="803">
      <c r="E803" s="9"/>
      <c r="H803" s="9"/>
      <c r="I803" s="9"/>
      <c r="K803" s="9"/>
      <c r="M803" s="9"/>
      <c r="N803" s="9"/>
      <c r="O803" s="9"/>
    </row>
    <row r="804">
      <c r="E804" s="9"/>
      <c r="H804" s="9"/>
      <c r="I804" s="9"/>
      <c r="K804" s="9"/>
      <c r="M804" s="9"/>
      <c r="N804" s="9"/>
      <c r="O804" s="9"/>
    </row>
    <row r="805">
      <c r="E805" s="9"/>
      <c r="H805" s="9"/>
      <c r="I805" s="9"/>
      <c r="K805" s="9"/>
      <c r="M805" s="9"/>
      <c r="N805" s="9"/>
      <c r="O805" s="9"/>
    </row>
    <row r="806">
      <c r="E806" s="9"/>
      <c r="H806" s="9"/>
      <c r="I806" s="9"/>
      <c r="K806" s="9"/>
      <c r="M806" s="9"/>
      <c r="N806" s="9"/>
      <c r="O806" s="9"/>
    </row>
    <row r="807">
      <c r="E807" s="9"/>
      <c r="H807" s="9"/>
      <c r="I807" s="9"/>
      <c r="K807" s="9"/>
      <c r="M807" s="9"/>
      <c r="N807" s="9"/>
      <c r="O807" s="9"/>
    </row>
    <row r="808">
      <c r="E808" s="9"/>
      <c r="H808" s="9"/>
      <c r="I808" s="9"/>
      <c r="K808" s="9"/>
      <c r="M808" s="9"/>
      <c r="N808" s="9"/>
      <c r="O808" s="9"/>
    </row>
    <row r="809">
      <c r="E809" s="9"/>
      <c r="H809" s="9"/>
      <c r="I809" s="9"/>
      <c r="K809" s="9"/>
      <c r="M809" s="9"/>
      <c r="N809" s="9"/>
      <c r="O809" s="9"/>
    </row>
    <row r="810">
      <c r="E810" s="9"/>
      <c r="H810" s="9"/>
      <c r="I810" s="9"/>
      <c r="K810" s="9"/>
      <c r="M810" s="9"/>
      <c r="N810" s="9"/>
      <c r="O810" s="9"/>
    </row>
    <row r="811">
      <c r="E811" s="9"/>
      <c r="H811" s="9"/>
      <c r="I811" s="9"/>
      <c r="K811" s="9"/>
      <c r="M811" s="9"/>
      <c r="N811" s="9"/>
      <c r="O811" s="9"/>
    </row>
    <row r="812">
      <c r="E812" s="9"/>
      <c r="H812" s="9"/>
      <c r="I812" s="9"/>
      <c r="K812" s="9"/>
      <c r="M812" s="9"/>
      <c r="N812" s="9"/>
      <c r="O812" s="9"/>
    </row>
    <row r="813">
      <c r="E813" s="9"/>
      <c r="H813" s="9"/>
      <c r="I813" s="9"/>
      <c r="K813" s="9"/>
      <c r="M813" s="9"/>
      <c r="N813" s="9"/>
      <c r="O813" s="9"/>
    </row>
    <row r="814">
      <c r="E814" s="9"/>
      <c r="H814" s="9"/>
      <c r="I814" s="9"/>
      <c r="K814" s="9"/>
      <c r="M814" s="9"/>
      <c r="N814" s="9"/>
      <c r="O814" s="9"/>
    </row>
    <row r="815">
      <c r="E815" s="9"/>
      <c r="H815" s="9"/>
      <c r="I815" s="9"/>
      <c r="K815" s="9"/>
      <c r="M815" s="9"/>
      <c r="N815" s="9"/>
      <c r="O815" s="9"/>
    </row>
    <row r="816">
      <c r="E816" s="9"/>
      <c r="H816" s="9"/>
      <c r="I816" s="9"/>
      <c r="K816" s="9"/>
      <c r="M816" s="9"/>
      <c r="N816" s="9"/>
      <c r="O816" s="9"/>
    </row>
    <row r="817">
      <c r="E817" s="9"/>
      <c r="H817" s="9"/>
      <c r="I817" s="9"/>
      <c r="K817" s="9"/>
      <c r="M817" s="9"/>
      <c r="N817" s="9"/>
      <c r="O817" s="9"/>
    </row>
    <row r="818">
      <c r="E818" s="9"/>
      <c r="H818" s="9"/>
      <c r="I818" s="9"/>
      <c r="K818" s="9"/>
      <c r="M818" s="9"/>
      <c r="N818" s="9"/>
      <c r="O818" s="9"/>
    </row>
    <row r="819">
      <c r="E819" s="9"/>
      <c r="H819" s="9"/>
      <c r="I819" s="9"/>
      <c r="K819" s="9"/>
      <c r="M819" s="9"/>
      <c r="N819" s="9"/>
      <c r="O819" s="9"/>
    </row>
    <row r="820">
      <c r="E820" s="9"/>
      <c r="H820" s="9"/>
      <c r="I820" s="9"/>
      <c r="K820" s="9"/>
      <c r="M820" s="9"/>
      <c r="N820" s="9"/>
      <c r="O820" s="9"/>
    </row>
    <row r="821">
      <c r="E821" s="9"/>
      <c r="H821" s="9"/>
      <c r="I821" s="9"/>
      <c r="K821" s="9"/>
      <c r="M821" s="9"/>
      <c r="N821" s="9"/>
      <c r="O821" s="9"/>
    </row>
    <row r="822">
      <c r="E822" s="9"/>
      <c r="H822" s="9"/>
      <c r="I822" s="9"/>
      <c r="K822" s="9"/>
      <c r="M822" s="9"/>
      <c r="N822" s="9"/>
      <c r="O822" s="9"/>
    </row>
    <row r="823">
      <c r="E823" s="9"/>
      <c r="H823" s="9"/>
      <c r="I823" s="9"/>
      <c r="K823" s="9"/>
      <c r="M823" s="9"/>
      <c r="N823" s="9"/>
      <c r="O823" s="9"/>
    </row>
    <row r="824">
      <c r="E824" s="9"/>
      <c r="H824" s="9"/>
      <c r="I824" s="9"/>
      <c r="K824" s="9"/>
      <c r="M824" s="9"/>
      <c r="N824" s="9"/>
      <c r="O824" s="9"/>
    </row>
    <row r="825">
      <c r="E825" s="9"/>
      <c r="H825" s="9"/>
      <c r="I825" s="9"/>
      <c r="K825" s="9"/>
      <c r="M825" s="9"/>
      <c r="N825" s="9"/>
      <c r="O825" s="9"/>
    </row>
    <row r="826">
      <c r="E826" s="9"/>
      <c r="H826" s="9"/>
      <c r="I826" s="9"/>
      <c r="K826" s="9"/>
      <c r="M826" s="9"/>
      <c r="N826" s="9"/>
      <c r="O826" s="9"/>
    </row>
    <row r="827">
      <c r="E827" s="9"/>
      <c r="H827" s="9"/>
      <c r="I827" s="9"/>
      <c r="K827" s="9"/>
      <c r="M827" s="9"/>
      <c r="N827" s="9"/>
      <c r="O827" s="9"/>
    </row>
    <row r="828">
      <c r="E828" s="9"/>
      <c r="H828" s="9"/>
      <c r="I828" s="9"/>
      <c r="K828" s="9"/>
      <c r="M828" s="9"/>
      <c r="N828" s="9"/>
      <c r="O828" s="9"/>
    </row>
    <row r="829">
      <c r="E829" s="9"/>
      <c r="H829" s="9"/>
      <c r="I829" s="9"/>
      <c r="K829" s="9"/>
      <c r="M829" s="9"/>
      <c r="N829" s="9"/>
      <c r="O829" s="9"/>
    </row>
    <row r="830">
      <c r="E830" s="9"/>
      <c r="H830" s="9"/>
      <c r="I830" s="9"/>
      <c r="K830" s="9"/>
      <c r="M830" s="9"/>
      <c r="N830" s="9"/>
      <c r="O830" s="9"/>
    </row>
    <row r="831">
      <c r="E831" s="9"/>
      <c r="H831" s="9"/>
      <c r="I831" s="9"/>
      <c r="K831" s="9"/>
      <c r="M831" s="9"/>
      <c r="N831" s="9"/>
      <c r="O831" s="9"/>
    </row>
    <row r="832">
      <c r="E832" s="9"/>
      <c r="H832" s="9"/>
      <c r="I832" s="9"/>
      <c r="K832" s="9"/>
      <c r="M832" s="9"/>
      <c r="N832" s="9"/>
      <c r="O832" s="9"/>
    </row>
    <row r="833">
      <c r="E833" s="9"/>
      <c r="H833" s="9"/>
      <c r="I833" s="9"/>
      <c r="K833" s="9"/>
      <c r="M833" s="9"/>
      <c r="N833" s="9"/>
      <c r="O833" s="9"/>
    </row>
    <row r="834">
      <c r="E834" s="9"/>
      <c r="H834" s="9"/>
      <c r="I834" s="9"/>
      <c r="K834" s="9"/>
      <c r="M834" s="9"/>
      <c r="N834" s="9"/>
      <c r="O834" s="9"/>
    </row>
    <row r="835">
      <c r="E835" s="9"/>
      <c r="H835" s="9"/>
      <c r="I835" s="9"/>
      <c r="K835" s="9"/>
      <c r="M835" s="9"/>
      <c r="N835" s="9"/>
      <c r="O835" s="9"/>
    </row>
    <row r="836">
      <c r="E836" s="9"/>
      <c r="H836" s="9"/>
      <c r="I836" s="9"/>
      <c r="K836" s="9"/>
      <c r="M836" s="9"/>
      <c r="N836" s="9"/>
      <c r="O836" s="9"/>
    </row>
    <row r="837">
      <c r="E837" s="9"/>
      <c r="H837" s="9"/>
      <c r="I837" s="9"/>
      <c r="K837" s="9"/>
      <c r="M837" s="9"/>
      <c r="N837" s="9"/>
      <c r="O837" s="9"/>
    </row>
    <row r="838">
      <c r="E838" s="9"/>
      <c r="H838" s="9"/>
      <c r="I838" s="9"/>
      <c r="K838" s="9"/>
      <c r="M838" s="9"/>
      <c r="N838" s="9"/>
      <c r="O838" s="9"/>
    </row>
    <row r="839">
      <c r="E839" s="9"/>
      <c r="H839" s="9"/>
      <c r="I839" s="9"/>
      <c r="K839" s="9"/>
      <c r="M839" s="9"/>
      <c r="N839" s="9"/>
      <c r="O839" s="9"/>
    </row>
    <row r="840">
      <c r="E840" s="9"/>
      <c r="H840" s="9"/>
      <c r="I840" s="9"/>
      <c r="K840" s="9"/>
      <c r="M840" s="9"/>
      <c r="N840" s="9"/>
      <c r="O840" s="9"/>
    </row>
    <row r="841">
      <c r="E841" s="9"/>
      <c r="H841" s="9"/>
      <c r="I841" s="9"/>
      <c r="K841" s="9"/>
      <c r="M841" s="9"/>
      <c r="N841" s="9"/>
      <c r="O841" s="9"/>
    </row>
    <row r="842">
      <c r="E842" s="9"/>
      <c r="H842" s="9"/>
      <c r="I842" s="9"/>
      <c r="K842" s="9"/>
      <c r="M842" s="9"/>
      <c r="N842" s="9"/>
      <c r="O842" s="9"/>
    </row>
    <row r="843">
      <c r="E843" s="9"/>
      <c r="H843" s="9"/>
      <c r="I843" s="9"/>
      <c r="K843" s="9"/>
      <c r="M843" s="9"/>
      <c r="N843" s="9"/>
      <c r="O843" s="9"/>
    </row>
    <row r="844">
      <c r="E844" s="9"/>
      <c r="H844" s="9"/>
      <c r="I844" s="9"/>
      <c r="K844" s="9"/>
      <c r="M844" s="9"/>
      <c r="N844" s="9"/>
      <c r="O844" s="9"/>
    </row>
    <row r="845">
      <c r="E845" s="9"/>
      <c r="H845" s="9"/>
      <c r="I845" s="9"/>
      <c r="K845" s="9"/>
      <c r="M845" s="9"/>
      <c r="N845" s="9"/>
      <c r="O845" s="9"/>
    </row>
    <row r="846">
      <c r="E846" s="9"/>
      <c r="H846" s="9"/>
      <c r="I846" s="9"/>
      <c r="K846" s="9"/>
      <c r="M846" s="9"/>
      <c r="N846" s="9"/>
      <c r="O846" s="9"/>
    </row>
    <row r="847">
      <c r="E847" s="9"/>
      <c r="H847" s="9"/>
      <c r="I847" s="9"/>
      <c r="K847" s="9"/>
      <c r="M847" s="9"/>
      <c r="N847" s="9"/>
      <c r="O847" s="9"/>
    </row>
    <row r="848">
      <c r="E848" s="9"/>
      <c r="H848" s="9"/>
      <c r="I848" s="9"/>
      <c r="K848" s="9"/>
      <c r="M848" s="9"/>
      <c r="N848" s="9"/>
      <c r="O848" s="9"/>
    </row>
    <row r="849">
      <c r="E849" s="9"/>
      <c r="H849" s="9"/>
      <c r="I849" s="9"/>
      <c r="K849" s="9"/>
      <c r="M849" s="9"/>
      <c r="N849" s="9"/>
      <c r="O849" s="9"/>
    </row>
    <row r="850">
      <c r="E850" s="9"/>
      <c r="H850" s="9"/>
      <c r="I850" s="9"/>
      <c r="K850" s="9"/>
      <c r="M850" s="9"/>
      <c r="N850" s="9"/>
      <c r="O850" s="9"/>
    </row>
    <row r="851">
      <c r="E851" s="9"/>
      <c r="H851" s="9"/>
      <c r="I851" s="9"/>
      <c r="K851" s="9"/>
      <c r="M851" s="9"/>
      <c r="N851" s="9"/>
      <c r="O851" s="9"/>
    </row>
    <row r="852">
      <c r="E852" s="9"/>
      <c r="H852" s="9"/>
      <c r="I852" s="9"/>
      <c r="K852" s="9"/>
      <c r="M852" s="9"/>
      <c r="N852" s="9"/>
      <c r="O852" s="9"/>
    </row>
    <row r="853">
      <c r="E853" s="9"/>
      <c r="H853" s="9"/>
      <c r="I853" s="9"/>
      <c r="K853" s="9"/>
      <c r="M853" s="9"/>
      <c r="N853" s="9"/>
      <c r="O853" s="9"/>
    </row>
    <row r="854">
      <c r="E854" s="9"/>
      <c r="H854" s="9"/>
      <c r="I854" s="9"/>
      <c r="K854" s="9"/>
      <c r="M854" s="9"/>
      <c r="N854" s="9"/>
      <c r="O854" s="9"/>
    </row>
    <row r="855">
      <c r="E855" s="9"/>
      <c r="H855" s="9"/>
      <c r="I855" s="9"/>
      <c r="K855" s="9"/>
      <c r="M855" s="9"/>
      <c r="N855" s="9"/>
      <c r="O855" s="9"/>
    </row>
    <row r="856">
      <c r="E856" s="9"/>
      <c r="H856" s="9"/>
      <c r="I856" s="9"/>
      <c r="K856" s="9"/>
      <c r="M856" s="9"/>
      <c r="N856" s="9"/>
      <c r="O856" s="9"/>
    </row>
    <row r="857">
      <c r="E857" s="9"/>
      <c r="H857" s="9"/>
      <c r="I857" s="9"/>
      <c r="K857" s="9"/>
      <c r="M857" s="9"/>
      <c r="N857" s="9"/>
      <c r="O857" s="9"/>
    </row>
    <row r="858">
      <c r="E858" s="9"/>
      <c r="H858" s="9"/>
      <c r="I858" s="9"/>
      <c r="K858" s="9"/>
      <c r="M858" s="9"/>
      <c r="N858" s="9"/>
      <c r="O858" s="9"/>
    </row>
    <row r="859">
      <c r="E859" s="9"/>
      <c r="H859" s="9"/>
      <c r="I859" s="9"/>
      <c r="K859" s="9"/>
      <c r="M859" s="9"/>
      <c r="N859" s="9"/>
      <c r="O859" s="9"/>
    </row>
    <row r="860">
      <c r="E860" s="9"/>
      <c r="H860" s="9"/>
      <c r="I860" s="9"/>
      <c r="K860" s="9"/>
      <c r="M860" s="9"/>
      <c r="N860" s="9"/>
      <c r="O860" s="9"/>
    </row>
    <row r="861">
      <c r="E861" s="9"/>
      <c r="H861" s="9"/>
      <c r="I861" s="9"/>
      <c r="K861" s="9"/>
      <c r="M861" s="9"/>
      <c r="N861" s="9"/>
      <c r="O861" s="9"/>
    </row>
    <row r="862">
      <c r="E862" s="9"/>
      <c r="H862" s="9"/>
      <c r="I862" s="9"/>
      <c r="K862" s="9"/>
      <c r="M862" s="9"/>
      <c r="N862" s="9"/>
      <c r="O862" s="9"/>
    </row>
    <row r="863">
      <c r="E863" s="9"/>
      <c r="H863" s="9"/>
      <c r="I863" s="9"/>
      <c r="K863" s="9"/>
      <c r="M863" s="9"/>
      <c r="N863" s="9"/>
      <c r="O863" s="9"/>
    </row>
    <row r="864">
      <c r="E864" s="9"/>
      <c r="H864" s="9"/>
      <c r="I864" s="9"/>
      <c r="K864" s="9"/>
      <c r="M864" s="9"/>
      <c r="N864" s="9"/>
      <c r="O864" s="9"/>
    </row>
    <row r="865">
      <c r="E865" s="9"/>
      <c r="H865" s="9"/>
      <c r="I865" s="9"/>
      <c r="K865" s="9"/>
      <c r="M865" s="9"/>
      <c r="N865" s="9"/>
      <c r="O865" s="9"/>
    </row>
    <row r="866">
      <c r="E866" s="9"/>
      <c r="H866" s="9"/>
      <c r="I866" s="9"/>
      <c r="K866" s="9"/>
      <c r="M866" s="9"/>
      <c r="N866" s="9"/>
      <c r="O866" s="9"/>
    </row>
    <row r="867">
      <c r="E867" s="9"/>
      <c r="H867" s="9"/>
      <c r="I867" s="9"/>
      <c r="K867" s="9"/>
      <c r="M867" s="9"/>
      <c r="N867" s="9"/>
      <c r="O867" s="9"/>
    </row>
    <row r="868">
      <c r="E868" s="9"/>
      <c r="H868" s="9"/>
      <c r="I868" s="9"/>
      <c r="K868" s="9"/>
      <c r="M868" s="9"/>
      <c r="N868" s="9"/>
      <c r="O868" s="9"/>
    </row>
    <row r="869">
      <c r="E869" s="9"/>
      <c r="H869" s="9"/>
      <c r="I869" s="9"/>
      <c r="K869" s="9"/>
      <c r="M869" s="9"/>
      <c r="N869" s="9"/>
      <c r="O869" s="9"/>
    </row>
    <row r="870">
      <c r="E870" s="9"/>
      <c r="H870" s="9"/>
      <c r="I870" s="9"/>
      <c r="K870" s="9"/>
      <c r="M870" s="9"/>
      <c r="N870" s="9"/>
      <c r="O870" s="9"/>
    </row>
    <row r="871">
      <c r="E871" s="9"/>
      <c r="H871" s="9"/>
      <c r="I871" s="9"/>
      <c r="K871" s="9"/>
      <c r="M871" s="9"/>
      <c r="N871" s="9"/>
      <c r="O871" s="9"/>
    </row>
    <row r="872">
      <c r="E872" s="9"/>
      <c r="H872" s="9"/>
      <c r="I872" s="9"/>
      <c r="K872" s="9"/>
      <c r="M872" s="9"/>
      <c r="N872" s="9"/>
      <c r="O872" s="9"/>
    </row>
    <row r="873">
      <c r="E873" s="9"/>
      <c r="H873" s="9"/>
      <c r="I873" s="9"/>
      <c r="K873" s="9"/>
      <c r="M873" s="9"/>
      <c r="N873" s="9"/>
      <c r="O873" s="9"/>
    </row>
    <row r="874">
      <c r="E874" s="9"/>
      <c r="H874" s="9"/>
      <c r="I874" s="9"/>
      <c r="K874" s="9"/>
      <c r="M874" s="9"/>
      <c r="N874" s="9"/>
      <c r="O874" s="9"/>
    </row>
    <row r="875">
      <c r="E875" s="9"/>
      <c r="H875" s="9"/>
      <c r="I875" s="9"/>
      <c r="K875" s="9"/>
      <c r="M875" s="9"/>
      <c r="N875" s="9"/>
      <c r="O875" s="9"/>
    </row>
    <row r="876">
      <c r="E876" s="9"/>
      <c r="H876" s="9"/>
      <c r="I876" s="9"/>
      <c r="K876" s="9"/>
      <c r="M876" s="9"/>
      <c r="N876" s="9"/>
      <c r="O876" s="9"/>
    </row>
    <row r="877">
      <c r="E877" s="9"/>
      <c r="H877" s="9"/>
      <c r="I877" s="9"/>
      <c r="K877" s="9"/>
      <c r="M877" s="9"/>
      <c r="N877" s="9"/>
      <c r="O877" s="9"/>
    </row>
    <row r="878">
      <c r="E878" s="9"/>
      <c r="H878" s="9"/>
      <c r="I878" s="9"/>
      <c r="K878" s="9"/>
      <c r="M878" s="9"/>
      <c r="N878" s="9"/>
      <c r="O878" s="9"/>
    </row>
    <row r="879">
      <c r="E879" s="9"/>
      <c r="H879" s="9"/>
      <c r="I879" s="9"/>
      <c r="K879" s="9"/>
      <c r="M879" s="9"/>
      <c r="N879" s="9"/>
      <c r="O879" s="9"/>
    </row>
    <row r="880">
      <c r="E880" s="9"/>
      <c r="H880" s="9"/>
      <c r="I880" s="9"/>
      <c r="K880" s="9"/>
      <c r="M880" s="9"/>
      <c r="N880" s="9"/>
      <c r="O880" s="9"/>
    </row>
    <row r="881">
      <c r="E881" s="9"/>
      <c r="H881" s="9"/>
      <c r="I881" s="9"/>
      <c r="K881" s="9"/>
      <c r="M881" s="9"/>
      <c r="N881" s="9"/>
      <c r="O881" s="9"/>
    </row>
    <row r="882">
      <c r="E882" s="9"/>
      <c r="H882" s="9"/>
      <c r="I882" s="9"/>
      <c r="K882" s="9"/>
      <c r="M882" s="9"/>
      <c r="N882" s="9"/>
      <c r="O882" s="9"/>
    </row>
    <row r="883">
      <c r="E883" s="9"/>
      <c r="H883" s="9"/>
      <c r="I883" s="9"/>
      <c r="K883" s="9"/>
      <c r="M883" s="9"/>
      <c r="N883" s="9"/>
      <c r="O883" s="9"/>
    </row>
    <row r="884">
      <c r="E884" s="9"/>
      <c r="H884" s="9"/>
      <c r="I884" s="9"/>
      <c r="K884" s="9"/>
      <c r="M884" s="9"/>
      <c r="N884" s="9"/>
      <c r="O884" s="9"/>
    </row>
    <row r="885">
      <c r="E885" s="9"/>
      <c r="H885" s="9"/>
      <c r="I885" s="9"/>
      <c r="K885" s="9"/>
      <c r="M885" s="9"/>
      <c r="N885" s="9"/>
      <c r="O885" s="9"/>
    </row>
    <row r="886">
      <c r="E886" s="9"/>
      <c r="H886" s="9"/>
      <c r="I886" s="9"/>
      <c r="K886" s="9"/>
      <c r="M886" s="9"/>
      <c r="N886" s="9"/>
      <c r="O886" s="9"/>
    </row>
    <row r="887">
      <c r="E887" s="9"/>
      <c r="H887" s="9"/>
      <c r="I887" s="9"/>
      <c r="K887" s="9"/>
      <c r="M887" s="9"/>
      <c r="N887" s="9"/>
      <c r="O887" s="9"/>
    </row>
    <row r="888">
      <c r="E888" s="9"/>
      <c r="H888" s="9"/>
      <c r="I888" s="9"/>
      <c r="K888" s="9"/>
      <c r="M888" s="9"/>
      <c r="N888" s="9"/>
      <c r="O888" s="9"/>
    </row>
    <row r="889">
      <c r="E889" s="9"/>
      <c r="H889" s="9"/>
      <c r="I889" s="9"/>
      <c r="K889" s="9"/>
      <c r="M889" s="9"/>
      <c r="N889" s="9"/>
      <c r="O889" s="9"/>
    </row>
    <row r="890">
      <c r="E890" s="9"/>
      <c r="H890" s="9"/>
      <c r="I890" s="9"/>
      <c r="K890" s="9"/>
      <c r="M890" s="9"/>
      <c r="N890" s="9"/>
      <c r="O890" s="9"/>
    </row>
    <row r="891">
      <c r="E891" s="9"/>
      <c r="H891" s="9"/>
      <c r="I891" s="9"/>
      <c r="K891" s="9"/>
      <c r="M891" s="9"/>
      <c r="N891" s="9"/>
      <c r="O891" s="9"/>
    </row>
    <row r="892">
      <c r="E892" s="9"/>
      <c r="H892" s="9"/>
      <c r="I892" s="9"/>
      <c r="K892" s="9"/>
      <c r="M892" s="9"/>
      <c r="N892" s="9"/>
      <c r="O892" s="9"/>
    </row>
    <row r="893">
      <c r="E893" s="9"/>
      <c r="H893" s="9"/>
      <c r="I893" s="9"/>
      <c r="K893" s="9"/>
      <c r="M893" s="9"/>
      <c r="N893" s="9"/>
      <c r="O893" s="9"/>
    </row>
    <row r="894">
      <c r="E894" s="9"/>
      <c r="H894" s="9"/>
      <c r="I894" s="9"/>
      <c r="K894" s="9"/>
      <c r="M894" s="9"/>
      <c r="N894" s="9"/>
      <c r="O894" s="9"/>
    </row>
    <row r="895">
      <c r="E895" s="9"/>
      <c r="H895" s="9"/>
      <c r="I895" s="9"/>
      <c r="K895" s="9"/>
      <c r="M895" s="9"/>
      <c r="N895" s="9"/>
      <c r="O895" s="9"/>
    </row>
    <row r="896">
      <c r="E896" s="9"/>
      <c r="H896" s="9"/>
      <c r="I896" s="9"/>
      <c r="K896" s="9"/>
      <c r="M896" s="9"/>
      <c r="N896" s="9"/>
      <c r="O896" s="9"/>
    </row>
    <row r="897">
      <c r="E897" s="9"/>
      <c r="H897" s="9"/>
      <c r="I897" s="9"/>
      <c r="K897" s="9"/>
      <c r="M897" s="9"/>
      <c r="N897" s="9"/>
      <c r="O897" s="9"/>
    </row>
    <row r="898">
      <c r="E898" s="9"/>
      <c r="H898" s="9"/>
      <c r="I898" s="9"/>
      <c r="K898" s="9"/>
      <c r="M898" s="9"/>
      <c r="N898" s="9"/>
      <c r="O898" s="9"/>
    </row>
    <row r="899">
      <c r="E899" s="9"/>
      <c r="H899" s="9"/>
      <c r="I899" s="9"/>
      <c r="K899" s="9"/>
      <c r="M899" s="9"/>
      <c r="N899" s="9"/>
      <c r="O899" s="9"/>
    </row>
    <row r="900">
      <c r="E900" s="9"/>
      <c r="H900" s="9"/>
      <c r="I900" s="9"/>
      <c r="K900" s="9"/>
      <c r="M900" s="9"/>
      <c r="N900" s="9"/>
      <c r="O900" s="9"/>
    </row>
    <row r="901">
      <c r="E901" s="9"/>
      <c r="H901" s="9"/>
      <c r="I901" s="9"/>
      <c r="K901" s="9"/>
      <c r="M901" s="9"/>
      <c r="N901" s="9"/>
      <c r="O901" s="9"/>
    </row>
    <row r="902">
      <c r="E902" s="9"/>
      <c r="H902" s="9"/>
      <c r="I902" s="9"/>
      <c r="K902" s="9"/>
      <c r="M902" s="9"/>
      <c r="N902" s="9"/>
      <c r="O902" s="9"/>
    </row>
    <row r="903">
      <c r="E903" s="9"/>
      <c r="H903" s="9"/>
      <c r="I903" s="9"/>
      <c r="K903" s="9"/>
      <c r="M903" s="9"/>
      <c r="N903" s="9"/>
      <c r="O903" s="9"/>
    </row>
    <row r="904">
      <c r="E904" s="9"/>
      <c r="H904" s="9"/>
      <c r="I904" s="9"/>
      <c r="K904" s="9"/>
      <c r="M904" s="9"/>
      <c r="N904" s="9"/>
      <c r="O904" s="9"/>
    </row>
    <row r="905">
      <c r="E905" s="9"/>
      <c r="H905" s="9"/>
      <c r="I905" s="9"/>
      <c r="K905" s="9"/>
      <c r="M905" s="9"/>
      <c r="N905" s="9"/>
      <c r="O905" s="9"/>
    </row>
    <row r="906">
      <c r="E906" s="9"/>
      <c r="H906" s="9"/>
      <c r="I906" s="9"/>
      <c r="K906" s="9"/>
      <c r="M906" s="9"/>
      <c r="N906" s="9"/>
      <c r="O906" s="9"/>
    </row>
    <row r="907">
      <c r="E907" s="9"/>
      <c r="H907" s="9"/>
      <c r="I907" s="9"/>
      <c r="K907" s="9"/>
      <c r="M907" s="9"/>
      <c r="N907" s="9"/>
      <c r="O907" s="9"/>
    </row>
    <row r="908">
      <c r="E908" s="9"/>
      <c r="H908" s="9"/>
      <c r="I908" s="9"/>
      <c r="K908" s="9"/>
      <c r="M908" s="9"/>
      <c r="N908" s="9"/>
      <c r="O908" s="9"/>
    </row>
    <row r="909">
      <c r="E909" s="9"/>
      <c r="H909" s="9"/>
      <c r="I909" s="9"/>
      <c r="K909" s="9"/>
      <c r="M909" s="9"/>
      <c r="N909" s="9"/>
      <c r="O909" s="9"/>
    </row>
    <row r="910">
      <c r="E910" s="9"/>
      <c r="H910" s="9"/>
      <c r="I910" s="9"/>
      <c r="K910" s="9"/>
      <c r="M910" s="9"/>
      <c r="N910" s="9"/>
      <c r="O910" s="9"/>
    </row>
    <row r="911">
      <c r="E911" s="9"/>
      <c r="H911" s="9"/>
      <c r="I911" s="9"/>
      <c r="K911" s="9"/>
      <c r="M911" s="9"/>
      <c r="N911" s="9"/>
      <c r="O911" s="9"/>
    </row>
    <row r="912">
      <c r="E912" s="9"/>
      <c r="H912" s="9"/>
      <c r="I912" s="9"/>
      <c r="K912" s="9"/>
      <c r="M912" s="9"/>
      <c r="N912" s="9"/>
      <c r="O912" s="9"/>
    </row>
    <row r="913">
      <c r="E913" s="9"/>
      <c r="H913" s="9"/>
      <c r="I913" s="9"/>
      <c r="K913" s="9"/>
      <c r="M913" s="9"/>
      <c r="N913" s="9"/>
      <c r="O913" s="9"/>
    </row>
    <row r="914">
      <c r="E914" s="9"/>
      <c r="H914" s="9"/>
      <c r="I914" s="9"/>
      <c r="K914" s="9"/>
      <c r="M914" s="9"/>
      <c r="N914" s="9"/>
      <c r="O914" s="9"/>
    </row>
    <row r="915">
      <c r="E915" s="9"/>
      <c r="H915" s="9"/>
      <c r="I915" s="9"/>
      <c r="K915" s="9"/>
      <c r="M915" s="9"/>
      <c r="N915" s="9"/>
      <c r="O915" s="9"/>
    </row>
    <row r="916">
      <c r="E916" s="9"/>
      <c r="H916" s="9"/>
      <c r="I916" s="9"/>
      <c r="K916" s="9"/>
      <c r="M916" s="9"/>
      <c r="N916" s="9"/>
      <c r="O916" s="9"/>
    </row>
    <row r="917">
      <c r="E917" s="9"/>
      <c r="H917" s="9"/>
      <c r="I917" s="9"/>
      <c r="K917" s="9"/>
      <c r="M917" s="9"/>
      <c r="N917" s="9"/>
      <c r="O917" s="9"/>
    </row>
    <row r="918">
      <c r="E918" s="9"/>
      <c r="H918" s="9"/>
      <c r="I918" s="9"/>
      <c r="K918" s="9"/>
      <c r="M918" s="9"/>
      <c r="N918" s="9"/>
      <c r="O918" s="9"/>
    </row>
    <row r="919">
      <c r="E919" s="9"/>
      <c r="H919" s="9"/>
      <c r="I919" s="9"/>
      <c r="K919" s="9"/>
      <c r="M919" s="9"/>
      <c r="N919" s="9"/>
      <c r="O919" s="9"/>
    </row>
    <row r="920">
      <c r="E920" s="9"/>
      <c r="H920" s="9"/>
      <c r="I920" s="9"/>
      <c r="K920" s="9"/>
      <c r="M920" s="9"/>
      <c r="N920" s="9"/>
      <c r="O920" s="9"/>
    </row>
    <row r="921">
      <c r="E921" s="9"/>
      <c r="H921" s="9"/>
      <c r="I921" s="9"/>
      <c r="K921" s="9"/>
      <c r="M921" s="9"/>
      <c r="N921" s="9"/>
      <c r="O921" s="9"/>
    </row>
    <row r="922">
      <c r="E922" s="9"/>
      <c r="H922" s="9"/>
      <c r="I922" s="9"/>
      <c r="K922" s="9"/>
      <c r="M922" s="9"/>
      <c r="N922" s="9"/>
      <c r="O922" s="9"/>
    </row>
    <row r="923">
      <c r="E923" s="9"/>
      <c r="H923" s="9"/>
      <c r="I923" s="9"/>
      <c r="K923" s="9"/>
      <c r="M923" s="9"/>
      <c r="N923" s="9"/>
      <c r="O923" s="9"/>
    </row>
    <row r="924">
      <c r="E924" s="9"/>
      <c r="H924" s="9"/>
      <c r="I924" s="9"/>
      <c r="K924" s="9"/>
      <c r="M924" s="9"/>
      <c r="N924" s="9"/>
      <c r="O924" s="9"/>
    </row>
    <row r="925">
      <c r="E925" s="9"/>
      <c r="H925" s="9"/>
      <c r="I925" s="9"/>
      <c r="K925" s="9"/>
      <c r="M925" s="9"/>
      <c r="N925" s="9"/>
      <c r="O925" s="9"/>
    </row>
    <row r="926">
      <c r="E926" s="9"/>
      <c r="H926" s="9"/>
      <c r="I926" s="9"/>
      <c r="K926" s="9"/>
      <c r="M926" s="9"/>
      <c r="N926" s="9"/>
      <c r="O926" s="9"/>
    </row>
    <row r="927">
      <c r="E927" s="9"/>
      <c r="H927" s="9"/>
      <c r="I927" s="9"/>
      <c r="K927" s="9"/>
      <c r="M927" s="9"/>
      <c r="N927" s="9"/>
      <c r="O927" s="9"/>
    </row>
    <row r="928">
      <c r="E928" s="9"/>
      <c r="H928" s="9"/>
      <c r="I928" s="9"/>
      <c r="K928" s="9"/>
      <c r="M928" s="9"/>
      <c r="N928" s="9"/>
      <c r="O928" s="9"/>
    </row>
    <row r="929">
      <c r="E929" s="9"/>
      <c r="H929" s="9"/>
      <c r="I929" s="9"/>
      <c r="K929" s="9"/>
      <c r="M929" s="9"/>
      <c r="N929" s="9"/>
      <c r="O929" s="9"/>
    </row>
    <row r="930">
      <c r="E930" s="9"/>
      <c r="H930" s="9"/>
      <c r="I930" s="9"/>
      <c r="K930" s="9"/>
      <c r="M930" s="9"/>
      <c r="N930" s="9"/>
      <c r="O930" s="9"/>
    </row>
    <row r="931">
      <c r="E931" s="9"/>
      <c r="H931" s="9"/>
      <c r="I931" s="9"/>
      <c r="K931" s="9"/>
      <c r="M931" s="9"/>
      <c r="N931" s="9"/>
      <c r="O931" s="9"/>
    </row>
    <row r="932">
      <c r="E932" s="9"/>
      <c r="H932" s="9"/>
      <c r="I932" s="9"/>
      <c r="K932" s="9"/>
      <c r="M932" s="9"/>
      <c r="N932" s="9"/>
      <c r="O932" s="9"/>
    </row>
    <row r="933">
      <c r="E933" s="9"/>
      <c r="H933" s="9"/>
      <c r="I933" s="9"/>
      <c r="K933" s="9"/>
      <c r="M933" s="9"/>
      <c r="N933" s="9"/>
      <c r="O933" s="9"/>
    </row>
    <row r="934">
      <c r="E934" s="9"/>
      <c r="H934" s="9"/>
      <c r="I934" s="9"/>
      <c r="K934" s="9"/>
      <c r="M934" s="9"/>
      <c r="N934" s="9"/>
      <c r="O934" s="9"/>
    </row>
    <row r="935">
      <c r="E935" s="9"/>
      <c r="H935" s="9"/>
      <c r="I935" s="9"/>
      <c r="K935" s="9"/>
      <c r="M935" s="9"/>
      <c r="N935" s="9"/>
      <c r="O935" s="9"/>
    </row>
    <row r="936">
      <c r="E936" s="9"/>
      <c r="H936" s="9"/>
      <c r="I936" s="9"/>
      <c r="K936" s="9"/>
      <c r="M936" s="9"/>
      <c r="N936" s="9"/>
      <c r="O936" s="9"/>
    </row>
    <row r="937">
      <c r="E937" s="9"/>
      <c r="H937" s="9"/>
      <c r="I937" s="9"/>
      <c r="K937" s="9"/>
      <c r="M937" s="9"/>
      <c r="N937" s="9"/>
      <c r="O937" s="9"/>
    </row>
    <row r="938">
      <c r="E938" s="9"/>
      <c r="H938" s="9"/>
      <c r="I938" s="9"/>
      <c r="K938" s="9"/>
      <c r="M938" s="9"/>
      <c r="N938" s="9"/>
      <c r="O938" s="9"/>
    </row>
    <row r="939">
      <c r="E939" s="9"/>
      <c r="H939" s="9"/>
      <c r="I939" s="9"/>
      <c r="K939" s="9"/>
      <c r="M939" s="9"/>
      <c r="N939" s="9"/>
      <c r="O939" s="9"/>
    </row>
    <row r="940">
      <c r="E940" s="9"/>
      <c r="H940" s="9"/>
      <c r="I940" s="9"/>
      <c r="K940" s="9"/>
      <c r="M940" s="9"/>
      <c r="N940" s="9"/>
      <c r="O940" s="9"/>
    </row>
    <row r="941">
      <c r="E941" s="9"/>
      <c r="H941" s="9"/>
      <c r="I941" s="9"/>
      <c r="K941" s="9"/>
      <c r="M941" s="9"/>
      <c r="N941" s="9"/>
      <c r="O941" s="9"/>
    </row>
    <row r="942">
      <c r="E942" s="9"/>
      <c r="H942" s="9"/>
      <c r="I942" s="9"/>
      <c r="K942" s="9"/>
      <c r="M942" s="9"/>
      <c r="N942" s="9"/>
      <c r="O942" s="9"/>
    </row>
  </sheetData>
  <mergeCells count="2">
    <mergeCell ref="A1:G1"/>
    <mergeCell ref="A19:G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6.5"/>
    <col customWidth="1" min="3" max="3" width="22.0"/>
    <col customWidth="1" min="4" max="4" width="5.5"/>
    <col customWidth="1" min="5" max="5" width="8.5"/>
    <col customWidth="1" min="6" max="6" width="17.63"/>
    <col customWidth="1" min="7" max="7" width="10.25"/>
    <col customWidth="1" min="8" max="8" width="8.13"/>
    <col customWidth="1" min="9" max="9" width="5.75"/>
    <col customWidth="1" min="10" max="10" width="4.75"/>
    <col customWidth="1" min="11" max="11" width="8.25"/>
    <col customWidth="1" min="12" max="12" width="4.75"/>
    <col customWidth="1" min="13" max="13" width="5.63"/>
    <col customWidth="1" min="14" max="14" width="4.75"/>
    <col customWidth="1" min="15" max="15" width="5.63"/>
    <col customWidth="1" min="16" max="16" width="10.13"/>
    <col customWidth="1" min="17" max="18" width="4.75"/>
    <col customWidth="1" min="19" max="19" width="7.5"/>
    <col customWidth="1" min="20" max="20" width="5.38"/>
    <col customWidth="1" min="21" max="21" width="3.88"/>
    <col customWidth="1" min="22" max="22" width="5.88"/>
    <col customWidth="1" min="23" max="23" width="5.38"/>
    <col customWidth="1" min="24" max="24" width="3.88"/>
    <col customWidth="1" min="25" max="25" width="5.88"/>
    <col customWidth="1" min="26" max="26" width="5.38"/>
    <col customWidth="1" min="27" max="27" width="3.88"/>
    <col customWidth="1" min="28" max="28" width="5.88"/>
  </cols>
  <sheetData>
    <row r="1">
      <c r="A1" s="28" t="s">
        <v>8</v>
      </c>
      <c r="B1" s="29" t="s">
        <v>9</v>
      </c>
      <c r="C1" s="29" t="s">
        <v>10</v>
      </c>
      <c r="D1" s="28" t="s">
        <v>11</v>
      </c>
      <c r="E1" s="30" t="s">
        <v>12</v>
      </c>
      <c r="F1" s="29" t="s">
        <v>13</v>
      </c>
      <c r="G1" s="29" t="s">
        <v>14</v>
      </c>
      <c r="H1" s="31" t="s">
        <v>15</v>
      </c>
      <c r="I1" s="32" t="s">
        <v>16</v>
      </c>
      <c r="J1" s="32" t="s">
        <v>17</v>
      </c>
      <c r="K1" s="32" t="s">
        <v>18</v>
      </c>
      <c r="L1" s="31" t="s">
        <v>19</v>
      </c>
      <c r="M1" s="32" t="s">
        <v>20</v>
      </c>
      <c r="N1" s="32" t="s">
        <v>21</v>
      </c>
      <c r="O1" s="32" t="s">
        <v>22</v>
      </c>
      <c r="P1" s="31" t="s">
        <v>23</v>
      </c>
      <c r="Q1" s="32" t="s">
        <v>24</v>
      </c>
      <c r="R1" s="32" t="s">
        <v>25</v>
      </c>
      <c r="S1" s="32" t="s">
        <v>26</v>
      </c>
      <c r="T1" s="32" t="s">
        <v>24</v>
      </c>
      <c r="U1" s="32" t="s">
        <v>25</v>
      </c>
      <c r="V1" s="32" t="s">
        <v>26</v>
      </c>
      <c r="W1" s="32" t="s">
        <v>24</v>
      </c>
      <c r="X1" s="32" t="s">
        <v>25</v>
      </c>
      <c r="Y1" s="32" t="s">
        <v>26</v>
      </c>
      <c r="Z1" s="32" t="s">
        <v>24</v>
      </c>
      <c r="AA1" s="32" t="s">
        <v>25</v>
      </c>
      <c r="AB1" s="32" t="s">
        <v>26</v>
      </c>
      <c r="AC1" s="33"/>
    </row>
    <row r="2">
      <c r="A2" s="5">
        <v>2.0</v>
      </c>
      <c r="B2" s="10" t="s">
        <v>27</v>
      </c>
      <c r="C2" s="10" t="s">
        <v>28</v>
      </c>
      <c r="D2" s="26" t="s">
        <v>29</v>
      </c>
      <c r="E2" s="13"/>
      <c r="F2" s="14" t="s">
        <v>30</v>
      </c>
      <c r="G2" s="10"/>
      <c r="H2" s="15">
        <v>1000.0</v>
      </c>
      <c r="I2" s="15">
        <v>9900.0</v>
      </c>
      <c r="J2" s="26">
        <v>9500.0</v>
      </c>
      <c r="K2" s="26">
        <v>0.0</v>
      </c>
      <c r="L2" s="10"/>
      <c r="M2" s="15">
        <f t="shared" ref="M2:M14" si="1">(H2+I2+J2+K2-L2)</f>
        <v>20400</v>
      </c>
      <c r="N2" s="15">
        <f t="shared" ref="N2:N6" si="2">(Q2+T2+W2+Z2)</f>
        <v>5000</v>
      </c>
      <c r="O2" s="15">
        <f t="shared" ref="O2:O14" si="3">(M2-N2)</f>
        <v>15400</v>
      </c>
      <c r="Q2" s="16">
        <v>5000.0</v>
      </c>
      <c r="R2" s="16">
        <v>2959.0</v>
      </c>
      <c r="S2" s="17">
        <v>45907.0</v>
      </c>
    </row>
    <row r="3">
      <c r="A3" s="5">
        <v>5.0</v>
      </c>
      <c r="B3" s="6" t="s">
        <v>31</v>
      </c>
      <c r="C3" s="6" t="s">
        <v>32</v>
      </c>
      <c r="D3" s="26" t="s">
        <v>29</v>
      </c>
      <c r="E3" s="7">
        <v>1878.0</v>
      </c>
      <c r="F3" s="10" t="s">
        <v>33</v>
      </c>
      <c r="G3" s="15">
        <v>6.377263387E9</v>
      </c>
      <c r="H3" s="15">
        <v>1000.0</v>
      </c>
      <c r="I3" s="15">
        <v>9900.0</v>
      </c>
      <c r="J3" s="15">
        <v>5000.0</v>
      </c>
      <c r="K3" s="26">
        <v>0.0</v>
      </c>
      <c r="L3" s="15">
        <v>3900.0</v>
      </c>
      <c r="M3" s="15">
        <f t="shared" si="1"/>
        <v>12000</v>
      </c>
      <c r="N3" s="15">
        <f t="shared" si="2"/>
        <v>6500</v>
      </c>
      <c r="O3" s="15">
        <f t="shared" si="3"/>
        <v>5500</v>
      </c>
      <c r="P3" s="10" t="s">
        <v>34</v>
      </c>
      <c r="Q3" s="15">
        <v>6500.0</v>
      </c>
      <c r="R3" s="15">
        <v>2885.0</v>
      </c>
      <c r="S3" s="34">
        <v>45754.0</v>
      </c>
    </row>
    <row r="4">
      <c r="A4" s="5">
        <v>15.0</v>
      </c>
      <c r="B4" s="10" t="s">
        <v>35</v>
      </c>
      <c r="C4" s="10" t="s">
        <v>36</v>
      </c>
      <c r="D4" s="26" t="s">
        <v>29</v>
      </c>
      <c r="E4" s="13"/>
      <c r="F4" s="35" t="s">
        <v>37</v>
      </c>
      <c r="G4" s="10"/>
      <c r="H4" s="15">
        <v>1000.0</v>
      </c>
      <c r="I4" s="15">
        <v>9900.0</v>
      </c>
      <c r="J4" s="26">
        <v>8000.0</v>
      </c>
      <c r="K4" s="26">
        <v>0.0</v>
      </c>
      <c r="L4" s="10"/>
      <c r="M4" s="15">
        <f t="shared" si="1"/>
        <v>18900</v>
      </c>
      <c r="N4" s="15">
        <f t="shared" si="2"/>
        <v>2000</v>
      </c>
      <c r="O4" s="15">
        <f t="shared" si="3"/>
        <v>16900</v>
      </c>
      <c r="Q4" s="16">
        <v>2000.0</v>
      </c>
      <c r="R4" s="16">
        <v>3211.0</v>
      </c>
      <c r="S4" s="10" t="s">
        <v>38</v>
      </c>
    </row>
    <row r="5">
      <c r="A5" s="5">
        <v>16.0</v>
      </c>
      <c r="B5" s="6" t="s">
        <v>39</v>
      </c>
      <c r="C5" s="6" t="s">
        <v>40</v>
      </c>
      <c r="D5" s="26" t="s">
        <v>29</v>
      </c>
      <c r="E5" s="7">
        <v>1621.0</v>
      </c>
      <c r="H5" s="15">
        <v>1000.0</v>
      </c>
      <c r="I5" s="5">
        <v>9900.0</v>
      </c>
      <c r="J5" s="9"/>
      <c r="K5" s="26">
        <v>0.0</v>
      </c>
      <c r="M5" s="15">
        <f t="shared" si="1"/>
        <v>10900</v>
      </c>
      <c r="N5" s="15">
        <f t="shared" si="2"/>
        <v>0</v>
      </c>
      <c r="O5" s="15">
        <f t="shared" si="3"/>
        <v>10900</v>
      </c>
      <c r="Q5" s="9"/>
      <c r="R5" s="9"/>
      <c r="S5" s="9"/>
    </row>
    <row r="6">
      <c r="A6" s="5">
        <v>29.0</v>
      </c>
      <c r="B6" s="10" t="s">
        <v>41</v>
      </c>
      <c r="C6" s="10" t="s">
        <v>42</v>
      </c>
      <c r="D6" s="26" t="s">
        <v>29</v>
      </c>
      <c r="E6" s="13"/>
      <c r="F6" s="10" t="s">
        <v>43</v>
      </c>
      <c r="G6" s="15">
        <v>6.367089257E9</v>
      </c>
      <c r="H6" s="15">
        <v>1000.0</v>
      </c>
      <c r="I6" s="15">
        <v>9900.0</v>
      </c>
      <c r="J6" s="15">
        <v>9000.0</v>
      </c>
      <c r="K6" s="26">
        <v>0.0</v>
      </c>
      <c r="L6" s="15">
        <v>2900.0</v>
      </c>
      <c r="M6" s="15">
        <f t="shared" si="1"/>
        <v>17000</v>
      </c>
      <c r="N6" s="15">
        <f t="shared" si="2"/>
        <v>3000</v>
      </c>
      <c r="O6" s="15">
        <f t="shared" si="3"/>
        <v>14000</v>
      </c>
      <c r="P6" s="10" t="s">
        <v>44</v>
      </c>
      <c r="Q6" s="15">
        <v>3000.0</v>
      </c>
      <c r="R6" s="15">
        <v>2941.0</v>
      </c>
      <c r="S6" s="34">
        <v>45876.0</v>
      </c>
    </row>
    <row r="7">
      <c r="B7" s="6" t="s">
        <v>45</v>
      </c>
      <c r="C7" s="6" t="s">
        <v>46</v>
      </c>
      <c r="D7" s="5" t="s">
        <v>47</v>
      </c>
      <c r="E7" s="7">
        <v>1888.0</v>
      </c>
      <c r="F7" s="10" t="s">
        <v>48</v>
      </c>
      <c r="G7" s="15">
        <v>9.929381068E9</v>
      </c>
      <c r="H7" s="15">
        <v>1000.0</v>
      </c>
      <c r="I7" s="15">
        <v>14000.0</v>
      </c>
      <c r="J7" s="15">
        <v>9500.0</v>
      </c>
      <c r="K7" s="5">
        <v>0.0</v>
      </c>
      <c r="L7" s="10"/>
      <c r="M7" s="9">
        <f t="shared" si="1"/>
        <v>24500</v>
      </c>
      <c r="N7" s="9">
        <f t="shared" ref="N7:N14" si="4">SUM(Q7,T7,W7)</f>
        <v>0</v>
      </c>
      <c r="O7" s="9">
        <f t="shared" si="3"/>
        <v>24500</v>
      </c>
      <c r="P7" s="10" t="s">
        <v>44</v>
      </c>
    </row>
    <row r="8">
      <c r="B8" s="6" t="s">
        <v>49</v>
      </c>
      <c r="C8" s="6" t="s">
        <v>50</v>
      </c>
      <c r="D8" s="5" t="s">
        <v>47</v>
      </c>
      <c r="E8" s="7">
        <v>1673.0</v>
      </c>
      <c r="H8" s="9"/>
      <c r="I8" s="26">
        <v>12500.0</v>
      </c>
      <c r="K8" s="5">
        <v>0.0</v>
      </c>
      <c r="M8" s="9">
        <f t="shared" si="1"/>
        <v>12500</v>
      </c>
      <c r="N8" s="9">
        <f t="shared" si="4"/>
        <v>0</v>
      </c>
      <c r="O8" s="9">
        <f t="shared" si="3"/>
        <v>12500</v>
      </c>
    </row>
    <row r="9">
      <c r="B9" s="6" t="s">
        <v>51</v>
      </c>
      <c r="C9" s="6" t="s">
        <v>52</v>
      </c>
      <c r="D9" s="5" t="s">
        <v>47</v>
      </c>
      <c r="E9" s="7">
        <v>1829.0</v>
      </c>
      <c r="H9" s="9"/>
      <c r="I9" s="5">
        <v>12500.0</v>
      </c>
      <c r="K9" s="5">
        <v>0.0</v>
      </c>
      <c r="M9" s="9">
        <f t="shared" si="1"/>
        <v>12500</v>
      </c>
      <c r="N9" s="9">
        <f t="shared" si="4"/>
        <v>0</v>
      </c>
      <c r="O9" s="9">
        <f t="shared" si="3"/>
        <v>12500</v>
      </c>
    </row>
    <row r="10">
      <c r="B10" s="6" t="s">
        <v>53</v>
      </c>
      <c r="C10" s="6" t="s">
        <v>54</v>
      </c>
      <c r="D10" s="5" t="s">
        <v>47</v>
      </c>
      <c r="E10" s="7">
        <v>2.0220027E7</v>
      </c>
      <c r="H10" s="9"/>
      <c r="I10" s="5">
        <v>12500.0</v>
      </c>
      <c r="K10" s="5">
        <v>0.0</v>
      </c>
      <c r="M10" s="9">
        <f t="shared" si="1"/>
        <v>12500</v>
      </c>
      <c r="N10" s="9">
        <f t="shared" si="4"/>
        <v>0</v>
      </c>
      <c r="O10" s="9">
        <f t="shared" si="3"/>
        <v>12500</v>
      </c>
    </row>
    <row r="11">
      <c r="B11" s="6" t="s">
        <v>55</v>
      </c>
      <c r="C11" s="6" t="s">
        <v>56</v>
      </c>
      <c r="D11" s="5" t="s">
        <v>47</v>
      </c>
      <c r="E11" s="7">
        <v>2.022003E7</v>
      </c>
      <c r="H11" s="9"/>
      <c r="I11" s="5">
        <v>12500.0</v>
      </c>
      <c r="K11" s="5">
        <v>0.0</v>
      </c>
      <c r="M11" s="9">
        <f t="shared" si="1"/>
        <v>12500</v>
      </c>
      <c r="N11" s="9">
        <f t="shared" si="4"/>
        <v>0</v>
      </c>
      <c r="O11" s="9">
        <f t="shared" si="3"/>
        <v>12500</v>
      </c>
    </row>
    <row r="12">
      <c r="B12" s="6" t="s">
        <v>57</v>
      </c>
      <c r="C12" s="6" t="s">
        <v>58</v>
      </c>
      <c r="D12" s="5" t="s">
        <v>47</v>
      </c>
      <c r="E12" s="7">
        <v>1636.0</v>
      </c>
      <c r="H12" s="9"/>
      <c r="I12" s="5">
        <v>12500.0</v>
      </c>
      <c r="K12" s="5">
        <v>0.0</v>
      </c>
      <c r="M12" s="9">
        <f t="shared" si="1"/>
        <v>12500</v>
      </c>
      <c r="N12" s="9">
        <f t="shared" si="4"/>
        <v>0</v>
      </c>
      <c r="O12" s="9">
        <f t="shared" si="3"/>
        <v>12500</v>
      </c>
    </row>
    <row r="13">
      <c r="B13" s="6" t="s">
        <v>59</v>
      </c>
      <c r="C13" s="6" t="s">
        <v>60</v>
      </c>
      <c r="D13" s="5" t="s">
        <v>47</v>
      </c>
      <c r="E13" s="7">
        <v>1747.0</v>
      </c>
      <c r="H13" s="9"/>
      <c r="I13" s="15">
        <v>12500.0</v>
      </c>
      <c r="K13" s="5">
        <v>0.0</v>
      </c>
      <c r="M13" s="9">
        <f t="shared" si="1"/>
        <v>12500</v>
      </c>
      <c r="N13" s="9">
        <f t="shared" si="4"/>
        <v>0</v>
      </c>
      <c r="O13" s="9">
        <f t="shared" si="3"/>
        <v>12500</v>
      </c>
    </row>
    <row r="14">
      <c r="B14" s="6" t="s">
        <v>61</v>
      </c>
      <c r="C14" s="6" t="s">
        <v>62</v>
      </c>
      <c r="D14" s="5" t="s">
        <v>47</v>
      </c>
      <c r="E14" s="7">
        <v>1485.0</v>
      </c>
      <c r="H14" s="9"/>
      <c r="I14" s="15">
        <v>12500.0</v>
      </c>
      <c r="K14" s="5">
        <v>0.0</v>
      </c>
      <c r="M14" s="9">
        <f t="shared" si="1"/>
        <v>12500</v>
      </c>
      <c r="N14" s="9">
        <f t="shared" si="4"/>
        <v>0</v>
      </c>
      <c r="O14" s="9">
        <f t="shared" si="3"/>
        <v>12500</v>
      </c>
    </row>
    <row r="15">
      <c r="B15" s="6" t="s">
        <v>63</v>
      </c>
      <c r="C15" s="6" t="s">
        <v>64</v>
      </c>
      <c r="D15" s="5" t="s">
        <v>65</v>
      </c>
      <c r="E15" s="7">
        <v>1635.0</v>
      </c>
      <c r="G15" s="36"/>
      <c r="I15" s="6">
        <v>14000.0</v>
      </c>
      <c r="M15" s="37">
        <v>14000.0</v>
      </c>
      <c r="N15" s="37">
        <v>0.0</v>
      </c>
      <c r="O15" s="37">
        <v>14000.0</v>
      </c>
    </row>
    <row r="16">
      <c r="B16" s="6" t="s">
        <v>66</v>
      </c>
      <c r="C16" s="6" t="s">
        <v>67</v>
      </c>
      <c r="D16" s="5" t="s">
        <v>65</v>
      </c>
      <c r="E16" s="7">
        <v>1111.0</v>
      </c>
      <c r="I16" s="6">
        <v>14000.0</v>
      </c>
      <c r="M16" s="37">
        <v>14000.0</v>
      </c>
      <c r="N16" s="37">
        <v>0.0</v>
      </c>
      <c r="O16" s="37">
        <v>14000.0</v>
      </c>
    </row>
    <row r="17">
      <c r="B17" s="6" t="s">
        <v>68</v>
      </c>
      <c r="C17" s="6" t="s">
        <v>69</v>
      </c>
      <c r="D17" s="5" t="s">
        <v>65</v>
      </c>
      <c r="E17" s="7">
        <v>1583.0</v>
      </c>
      <c r="I17" s="6">
        <v>14000.0</v>
      </c>
      <c r="M17" s="37">
        <v>14000.0</v>
      </c>
      <c r="N17" s="37">
        <v>0.0</v>
      </c>
      <c r="O17" s="37">
        <v>14000.0</v>
      </c>
    </row>
    <row r="18">
      <c r="B18" s="6" t="s">
        <v>70</v>
      </c>
      <c r="C18" s="6" t="s">
        <v>71</v>
      </c>
      <c r="D18" s="5" t="s">
        <v>65</v>
      </c>
      <c r="E18" s="7">
        <v>1633.0</v>
      </c>
      <c r="I18" s="6">
        <v>14000.0</v>
      </c>
      <c r="M18" s="37">
        <v>14000.0</v>
      </c>
      <c r="N18" s="37">
        <v>0.0</v>
      </c>
      <c r="O18" s="37">
        <v>14000.0</v>
      </c>
    </row>
    <row r="19">
      <c r="B19" s="6" t="s">
        <v>72</v>
      </c>
      <c r="C19" s="6" t="s">
        <v>73</v>
      </c>
      <c r="D19" s="5" t="s">
        <v>65</v>
      </c>
      <c r="E19" s="7">
        <v>1752.0</v>
      </c>
      <c r="I19" s="6">
        <v>14000.0</v>
      </c>
      <c r="M19" s="37">
        <v>14000.0</v>
      </c>
      <c r="N19" s="37">
        <v>0.0</v>
      </c>
      <c r="O19" s="37">
        <v>14000.0</v>
      </c>
    </row>
    <row r="20">
      <c r="B20" s="6" t="s">
        <v>74</v>
      </c>
      <c r="C20" s="6" t="s">
        <v>75</v>
      </c>
      <c r="D20" s="5" t="s">
        <v>65</v>
      </c>
      <c r="E20" s="7">
        <v>1753.0</v>
      </c>
      <c r="I20" s="6">
        <v>14000.0</v>
      </c>
      <c r="M20" s="37">
        <v>14000.0</v>
      </c>
      <c r="N20" s="37">
        <v>0.0</v>
      </c>
      <c r="O20" s="37">
        <v>14000.0</v>
      </c>
    </row>
    <row r="21">
      <c r="B21" s="6" t="s">
        <v>76</v>
      </c>
      <c r="C21" s="6" t="s">
        <v>77</v>
      </c>
      <c r="D21" s="5" t="s">
        <v>65</v>
      </c>
      <c r="E21" s="7">
        <v>1663.0</v>
      </c>
      <c r="I21" s="6">
        <v>14000.0</v>
      </c>
      <c r="M21" s="37">
        <v>14000.0</v>
      </c>
      <c r="N21" s="37">
        <v>0.0</v>
      </c>
      <c r="O21" s="37">
        <v>14000.0</v>
      </c>
    </row>
    <row r="22">
      <c r="B22" s="6" t="s">
        <v>78</v>
      </c>
      <c r="C22" s="6" t="s">
        <v>79</v>
      </c>
      <c r="D22" s="5" t="s">
        <v>65</v>
      </c>
      <c r="E22" s="7">
        <v>1754.0</v>
      </c>
      <c r="I22" s="6">
        <v>14000.0</v>
      </c>
      <c r="M22" s="37">
        <v>14000.0</v>
      </c>
      <c r="N22" s="37">
        <v>0.0</v>
      </c>
      <c r="O22" s="37">
        <v>14000.0</v>
      </c>
    </row>
    <row r="23">
      <c r="B23" s="6" t="s">
        <v>80</v>
      </c>
      <c r="C23" s="6" t="s">
        <v>81</v>
      </c>
      <c r="D23" s="5" t="s">
        <v>65</v>
      </c>
      <c r="E23" s="7">
        <v>1080.0</v>
      </c>
      <c r="I23" s="6">
        <v>14000.0</v>
      </c>
      <c r="M23" s="37">
        <v>14000.0</v>
      </c>
      <c r="N23" s="37">
        <v>0.0</v>
      </c>
      <c r="O23" s="37">
        <v>14000.0</v>
      </c>
    </row>
    <row r="24">
      <c r="B24" s="6" t="s">
        <v>82</v>
      </c>
      <c r="C24" s="6" t="s">
        <v>83</v>
      </c>
      <c r="D24" s="5" t="s">
        <v>65</v>
      </c>
      <c r="E24" s="7">
        <v>1292.0</v>
      </c>
      <c r="I24" s="37">
        <v>14000.0</v>
      </c>
      <c r="M24" s="37">
        <v>14000.0</v>
      </c>
      <c r="N24" s="37">
        <v>0.0</v>
      </c>
      <c r="O24" s="37">
        <v>14000.0</v>
      </c>
    </row>
    <row r="25">
      <c r="B25" s="6" t="s">
        <v>84</v>
      </c>
      <c r="C25" s="6" t="s">
        <v>85</v>
      </c>
      <c r="D25" s="5" t="s">
        <v>65</v>
      </c>
      <c r="E25" s="7">
        <v>2013.0</v>
      </c>
      <c r="I25" s="37">
        <v>14000.0</v>
      </c>
      <c r="M25" s="37">
        <v>14000.0</v>
      </c>
      <c r="N25" s="37">
        <v>0.0</v>
      </c>
      <c r="O25" s="37">
        <v>14000.0</v>
      </c>
    </row>
    <row r="26">
      <c r="B26" s="6" t="s">
        <v>86</v>
      </c>
      <c r="C26" s="6" t="s">
        <v>87</v>
      </c>
      <c r="D26" s="5" t="s">
        <v>65</v>
      </c>
      <c r="E26" s="7">
        <v>1890.0</v>
      </c>
      <c r="I26" s="37">
        <v>14000.0</v>
      </c>
      <c r="M26" s="37">
        <v>14000.0</v>
      </c>
      <c r="N26" s="37">
        <v>0.0</v>
      </c>
      <c r="O26" s="37">
        <v>14000.0</v>
      </c>
    </row>
    <row r="27">
      <c r="B27" s="6" t="s">
        <v>88</v>
      </c>
      <c r="C27" s="6" t="s">
        <v>89</v>
      </c>
      <c r="D27" s="5" t="s">
        <v>65</v>
      </c>
      <c r="E27" s="7">
        <v>1649.0</v>
      </c>
      <c r="I27" s="37">
        <v>14000.0</v>
      </c>
      <c r="M27" s="37">
        <v>14000.0</v>
      </c>
      <c r="N27" s="37">
        <v>0.0</v>
      </c>
      <c r="O27" s="37">
        <v>14000.0</v>
      </c>
    </row>
    <row r="28">
      <c r="B28" s="6" t="s">
        <v>90</v>
      </c>
      <c r="C28" s="6" t="s">
        <v>91</v>
      </c>
      <c r="D28" s="5" t="s">
        <v>65</v>
      </c>
      <c r="E28" s="7">
        <v>1105.0</v>
      </c>
      <c r="I28" s="37">
        <v>14000.0</v>
      </c>
      <c r="M28" s="37">
        <v>14000.0</v>
      </c>
      <c r="N28" s="37">
        <v>0.0</v>
      </c>
      <c r="O28" s="37">
        <v>14000.0</v>
      </c>
    </row>
    <row r="29">
      <c r="B29" s="6" t="s">
        <v>92</v>
      </c>
      <c r="C29" s="6" t="s">
        <v>64</v>
      </c>
      <c r="D29" s="5" t="s">
        <v>65</v>
      </c>
      <c r="E29" s="7">
        <v>1077.0</v>
      </c>
      <c r="I29" s="37">
        <v>14000.0</v>
      </c>
      <c r="M29" s="37">
        <v>14000.0</v>
      </c>
      <c r="N29" s="37">
        <v>0.0</v>
      </c>
      <c r="O29" s="37">
        <v>14000.0</v>
      </c>
    </row>
    <row r="30">
      <c r="B30" s="6" t="s">
        <v>93</v>
      </c>
      <c r="C30" s="6" t="s">
        <v>94</v>
      </c>
      <c r="D30" s="5" t="s">
        <v>65</v>
      </c>
      <c r="E30" s="7">
        <v>1441.0</v>
      </c>
      <c r="I30" s="37">
        <v>14000.0</v>
      </c>
      <c r="M30" s="37">
        <v>14000.0</v>
      </c>
      <c r="N30" s="37">
        <v>0.0</v>
      </c>
      <c r="O30" s="37">
        <v>14000.0</v>
      </c>
    </row>
    <row r="31">
      <c r="B31" s="6" t="s">
        <v>95</v>
      </c>
      <c r="C31" s="6" t="s">
        <v>96</v>
      </c>
      <c r="D31" s="5" t="s">
        <v>65</v>
      </c>
      <c r="E31" s="7">
        <v>1750.0</v>
      </c>
      <c r="I31" s="37">
        <v>14000.0</v>
      </c>
      <c r="M31" s="37">
        <v>14000.0</v>
      </c>
      <c r="N31" s="37">
        <v>0.0</v>
      </c>
      <c r="O31" s="37">
        <v>14000.0</v>
      </c>
    </row>
    <row r="32">
      <c r="B32" s="6" t="s">
        <v>97</v>
      </c>
      <c r="C32" s="6" t="s">
        <v>98</v>
      </c>
      <c r="D32" s="5" t="s">
        <v>65</v>
      </c>
      <c r="E32" s="7">
        <v>1370.0</v>
      </c>
      <c r="I32" s="37">
        <v>14000.0</v>
      </c>
      <c r="M32" s="37">
        <v>14000.0</v>
      </c>
      <c r="N32" s="37">
        <v>0.0</v>
      </c>
      <c r="O32" s="37">
        <v>14000.0</v>
      </c>
    </row>
    <row r="33">
      <c r="B33" s="6" t="s">
        <v>99</v>
      </c>
      <c r="C33" s="6" t="s">
        <v>100</v>
      </c>
      <c r="D33" s="5" t="s">
        <v>65</v>
      </c>
      <c r="E33" s="7">
        <v>1778.0</v>
      </c>
      <c r="I33" s="37">
        <v>14000.0</v>
      </c>
      <c r="M33" s="37">
        <v>14000.0</v>
      </c>
      <c r="N33" s="37">
        <v>0.0</v>
      </c>
      <c r="O33" s="37">
        <v>14000.0</v>
      </c>
    </row>
    <row r="34">
      <c r="B34" s="6" t="s">
        <v>101</v>
      </c>
      <c r="C34" s="6" t="s">
        <v>102</v>
      </c>
      <c r="D34" s="5" t="s">
        <v>65</v>
      </c>
      <c r="E34" s="7">
        <v>1581.0</v>
      </c>
      <c r="I34" s="37">
        <v>14000.0</v>
      </c>
      <c r="M34" s="37">
        <v>14000.0</v>
      </c>
      <c r="N34" s="37">
        <v>0.0</v>
      </c>
      <c r="O34" s="37">
        <v>14000.0</v>
      </c>
    </row>
    <row r="35">
      <c r="B35" s="6" t="s">
        <v>103</v>
      </c>
      <c r="C35" s="6" t="s">
        <v>104</v>
      </c>
      <c r="D35" s="5" t="s">
        <v>65</v>
      </c>
      <c r="E35" s="7">
        <v>1623.0</v>
      </c>
      <c r="I35" s="37">
        <v>14000.0</v>
      </c>
      <c r="M35" s="37">
        <v>14000.0</v>
      </c>
      <c r="N35" s="37">
        <v>0.0</v>
      </c>
      <c r="O35" s="37">
        <v>14000.0</v>
      </c>
    </row>
    <row r="36">
      <c r="B36" s="6" t="s">
        <v>105</v>
      </c>
      <c r="C36" s="6" t="s">
        <v>106</v>
      </c>
      <c r="D36" s="5" t="s">
        <v>65</v>
      </c>
      <c r="E36" s="7">
        <v>1671.0</v>
      </c>
      <c r="I36" s="37">
        <v>14000.0</v>
      </c>
      <c r="M36" s="37">
        <v>14000.0</v>
      </c>
      <c r="N36" s="37">
        <v>0.0</v>
      </c>
      <c r="O36" s="37">
        <v>14000.0</v>
      </c>
    </row>
    <row r="37">
      <c r="B37" s="6" t="s">
        <v>107</v>
      </c>
      <c r="C37" s="6" t="s">
        <v>108</v>
      </c>
      <c r="D37" s="5" t="s">
        <v>65</v>
      </c>
      <c r="E37" s="7">
        <v>1642.0</v>
      </c>
      <c r="I37" s="37">
        <v>14000.0</v>
      </c>
      <c r="M37" s="37">
        <v>14000.0</v>
      </c>
      <c r="N37" s="37">
        <v>0.0</v>
      </c>
      <c r="O37" s="37">
        <v>14000.0</v>
      </c>
    </row>
    <row r="38">
      <c r="B38" s="6" t="s">
        <v>109</v>
      </c>
      <c r="C38" s="6" t="s">
        <v>110</v>
      </c>
      <c r="D38" s="5" t="s">
        <v>65</v>
      </c>
      <c r="E38" s="7">
        <v>1434.0</v>
      </c>
      <c r="I38" s="37">
        <v>14000.0</v>
      </c>
      <c r="M38" s="37">
        <v>14000.0</v>
      </c>
      <c r="N38" s="37">
        <v>0.0</v>
      </c>
      <c r="O38" s="37">
        <v>14000.0</v>
      </c>
    </row>
    <row r="39">
      <c r="B39" s="6" t="s">
        <v>111</v>
      </c>
      <c r="C39" s="6" t="s">
        <v>112</v>
      </c>
      <c r="D39" s="5" t="s">
        <v>65</v>
      </c>
      <c r="E39" s="7">
        <v>1789.0</v>
      </c>
      <c r="I39" s="37">
        <v>14000.0</v>
      </c>
      <c r="M39" s="37">
        <v>14000.0</v>
      </c>
      <c r="N39" s="37">
        <v>0.0</v>
      </c>
      <c r="O39" s="37">
        <v>14000.0</v>
      </c>
    </row>
    <row r="40">
      <c r="B40" s="6" t="s">
        <v>113</v>
      </c>
      <c r="C40" s="6" t="s">
        <v>114</v>
      </c>
      <c r="D40" s="5" t="s">
        <v>65</v>
      </c>
      <c r="E40" s="7">
        <v>1435.0</v>
      </c>
      <c r="I40" s="37">
        <v>14000.0</v>
      </c>
      <c r="M40" s="37">
        <v>14000.0</v>
      </c>
      <c r="N40" s="37">
        <v>0.0</v>
      </c>
      <c r="O40" s="37">
        <v>14000.0</v>
      </c>
    </row>
    <row r="41">
      <c r="B41" s="6" t="s">
        <v>115</v>
      </c>
      <c r="C41" s="6" t="s">
        <v>116</v>
      </c>
      <c r="D41" s="5" t="s">
        <v>65</v>
      </c>
      <c r="E41" s="7">
        <v>1746.0</v>
      </c>
      <c r="I41" s="37">
        <v>14000.0</v>
      </c>
      <c r="M41" s="37">
        <v>14000.0</v>
      </c>
      <c r="N41" s="37">
        <v>0.0</v>
      </c>
      <c r="O41" s="37">
        <v>14000.0</v>
      </c>
    </row>
    <row r="42">
      <c r="B42" s="6" t="s">
        <v>117</v>
      </c>
      <c r="C42" s="6" t="s">
        <v>118</v>
      </c>
      <c r="D42" s="5" t="s">
        <v>65</v>
      </c>
      <c r="E42" s="7">
        <v>1293.0</v>
      </c>
      <c r="I42" s="37">
        <v>14000.0</v>
      </c>
      <c r="M42" s="37">
        <v>14000.0</v>
      </c>
      <c r="N42" s="37">
        <v>0.0</v>
      </c>
      <c r="O42" s="37">
        <v>14000.0</v>
      </c>
    </row>
    <row r="43">
      <c r="B43" s="6" t="s">
        <v>119</v>
      </c>
      <c r="C43" s="6" t="s">
        <v>120</v>
      </c>
      <c r="D43" s="5" t="s">
        <v>65</v>
      </c>
      <c r="E43" s="7">
        <v>1641.0</v>
      </c>
      <c r="I43" s="37">
        <v>14000.0</v>
      </c>
      <c r="M43" s="37">
        <v>14000.0</v>
      </c>
      <c r="N43" s="37">
        <v>0.0</v>
      </c>
      <c r="O43" s="37">
        <v>14000.0</v>
      </c>
    </row>
    <row r="44">
      <c r="B44" s="6" t="s">
        <v>121</v>
      </c>
      <c r="C44" s="6" t="s">
        <v>122</v>
      </c>
      <c r="D44" s="5" t="s">
        <v>65</v>
      </c>
      <c r="E44" s="7">
        <v>1437.0</v>
      </c>
      <c r="I44" s="37">
        <v>14000.0</v>
      </c>
      <c r="M44" s="37">
        <v>14000.0</v>
      </c>
      <c r="N44" s="37">
        <v>0.0</v>
      </c>
      <c r="O44" s="6">
        <v>14000.0</v>
      </c>
    </row>
    <row r="45">
      <c r="D45" s="9"/>
      <c r="E45" s="13"/>
    </row>
    <row r="46">
      <c r="D46" s="9"/>
      <c r="E46" s="13"/>
    </row>
    <row r="47">
      <c r="D47" s="9"/>
      <c r="E47" s="13"/>
    </row>
    <row r="48">
      <c r="D48" s="9"/>
      <c r="E48" s="13"/>
    </row>
    <row r="49">
      <c r="D49" s="9"/>
      <c r="E49" s="13"/>
    </row>
    <row r="50">
      <c r="D50" s="9"/>
      <c r="E50" s="13"/>
    </row>
    <row r="51">
      <c r="D51" s="9"/>
      <c r="E51" s="13"/>
    </row>
    <row r="52">
      <c r="D52" s="9"/>
      <c r="E52" s="13"/>
    </row>
    <row r="53">
      <c r="D53" s="9"/>
      <c r="E53" s="13"/>
    </row>
    <row r="54">
      <c r="D54" s="9"/>
      <c r="E54" s="13"/>
    </row>
    <row r="55">
      <c r="D55" s="9"/>
      <c r="E55" s="13"/>
    </row>
    <row r="56">
      <c r="D56" s="9"/>
      <c r="E56" s="13"/>
    </row>
    <row r="57">
      <c r="D57" s="9"/>
      <c r="E57" s="13"/>
    </row>
    <row r="58">
      <c r="D58" s="9"/>
      <c r="E58" s="13"/>
    </row>
    <row r="59">
      <c r="D59" s="9"/>
      <c r="E59" s="13"/>
    </row>
    <row r="60">
      <c r="D60" s="9"/>
      <c r="E60" s="13"/>
    </row>
    <row r="61">
      <c r="D61" s="9"/>
      <c r="E61" s="13"/>
    </row>
    <row r="62">
      <c r="D62" s="9"/>
      <c r="E62" s="13"/>
    </row>
    <row r="63">
      <c r="D63" s="9"/>
      <c r="E63" s="13"/>
    </row>
    <row r="64">
      <c r="D64" s="9"/>
      <c r="E64" s="13"/>
    </row>
    <row r="65">
      <c r="D65" s="9"/>
      <c r="E65" s="13"/>
    </row>
    <row r="66">
      <c r="D66" s="9"/>
      <c r="E66" s="13"/>
    </row>
    <row r="67">
      <c r="D67" s="9"/>
      <c r="E67" s="13"/>
    </row>
    <row r="68">
      <c r="D68" s="9"/>
      <c r="E68" s="13"/>
    </row>
    <row r="69">
      <c r="D69" s="9"/>
      <c r="E69" s="13"/>
    </row>
    <row r="70">
      <c r="D70" s="9"/>
      <c r="E70" s="13"/>
    </row>
    <row r="71">
      <c r="D71" s="9"/>
      <c r="E71" s="13"/>
    </row>
    <row r="72">
      <c r="D72" s="9"/>
      <c r="E72" s="13"/>
    </row>
    <row r="73">
      <c r="D73" s="9"/>
      <c r="E73" s="13"/>
    </row>
    <row r="74">
      <c r="D74" s="9"/>
      <c r="E74" s="13"/>
    </row>
    <row r="75">
      <c r="D75" s="9"/>
      <c r="E75" s="13"/>
    </row>
    <row r="76">
      <c r="D76" s="9"/>
      <c r="E76" s="13"/>
    </row>
    <row r="77">
      <c r="D77" s="9"/>
      <c r="E77" s="13"/>
    </row>
    <row r="78">
      <c r="D78" s="9"/>
      <c r="E78" s="13"/>
    </row>
    <row r="79">
      <c r="D79" s="9"/>
      <c r="E79" s="13"/>
    </row>
    <row r="80">
      <c r="D80" s="9"/>
      <c r="E80" s="13"/>
    </row>
    <row r="81">
      <c r="D81" s="9"/>
      <c r="E81" s="13"/>
    </row>
    <row r="82">
      <c r="D82" s="9"/>
      <c r="E82" s="13"/>
    </row>
    <row r="83">
      <c r="D83" s="9"/>
      <c r="E83" s="13"/>
    </row>
    <row r="84">
      <c r="D84" s="9"/>
      <c r="E84" s="13"/>
    </row>
    <row r="85">
      <c r="D85" s="9"/>
      <c r="E85" s="13"/>
    </row>
    <row r="86">
      <c r="D86" s="9"/>
      <c r="E86" s="13"/>
    </row>
    <row r="87">
      <c r="D87" s="9"/>
      <c r="E87" s="13"/>
    </row>
    <row r="88">
      <c r="D88" s="9"/>
      <c r="E88" s="13"/>
    </row>
    <row r="89">
      <c r="D89" s="9"/>
      <c r="E89" s="13"/>
    </row>
    <row r="90">
      <c r="D90" s="9"/>
      <c r="E90" s="13"/>
    </row>
    <row r="91">
      <c r="D91" s="9"/>
      <c r="E91" s="13"/>
    </row>
    <row r="92">
      <c r="D92" s="9"/>
      <c r="E92" s="13"/>
    </row>
    <row r="93">
      <c r="D93" s="9"/>
      <c r="E93" s="13"/>
    </row>
    <row r="94">
      <c r="D94" s="9"/>
      <c r="E94" s="13"/>
    </row>
    <row r="95">
      <c r="D95" s="9"/>
      <c r="E95" s="13"/>
    </row>
    <row r="96">
      <c r="D96" s="9"/>
      <c r="E96" s="13"/>
    </row>
    <row r="97">
      <c r="D97" s="9"/>
      <c r="E97" s="13"/>
    </row>
    <row r="98">
      <c r="D98" s="9"/>
      <c r="E98" s="13"/>
    </row>
    <row r="99">
      <c r="D99" s="9"/>
      <c r="E99" s="13"/>
    </row>
    <row r="100">
      <c r="D100" s="9"/>
      <c r="E100" s="13"/>
    </row>
    <row r="101">
      <c r="D101" s="9"/>
      <c r="E101" s="13"/>
    </row>
    <row r="102">
      <c r="D102" s="9"/>
      <c r="E102" s="13"/>
    </row>
    <row r="103">
      <c r="D103" s="9"/>
      <c r="E103" s="13"/>
    </row>
    <row r="104">
      <c r="D104" s="9"/>
      <c r="E104" s="13"/>
    </row>
    <row r="105">
      <c r="D105" s="9"/>
      <c r="E105" s="13"/>
    </row>
    <row r="106">
      <c r="D106" s="9"/>
      <c r="E106" s="13"/>
    </row>
    <row r="107">
      <c r="D107" s="9"/>
      <c r="E107" s="13"/>
    </row>
    <row r="108">
      <c r="D108" s="9"/>
      <c r="E108" s="13"/>
    </row>
    <row r="109">
      <c r="D109" s="9"/>
      <c r="E109" s="13"/>
    </row>
    <row r="110">
      <c r="D110" s="9"/>
      <c r="E110" s="13"/>
    </row>
    <row r="111">
      <c r="D111" s="9"/>
      <c r="E111" s="13"/>
    </row>
    <row r="112">
      <c r="D112" s="9"/>
      <c r="E112" s="13"/>
    </row>
    <row r="113">
      <c r="D113" s="9"/>
      <c r="E113" s="13"/>
    </row>
    <row r="114">
      <c r="D114" s="9"/>
      <c r="E114" s="13"/>
    </row>
    <row r="115">
      <c r="D115" s="9"/>
      <c r="E115" s="13"/>
    </row>
    <row r="116">
      <c r="D116" s="9"/>
      <c r="E116" s="13"/>
    </row>
    <row r="117">
      <c r="D117" s="9"/>
      <c r="E117" s="13"/>
    </row>
    <row r="118">
      <c r="D118" s="9"/>
      <c r="E118" s="13"/>
    </row>
    <row r="119">
      <c r="D119" s="9"/>
      <c r="E119" s="13"/>
    </row>
    <row r="120">
      <c r="D120" s="9"/>
      <c r="E120" s="13"/>
    </row>
    <row r="121">
      <c r="D121" s="9"/>
      <c r="E121" s="13"/>
    </row>
    <row r="122">
      <c r="D122" s="9"/>
      <c r="E122" s="13"/>
    </row>
    <row r="123">
      <c r="D123" s="9"/>
      <c r="E123" s="13"/>
    </row>
    <row r="124">
      <c r="D124" s="9"/>
      <c r="E124" s="13"/>
    </row>
    <row r="125">
      <c r="D125" s="9"/>
      <c r="E125" s="13"/>
    </row>
    <row r="126">
      <c r="D126" s="9"/>
      <c r="E126" s="13"/>
    </row>
    <row r="127">
      <c r="D127" s="9"/>
      <c r="E127" s="13"/>
    </row>
    <row r="128">
      <c r="D128" s="9"/>
      <c r="E128" s="13"/>
    </row>
    <row r="129">
      <c r="D129" s="9"/>
      <c r="E129" s="13"/>
    </row>
    <row r="130">
      <c r="D130" s="9"/>
      <c r="E130" s="13"/>
    </row>
    <row r="131">
      <c r="D131" s="9"/>
      <c r="E131" s="13"/>
    </row>
    <row r="132">
      <c r="D132" s="9"/>
      <c r="E132" s="13"/>
    </row>
    <row r="133">
      <c r="D133" s="9"/>
      <c r="E133" s="13"/>
    </row>
    <row r="134">
      <c r="D134" s="9"/>
      <c r="E134" s="13"/>
    </row>
    <row r="135">
      <c r="D135" s="9"/>
      <c r="E135" s="13"/>
    </row>
    <row r="136">
      <c r="D136" s="9"/>
      <c r="E136" s="13"/>
    </row>
    <row r="137">
      <c r="D137" s="9"/>
      <c r="E137" s="13"/>
    </row>
    <row r="138">
      <c r="D138" s="9"/>
      <c r="E138" s="13"/>
    </row>
    <row r="139">
      <c r="D139" s="9"/>
      <c r="E139" s="13"/>
    </row>
    <row r="140">
      <c r="D140" s="9"/>
      <c r="E140" s="13"/>
    </row>
    <row r="141">
      <c r="D141" s="9"/>
      <c r="E141" s="13"/>
    </row>
    <row r="142">
      <c r="D142" s="9"/>
      <c r="E142" s="13"/>
    </row>
    <row r="143">
      <c r="D143" s="9"/>
      <c r="E143" s="13"/>
    </row>
    <row r="144">
      <c r="D144" s="9"/>
      <c r="E144" s="13"/>
    </row>
    <row r="145">
      <c r="D145" s="9"/>
      <c r="E145" s="13"/>
    </row>
    <row r="146">
      <c r="D146" s="9"/>
      <c r="E146" s="13"/>
    </row>
    <row r="147">
      <c r="D147" s="9"/>
      <c r="E147" s="13"/>
    </row>
    <row r="148">
      <c r="D148" s="9"/>
      <c r="E148" s="13"/>
    </row>
    <row r="149">
      <c r="D149" s="9"/>
      <c r="E149" s="13"/>
    </row>
    <row r="150">
      <c r="D150" s="9"/>
      <c r="E150" s="13"/>
    </row>
    <row r="151">
      <c r="D151" s="9"/>
      <c r="E151" s="13"/>
    </row>
    <row r="152">
      <c r="D152" s="9"/>
      <c r="E152" s="13"/>
    </row>
    <row r="153">
      <c r="D153" s="9"/>
      <c r="E153" s="13"/>
    </row>
    <row r="154">
      <c r="D154" s="9"/>
      <c r="E154" s="13"/>
    </row>
    <row r="155">
      <c r="D155" s="9"/>
      <c r="E155" s="13"/>
    </row>
    <row r="156">
      <c r="D156" s="9"/>
      <c r="E156" s="13"/>
    </row>
    <row r="157">
      <c r="D157" s="9"/>
      <c r="E157" s="13"/>
    </row>
    <row r="158">
      <c r="D158" s="9"/>
      <c r="E158" s="13"/>
    </row>
    <row r="159">
      <c r="D159" s="9"/>
      <c r="E159" s="13"/>
    </row>
    <row r="160">
      <c r="D160" s="9"/>
      <c r="E160" s="13"/>
    </row>
    <row r="161">
      <c r="D161" s="9"/>
      <c r="E161" s="13"/>
    </row>
    <row r="162">
      <c r="D162" s="9"/>
      <c r="E162" s="13"/>
    </row>
    <row r="163">
      <c r="D163" s="9"/>
      <c r="E163" s="13"/>
    </row>
    <row r="164">
      <c r="D164" s="9"/>
      <c r="E164" s="13"/>
    </row>
    <row r="165">
      <c r="D165" s="9"/>
      <c r="E165" s="13"/>
    </row>
    <row r="166">
      <c r="D166" s="9"/>
      <c r="E166" s="13"/>
    </row>
    <row r="167">
      <c r="D167" s="9"/>
      <c r="E167" s="13"/>
    </row>
    <row r="168">
      <c r="D168" s="9"/>
      <c r="E168" s="13"/>
    </row>
    <row r="169">
      <c r="D169" s="9"/>
      <c r="E169" s="13"/>
    </row>
    <row r="170">
      <c r="D170" s="9"/>
      <c r="E170" s="13"/>
    </row>
    <row r="171">
      <c r="D171" s="9"/>
      <c r="E171" s="13"/>
    </row>
    <row r="172">
      <c r="D172" s="9"/>
      <c r="E172" s="13"/>
    </row>
    <row r="173">
      <c r="D173" s="9"/>
      <c r="E173" s="13"/>
    </row>
    <row r="174">
      <c r="D174" s="9"/>
      <c r="E174" s="13"/>
    </row>
    <row r="175">
      <c r="D175" s="9"/>
      <c r="E175" s="13"/>
    </row>
    <row r="176">
      <c r="D176" s="9"/>
      <c r="E176" s="13"/>
    </row>
    <row r="177">
      <c r="D177" s="9"/>
      <c r="E177" s="13"/>
    </row>
    <row r="178">
      <c r="D178" s="9"/>
      <c r="E178" s="13"/>
    </row>
    <row r="179">
      <c r="D179" s="9"/>
      <c r="E179" s="13"/>
    </row>
    <row r="180">
      <c r="D180" s="9"/>
      <c r="E180" s="13"/>
    </row>
    <row r="181">
      <c r="D181" s="9"/>
      <c r="E181" s="13"/>
    </row>
    <row r="182">
      <c r="D182" s="9"/>
      <c r="E182" s="13"/>
    </row>
    <row r="183">
      <c r="D183" s="9"/>
      <c r="E183" s="13"/>
    </row>
    <row r="184">
      <c r="D184" s="9"/>
      <c r="E184" s="13"/>
    </row>
    <row r="185">
      <c r="D185" s="9"/>
      <c r="E185" s="13"/>
    </row>
    <row r="186">
      <c r="D186" s="9"/>
      <c r="E186" s="13"/>
    </row>
    <row r="187">
      <c r="D187" s="9"/>
      <c r="E187" s="13"/>
    </row>
    <row r="188">
      <c r="D188" s="9"/>
      <c r="E188" s="13"/>
    </row>
    <row r="189">
      <c r="D189" s="9"/>
      <c r="E189" s="13"/>
    </row>
    <row r="190">
      <c r="D190" s="9"/>
      <c r="E190" s="13"/>
    </row>
    <row r="191">
      <c r="D191" s="9"/>
      <c r="E191" s="13"/>
    </row>
    <row r="192">
      <c r="D192" s="9"/>
      <c r="E192" s="13"/>
    </row>
    <row r="193">
      <c r="D193" s="9"/>
      <c r="E193" s="13"/>
    </row>
    <row r="194">
      <c r="D194" s="9"/>
      <c r="E194" s="13"/>
    </row>
    <row r="195">
      <c r="D195" s="9"/>
      <c r="E195" s="13"/>
    </row>
    <row r="196">
      <c r="D196" s="9"/>
      <c r="E196" s="13"/>
    </row>
    <row r="197">
      <c r="D197" s="9"/>
      <c r="E197" s="13"/>
    </row>
    <row r="198">
      <c r="D198" s="9"/>
      <c r="E198" s="13"/>
    </row>
    <row r="199">
      <c r="D199" s="9"/>
      <c r="E199" s="13"/>
    </row>
    <row r="200">
      <c r="D200" s="9"/>
      <c r="E200" s="13"/>
    </row>
    <row r="201">
      <c r="D201" s="9"/>
      <c r="E201" s="13"/>
    </row>
    <row r="202">
      <c r="D202" s="9"/>
      <c r="E202" s="13"/>
    </row>
    <row r="203">
      <c r="D203" s="9"/>
      <c r="E203" s="13"/>
    </row>
    <row r="204">
      <c r="D204" s="9"/>
      <c r="E204" s="13"/>
    </row>
    <row r="205">
      <c r="D205" s="9"/>
      <c r="E205" s="13"/>
    </row>
    <row r="206">
      <c r="D206" s="9"/>
      <c r="E206" s="13"/>
    </row>
    <row r="207">
      <c r="D207" s="9"/>
      <c r="E207" s="13"/>
    </row>
    <row r="208">
      <c r="D208" s="9"/>
      <c r="E208" s="13"/>
    </row>
    <row r="209">
      <c r="D209" s="9"/>
      <c r="E209" s="13"/>
    </row>
    <row r="210">
      <c r="D210" s="9"/>
      <c r="E210" s="13"/>
    </row>
    <row r="211">
      <c r="D211" s="9"/>
      <c r="E211" s="13"/>
    </row>
    <row r="212">
      <c r="D212" s="9"/>
      <c r="E212" s="13"/>
    </row>
    <row r="213">
      <c r="D213" s="9"/>
      <c r="E213" s="13"/>
    </row>
    <row r="214">
      <c r="D214" s="9"/>
      <c r="E214" s="13"/>
    </row>
    <row r="215">
      <c r="D215" s="9"/>
      <c r="E215" s="13"/>
    </row>
    <row r="216">
      <c r="D216" s="9"/>
      <c r="E216" s="13"/>
    </row>
    <row r="217">
      <c r="D217" s="9"/>
      <c r="E217" s="13"/>
    </row>
    <row r="218">
      <c r="D218" s="9"/>
      <c r="E218" s="13"/>
    </row>
    <row r="219">
      <c r="D219" s="9"/>
      <c r="E219" s="13"/>
    </row>
    <row r="220">
      <c r="D220" s="9"/>
      <c r="E220" s="13"/>
    </row>
    <row r="221">
      <c r="D221" s="9"/>
      <c r="E221" s="13"/>
    </row>
    <row r="222">
      <c r="D222" s="9"/>
      <c r="E222" s="13"/>
    </row>
    <row r="223">
      <c r="D223" s="9"/>
      <c r="E223" s="13"/>
    </row>
    <row r="224">
      <c r="D224" s="9"/>
      <c r="E224" s="13"/>
    </row>
    <row r="225">
      <c r="D225" s="9"/>
      <c r="E225" s="13"/>
    </row>
    <row r="226">
      <c r="D226" s="9"/>
      <c r="E226" s="13"/>
    </row>
    <row r="227">
      <c r="D227" s="9"/>
      <c r="E227" s="13"/>
    </row>
    <row r="228">
      <c r="D228" s="9"/>
      <c r="E228" s="13"/>
    </row>
    <row r="229">
      <c r="D229" s="9"/>
      <c r="E229" s="13"/>
    </row>
    <row r="230">
      <c r="D230" s="9"/>
      <c r="E230" s="13"/>
    </row>
    <row r="231">
      <c r="D231" s="9"/>
      <c r="E231" s="13"/>
    </row>
    <row r="232">
      <c r="D232" s="9"/>
      <c r="E232" s="13"/>
    </row>
    <row r="233">
      <c r="D233" s="9"/>
      <c r="E233" s="13"/>
    </row>
    <row r="234">
      <c r="D234" s="9"/>
      <c r="E234" s="13"/>
    </row>
    <row r="235">
      <c r="D235" s="9"/>
      <c r="E235" s="13"/>
    </row>
    <row r="236">
      <c r="D236" s="9"/>
      <c r="E236" s="13"/>
    </row>
    <row r="237">
      <c r="D237" s="9"/>
      <c r="E237" s="13"/>
    </row>
    <row r="238">
      <c r="D238" s="9"/>
      <c r="E238" s="13"/>
    </row>
    <row r="239">
      <c r="D239" s="9"/>
      <c r="E239" s="13"/>
    </row>
    <row r="240">
      <c r="D240" s="9"/>
      <c r="E240" s="13"/>
    </row>
    <row r="241">
      <c r="D241" s="9"/>
      <c r="E241" s="13"/>
    </row>
    <row r="242">
      <c r="D242" s="9"/>
      <c r="E242" s="13"/>
    </row>
    <row r="243">
      <c r="D243" s="9"/>
      <c r="E243" s="13"/>
    </row>
    <row r="244">
      <c r="D244" s="9"/>
      <c r="E244" s="13"/>
    </row>
    <row r="245">
      <c r="D245" s="9"/>
      <c r="E245" s="13"/>
    </row>
    <row r="246">
      <c r="D246" s="9"/>
      <c r="E246" s="13"/>
    </row>
    <row r="247">
      <c r="D247" s="9"/>
      <c r="E247" s="13"/>
    </row>
    <row r="248">
      <c r="D248" s="9"/>
      <c r="E248" s="13"/>
    </row>
    <row r="249">
      <c r="D249" s="9"/>
      <c r="E249" s="13"/>
    </row>
    <row r="250">
      <c r="D250" s="9"/>
      <c r="E250" s="13"/>
    </row>
    <row r="251">
      <c r="D251" s="9"/>
      <c r="E251" s="13"/>
    </row>
    <row r="252">
      <c r="D252" s="9"/>
      <c r="E252" s="13"/>
    </row>
    <row r="253">
      <c r="D253" s="9"/>
      <c r="E253" s="13"/>
    </row>
    <row r="254">
      <c r="D254" s="9"/>
      <c r="E254" s="13"/>
    </row>
    <row r="255">
      <c r="D255" s="9"/>
      <c r="E255" s="13"/>
    </row>
    <row r="256">
      <c r="D256" s="9"/>
      <c r="E256" s="13"/>
    </row>
    <row r="257">
      <c r="D257" s="9"/>
      <c r="E257" s="13"/>
    </row>
    <row r="258">
      <c r="D258" s="9"/>
      <c r="E258" s="13"/>
    </row>
    <row r="259">
      <c r="D259" s="9"/>
      <c r="E259" s="13"/>
    </row>
    <row r="260">
      <c r="D260" s="9"/>
      <c r="E260" s="13"/>
    </row>
    <row r="261">
      <c r="D261" s="9"/>
      <c r="E261" s="13"/>
    </row>
    <row r="262">
      <c r="D262" s="9"/>
      <c r="E262" s="13"/>
    </row>
    <row r="263">
      <c r="D263" s="9"/>
      <c r="E263" s="13"/>
    </row>
    <row r="264">
      <c r="D264" s="9"/>
      <c r="E264" s="13"/>
    </row>
    <row r="265">
      <c r="D265" s="9"/>
      <c r="E265" s="13"/>
    </row>
    <row r="266">
      <c r="D266" s="9"/>
      <c r="E266" s="13"/>
    </row>
    <row r="267">
      <c r="D267" s="9"/>
      <c r="E267" s="13"/>
    </row>
    <row r="268">
      <c r="D268" s="9"/>
      <c r="E268" s="13"/>
    </row>
    <row r="269">
      <c r="D269" s="9"/>
      <c r="E269" s="13"/>
    </row>
    <row r="270">
      <c r="D270" s="9"/>
      <c r="E270" s="13"/>
    </row>
    <row r="271">
      <c r="D271" s="9"/>
      <c r="E271" s="13"/>
    </row>
    <row r="272">
      <c r="D272" s="9"/>
      <c r="E272" s="13"/>
    </row>
    <row r="273">
      <c r="D273" s="9"/>
      <c r="E273" s="13"/>
    </row>
    <row r="274">
      <c r="D274" s="9"/>
      <c r="E274" s="13"/>
    </row>
    <row r="275">
      <c r="D275" s="9"/>
      <c r="E275" s="13"/>
    </row>
    <row r="276">
      <c r="D276" s="9"/>
      <c r="E276" s="13"/>
    </row>
    <row r="277">
      <c r="D277" s="9"/>
      <c r="E277" s="13"/>
    </row>
    <row r="278">
      <c r="D278" s="9"/>
      <c r="E278" s="13"/>
    </row>
    <row r="279">
      <c r="D279" s="9"/>
      <c r="E279" s="13"/>
    </row>
    <row r="280">
      <c r="D280" s="9"/>
      <c r="E280" s="13"/>
    </row>
    <row r="281">
      <c r="D281" s="9"/>
      <c r="E281" s="13"/>
    </row>
    <row r="282">
      <c r="D282" s="9"/>
      <c r="E282" s="13"/>
    </row>
    <row r="283">
      <c r="D283" s="9"/>
      <c r="E283" s="13"/>
    </row>
    <row r="284">
      <c r="D284" s="9"/>
      <c r="E284" s="13"/>
    </row>
    <row r="285">
      <c r="D285" s="9"/>
      <c r="E285" s="13"/>
    </row>
    <row r="286">
      <c r="D286" s="9"/>
      <c r="E286" s="13"/>
    </row>
    <row r="287">
      <c r="D287" s="9"/>
      <c r="E287" s="13"/>
    </row>
    <row r="288">
      <c r="D288" s="9"/>
      <c r="E288" s="13"/>
    </row>
    <row r="289">
      <c r="D289" s="9"/>
      <c r="E289" s="13"/>
    </row>
    <row r="290">
      <c r="D290" s="9"/>
      <c r="E290" s="13"/>
    </row>
    <row r="291">
      <c r="D291" s="9"/>
      <c r="E291" s="13"/>
    </row>
    <row r="292">
      <c r="D292" s="9"/>
      <c r="E292" s="13"/>
    </row>
    <row r="293">
      <c r="D293" s="9"/>
      <c r="E293" s="13"/>
    </row>
    <row r="294">
      <c r="D294" s="9"/>
      <c r="E294" s="13"/>
    </row>
    <row r="295">
      <c r="D295" s="9"/>
      <c r="E295" s="13"/>
    </row>
    <row r="296">
      <c r="D296" s="9"/>
      <c r="E296" s="13"/>
    </row>
    <row r="297">
      <c r="D297" s="9"/>
      <c r="E297" s="13"/>
    </row>
    <row r="298">
      <c r="D298" s="9"/>
      <c r="E298" s="13"/>
    </row>
    <row r="299">
      <c r="D299" s="9"/>
      <c r="E299" s="13"/>
    </row>
    <row r="300">
      <c r="D300" s="9"/>
      <c r="E300" s="13"/>
    </row>
    <row r="301">
      <c r="D301" s="9"/>
      <c r="E301" s="13"/>
    </row>
    <row r="302">
      <c r="D302" s="9"/>
      <c r="E302" s="13"/>
    </row>
    <row r="303">
      <c r="D303" s="9"/>
      <c r="E303" s="13"/>
    </row>
    <row r="304">
      <c r="D304" s="9"/>
      <c r="E304" s="13"/>
    </row>
    <row r="305">
      <c r="D305" s="9"/>
      <c r="E305" s="13"/>
    </row>
    <row r="306">
      <c r="D306" s="9"/>
      <c r="E306" s="13"/>
    </row>
    <row r="307">
      <c r="D307" s="9"/>
      <c r="E307" s="13"/>
    </row>
    <row r="308">
      <c r="D308" s="9"/>
      <c r="E308" s="13"/>
    </row>
    <row r="309">
      <c r="D309" s="9"/>
      <c r="E309" s="13"/>
    </row>
    <row r="310">
      <c r="D310" s="9"/>
      <c r="E310" s="13"/>
    </row>
    <row r="311">
      <c r="D311" s="9"/>
      <c r="E311" s="13"/>
    </row>
    <row r="312">
      <c r="D312" s="9"/>
      <c r="E312" s="13"/>
    </row>
    <row r="313">
      <c r="D313" s="9"/>
      <c r="E313" s="13"/>
    </row>
    <row r="314">
      <c r="D314" s="9"/>
      <c r="E314" s="13"/>
    </row>
    <row r="315">
      <c r="D315" s="9"/>
      <c r="E315" s="13"/>
    </row>
    <row r="316">
      <c r="D316" s="9"/>
      <c r="E316" s="13"/>
    </row>
    <row r="317">
      <c r="D317" s="9"/>
      <c r="E317" s="13"/>
    </row>
    <row r="318">
      <c r="D318" s="9"/>
      <c r="E318" s="13"/>
    </row>
    <row r="319">
      <c r="D319" s="9"/>
      <c r="E319" s="13"/>
    </row>
    <row r="320">
      <c r="D320" s="9"/>
      <c r="E320" s="13"/>
    </row>
    <row r="321">
      <c r="D321" s="9"/>
      <c r="E321" s="13"/>
    </row>
    <row r="322">
      <c r="D322" s="9"/>
      <c r="E322" s="13"/>
    </row>
    <row r="323">
      <c r="D323" s="9"/>
      <c r="E323" s="13"/>
    </row>
    <row r="324">
      <c r="D324" s="9"/>
      <c r="E324" s="13"/>
    </row>
    <row r="325">
      <c r="D325" s="9"/>
      <c r="E325" s="13"/>
    </row>
    <row r="326">
      <c r="D326" s="9"/>
      <c r="E326" s="13"/>
    </row>
    <row r="327">
      <c r="D327" s="9"/>
      <c r="E327" s="13"/>
    </row>
    <row r="328">
      <c r="D328" s="9"/>
      <c r="E328" s="13"/>
    </row>
    <row r="329">
      <c r="D329" s="9"/>
      <c r="E329" s="13"/>
    </row>
    <row r="330">
      <c r="D330" s="9"/>
      <c r="E330" s="13"/>
    </row>
    <row r="331">
      <c r="D331" s="9"/>
      <c r="E331" s="13"/>
    </row>
    <row r="332">
      <c r="D332" s="9"/>
      <c r="E332" s="13"/>
    </row>
    <row r="333">
      <c r="D333" s="9"/>
      <c r="E333" s="13"/>
    </row>
    <row r="334">
      <c r="D334" s="9"/>
      <c r="E334" s="13"/>
    </row>
    <row r="335">
      <c r="D335" s="9"/>
      <c r="E335" s="13"/>
    </row>
    <row r="336">
      <c r="D336" s="9"/>
      <c r="E336" s="13"/>
    </row>
    <row r="337">
      <c r="D337" s="9"/>
      <c r="E337" s="13"/>
    </row>
    <row r="338">
      <c r="D338" s="9"/>
      <c r="E338" s="13"/>
    </row>
    <row r="339">
      <c r="D339" s="9"/>
      <c r="E339" s="13"/>
    </row>
    <row r="340">
      <c r="D340" s="9"/>
      <c r="E340" s="13"/>
    </row>
    <row r="341">
      <c r="D341" s="9"/>
      <c r="E341" s="13"/>
    </row>
    <row r="342">
      <c r="D342" s="9"/>
      <c r="E342" s="13"/>
    </row>
    <row r="343">
      <c r="D343" s="9"/>
      <c r="E343" s="13"/>
    </row>
    <row r="344">
      <c r="D344" s="9"/>
      <c r="E344" s="13"/>
    </row>
    <row r="345">
      <c r="D345" s="9"/>
      <c r="E345" s="13"/>
    </row>
    <row r="346">
      <c r="D346" s="9"/>
      <c r="E346" s="13"/>
    </row>
    <row r="347">
      <c r="D347" s="9"/>
      <c r="E347" s="13"/>
    </row>
    <row r="348">
      <c r="D348" s="9"/>
      <c r="E348" s="13"/>
    </row>
    <row r="349">
      <c r="D349" s="9"/>
      <c r="E349" s="13"/>
    </row>
    <row r="350">
      <c r="D350" s="9"/>
      <c r="E350" s="13"/>
    </row>
    <row r="351">
      <c r="D351" s="9"/>
      <c r="E351" s="13"/>
    </row>
    <row r="352">
      <c r="D352" s="9"/>
      <c r="E352" s="13"/>
    </row>
    <row r="353">
      <c r="D353" s="9"/>
      <c r="E353" s="13"/>
    </row>
    <row r="354">
      <c r="D354" s="9"/>
      <c r="E354" s="13"/>
    </row>
    <row r="355">
      <c r="D355" s="9"/>
      <c r="E355" s="13"/>
    </row>
    <row r="356">
      <c r="D356" s="9"/>
      <c r="E356" s="13"/>
    </row>
    <row r="357">
      <c r="D357" s="9"/>
      <c r="E357" s="13"/>
    </row>
    <row r="358">
      <c r="D358" s="9"/>
      <c r="E358" s="13"/>
    </row>
    <row r="359">
      <c r="D359" s="9"/>
      <c r="E359" s="13"/>
    </row>
    <row r="360">
      <c r="D360" s="9"/>
      <c r="E360" s="13"/>
    </row>
    <row r="361">
      <c r="D361" s="9"/>
      <c r="E361" s="13"/>
    </row>
    <row r="362">
      <c r="D362" s="9"/>
      <c r="E362" s="13"/>
    </row>
    <row r="363">
      <c r="D363" s="9"/>
      <c r="E363" s="13"/>
    </row>
    <row r="364">
      <c r="D364" s="9"/>
      <c r="E364" s="13"/>
    </row>
    <row r="365">
      <c r="D365" s="9"/>
      <c r="E365" s="13"/>
    </row>
    <row r="366">
      <c r="D366" s="9"/>
      <c r="E366" s="13"/>
    </row>
    <row r="367">
      <c r="D367" s="9"/>
      <c r="E367" s="13"/>
    </row>
    <row r="368">
      <c r="D368" s="9"/>
      <c r="E368" s="13"/>
    </row>
    <row r="369">
      <c r="D369" s="9"/>
      <c r="E369" s="13"/>
    </row>
    <row r="370">
      <c r="D370" s="9"/>
      <c r="E370" s="13"/>
    </row>
    <row r="371">
      <c r="D371" s="9"/>
      <c r="E371" s="13"/>
    </row>
    <row r="372">
      <c r="D372" s="9"/>
      <c r="E372" s="13"/>
    </row>
    <row r="373">
      <c r="D373" s="9"/>
      <c r="E373" s="13"/>
    </row>
    <row r="374">
      <c r="D374" s="9"/>
      <c r="E374" s="13"/>
    </row>
    <row r="375">
      <c r="D375" s="9"/>
      <c r="E375" s="13"/>
    </row>
    <row r="376">
      <c r="D376" s="9"/>
      <c r="E376" s="13"/>
    </row>
    <row r="377">
      <c r="D377" s="9"/>
      <c r="E377" s="13"/>
    </row>
    <row r="378">
      <c r="D378" s="9"/>
      <c r="E378" s="13"/>
    </row>
    <row r="379">
      <c r="D379" s="9"/>
      <c r="E379" s="13"/>
    </row>
    <row r="380">
      <c r="D380" s="9"/>
      <c r="E380" s="13"/>
    </row>
    <row r="381">
      <c r="D381" s="9"/>
      <c r="E381" s="13"/>
    </row>
    <row r="382">
      <c r="D382" s="9"/>
      <c r="E382" s="13"/>
    </row>
    <row r="383">
      <c r="D383" s="9"/>
      <c r="E383" s="13"/>
    </row>
    <row r="384">
      <c r="D384" s="9"/>
      <c r="E384" s="13"/>
    </row>
    <row r="385">
      <c r="D385" s="9"/>
      <c r="E385" s="13"/>
    </row>
    <row r="386">
      <c r="D386" s="9"/>
      <c r="E386" s="13"/>
    </row>
    <row r="387">
      <c r="D387" s="9"/>
      <c r="E387" s="13"/>
    </row>
    <row r="388">
      <c r="D388" s="9"/>
      <c r="E388" s="13"/>
    </row>
    <row r="389">
      <c r="D389" s="9"/>
      <c r="E389" s="13"/>
    </row>
    <row r="390">
      <c r="D390" s="9"/>
      <c r="E390" s="13"/>
    </row>
    <row r="391">
      <c r="D391" s="9"/>
      <c r="E391" s="13"/>
    </row>
    <row r="392">
      <c r="D392" s="9"/>
      <c r="E392" s="13"/>
    </row>
    <row r="393">
      <c r="D393" s="9"/>
      <c r="E393" s="13"/>
    </row>
    <row r="394">
      <c r="D394" s="9"/>
      <c r="E394" s="13"/>
    </row>
    <row r="395">
      <c r="D395" s="9"/>
      <c r="E395" s="13"/>
    </row>
    <row r="396">
      <c r="D396" s="9"/>
      <c r="E396" s="13"/>
    </row>
    <row r="397">
      <c r="D397" s="9"/>
      <c r="E397" s="13"/>
    </row>
    <row r="398">
      <c r="D398" s="9"/>
      <c r="E398" s="13"/>
    </row>
    <row r="399">
      <c r="D399" s="9"/>
      <c r="E399" s="13"/>
    </row>
    <row r="400">
      <c r="D400" s="9"/>
      <c r="E400" s="13"/>
    </row>
    <row r="401">
      <c r="D401" s="9"/>
      <c r="E401" s="13"/>
    </row>
    <row r="402">
      <c r="D402" s="9"/>
      <c r="E402" s="13"/>
    </row>
    <row r="403">
      <c r="D403" s="9"/>
      <c r="E403" s="13"/>
    </row>
    <row r="404">
      <c r="D404" s="9"/>
      <c r="E404" s="13"/>
    </row>
    <row r="405">
      <c r="D405" s="9"/>
      <c r="E405" s="13"/>
    </row>
    <row r="406">
      <c r="D406" s="9"/>
      <c r="E406" s="13"/>
    </row>
    <row r="407">
      <c r="D407" s="9"/>
      <c r="E407" s="13"/>
    </row>
    <row r="408">
      <c r="D408" s="9"/>
      <c r="E408" s="13"/>
    </row>
    <row r="409">
      <c r="D409" s="9"/>
      <c r="E409" s="13"/>
    </row>
    <row r="410">
      <c r="D410" s="9"/>
      <c r="E410" s="13"/>
    </row>
    <row r="411">
      <c r="D411" s="9"/>
      <c r="E411" s="13"/>
    </row>
    <row r="412">
      <c r="D412" s="9"/>
      <c r="E412" s="13"/>
    </row>
    <row r="413">
      <c r="D413" s="9"/>
      <c r="E413" s="13"/>
    </row>
    <row r="414">
      <c r="D414" s="9"/>
      <c r="E414" s="13"/>
    </row>
    <row r="415">
      <c r="D415" s="9"/>
      <c r="E415" s="13"/>
    </row>
    <row r="416">
      <c r="D416" s="9"/>
      <c r="E416" s="13"/>
    </row>
    <row r="417">
      <c r="D417" s="9"/>
      <c r="E417" s="13"/>
    </row>
    <row r="418">
      <c r="D418" s="9"/>
      <c r="E418" s="13"/>
    </row>
    <row r="419">
      <c r="D419" s="9"/>
      <c r="E419" s="13"/>
    </row>
    <row r="420">
      <c r="D420" s="9"/>
      <c r="E420" s="13"/>
    </row>
    <row r="421">
      <c r="D421" s="9"/>
      <c r="E421" s="13"/>
    </row>
    <row r="422">
      <c r="D422" s="9"/>
      <c r="E422" s="13"/>
    </row>
    <row r="423">
      <c r="D423" s="9"/>
      <c r="E423" s="13"/>
    </row>
    <row r="424">
      <c r="D424" s="9"/>
      <c r="E424" s="13"/>
    </row>
    <row r="425">
      <c r="D425" s="9"/>
      <c r="E425" s="13"/>
    </row>
    <row r="426">
      <c r="D426" s="9"/>
      <c r="E426" s="13"/>
    </row>
    <row r="427">
      <c r="D427" s="9"/>
      <c r="E427" s="13"/>
    </row>
    <row r="428">
      <c r="D428" s="9"/>
      <c r="E428" s="13"/>
    </row>
    <row r="429">
      <c r="D429" s="9"/>
      <c r="E429" s="13"/>
    </row>
    <row r="430">
      <c r="D430" s="9"/>
      <c r="E430" s="13"/>
    </row>
    <row r="431">
      <c r="D431" s="9"/>
      <c r="E431" s="13"/>
    </row>
    <row r="432">
      <c r="D432" s="9"/>
      <c r="E432" s="13"/>
    </row>
    <row r="433">
      <c r="D433" s="9"/>
      <c r="E433" s="13"/>
    </row>
    <row r="434">
      <c r="D434" s="9"/>
      <c r="E434" s="13"/>
    </row>
    <row r="435">
      <c r="D435" s="9"/>
      <c r="E435" s="13"/>
    </row>
    <row r="436">
      <c r="D436" s="9"/>
      <c r="E436" s="13"/>
    </row>
    <row r="437">
      <c r="D437" s="9"/>
      <c r="E437" s="13"/>
    </row>
    <row r="438">
      <c r="D438" s="9"/>
      <c r="E438" s="13"/>
    </row>
    <row r="439">
      <c r="D439" s="9"/>
      <c r="E439" s="13"/>
    </row>
    <row r="440">
      <c r="D440" s="9"/>
      <c r="E440" s="13"/>
    </row>
    <row r="441">
      <c r="D441" s="9"/>
      <c r="E441" s="13"/>
    </row>
    <row r="442">
      <c r="D442" s="9"/>
      <c r="E442" s="13"/>
    </row>
    <row r="443">
      <c r="D443" s="9"/>
      <c r="E443" s="13"/>
    </row>
    <row r="444">
      <c r="D444" s="9"/>
      <c r="E444" s="13"/>
    </row>
    <row r="445">
      <c r="D445" s="9"/>
      <c r="E445" s="13"/>
    </row>
    <row r="446">
      <c r="D446" s="9"/>
      <c r="E446" s="13"/>
    </row>
    <row r="447">
      <c r="D447" s="9"/>
      <c r="E447" s="13"/>
    </row>
    <row r="448">
      <c r="D448" s="9"/>
      <c r="E448" s="13"/>
    </row>
    <row r="449">
      <c r="D449" s="9"/>
      <c r="E449" s="13"/>
    </row>
    <row r="450">
      <c r="D450" s="9"/>
      <c r="E450" s="13"/>
    </row>
    <row r="451">
      <c r="D451" s="9"/>
      <c r="E451" s="13"/>
    </row>
    <row r="452">
      <c r="D452" s="9"/>
      <c r="E452" s="13"/>
    </row>
    <row r="453">
      <c r="D453" s="9"/>
      <c r="E453" s="13"/>
    </row>
    <row r="454">
      <c r="D454" s="9"/>
      <c r="E454" s="13"/>
    </row>
    <row r="455">
      <c r="D455" s="9"/>
      <c r="E455" s="13"/>
    </row>
    <row r="456">
      <c r="D456" s="9"/>
      <c r="E456" s="13"/>
    </row>
    <row r="457">
      <c r="D457" s="9"/>
      <c r="E457" s="13"/>
    </row>
    <row r="458">
      <c r="D458" s="9"/>
      <c r="E458" s="13"/>
    </row>
    <row r="459">
      <c r="D459" s="9"/>
      <c r="E459" s="13"/>
    </row>
    <row r="460">
      <c r="D460" s="9"/>
      <c r="E460" s="13"/>
    </row>
    <row r="461">
      <c r="D461" s="9"/>
      <c r="E461" s="13"/>
    </row>
    <row r="462">
      <c r="D462" s="9"/>
      <c r="E462" s="13"/>
    </row>
    <row r="463">
      <c r="D463" s="9"/>
      <c r="E463" s="13"/>
    </row>
    <row r="464">
      <c r="D464" s="9"/>
      <c r="E464" s="13"/>
    </row>
    <row r="465">
      <c r="D465" s="9"/>
      <c r="E465" s="13"/>
    </row>
    <row r="466">
      <c r="D466" s="9"/>
      <c r="E466" s="13"/>
    </row>
    <row r="467">
      <c r="D467" s="9"/>
      <c r="E467" s="13"/>
    </row>
    <row r="468">
      <c r="D468" s="9"/>
      <c r="E468" s="13"/>
    </row>
    <row r="469">
      <c r="D469" s="9"/>
      <c r="E469" s="13"/>
    </row>
    <row r="470">
      <c r="D470" s="9"/>
      <c r="E470" s="13"/>
    </row>
    <row r="471">
      <c r="D471" s="9"/>
      <c r="E471" s="13"/>
    </row>
    <row r="472">
      <c r="D472" s="9"/>
      <c r="E472" s="13"/>
    </row>
    <row r="473">
      <c r="D473" s="9"/>
      <c r="E473" s="13"/>
    </row>
    <row r="474">
      <c r="D474" s="9"/>
      <c r="E474" s="13"/>
    </row>
    <row r="475">
      <c r="D475" s="9"/>
      <c r="E475" s="13"/>
    </row>
    <row r="476">
      <c r="D476" s="9"/>
      <c r="E476" s="13"/>
    </row>
    <row r="477">
      <c r="D477" s="9"/>
      <c r="E477" s="13"/>
    </row>
    <row r="478">
      <c r="D478" s="9"/>
      <c r="E478" s="13"/>
    </row>
    <row r="479">
      <c r="D479" s="9"/>
      <c r="E479" s="13"/>
    </row>
    <row r="480">
      <c r="D480" s="9"/>
      <c r="E480" s="13"/>
    </row>
    <row r="481">
      <c r="D481" s="9"/>
      <c r="E481" s="13"/>
    </row>
    <row r="482">
      <c r="D482" s="9"/>
      <c r="E482" s="13"/>
    </row>
    <row r="483">
      <c r="D483" s="9"/>
      <c r="E483" s="13"/>
    </row>
    <row r="484">
      <c r="D484" s="9"/>
      <c r="E484" s="13"/>
    </row>
    <row r="485">
      <c r="D485" s="9"/>
      <c r="E485" s="13"/>
    </row>
    <row r="486">
      <c r="D486" s="9"/>
      <c r="E486" s="13"/>
    </row>
    <row r="487">
      <c r="D487" s="9"/>
      <c r="E487" s="13"/>
    </row>
    <row r="488">
      <c r="D488" s="9"/>
      <c r="E488" s="13"/>
    </row>
    <row r="489">
      <c r="D489" s="9"/>
      <c r="E489" s="13"/>
    </row>
    <row r="490">
      <c r="D490" s="9"/>
      <c r="E490" s="13"/>
    </row>
    <row r="491">
      <c r="D491" s="9"/>
      <c r="E491" s="13"/>
    </row>
    <row r="492">
      <c r="D492" s="9"/>
      <c r="E492" s="13"/>
    </row>
    <row r="493">
      <c r="D493" s="9"/>
      <c r="E493" s="13"/>
    </row>
    <row r="494">
      <c r="D494" s="9"/>
      <c r="E494" s="13"/>
    </row>
    <row r="495">
      <c r="D495" s="9"/>
      <c r="E495" s="13"/>
    </row>
    <row r="496">
      <c r="D496" s="9"/>
      <c r="E496" s="13"/>
    </row>
    <row r="497">
      <c r="D497" s="9"/>
      <c r="E497" s="13"/>
    </row>
    <row r="498">
      <c r="D498" s="9"/>
      <c r="E498" s="13"/>
    </row>
    <row r="499">
      <c r="D499" s="9"/>
      <c r="E499" s="13"/>
    </row>
    <row r="500">
      <c r="D500" s="9"/>
      <c r="E500" s="13"/>
    </row>
    <row r="501">
      <c r="D501" s="9"/>
      <c r="E501" s="13"/>
    </row>
    <row r="502">
      <c r="D502" s="9"/>
      <c r="E502" s="13"/>
    </row>
    <row r="503">
      <c r="D503" s="9"/>
      <c r="E503" s="13"/>
    </row>
    <row r="504">
      <c r="D504" s="9"/>
      <c r="E504" s="13"/>
    </row>
    <row r="505">
      <c r="D505" s="9"/>
      <c r="E505" s="13"/>
    </row>
    <row r="506">
      <c r="D506" s="9"/>
      <c r="E506" s="13"/>
    </row>
    <row r="507">
      <c r="D507" s="9"/>
      <c r="E507" s="13"/>
    </row>
    <row r="508">
      <c r="D508" s="9"/>
      <c r="E508" s="13"/>
    </row>
    <row r="509">
      <c r="D509" s="9"/>
      <c r="E509" s="13"/>
    </row>
    <row r="510">
      <c r="D510" s="9"/>
      <c r="E510" s="13"/>
    </row>
    <row r="511">
      <c r="D511" s="9"/>
      <c r="E511" s="13"/>
    </row>
    <row r="512">
      <c r="D512" s="9"/>
      <c r="E512" s="13"/>
    </row>
    <row r="513">
      <c r="D513" s="9"/>
      <c r="E513" s="13"/>
    </row>
    <row r="514">
      <c r="D514" s="9"/>
      <c r="E514" s="13"/>
    </row>
    <row r="515">
      <c r="D515" s="9"/>
      <c r="E515" s="13"/>
    </row>
    <row r="516">
      <c r="D516" s="9"/>
      <c r="E516" s="13"/>
    </row>
    <row r="517">
      <c r="D517" s="9"/>
      <c r="E517" s="13"/>
    </row>
    <row r="518">
      <c r="D518" s="9"/>
      <c r="E518" s="13"/>
    </row>
    <row r="519">
      <c r="D519" s="9"/>
      <c r="E519" s="13"/>
    </row>
    <row r="520">
      <c r="D520" s="9"/>
      <c r="E520" s="13"/>
    </row>
    <row r="521">
      <c r="D521" s="9"/>
      <c r="E521" s="13"/>
    </row>
    <row r="522">
      <c r="D522" s="9"/>
      <c r="E522" s="13"/>
    </row>
    <row r="523">
      <c r="D523" s="9"/>
      <c r="E523" s="13"/>
    </row>
    <row r="524">
      <c r="D524" s="9"/>
      <c r="E524" s="13"/>
    </row>
    <row r="525">
      <c r="D525" s="9"/>
      <c r="E525" s="13"/>
    </row>
    <row r="526">
      <c r="D526" s="9"/>
      <c r="E526" s="13"/>
    </row>
    <row r="527">
      <c r="D527" s="9"/>
      <c r="E527" s="13"/>
    </row>
    <row r="528">
      <c r="D528" s="9"/>
      <c r="E528" s="13"/>
    </row>
    <row r="529">
      <c r="D529" s="9"/>
      <c r="E529" s="13"/>
    </row>
    <row r="530">
      <c r="D530" s="9"/>
      <c r="E530" s="13"/>
    </row>
    <row r="531">
      <c r="D531" s="9"/>
      <c r="E531" s="13"/>
    </row>
    <row r="532">
      <c r="D532" s="9"/>
      <c r="E532" s="13"/>
    </row>
    <row r="533">
      <c r="D533" s="9"/>
      <c r="E533" s="13"/>
    </row>
    <row r="534">
      <c r="D534" s="9"/>
      <c r="E534" s="13"/>
    </row>
    <row r="535">
      <c r="D535" s="9"/>
      <c r="E535" s="13"/>
    </row>
    <row r="536">
      <c r="D536" s="9"/>
      <c r="E536" s="13"/>
    </row>
    <row r="537">
      <c r="D537" s="9"/>
      <c r="E537" s="13"/>
    </row>
    <row r="538">
      <c r="D538" s="9"/>
      <c r="E538" s="13"/>
    </row>
    <row r="539">
      <c r="D539" s="9"/>
      <c r="E539" s="13"/>
    </row>
    <row r="540">
      <c r="D540" s="9"/>
      <c r="E540" s="13"/>
    </row>
    <row r="541">
      <c r="D541" s="9"/>
      <c r="E541" s="13"/>
    </row>
    <row r="542">
      <c r="D542" s="9"/>
      <c r="E542" s="13"/>
    </row>
    <row r="543">
      <c r="D543" s="9"/>
      <c r="E543" s="13"/>
    </row>
    <row r="544">
      <c r="D544" s="9"/>
      <c r="E544" s="13"/>
    </row>
    <row r="545">
      <c r="D545" s="9"/>
      <c r="E545" s="13"/>
    </row>
    <row r="546">
      <c r="D546" s="9"/>
      <c r="E546" s="13"/>
    </row>
    <row r="547">
      <c r="D547" s="9"/>
      <c r="E547" s="13"/>
    </row>
    <row r="548">
      <c r="D548" s="9"/>
      <c r="E548" s="13"/>
    </row>
    <row r="549">
      <c r="D549" s="9"/>
      <c r="E549" s="13"/>
    </row>
    <row r="550">
      <c r="D550" s="9"/>
      <c r="E550" s="13"/>
    </row>
    <row r="551">
      <c r="D551" s="9"/>
      <c r="E551" s="13"/>
    </row>
    <row r="552">
      <c r="D552" s="9"/>
      <c r="E552" s="13"/>
    </row>
    <row r="553">
      <c r="D553" s="9"/>
      <c r="E553" s="13"/>
    </row>
    <row r="554">
      <c r="D554" s="9"/>
      <c r="E554" s="13"/>
    </row>
    <row r="555">
      <c r="D555" s="9"/>
      <c r="E555" s="13"/>
    </row>
    <row r="556">
      <c r="D556" s="9"/>
      <c r="E556" s="13"/>
    </row>
    <row r="557">
      <c r="D557" s="9"/>
      <c r="E557" s="13"/>
    </row>
    <row r="558">
      <c r="D558" s="9"/>
      <c r="E558" s="13"/>
    </row>
    <row r="559">
      <c r="D559" s="9"/>
      <c r="E559" s="13"/>
    </row>
    <row r="560">
      <c r="D560" s="9"/>
      <c r="E560" s="13"/>
    </row>
    <row r="561">
      <c r="D561" s="9"/>
      <c r="E561" s="13"/>
    </row>
    <row r="562">
      <c r="D562" s="9"/>
      <c r="E562" s="13"/>
    </row>
    <row r="563">
      <c r="D563" s="9"/>
      <c r="E563" s="13"/>
    </row>
    <row r="564">
      <c r="D564" s="9"/>
      <c r="E564" s="13"/>
    </row>
    <row r="565">
      <c r="D565" s="9"/>
      <c r="E565" s="13"/>
    </row>
    <row r="566">
      <c r="D566" s="9"/>
      <c r="E566" s="13"/>
    </row>
    <row r="567">
      <c r="D567" s="9"/>
      <c r="E567" s="13"/>
    </row>
    <row r="568">
      <c r="D568" s="9"/>
      <c r="E568" s="13"/>
    </row>
    <row r="569">
      <c r="D569" s="9"/>
      <c r="E569" s="13"/>
    </row>
    <row r="570">
      <c r="D570" s="9"/>
      <c r="E570" s="13"/>
    </row>
    <row r="571">
      <c r="D571" s="9"/>
      <c r="E571" s="13"/>
    </row>
    <row r="572">
      <c r="D572" s="9"/>
      <c r="E572" s="13"/>
    </row>
    <row r="573">
      <c r="D573" s="9"/>
      <c r="E573" s="13"/>
    </row>
    <row r="574">
      <c r="D574" s="9"/>
      <c r="E574" s="13"/>
    </row>
    <row r="575">
      <c r="D575" s="9"/>
      <c r="E575" s="13"/>
    </row>
    <row r="576">
      <c r="D576" s="9"/>
      <c r="E576" s="13"/>
    </row>
    <row r="577">
      <c r="D577" s="9"/>
      <c r="E577" s="13"/>
    </row>
    <row r="578">
      <c r="D578" s="9"/>
      <c r="E578" s="13"/>
    </row>
    <row r="579">
      <c r="D579" s="9"/>
      <c r="E579" s="13"/>
    </row>
    <row r="580">
      <c r="D580" s="9"/>
      <c r="E580" s="13"/>
    </row>
    <row r="581">
      <c r="D581" s="9"/>
      <c r="E581" s="13"/>
    </row>
    <row r="582">
      <c r="D582" s="9"/>
      <c r="E582" s="13"/>
    </row>
    <row r="583">
      <c r="D583" s="9"/>
      <c r="E583" s="13"/>
    </row>
    <row r="584">
      <c r="D584" s="9"/>
      <c r="E584" s="13"/>
    </row>
    <row r="585">
      <c r="D585" s="9"/>
      <c r="E585" s="13"/>
    </row>
    <row r="586">
      <c r="D586" s="9"/>
      <c r="E586" s="13"/>
    </row>
    <row r="587">
      <c r="D587" s="9"/>
      <c r="E587" s="13"/>
    </row>
    <row r="588">
      <c r="D588" s="9"/>
      <c r="E588" s="13"/>
    </row>
    <row r="589">
      <c r="D589" s="9"/>
      <c r="E589" s="13"/>
    </row>
    <row r="590">
      <c r="D590" s="9"/>
      <c r="E590" s="13"/>
    </row>
    <row r="591">
      <c r="D591" s="9"/>
      <c r="E591" s="13"/>
    </row>
    <row r="592">
      <c r="D592" s="9"/>
      <c r="E592" s="13"/>
    </row>
    <row r="593">
      <c r="D593" s="9"/>
      <c r="E593" s="13"/>
    </row>
    <row r="594">
      <c r="D594" s="9"/>
      <c r="E594" s="13"/>
    </row>
    <row r="595">
      <c r="D595" s="9"/>
      <c r="E595" s="13"/>
    </row>
    <row r="596">
      <c r="D596" s="9"/>
      <c r="E596" s="13"/>
    </row>
    <row r="597">
      <c r="D597" s="9"/>
      <c r="E597" s="13"/>
    </row>
    <row r="598">
      <c r="D598" s="9"/>
      <c r="E598" s="13"/>
    </row>
    <row r="599">
      <c r="D599" s="9"/>
      <c r="E599" s="13"/>
    </row>
    <row r="600">
      <c r="D600" s="9"/>
      <c r="E600" s="13"/>
    </row>
    <row r="601">
      <c r="D601" s="9"/>
      <c r="E601" s="13"/>
    </row>
    <row r="602">
      <c r="D602" s="9"/>
      <c r="E602" s="13"/>
    </row>
    <row r="603">
      <c r="D603" s="9"/>
      <c r="E603" s="13"/>
    </row>
    <row r="604">
      <c r="D604" s="9"/>
      <c r="E604" s="13"/>
    </row>
    <row r="605">
      <c r="D605" s="9"/>
      <c r="E605" s="13"/>
    </row>
    <row r="606">
      <c r="D606" s="9"/>
      <c r="E606" s="13"/>
    </row>
    <row r="607">
      <c r="D607" s="9"/>
      <c r="E607" s="13"/>
    </row>
    <row r="608">
      <c r="D608" s="9"/>
      <c r="E608" s="13"/>
    </row>
    <row r="609">
      <c r="D609" s="9"/>
      <c r="E609" s="13"/>
    </row>
    <row r="610">
      <c r="D610" s="9"/>
      <c r="E610" s="13"/>
    </row>
    <row r="611">
      <c r="D611" s="9"/>
      <c r="E611" s="13"/>
    </row>
    <row r="612">
      <c r="D612" s="9"/>
      <c r="E612" s="13"/>
    </row>
    <row r="613">
      <c r="D613" s="9"/>
      <c r="E613" s="13"/>
    </row>
    <row r="614">
      <c r="D614" s="9"/>
      <c r="E614" s="13"/>
    </row>
    <row r="615">
      <c r="D615" s="9"/>
      <c r="E615" s="13"/>
    </row>
    <row r="616">
      <c r="D616" s="9"/>
      <c r="E616" s="13"/>
    </row>
    <row r="617">
      <c r="D617" s="9"/>
      <c r="E617" s="13"/>
    </row>
    <row r="618">
      <c r="D618" s="9"/>
      <c r="E618" s="13"/>
    </row>
    <row r="619">
      <c r="D619" s="9"/>
      <c r="E619" s="13"/>
    </row>
    <row r="620">
      <c r="D620" s="9"/>
      <c r="E620" s="13"/>
    </row>
    <row r="621">
      <c r="D621" s="9"/>
      <c r="E621" s="13"/>
    </row>
    <row r="622">
      <c r="D622" s="9"/>
      <c r="E622" s="13"/>
    </row>
    <row r="623">
      <c r="D623" s="9"/>
      <c r="E623" s="13"/>
    </row>
    <row r="624">
      <c r="D624" s="9"/>
      <c r="E624" s="13"/>
    </row>
    <row r="625">
      <c r="D625" s="9"/>
      <c r="E625" s="13"/>
    </row>
    <row r="626">
      <c r="D626" s="9"/>
      <c r="E626" s="13"/>
    </row>
    <row r="627">
      <c r="D627" s="9"/>
      <c r="E627" s="13"/>
    </row>
    <row r="628">
      <c r="D628" s="9"/>
      <c r="E628" s="13"/>
    </row>
    <row r="629">
      <c r="D629" s="9"/>
      <c r="E629" s="13"/>
    </row>
    <row r="630">
      <c r="D630" s="9"/>
      <c r="E630" s="13"/>
    </row>
    <row r="631">
      <c r="D631" s="9"/>
      <c r="E631" s="13"/>
    </row>
    <row r="632">
      <c r="D632" s="9"/>
      <c r="E632" s="13"/>
    </row>
    <row r="633">
      <c r="D633" s="9"/>
      <c r="E633" s="13"/>
    </row>
    <row r="634">
      <c r="D634" s="9"/>
      <c r="E634" s="13"/>
    </row>
    <row r="635">
      <c r="D635" s="9"/>
      <c r="E635" s="13"/>
    </row>
    <row r="636">
      <c r="D636" s="9"/>
      <c r="E636" s="13"/>
    </row>
    <row r="637">
      <c r="D637" s="9"/>
      <c r="E637" s="13"/>
    </row>
    <row r="638">
      <c r="D638" s="9"/>
      <c r="E638" s="13"/>
    </row>
    <row r="639">
      <c r="D639" s="9"/>
      <c r="E639" s="13"/>
    </row>
    <row r="640">
      <c r="D640" s="9"/>
      <c r="E640" s="13"/>
    </row>
    <row r="641">
      <c r="D641" s="9"/>
      <c r="E641" s="13"/>
    </row>
    <row r="642">
      <c r="D642" s="9"/>
      <c r="E642" s="13"/>
    </row>
    <row r="643">
      <c r="D643" s="9"/>
      <c r="E643" s="13"/>
    </row>
    <row r="644">
      <c r="D644" s="9"/>
      <c r="E644" s="13"/>
    </row>
    <row r="645">
      <c r="D645" s="9"/>
      <c r="E645" s="13"/>
    </row>
    <row r="646">
      <c r="D646" s="9"/>
      <c r="E646" s="13"/>
    </row>
    <row r="647">
      <c r="D647" s="9"/>
      <c r="E647" s="13"/>
    </row>
    <row r="648">
      <c r="D648" s="9"/>
      <c r="E648" s="13"/>
    </row>
    <row r="649">
      <c r="D649" s="9"/>
      <c r="E649" s="13"/>
    </row>
    <row r="650">
      <c r="D650" s="9"/>
      <c r="E650" s="13"/>
    </row>
    <row r="651">
      <c r="D651" s="9"/>
      <c r="E651" s="13"/>
    </row>
    <row r="652">
      <c r="D652" s="9"/>
      <c r="E652" s="13"/>
    </row>
    <row r="653">
      <c r="D653" s="9"/>
      <c r="E653" s="13"/>
    </row>
    <row r="654">
      <c r="D654" s="9"/>
      <c r="E654" s="13"/>
    </row>
    <row r="655">
      <c r="D655" s="9"/>
      <c r="E655" s="13"/>
    </row>
    <row r="656">
      <c r="D656" s="9"/>
      <c r="E656" s="13"/>
    </row>
    <row r="657">
      <c r="D657" s="9"/>
      <c r="E657" s="13"/>
    </row>
    <row r="658">
      <c r="D658" s="9"/>
      <c r="E658" s="13"/>
    </row>
    <row r="659">
      <c r="D659" s="9"/>
      <c r="E659" s="13"/>
    </row>
    <row r="660">
      <c r="D660" s="9"/>
      <c r="E660" s="13"/>
    </row>
    <row r="661">
      <c r="D661" s="9"/>
      <c r="E661" s="13"/>
    </row>
    <row r="662">
      <c r="D662" s="9"/>
      <c r="E662" s="13"/>
    </row>
    <row r="663">
      <c r="D663" s="9"/>
      <c r="E663" s="13"/>
    </row>
    <row r="664">
      <c r="D664" s="9"/>
      <c r="E664" s="13"/>
    </row>
    <row r="665">
      <c r="D665" s="9"/>
      <c r="E665" s="13"/>
    </row>
    <row r="666">
      <c r="D666" s="9"/>
      <c r="E666" s="13"/>
    </row>
    <row r="667">
      <c r="D667" s="9"/>
      <c r="E667" s="13"/>
    </row>
    <row r="668">
      <c r="D668" s="9"/>
      <c r="E668" s="13"/>
    </row>
    <row r="669">
      <c r="D669" s="9"/>
      <c r="E669" s="13"/>
    </row>
    <row r="670">
      <c r="D670" s="9"/>
      <c r="E670" s="13"/>
    </row>
    <row r="671">
      <c r="D671" s="9"/>
      <c r="E671" s="13"/>
    </row>
    <row r="672">
      <c r="D672" s="9"/>
      <c r="E672" s="13"/>
    </row>
    <row r="673">
      <c r="D673" s="9"/>
      <c r="E673" s="13"/>
    </row>
    <row r="674">
      <c r="D674" s="9"/>
      <c r="E674" s="13"/>
    </row>
    <row r="675">
      <c r="D675" s="9"/>
      <c r="E675" s="13"/>
    </row>
    <row r="676">
      <c r="D676" s="9"/>
      <c r="E676" s="13"/>
    </row>
    <row r="677">
      <c r="D677" s="9"/>
      <c r="E677" s="13"/>
    </row>
    <row r="678">
      <c r="D678" s="9"/>
      <c r="E678" s="13"/>
    </row>
    <row r="679">
      <c r="D679" s="9"/>
      <c r="E679" s="13"/>
    </row>
    <row r="680">
      <c r="D680" s="9"/>
      <c r="E680" s="13"/>
    </row>
    <row r="681">
      <c r="D681" s="9"/>
      <c r="E681" s="13"/>
    </row>
    <row r="682">
      <c r="D682" s="9"/>
      <c r="E682" s="13"/>
    </row>
    <row r="683">
      <c r="D683" s="9"/>
      <c r="E683" s="13"/>
    </row>
    <row r="684">
      <c r="D684" s="9"/>
      <c r="E684" s="13"/>
    </row>
    <row r="685">
      <c r="D685" s="9"/>
      <c r="E685" s="13"/>
    </row>
    <row r="686">
      <c r="D686" s="9"/>
      <c r="E686" s="13"/>
    </row>
    <row r="687">
      <c r="D687" s="9"/>
      <c r="E687" s="13"/>
    </row>
    <row r="688">
      <c r="D688" s="9"/>
      <c r="E688" s="13"/>
    </row>
    <row r="689">
      <c r="D689" s="9"/>
      <c r="E689" s="13"/>
    </row>
    <row r="690">
      <c r="D690" s="9"/>
      <c r="E690" s="13"/>
    </row>
    <row r="691">
      <c r="D691" s="9"/>
      <c r="E691" s="13"/>
    </row>
    <row r="692">
      <c r="D692" s="9"/>
      <c r="E692" s="13"/>
    </row>
    <row r="693">
      <c r="D693" s="9"/>
      <c r="E693" s="13"/>
    </row>
    <row r="694">
      <c r="D694" s="9"/>
      <c r="E694" s="13"/>
    </row>
    <row r="695">
      <c r="D695" s="9"/>
      <c r="E695" s="13"/>
    </row>
    <row r="696">
      <c r="D696" s="9"/>
      <c r="E696" s="13"/>
    </row>
    <row r="697">
      <c r="D697" s="9"/>
      <c r="E697" s="13"/>
    </row>
    <row r="698">
      <c r="D698" s="9"/>
      <c r="E698" s="13"/>
    </row>
    <row r="699">
      <c r="D699" s="9"/>
      <c r="E699" s="13"/>
    </row>
    <row r="700">
      <c r="D700" s="9"/>
      <c r="E700" s="13"/>
    </row>
    <row r="701">
      <c r="D701" s="9"/>
      <c r="E701" s="13"/>
    </row>
    <row r="702">
      <c r="D702" s="9"/>
      <c r="E702" s="13"/>
    </row>
    <row r="703">
      <c r="D703" s="9"/>
      <c r="E703" s="13"/>
    </row>
    <row r="704">
      <c r="D704" s="9"/>
      <c r="E704" s="13"/>
    </row>
    <row r="705">
      <c r="D705" s="9"/>
      <c r="E705" s="13"/>
    </row>
    <row r="706">
      <c r="D706" s="9"/>
      <c r="E706" s="13"/>
    </row>
    <row r="707">
      <c r="D707" s="9"/>
      <c r="E707" s="13"/>
    </row>
    <row r="708">
      <c r="D708" s="9"/>
      <c r="E708" s="13"/>
    </row>
    <row r="709">
      <c r="D709" s="9"/>
      <c r="E709" s="13"/>
    </row>
    <row r="710">
      <c r="D710" s="9"/>
      <c r="E710" s="13"/>
    </row>
    <row r="711">
      <c r="D711" s="9"/>
      <c r="E711" s="13"/>
    </row>
    <row r="712">
      <c r="D712" s="9"/>
      <c r="E712" s="13"/>
    </row>
    <row r="713">
      <c r="D713" s="9"/>
      <c r="E713" s="13"/>
    </row>
    <row r="714">
      <c r="D714" s="9"/>
      <c r="E714" s="13"/>
    </row>
    <row r="715">
      <c r="D715" s="9"/>
      <c r="E715" s="13"/>
    </row>
    <row r="716">
      <c r="D716" s="9"/>
      <c r="E716" s="13"/>
    </row>
    <row r="717">
      <c r="D717" s="9"/>
      <c r="E717" s="13"/>
    </row>
    <row r="718">
      <c r="D718" s="9"/>
      <c r="E718" s="13"/>
    </row>
    <row r="719">
      <c r="D719" s="9"/>
      <c r="E719" s="13"/>
    </row>
    <row r="720">
      <c r="D720" s="9"/>
      <c r="E720" s="13"/>
    </row>
    <row r="721">
      <c r="D721" s="9"/>
      <c r="E721" s="13"/>
    </row>
    <row r="722">
      <c r="D722" s="9"/>
      <c r="E722" s="13"/>
    </row>
    <row r="723">
      <c r="D723" s="9"/>
      <c r="E723" s="13"/>
    </row>
    <row r="724">
      <c r="D724" s="9"/>
      <c r="E724" s="13"/>
    </row>
    <row r="725">
      <c r="D725" s="9"/>
      <c r="E725" s="13"/>
    </row>
    <row r="726">
      <c r="D726" s="9"/>
      <c r="E726" s="13"/>
    </row>
    <row r="727">
      <c r="D727" s="9"/>
      <c r="E727" s="13"/>
    </row>
    <row r="728">
      <c r="D728" s="9"/>
      <c r="E728" s="13"/>
    </row>
    <row r="729">
      <c r="D729" s="9"/>
      <c r="E729" s="13"/>
    </row>
    <row r="730">
      <c r="D730" s="9"/>
      <c r="E730" s="13"/>
    </row>
    <row r="731">
      <c r="D731" s="9"/>
      <c r="E731" s="13"/>
    </row>
    <row r="732">
      <c r="D732" s="9"/>
      <c r="E732" s="13"/>
    </row>
    <row r="733">
      <c r="D733" s="9"/>
      <c r="E733" s="13"/>
    </row>
    <row r="734">
      <c r="D734" s="9"/>
      <c r="E734" s="13"/>
    </row>
    <row r="735">
      <c r="D735" s="9"/>
      <c r="E735" s="13"/>
    </row>
    <row r="736">
      <c r="D736" s="9"/>
      <c r="E736" s="13"/>
    </row>
    <row r="737">
      <c r="D737" s="9"/>
      <c r="E737" s="13"/>
    </row>
    <row r="738">
      <c r="D738" s="9"/>
      <c r="E738" s="13"/>
    </row>
    <row r="739">
      <c r="D739" s="9"/>
      <c r="E739" s="13"/>
    </row>
    <row r="740">
      <c r="D740" s="9"/>
      <c r="E740" s="13"/>
    </row>
    <row r="741">
      <c r="D741" s="9"/>
      <c r="E741" s="13"/>
    </row>
    <row r="742">
      <c r="D742" s="9"/>
      <c r="E742" s="13"/>
    </row>
    <row r="743">
      <c r="D743" s="9"/>
      <c r="E743" s="13"/>
    </row>
    <row r="744">
      <c r="D744" s="9"/>
      <c r="E744" s="13"/>
    </row>
    <row r="745">
      <c r="D745" s="9"/>
      <c r="E745" s="13"/>
    </row>
    <row r="746">
      <c r="D746" s="9"/>
      <c r="E746" s="13"/>
    </row>
    <row r="747">
      <c r="D747" s="9"/>
      <c r="E747" s="13"/>
    </row>
    <row r="748">
      <c r="D748" s="9"/>
      <c r="E748" s="13"/>
    </row>
    <row r="749">
      <c r="D749" s="9"/>
      <c r="E749" s="13"/>
    </row>
    <row r="750">
      <c r="D750" s="9"/>
      <c r="E750" s="13"/>
    </row>
    <row r="751">
      <c r="D751" s="9"/>
      <c r="E751" s="13"/>
    </row>
    <row r="752">
      <c r="D752" s="9"/>
      <c r="E752" s="13"/>
    </row>
    <row r="753">
      <c r="D753" s="9"/>
      <c r="E753" s="13"/>
    </row>
    <row r="754">
      <c r="D754" s="9"/>
      <c r="E754" s="13"/>
    </row>
    <row r="755">
      <c r="D755" s="9"/>
      <c r="E755" s="13"/>
    </row>
    <row r="756">
      <c r="D756" s="9"/>
      <c r="E756" s="13"/>
    </row>
    <row r="757">
      <c r="D757" s="9"/>
      <c r="E757" s="13"/>
    </row>
    <row r="758">
      <c r="D758" s="9"/>
      <c r="E758" s="13"/>
    </row>
    <row r="759">
      <c r="D759" s="9"/>
      <c r="E759" s="13"/>
    </row>
    <row r="760">
      <c r="D760" s="9"/>
      <c r="E760" s="13"/>
    </row>
    <row r="761">
      <c r="D761" s="9"/>
      <c r="E761" s="13"/>
    </row>
    <row r="762">
      <c r="D762" s="9"/>
      <c r="E762" s="13"/>
    </row>
    <row r="763">
      <c r="D763" s="9"/>
      <c r="E763" s="13"/>
    </row>
    <row r="764">
      <c r="D764" s="9"/>
      <c r="E764" s="13"/>
    </row>
    <row r="765">
      <c r="D765" s="9"/>
      <c r="E765" s="13"/>
    </row>
    <row r="766">
      <c r="D766" s="9"/>
      <c r="E766" s="13"/>
    </row>
    <row r="767">
      <c r="D767" s="9"/>
      <c r="E767" s="13"/>
    </row>
    <row r="768">
      <c r="D768" s="9"/>
      <c r="E768" s="13"/>
    </row>
    <row r="769">
      <c r="D769" s="9"/>
      <c r="E769" s="13"/>
    </row>
    <row r="770">
      <c r="D770" s="9"/>
      <c r="E770" s="13"/>
    </row>
    <row r="771">
      <c r="D771" s="9"/>
      <c r="E771" s="13"/>
    </row>
    <row r="772">
      <c r="D772" s="9"/>
      <c r="E772" s="13"/>
    </row>
    <row r="773">
      <c r="D773" s="9"/>
      <c r="E773" s="13"/>
    </row>
    <row r="774">
      <c r="D774" s="9"/>
      <c r="E774" s="13"/>
    </row>
    <row r="775">
      <c r="D775" s="9"/>
      <c r="E775" s="13"/>
    </row>
    <row r="776">
      <c r="D776" s="9"/>
      <c r="E776" s="13"/>
    </row>
    <row r="777">
      <c r="D777" s="9"/>
      <c r="E777" s="13"/>
    </row>
    <row r="778">
      <c r="D778" s="9"/>
      <c r="E778" s="13"/>
    </row>
    <row r="779">
      <c r="D779" s="9"/>
      <c r="E779" s="13"/>
    </row>
    <row r="780">
      <c r="D780" s="9"/>
      <c r="E780" s="13"/>
    </row>
    <row r="781">
      <c r="D781" s="9"/>
      <c r="E781" s="13"/>
    </row>
    <row r="782">
      <c r="D782" s="9"/>
      <c r="E782" s="13"/>
    </row>
    <row r="783">
      <c r="D783" s="9"/>
      <c r="E783" s="13"/>
    </row>
    <row r="784">
      <c r="D784" s="9"/>
      <c r="E784" s="13"/>
    </row>
    <row r="785">
      <c r="D785" s="9"/>
      <c r="E785" s="13"/>
    </row>
    <row r="786">
      <c r="D786" s="9"/>
      <c r="E786" s="13"/>
    </row>
    <row r="787">
      <c r="D787" s="9"/>
      <c r="E787" s="13"/>
    </row>
    <row r="788">
      <c r="D788" s="9"/>
      <c r="E788" s="13"/>
    </row>
    <row r="789">
      <c r="D789" s="9"/>
      <c r="E789" s="13"/>
    </row>
    <row r="790">
      <c r="D790" s="9"/>
      <c r="E790" s="13"/>
    </row>
    <row r="791">
      <c r="D791" s="9"/>
      <c r="E791" s="13"/>
    </row>
    <row r="792">
      <c r="D792" s="9"/>
      <c r="E792" s="13"/>
    </row>
    <row r="793">
      <c r="D793" s="9"/>
      <c r="E793" s="13"/>
    </row>
    <row r="794">
      <c r="D794" s="9"/>
      <c r="E794" s="13"/>
    </row>
    <row r="795">
      <c r="D795" s="9"/>
      <c r="E795" s="13"/>
    </row>
    <row r="796">
      <c r="D796" s="9"/>
      <c r="E796" s="13"/>
    </row>
    <row r="797">
      <c r="D797" s="9"/>
      <c r="E797" s="13"/>
    </row>
    <row r="798">
      <c r="D798" s="9"/>
      <c r="E798" s="13"/>
    </row>
    <row r="799">
      <c r="D799" s="9"/>
      <c r="E799" s="13"/>
    </row>
    <row r="800">
      <c r="D800" s="9"/>
      <c r="E800" s="13"/>
    </row>
    <row r="801">
      <c r="D801" s="9"/>
      <c r="E801" s="13"/>
    </row>
    <row r="802">
      <c r="D802" s="9"/>
      <c r="E802" s="13"/>
    </row>
    <row r="803">
      <c r="D803" s="9"/>
      <c r="E803" s="13"/>
    </row>
    <row r="804">
      <c r="D804" s="9"/>
      <c r="E804" s="13"/>
    </row>
    <row r="805">
      <c r="D805" s="9"/>
      <c r="E805" s="13"/>
    </row>
    <row r="806">
      <c r="D806" s="9"/>
      <c r="E806" s="13"/>
    </row>
    <row r="807">
      <c r="D807" s="9"/>
      <c r="E807" s="13"/>
    </row>
    <row r="808">
      <c r="D808" s="9"/>
      <c r="E808" s="13"/>
    </row>
    <row r="809">
      <c r="D809" s="9"/>
      <c r="E809" s="13"/>
    </row>
    <row r="810">
      <c r="D810" s="9"/>
      <c r="E810" s="13"/>
    </row>
    <row r="811">
      <c r="D811" s="9"/>
      <c r="E811" s="13"/>
    </row>
    <row r="812">
      <c r="D812" s="9"/>
      <c r="E812" s="13"/>
    </row>
    <row r="813">
      <c r="D813" s="9"/>
      <c r="E813" s="13"/>
    </row>
    <row r="814">
      <c r="D814" s="9"/>
      <c r="E814" s="13"/>
    </row>
    <row r="815">
      <c r="D815" s="9"/>
      <c r="E815" s="13"/>
    </row>
    <row r="816">
      <c r="D816" s="9"/>
      <c r="E816" s="13"/>
    </row>
    <row r="817">
      <c r="D817" s="9"/>
      <c r="E817" s="13"/>
    </row>
    <row r="818">
      <c r="D818" s="9"/>
      <c r="E818" s="13"/>
    </row>
    <row r="819">
      <c r="D819" s="9"/>
      <c r="E819" s="13"/>
    </row>
    <row r="820">
      <c r="D820" s="9"/>
      <c r="E820" s="13"/>
    </row>
    <row r="821">
      <c r="D821" s="9"/>
      <c r="E821" s="13"/>
    </row>
    <row r="822">
      <c r="D822" s="9"/>
      <c r="E822" s="13"/>
    </row>
    <row r="823">
      <c r="D823" s="9"/>
      <c r="E823" s="13"/>
    </row>
    <row r="824">
      <c r="D824" s="9"/>
      <c r="E824" s="13"/>
    </row>
    <row r="825">
      <c r="D825" s="9"/>
      <c r="E825" s="13"/>
    </row>
    <row r="826">
      <c r="D826" s="9"/>
      <c r="E826" s="13"/>
    </row>
    <row r="827">
      <c r="D827" s="9"/>
      <c r="E827" s="13"/>
    </row>
    <row r="828">
      <c r="D828" s="9"/>
      <c r="E828" s="13"/>
    </row>
    <row r="829">
      <c r="D829" s="9"/>
      <c r="E829" s="13"/>
    </row>
    <row r="830">
      <c r="D830" s="9"/>
      <c r="E830" s="13"/>
    </row>
    <row r="831">
      <c r="D831" s="9"/>
      <c r="E831" s="13"/>
    </row>
    <row r="832">
      <c r="D832" s="9"/>
      <c r="E832" s="13"/>
    </row>
    <row r="833">
      <c r="D833" s="9"/>
      <c r="E833" s="13"/>
    </row>
    <row r="834">
      <c r="D834" s="9"/>
      <c r="E834" s="13"/>
    </row>
    <row r="835">
      <c r="D835" s="9"/>
      <c r="E835" s="13"/>
    </row>
    <row r="836">
      <c r="D836" s="9"/>
      <c r="E836" s="13"/>
    </row>
    <row r="837">
      <c r="D837" s="9"/>
      <c r="E837" s="13"/>
    </row>
    <row r="838">
      <c r="D838" s="9"/>
      <c r="E838" s="13"/>
    </row>
    <row r="839">
      <c r="D839" s="9"/>
      <c r="E839" s="13"/>
    </row>
    <row r="840">
      <c r="D840" s="9"/>
      <c r="E840" s="13"/>
    </row>
    <row r="841">
      <c r="D841" s="9"/>
      <c r="E841" s="13"/>
    </row>
    <row r="842">
      <c r="D842" s="9"/>
      <c r="E842" s="13"/>
    </row>
    <row r="843">
      <c r="D843" s="9"/>
      <c r="E843" s="13"/>
    </row>
    <row r="844">
      <c r="D844" s="9"/>
      <c r="E844" s="13"/>
    </row>
    <row r="845">
      <c r="D845" s="9"/>
      <c r="E845" s="13"/>
    </row>
    <row r="846">
      <c r="D846" s="9"/>
      <c r="E846" s="13"/>
    </row>
    <row r="847">
      <c r="D847" s="9"/>
      <c r="E847" s="13"/>
    </row>
    <row r="848">
      <c r="D848" s="9"/>
      <c r="E848" s="13"/>
    </row>
    <row r="849">
      <c r="D849" s="9"/>
      <c r="E849" s="13"/>
    </row>
    <row r="850">
      <c r="D850" s="9"/>
      <c r="E850" s="13"/>
    </row>
    <row r="851">
      <c r="D851" s="9"/>
      <c r="E851" s="13"/>
    </row>
    <row r="852">
      <c r="D852" s="9"/>
      <c r="E852" s="13"/>
    </row>
    <row r="853">
      <c r="D853" s="9"/>
      <c r="E853" s="13"/>
    </row>
    <row r="854">
      <c r="D854" s="9"/>
      <c r="E854" s="13"/>
    </row>
    <row r="855">
      <c r="D855" s="9"/>
      <c r="E855" s="13"/>
    </row>
    <row r="856">
      <c r="D856" s="9"/>
      <c r="E856" s="13"/>
    </row>
    <row r="857">
      <c r="D857" s="9"/>
      <c r="E857" s="13"/>
    </row>
    <row r="858">
      <c r="D858" s="9"/>
      <c r="E858" s="13"/>
    </row>
    <row r="859">
      <c r="D859" s="9"/>
      <c r="E859" s="13"/>
    </row>
    <row r="860">
      <c r="D860" s="9"/>
      <c r="E860" s="13"/>
    </row>
    <row r="861">
      <c r="D861" s="9"/>
      <c r="E861" s="13"/>
    </row>
    <row r="862">
      <c r="D862" s="9"/>
      <c r="E862" s="13"/>
    </row>
    <row r="863">
      <c r="D863" s="9"/>
      <c r="E863" s="13"/>
    </row>
    <row r="864">
      <c r="D864" s="9"/>
      <c r="E864" s="13"/>
    </row>
    <row r="865">
      <c r="D865" s="9"/>
      <c r="E865" s="13"/>
    </row>
    <row r="866">
      <c r="D866" s="9"/>
      <c r="E866" s="13"/>
    </row>
    <row r="867">
      <c r="D867" s="9"/>
      <c r="E867" s="13"/>
    </row>
    <row r="868">
      <c r="D868" s="9"/>
      <c r="E868" s="13"/>
    </row>
    <row r="869">
      <c r="D869" s="9"/>
      <c r="E869" s="13"/>
    </row>
    <row r="870">
      <c r="D870" s="9"/>
      <c r="E870" s="13"/>
    </row>
    <row r="871">
      <c r="D871" s="9"/>
      <c r="E871" s="13"/>
    </row>
    <row r="872">
      <c r="D872" s="9"/>
      <c r="E872" s="13"/>
    </row>
    <row r="873">
      <c r="D873" s="9"/>
      <c r="E873" s="13"/>
    </row>
    <row r="874">
      <c r="D874" s="9"/>
      <c r="E874" s="13"/>
    </row>
    <row r="875">
      <c r="D875" s="9"/>
      <c r="E875" s="13"/>
    </row>
    <row r="876">
      <c r="D876" s="9"/>
      <c r="E876" s="13"/>
    </row>
    <row r="877">
      <c r="D877" s="9"/>
      <c r="E877" s="13"/>
    </row>
    <row r="878">
      <c r="D878" s="9"/>
      <c r="E878" s="13"/>
    </row>
    <row r="879">
      <c r="D879" s="9"/>
      <c r="E879" s="13"/>
    </row>
    <row r="880">
      <c r="D880" s="9"/>
      <c r="E880" s="13"/>
    </row>
    <row r="881">
      <c r="D881" s="9"/>
      <c r="E881" s="13"/>
    </row>
    <row r="882">
      <c r="D882" s="9"/>
      <c r="E882" s="13"/>
    </row>
    <row r="883">
      <c r="D883" s="9"/>
      <c r="E883" s="13"/>
    </row>
    <row r="884">
      <c r="D884" s="9"/>
      <c r="E884" s="13"/>
    </row>
    <row r="885">
      <c r="D885" s="9"/>
      <c r="E885" s="13"/>
    </row>
    <row r="886">
      <c r="D886" s="9"/>
      <c r="E886" s="13"/>
    </row>
    <row r="887">
      <c r="D887" s="9"/>
      <c r="E887" s="13"/>
    </row>
    <row r="888">
      <c r="D888" s="9"/>
      <c r="E888" s="13"/>
    </row>
    <row r="889">
      <c r="D889" s="9"/>
      <c r="E889" s="13"/>
    </row>
    <row r="890">
      <c r="D890" s="9"/>
      <c r="E890" s="13"/>
    </row>
    <row r="891">
      <c r="D891" s="9"/>
      <c r="E891" s="13"/>
    </row>
    <row r="892">
      <c r="D892" s="9"/>
      <c r="E892" s="13"/>
    </row>
    <row r="893">
      <c r="D893" s="9"/>
      <c r="E893" s="13"/>
    </row>
    <row r="894">
      <c r="D894" s="9"/>
      <c r="E894" s="13"/>
    </row>
    <row r="895">
      <c r="D895" s="9"/>
      <c r="E895" s="13"/>
    </row>
    <row r="896">
      <c r="D896" s="9"/>
      <c r="E896" s="13"/>
    </row>
    <row r="897">
      <c r="D897" s="9"/>
      <c r="E897" s="13"/>
    </row>
    <row r="898">
      <c r="D898" s="9"/>
      <c r="E898" s="13"/>
    </row>
    <row r="899">
      <c r="D899" s="9"/>
      <c r="E899" s="13"/>
    </row>
    <row r="900">
      <c r="D900" s="9"/>
      <c r="E900" s="13"/>
    </row>
    <row r="901">
      <c r="D901" s="9"/>
      <c r="E901" s="13"/>
    </row>
    <row r="902">
      <c r="D902" s="9"/>
      <c r="E902" s="13"/>
    </row>
    <row r="903">
      <c r="D903" s="9"/>
      <c r="E903" s="13"/>
    </row>
    <row r="904">
      <c r="D904" s="9"/>
      <c r="E904" s="13"/>
    </row>
    <row r="905">
      <c r="D905" s="9"/>
      <c r="E905" s="13"/>
    </row>
    <row r="906">
      <c r="D906" s="9"/>
      <c r="E906" s="13"/>
    </row>
    <row r="907">
      <c r="D907" s="9"/>
      <c r="E907" s="13"/>
    </row>
    <row r="908">
      <c r="D908" s="9"/>
      <c r="E908" s="13"/>
    </row>
    <row r="909">
      <c r="D909" s="9"/>
      <c r="E909" s="13"/>
    </row>
    <row r="910">
      <c r="D910" s="9"/>
      <c r="E910" s="13"/>
    </row>
    <row r="911">
      <c r="D911" s="9"/>
      <c r="E911" s="13"/>
    </row>
    <row r="912">
      <c r="D912" s="9"/>
      <c r="E912" s="13"/>
    </row>
    <row r="913">
      <c r="D913" s="9"/>
      <c r="E913" s="13"/>
    </row>
    <row r="914">
      <c r="D914" s="9"/>
      <c r="E914" s="13"/>
    </row>
    <row r="915">
      <c r="D915" s="9"/>
      <c r="E915" s="13"/>
    </row>
    <row r="916">
      <c r="D916" s="9"/>
      <c r="E916" s="13"/>
    </row>
    <row r="917">
      <c r="D917" s="9"/>
      <c r="E917" s="13"/>
    </row>
    <row r="918">
      <c r="D918" s="9"/>
      <c r="E918" s="13"/>
    </row>
    <row r="919">
      <c r="D919" s="9"/>
      <c r="E919" s="13"/>
    </row>
    <row r="920">
      <c r="D920" s="9"/>
      <c r="E920" s="13"/>
    </row>
    <row r="921">
      <c r="D921" s="9"/>
      <c r="E921" s="13"/>
    </row>
    <row r="922">
      <c r="D922" s="9"/>
      <c r="E922" s="13"/>
    </row>
    <row r="923">
      <c r="D923" s="9"/>
      <c r="E923" s="13"/>
    </row>
    <row r="924">
      <c r="D924" s="9"/>
      <c r="E924" s="13"/>
    </row>
    <row r="925">
      <c r="D925" s="9"/>
      <c r="E925" s="13"/>
    </row>
    <row r="926">
      <c r="D926" s="9"/>
      <c r="E926" s="13"/>
    </row>
    <row r="927">
      <c r="D927" s="9"/>
      <c r="E927" s="13"/>
    </row>
    <row r="928">
      <c r="D928" s="9"/>
      <c r="E928" s="13"/>
    </row>
    <row r="929">
      <c r="D929" s="9"/>
      <c r="E929" s="13"/>
    </row>
    <row r="930">
      <c r="D930" s="9"/>
      <c r="E930" s="13"/>
    </row>
    <row r="931">
      <c r="D931" s="9"/>
      <c r="E931" s="13"/>
    </row>
    <row r="932">
      <c r="D932" s="9"/>
      <c r="E932" s="13"/>
    </row>
    <row r="933">
      <c r="D933" s="9"/>
      <c r="E933" s="13"/>
    </row>
    <row r="934">
      <c r="D934" s="9"/>
      <c r="E934" s="13"/>
    </row>
    <row r="935">
      <c r="D935" s="9"/>
      <c r="E935" s="13"/>
    </row>
    <row r="936">
      <c r="D936" s="9"/>
      <c r="E936" s="13"/>
    </row>
    <row r="937">
      <c r="D937" s="9"/>
      <c r="E937" s="13"/>
    </row>
    <row r="938">
      <c r="D938" s="9"/>
      <c r="E938" s="13"/>
    </row>
    <row r="939">
      <c r="D939" s="9"/>
      <c r="E939" s="13"/>
    </row>
    <row r="940">
      <c r="D940" s="9"/>
      <c r="E940" s="13"/>
    </row>
    <row r="941">
      <c r="D941" s="9"/>
      <c r="E941" s="13"/>
    </row>
    <row r="942">
      <c r="D942" s="9"/>
      <c r="E942" s="13"/>
    </row>
    <row r="943">
      <c r="D943" s="9"/>
      <c r="E943" s="13"/>
    </row>
    <row r="944">
      <c r="D944" s="9"/>
      <c r="E944" s="13"/>
    </row>
    <row r="945">
      <c r="D945" s="9"/>
      <c r="E945" s="13"/>
    </row>
    <row r="946">
      <c r="D946" s="9"/>
      <c r="E946" s="13"/>
    </row>
    <row r="947">
      <c r="D947" s="9"/>
      <c r="E947" s="13"/>
    </row>
    <row r="948">
      <c r="D948" s="9"/>
      <c r="E948" s="13"/>
    </row>
    <row r="949">
      <c r="D949" s="9"/>
      <c r="E949" s="13"/>
    </row>
    <row r="950">
      <c r="D950" s="9"/>
      <c r="E950" s="13"/>
    </row>
    <row r="951">
      <c r="D951" s="9"/>
      <c r="E951" s="13"/>
    </row>
    <row r="952">
      <c r="D952" s="9"/>
      <c r="E952" s="13"/>
    </row>
    <row r="953">
      <c r="D953" s="9"/>
      <c r="E953" s="13"/>
    </row>
    <row r="954">
      <c r="D954" s="9"/>
      <c r="E954" s="13"/>
    </row>
    <row r="955">
      <c r="D955" s="9"/>
      <c r="E955" s="13"/>
    </row>
    <row r="956">
      <c r="D956" s="9"/>
      <c r="E956" s="13"/>
    </row>
    <row r="957">
      <c r="D957" s="9"/>
      <c r="E957" s="13"/>
    </row>
    <row r="958">
      <c r="D958" s="9"/>
      <c r="E958" s="13"/>
    </row>
    <row r="959">
      <c r="D959" s="9"/>
      <c r="E959" s="13"/>
    </row>
    <row r="960">
      <c r="D960" s="9"/>
      <c r="E960" s="13"/>
    </row>
    <row r="961">
      <c r="D961" s="9"/>
      <c r="E961" s="13"/>
    </row>
    <row r="962">
      <c r="D962" s="9"/>
      <c r="E962" s="13"/>
    </row>
    <row r="963">
      <c r="D963" s="9"/>
      <c r="E963" s="13"/>
    </row>
    <row r="964">
      <c r="D964" s="9"/>
      <c r="E964" s="13"/>
    </row>
    <row r="965">
      <c r="D965" s="9"/>
      <c r="E965" s="13"/>
    </row>
    <row r="966">
      <c r="D966" s="9"/>
      <c r="E966" s="13"/>
    </row>
    <row r="967">
      <c r="D967" s="9"/>
      <c r="E967" s="13"/>
    </row>
    <row r="968">
      <c r="D968" s="9"/>
      <c r="E968" s="13"/>
    </row>
    <row r="969">
      <c r="D969" s="9"/>
      <c r="E969" s="13"/>
    </row>
    <row r="970">
      <c r="D970" s="9"/>
      <c r="E970" s="13"/>
    </row>
    <row r="971">
      <c r="D971" s="9"/>
      <c r="E971" s="13"/>
    </row>
    <row r="972">
      <c r="D972" s="9"/>
      <c r="E972" s="13"/>
    </row>
    <row r="973">
      <c r="D973" s="9"/>
      <c r="E973" s="13"/>
    </row>
    <row r="974">
      <c r="D974" s="9"/>
      <c r="E974" s="13"/>
    </row>
    <row r="975">
      <c r="D975" s="9"/>
      <c r="E975" s="13"/>
    </row>
    <row r="976">
      <c r="D976" s="9"/>
      <c r="E976" s="13"/>
    </row>
    <row r="977">
      <c r="D977" s="9"/>
      <c r="E977" s="13"/>
    </row>
    <row r="978">
      <c r="D978" s="9"/>
      <c r="E978" s="13"/>
    </row>
    <row r="979">
      <c r="D979" s="9"/>
      <c r="E979" s="13"/>
    </row>
    <row r="980">
      <c r="D980" s="9"/>
      <c r="E980" s="13"/>
    </row>
    <row r="981">
      <c r="D981" s="9"/>
      <c r="E981" s="13"/>
    </row>
    <row r="982">
      <c r="D982" s="9"/>
      <c r="E982" s="13"/>
    </row>
    <row r="983">
      <c r="D983" s="9"/>
      <c r="E983" s="13"/>
    </row>
    <row r="984">
      <c r="D984" s="9"/>
      <c r="E984" s="13"/>
    </row>
    <row r="985">
      <c r="D985" s="9"/>
      <c r="E985" s="13"/>
    </row>
    <row r="986">
      <c r="D986" s="9"/>
      <c r="E986" s="13"/>
    </row>
    <row r="987">
      <c r="D987" s="9"/>
      <c r="E987" s="13"/>
    </row>
    <row r="988">
      <c r="D988" s="9"/>
      <c r="E988" s="13"/>
    </row>
    <row r="989">
      <c r="D989" s="9"/>
      <c r="E989" s="13"/>
    </row>
    <row r="990">
      <c r="D990" s="9"/>
      <c r="E990" s="13"/>
    </row>
    <row r="991">
      <c r="D991" s="9"/>
      <c r="E991" s="13"/>
    </row>
    <row r="992">
      <c r="D992" s="9"/>
      <c r="E992" s="13"/>
    </row>
    <row r="993">
      <c r="D993" s="9"/>
      <c r="E993" s="13"/>
    </row>
    <row r="994">
      <c r="D994" s="9"/>
      <c r="E994" s="13"/>
    </row>
    <row r="995">
      <c r="D995" s="9"/>
      <c r="E995" s="13"/>
    </row>
    <row r="996">
      <c r="D996" s="9"/>
      <c r="E996" s="13"/>
    </row>
    <row r="997">
      <c r="D997" s="9"/>
      <c r="E997" s="13"/>
    </row>
    <row r="998">
      <c r="D998" s="9"/>
      <c r="E998" s="13"/>
    </row>
    <row r="999">
      <c r="D999" s="9"/>
      <c r="E999" s="13"/>
    </row>
    <row r="1000">
      <c r="D1000" s="9"/>
      <c r="E1000" s="13"/>
    </row>
    <row r="1001">
      <c r="D1001" s="9"/>
      <c r="E1001" s="13"/>
    </row>
    <row r="1002">
      <c r="D1002" s="9"/>
      <c r="E1002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</cols>
  <sheetData>
    <row r="1">
      <c r="A1" s="6">
        <v>50.0</v>
      </c>
      <c r="B1" s="6" t="s">
        <v>123</v>
      </c>
      <c r="C1" s="6" t="s">
        <v>124</v>
      </c>
      <c r="D1" s="5" t="s">
        <v>125</v>
      </c>
      <c r="E1" s="7">
        <v>2.0220019E7</v>
      </c>
      <c r="F1" s="6" t="s">
        <v>126</v>
      </c>
      <c r="G1" s="6">
        <v>8.000849677E9</v>
      </c>
      <c r="I1" s="15">
        <v>17000.0</v>
      </c>
      <c r="M1" s="9">
        <f>(H1+I1+J1+K1-L1)</f>
        <v>17000</v>
      </c>
      <c r="N1" s="9">
        <f>SUM(Q1, T1, W1)</f>
        <v>8000</v>
      </c>
      <c r="O1" s="9">
        <f>(M1-N1)</f>
        <v>9000</v>
      </c>
      <c r="Q1" s="16">
        <v>8000.0</v>
      </c>
      <c r="R1" s="16">
        <v>2988.0</v>
      </c>
      <c r="S1" s="17">
        <v>45998.0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63"/>
    <col customWidth="1" min="2" max="2" width="20.5"/>
    <col customWidth="1" min="3" max="3" width="23.75"/>
    <col customWidth="1" min="4" max="4" width="5.5"/>
    <col customWidth="1" min="5" max="5" width="8.38"/>
    <col customWidth="1" min="6" max="6" width="13.63"/>
    <col customWidth="1" min="7" max="7" width="10.38"/>
    <col customWidth="1" min="8" max="8" width="8.13"/>
    <col customWidth="1" min="9" max="9" width="4.75"/>
    <col customWidth="1" min="10" max="10" width="5.75"/>
    <col customWidth="1" min="11" max="11" width="8.25"/>
    <col customWidth="1" min="12" max="12" width="5.63"/>
    <col customWidth="1" min="13" max="13" width="6.88"/>
    <col customWidth="1" min="14" max="14" width="6.5"/>
    <col customWidth="1" min="15" max="15" width="5.75"/>
    <col customWidth="1" min="16" max="16" width="11.38"/>
    <col customWidth="1" min="17" max="17" width="5.63"/>
    <col customWidth="1" min="18" max="18" width="4.75"/>
    <col customWidth="1" min="19" max="19" width="8.0"/>
    <col customWidth="1" min="20" max="20" width="5.38"/>
    <col customWidth="1" min="21" max="21" width="4.75"/>
    <col customWidth="1" min="22" max="22" width="7.5"/>
    <col customWidth="1" min="23" max="23" width="5.38"/>
    <col customWidth="1" min="24" max="29" width="5.0"/>
  </cols>
  <sheetData>
    <row r="1">
      <c r="A1" s="38" t="s">
        <v>127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41"/>
      <c r="U1" s="41"/>
      <c r="V1" s="41"/>
      <c r="W1" s="41"/>
      <c r="X1" s="41"/>
      <c r="Y1" s="41"/>
      <c r="Z1" s="41"/>
      <c r="AA1" s="41"/>
      <c r="AB1" s="41"/>
      <c r="AC1" s="4"/>
    </row>
    <row r="2">
      <c r="A2" s="42" t="s">
        <v>8</v>
      </c>
      <c r="B2" s="43" t="s">
        <v>9</v>
      </c>
      <c r="C2" s="43" t="s">
        <v>10</v>
      </c>
      <c r="D2" s="42" t="s">
        <v>11</v>
      </c>
      <c r="E2" s="44" t="s">
        <v>12</v>
      </c>
      <c r="F2" s="43" t="s">
        <v>13</v>
      </c>
      <c r="G2" s="43" t="s">
        <v>14</v>
      </c>
      <c r="H2" s="42" t="s">
        <v>15</v>
      </c>
      <c r="I2" s="42" t="s">
        <v>16</v>
      </c>
      <c r="J2" s="42" t="s">
        <v>17</v>
      </c>
      <c r="K2" s="42" t="s">
        <v>18</v>
      </c>
      <c r="L2" s="43" t="s">
        <v>19</v>
      </c>
      <c r="M2" s="42" t="s">
        <v>20</v>
      </c>
      <c r="N2" s="42" t="s">
        <v>21</v>
      </c>
      <c r="O2" s="42" t="s">
        <v>22</v>
      </c>
      <c r="P2" s="43" t="s">
        <v>23</v>
      </c>
      <c r="Q2" s="42" t="s">
        <v>24</v>
      </c>
      <c r="R2" s="42" t="s">
        <v>25</v>
      </c>
      <c r="S2" s="42" t="s">
        <v>26</v>
      </c>
      <c r="T2" s="42" t="s">
        <v>24</v>
      </c>
      <c r="U2" s="42" t="s">
        <v>25</v>
      </c>
      <c r="V2" s="42" t="s">
        <v>26</v>
      </c>
      <c r="W2" s="42" t="s">
        <v>24</v>
      </c>
      <c r="X2" s="42" t="s">
        <v>25</v>
      </c>
      <c r="Y2" s="42" t="s">
        <v>26</v>
      </c>
      <c r="Z2" s="42" t="s">
        <v>24</v>
      </c>
      <c r="AA2" s="42" t="s">
        <v>25</v>
      </c>
      <c r="AB2" s="42" t="s">
        <v>26</v>
      </c>
      <c r="AC2" s="33"/>
    </row>
    <row r="3">
      <c r="A3" s="45">
        <v>1.0</v>
      </c>
      <c r="B3" s="46" t="s">
        <v>128</v>
      </c>
      <c r="C3" s="46" t="s">
        <v>129</v>
      </c>
      <c r="D3" s="47" t="s">
        <v>29</v>
      </c>
      <c r="E3" s="48"/>
      <c r="F3" s="46" t="s">
        <v>130</v>
      </c>
      <c r="G3" s="49">
        <v>8.302148862E9</v>
      </c>
      <c r="H3" s="49">
        <v>1000.0</v>
      </c>
      <c r="I3" s="49">
        <v>9900.0</v>
      </c>
      <c r="J3" s="49">
        <v>5000.0</v>
      </c>
      <c r="K3" s="47">
        <v>0.0</v>
      </c>
      <c r="L3" s="49">
        <v>2900.0</v>
      </c>
      <c r="M3" s="49">
        <f t="shared" ref="M3:M42" si="1">(H3+I3+J3+K3-L3)</f>
        <v>13000</v>
      </c>
      <c r="N3" s="49">
        <f t="shared" ref="N3:N42" si="2">(Q3+T3+W3+Z3)</f>
        <v>5000</v>
      </c>
      <c r="O3" s="49">
        <f t="shared" ref="O3:O42" si="3">(M3-N3)</f>
        <v>8000</v>
      </c>
      <c r="P3" s="46" t="s">
        <v>131</v>
      </c>
      <c r="Q3" s="47">
        <v>3000.0</v>
      </c>
      <c r="R3" s="47">
        <v>3502.0</v>
      </c>
      <c r="S3" s="50">
        <v>45757.0</v>
      </c>
      <c r="T3" s="51">
        <v>2000.0</v>
      </c>
      <c r="U3" s="51">
        <v>3953.0</v>
      </c>
      <c r="V3" s="51" t="s">
        <v>132</v>
      </c>
      <c r="W3" s="46"/>
      <c r="X3" s="46"/>
      <c r="Y3" s="46"/>
      <c r="Z3" s="46"/>
      <c r="AA3" s="46"/>
      <c r="AB3" s="46"/>
      <c r="AC3" s="10"/>
    </row>
    <row r="4">
      <c r="A4" s="45">
        <v>2.0</v>
      </c>
      <c r="B4" s="52" t="s">
        <v>133</v>
      </c>
      <c r="C4" s="52" t="s">
        <v>134</v>
      </c>
      <c r="D4" s="45" t="s">
        <v>29</v>
      </c>
      <c r="E4" s="53"/>
      <c r="F4" s="52" t="s">
        <v>135</v>
      </c>
      <c r="G4" s="52">
        <v>9.602950788E9</v>
      </c>
      <c r="H4" s="47">
        <v>0.0</v>
      </c>
      <c r="I4" s="49">
        <v>9900.0</v>
      </c>
      <c r="J4" s="47">
        <v>6500.0</v>
      </c>
      <c r="K4" s="47">
        <v>0.0</v>
      </c>
      <c r="L4" s="52">
        <v>3400.0</v>
      </c>
      <c r="M4" s="49">
        <f t="shared" si="1"/>
        <v>13000</v>
      </c>
      <c r="N4" s="49">
        <f t="shared" si="2"/>
        <v>2500</v>
      </c>
      <c r="O4" s="49">
        <f t="shared" si="3"/>
        <v>10500</v>
      </c>
      <c r="P4" s="48"/>
      <c r="Q4" s="45">
        <v>2500.0</v>
      </c>
      <c r="R4" s="45">
        <v>3432.0</v>
      </c>
      <c r="S4" s="45" t="s">
        <v>136</v>
      </c>
      <c r="T4" s="48"/>
      <c r="U4" s="48"/>
      <c r="V4" s="48"/>
      <c r="W4" s="48"/>
      <c r="X4" s="48"/>
      <c r="Y4" s="48"/>
      <c r="Z4" s="48"/>
      <c r="AA4" s="48"/>
      <c r="AB4" s="48"/>
    </row>
    <row r="5">
      <c r="A5" s="45">
        <v>3.0</v>
      </c>
      <c r="B5" s="52" t="s">
        <v>137</v>
      </c>
      <c r="C5" s="52" t="s">
        <v>138</v>
      </c>
      <c r="D5" s="45" t="s">
        <v>139</v>
      </c>
      <c r="E5" s="53"/>
      <c r="F5" s="51" t="s">
        <v>30</v>
      </c>
      <c r="G5" s="52">
        <v>9.929381068E9</v>
      </c>
      <c r="H5" s="49">
        <v>1000.0</v>
      </c>
      <c r="I5" s="49">
        <v>9900.0</v>
      </c>
      <c r="J5" s="47">
        <v>9000.0</v>
      </c>
      <c r="K5" s="47">
        <v>0.0</v>
      </c>
      <c r="L5" s="52">
        <v>2400.0</v>
      </c>
      <c r="M5" s="49">
        <f t="shared" si="1"/>
        <v>17500</v>
      </c>
      <c r="N5" s="49">
        <f t="shared" si="2"/>
        <v>17500</v>
      </c>
      <c r="O5" s="49">
        <f t="shared" si="3"/>
        <v>0</v>
      </c>
      <c r="P5" s="52" t="s">
        <v>131</v>
      </c>
      <c r="Q5" s="45">
        <v>17500.0</v>
      </c>
      <c r="R5" s="45">
        <v>3344.0</v>
      </c>
      <c r="S5" s="45" t="s">
        <v>140</v>
      </c>
      <c r="T5" s="48"/>
      <c r="U5" s="48"/>
      <c r="V5" s="48"/>
      <c r="W5" s="48"/>
      <c r="X5" s="48"/>
      <c r="Y5" s="48"/>
      <c r="Z5" s="48"/>
      <c r="AA5" s="48"/>
      <c r="AB5" s="48"/>
    </row>
    <row r="6">
      <c r="A6" s="45">
        <v>4.0</v>
      </c>
      <c r="B6" s="52" t="s">
        <v>141</v>
      </c>
      <c r="C6" s="52" t="s">
        <v>142</v>
      </c>
      <c r="D6" s="45" t="s">
        <v>29</v>
      </c>
      <c r="E6" s="53"/>
      <c r="F6" s="52" t="s">
        <v>126</v>
      </c>
      <c r="G6" s="52">
        <v>6.376528992E9</v>
      </c>
      <c r="H6" s="54"/>
      <c r="I6" s="45">
        <v>9900.0</v>
      </c>
      <c r="J6" s="45">
        <v>5000.0</v>
      </c>
      <c r="K6" s="54"/>
      <c r="L6" s="48"/>
      <c r="M6" s="49">
        <f t="shared" si="1"/>
        <v>14900</v>
      </c>
      <c r="N6" s="49">
        <f t="shared" si="2"/>
        <v>0</v>
      </c>
      <c r="O6" s="49">
        <f t="shared" si="3"/>
        <v>14900</v>
      </c>
      <c r="P6" s="48"/>
      <c r="Q6" s="54"/>
      <c r="R6" s="54"/>
      <c r="S6" s="54"/>
      <c r="T6" s="48"/>
      <c r="U6" s="48"/>
      <c r="V6" s="48"/>
      <c r="W6" s="48"/>
      <c r="X6" s="48"/>
      <c r="Y6" s="48"/>
      <c r="Z6" s="48"/>
      <c r="AA6" s="48"/>
      <c r="AB6" s="48"/>
    </row>
    <row r="7">
      <c r="A7" s="45">
        <v>5.0</v>
      </c>
      <c r="B7" s="52" t="s">
        <v>143</v>
      </c>
      <c r="C7" s="52" t="s">
        <v>144</v>
      </c>
      <c r="D7" s="45" t="s">
        <v>29</v>
      </c>
      <c r="E7" s="55">
        <v>1835.0</v>
      </c>
      <c r="F7" s="46" t="s">
        <v>145</v>
      </c>
      <c r="G7" s="49">
        <v>8.290349758E9</v>
      </c>
      <c r="H7" s="49">
        <v>1000.0</v>
      </c>
      <c r="I7" s="49">
        <v>9900.0</v>
      </c>
      <c r="J7" s="47">
        <v>0.0</v>
      </c>
      <c r="K7" s="47">
        <v>0.0</v>
      </c>
      <c r="L7" s="49">
        <v>1900.0</v>
      </c>
      <c r="M7" s="49">
        <f t="shared" si="1"/>
        <v>9000</v>
      </c>
      <c r="N7" s="49">
        <f t="shared" si="2"/>
        <v>5000</v>
      </c>
      <c r="O7" s="49">
        <f t="shared" si="3"/>
        <v>4000</v>
      </c>
      <c r="P7" s="46" t="s">
        <v>44</v>
      </c>
      <c r="Q7" s="49">
        <v>2000.0</v>
      </c>
      <c r="R7" s="49">
        <v>2895.0</v>
      </c>
      <c r="S7" s="56">
        <v>45784.0</v>
      </c>
      <c r="T7" s="52">
        <v>3000.0</v>
      </c>
      <c r="U7" s="52">
        <v>3932.0</v>
      </c>
      <c r="V7" s="52" t="s">
        <v>132</v>
      </c>
      <c r="W7" s="48"/>
      <c r="X7" s="48"/>
      <c r="Y7" s="48"/>
      <c r="Z7" s="48"/>
      <c r="AA7" s="48"/>
      <c r="AB7" s="48"/>
    </row>
    <row r="8">
      <c r="A8" s="45">
        <v>6.0</v>
      </c>
      <c r="B8" s="52" t="s">
        <v>146</v>
      </c>
      <c r="C8" s="52" t="s">
        <v>147</v>
      </c>
      <c r="D8" s="45" t="s">
        <v>29</v>
      </c>
      <c r="E8" s="55">
        <v>1808.0</v>
      </c>
      <c r="F8" s="46" t="s">
        <v>126</v>
      </c>
      <c r="G8" s="49">
        <v>8.955554645E9</v>
      </c>
      <c r="H8" s="49">
        <v>1000.0</v>
      </c>
      <c r="I8" s="49">
        <v>9900.0</v>
      </c>
      <c r="J8" s="49">
        <v>5000.0</v>
      </c>
      <c r="K8" s="47">
        <v>0.0</v>
      </c>
      <c r="L8" s="49">
        <v>5900.0</v>
      </c>
      <c r="M8" s="49">
        <f t="shared" si="1"/>
        <v>10000</v>
      </c>
      <c r="N8" s="49">
        <f t="shared" si="2"/>
        <v>0</v>
      </c>
      <c r="O8" s="49">
        <f t="shared" si="3"/>
        <v>10000</v>
      </c>
      <c r="P8" s="46" t="s">
        <v>148</v>
      </c>
      <c r="Q8" s="54"/>
      <c r="R8" s="54"/>
      <c r="S8" s="54"/>
      <c r="T8" s="48"/>
      <c r="U8" s="48"/>
      <c r="V8" s="48"/>
      <c r="W8" s="48"/>
      <c r="X8" s="48"/>
      <c r="Y8" s="48"/>
      <c r="Z8" s="48"/>
      <c r="AA8" s="48"/>
      <c r="AB8" s="48"/>
    </row>
    <row r="9">
      <c r="A9" s="45">
        <v>7.0</v>
      </c>
      <c r="B9" s="52" t="s">
        <v>149</v>
      </c>
      <c r="C9" s="52" t="s">
        <v>150</v>
      </c>
      <c r="D9" s="45" t="s">
        <v>29</v>
      </c>
      <c r="E9" s="53"/>
      <c r="F9" s="51" t="s">
        <v>30</v>
      </c>
      <c r="G9" s="52">
        <v>8.94971222E9</v>
      </c>
      <c r="H9" s="54"/>
      <c r="I9" s="45">
        <v>9900.0</v>
      </c>
      <c r="J9" s="45">
        <v>9500.0</v>
      </c>
      <c r="K9" s="54"/>
      <c r="L9" s="48"/>
      <c r="M9" s="49">
        <f t="shared" si="1"/>
        <v>19400</v>
      </c>
      <c r="N9" s="49">
        <f t="shared" si="2"/>
        <v>4000</v>
      </c>
      <c r="O9" s="49">
        <f t="shared" si="3"/>
        <v>15400</v>
      </c>
      <c r="P9" s="48"/>
      <c r="Q9" s="45">
        <v>4000.0</v>
      </c>
      <c r="R9" s="45">
        <v>3703.0</v>
      </c>
      <c r="S9" s="57">
        <v>45940.0</v>
      </c>
      <c r="T9" s="48"/>
      <c r="U9" s="48"/>
      <c r="V9" s="48"/>
      <c r="W9" s="48"/>
      <c r="X9" s="48"/>
      <c r="Y9" s="48"/>
      <c r="Z9" s="48"/>
      <c r="AA9" s="48"/>
      <c r="AB9" s="48"/>
      <c r="AC9" s="10"/>
    </row>
    <row r="10">
      <c r="A10" s="45">
        <v>8.0</v>
      </c>
      <c r="B10" s="46" t="s">
        <v>151</v>
      </c>
      <c r="C10" s="46" t="s">
        <v>152</v>
      </c>
      <c r="D10" s="47" t="s">
        <v>29</v>
      </c>
      <c r="E10" s="48"/>
      <c r="F10" s="46" t="s">
        <v>3</v>
      </c>
      <c r="G10" s="49">
        <v>9.680530245E9</v>
      </c>
      <c r="H10" s="49">
        <v>1000.0</v>
      </c>
      <c r="I10" s="49">
        <v>9900.0</v>
      </c>
      <c r="J10" s="49">
        <v>6500.0</v>
      </c>
      <c r="K10" s="47">
        <v>0.0</v>
      </c>
      <c r="L10" s="49">
        <v>3900.0</v>
      </c>
      <c r="M10" s="49">
        <f t="shared" si="1"/>
        <v>13500</v>
      </c>
      <c r="N10" s="49">
        <f t="shared" si="2"/>
        <v>5000</v>
      </c>
      <c r="O10" s="49">
        <f t="shared" si="3"/>
        <v>8500</v>
      </c>
      <c r="P10" s="46" t="s">
        <v>153</v>
      </c>
      <c r="Q10" s="49">
        <v>2000.0</v>
      </c>
      <c r="R10" s="49">
        <v>2944.0</v>
      </c>
      <c r="S10" s="56">
        <v>45876.0</v>
      </c>
      <c r="T10" s="51">
        <v>3000.0</v>
      </c>
      <c r="U10" s="51">
        <v>3554.0</v>
      </c>
      <c r="V10" s="58">
        <v>45818.0</v>
      </c>
      <c r="W10" s="46"/>
      <c r="X10" s="46"/>
      <c r="Y10" s="46"/>
      <c r="Z10" s="46"/>
      <c r="AA10" s="46"/>
      <c r="AB10" s="46"/>
    </row>
    <row r="11">
      <c r="A11" s="45">
        <v>9.0</v>
      </c>
      <c r="B11" s="52" t="s">
        <v>154</v>
      </c>
      <c r="C11" s="52" t="s">
        <v>155</v>
      </c>
      <c r="D11" s="45" t="s">
        <v>29</v>
      </c>
      <c r="E11" s="55">
        <v>1993.0</v>
      </c>
      <c r="F11" s="51" t="s">
        <v>3</v>
      </c>
      <c r="G11" s="49">
        <v>8.829836134E9</v>
      </c>
      <c r="H11" s="49">
        <v>1000.0</v>
      </c>
      <c r="I11" s="49">
        <v>9900.0</v>
      </c>
      <c r="J11" s="49">
        <v>6500.0</v>
      </c>
      <c r="K11" s="47">
        <v>0.0</v>
      </c>
      <c r="L11" s="49">
        <v>4400.0</v>
      </c>
      <c r="M11" s="49">
        <f t="shared" si="1"/>
        <v>13000</v>
      </c>
      <c r="N11" s="49">
        <f t="shared" si="2"/>
        <v>4000</v>
      </c>
      <c r="O11" s="49">
        <f t="shared" si="3"/>
        <v>9000</v>
      </c>
      <c r="P11" s="46" t="s">
        <v>131</v>
      </c>
      <c r="Q11" s="49">
        <v>1000.0</v>
      </c>
      <c r="R11" s="49">
        <v>3159.0</v>
      </c>
      <c r="S11" s="49" t="s">
        <v>156</v>
      </c>
      <c r="T11" s="52">
        <v>3000.0</v>
      </c>
      <c r="U11" s="52">
        <v>3827.0</v>
      </c>
      <c r="V11" s="59">
        <v>45941.0</v>
      </c>
      <c r="W11" s="48"/>
      <c r="X11" s="48"/>
      <c r="Y11" s="48"/>
      <c r="Z11" s="48"/>
      <c r="AA11" s="48"/>
      <c r="AB11" s="48"/>
    </row>
    <row r="12">
      <c r="A12" s="45">
        <v>10.0</v>
      </c>
      <c r="B12" s="52" t="s">
        <v>157</v>
      </c>
      <c r="C12" s="52" t="s">
        <v>158</v>
      </c>
      <c r="D12" s="45" t="s">
        <v>29</v>
      </c>
      <c r="E12" s="55">
        <v>2.0220044E7</v>
      </c>
      <c r="F12" s="46" t="s">
        <v>126</v>
      </c>
      <c r="G12" s="49">
        <v>9.783728649E9</v>
      </c>
      <c r="H12" s="49">
        <v>1000.0</v>
      </c>
      <c r="I12" s="47">
        <v>9900.0</v>
      </c>
      <c r="J12" s="49">
        <v>5000.0</v>
      </c>
      <c r="K12" s="47">
        <v>0.0</v>
      </c>
      <c r="L12" s="46"/>
      <c r="M12" s="49">
        <f t="shared" si="1"/>
        <v>15900</v>
      </c>
      <c r="N12" s="49">
        <f t="shared" si="2"/>
        <v>4000</v>
      </c>
      <c r="O12" s="49">
        <f t="shared" si="3"/>
        <v>11900</v>
      </c>
      <c r="P12" s="46" t="s">
        <v>159</v>
      </c>
      <c r="Q12" s="49">
        <v>1000.0</v>
      </c>
      <c r="R12" s="49">
        <v>3223.0</v>
      </c>
      <c r="S12" s="49" t="s">
        <v>160</v>
      </c>
      <c r="T12" s="52">
        <v>3000.0</v>
      </c>
      <c r="U12" s="52">
        <v>221.0</v>
      </c>
      <c r="V12" s="59">
        <v>45941.0</v>
      </c>
      <c r="W12" s="48"/>
      <c r="X12" s="48"/>
      <c r="Y12" s="48"/>
      <c r="Z12" s="48"/>
      <c r="AA12" s="48"/>
      <c r="AB12" s="48"/>
    </row>
    <row r="13">
      <c r="A13" s="45">
        <v>11.0</v>
      </c>
      <c r="B13" s="46" t="s">
        <v>161</v>
      </c>
      <c r="C13" s="46" t="s">
        <v>162</v>
      </c>
      <c r="D13" s="45" t="s">
        <v>29</v>
      </c>
      <c r="E13" s="48"/>
      <c r="F13" s="51" t="s">
        <v>30</v>
      </c>
      <c r="G13" s="49">
        <v>8.949821008E9</v>
      </c>
      <c r="H13" s="49">
        <v>1000.0</v>
      </c>
      <c r="I13" s="49">
        <v>9900.0</v>
      </c>
      <c r="J13" s="49">
        <v>9500.0</v>
      </c>
      <c r="K13" s="47">
        <v>0.0</v>
      </c>
      <c r="L13" s="49">
        <v>2400.0</v>
      </c>
      <c r="M13" s="49">
        <f t="shared" si="1"/>
        <v>18000</v>
      </c>
      <c r="N13" s="49">
        <f t="shared" si="2"/>
        <v>1000</v>
      </c>
      <c r="O13" s="49">
        <f t="shared" si="3"/>
        <v>17000</v>
      </c>
      <c r="P13" s="46" t="s">
        <v>44</v>
      </c>
      <c r="Q13" s="49">
        <v>1000.0</v>
      </c>
      <c r="R13" s="49">
        <v>3157.0</v>
      </c>
      <c r="S13" s="56">
        <v>45785.0</v>
      </c>
      <c r="T13" s="46"/>
      <c r="U13" s="46"/>
      <c r="V13" s="46"/>
      <c r="W13" s="46"/>
      <c r="X13" s="46"/>
      <c r="Y13" s="46"/>
      <c r="Z13" s="46"/>
      <c r="AA13" s="46"/>
      <c r="AB13" s="46"/>
      <c r="AC13" s="10"/>
    </row>
    <row r="14">
      <c r="A14" s="45">
        <v>12.0</v>
      </c>
      <c r="B14" s="46" t="s">
        <v>163</v>
      </c>
      <c r="C14" s="46" t="s">
        <v>164</v>
      </c>
      <c r="D14" s="47" t="s">
        <v>29</v>
      </c>
      <c r="E14" s="48"/>
      <c r="F14" s="46" t="s">
        <v>165</v>
      </c>
      <c r="G14" s="49">
        <v>7.568461101E9</v>
      </c>
      <c r="H14" s="49">
        <v>1000.0</v>
      </c>
      <c r="I14" s="49">
        <v>9900.0</v>
      </c>
      <c r="J14" s="49">
        <v>6500.0</v>
      </c>
      <c r="K14" s="47">
        <v>0.0</v>
      </c>
      <c r="L14" s="49">
        <v>1400.0</v>
      </c>
      <c r="M14" s="49">
        <f t="shared" si="1"/>
        <v>16000</v>
      </c>
      <c r="N14" s="49">
        <f t="shared" si="2"/>
        <v>11000</v>
      </c>
      <c r="O14" s="49">
        <f t="shared" si="3"/>
        <v>5000</v>
      </c>
      <c r="P14" s="46" t="s">
        <v>131</v>
      </c>
      <c r="Q14" s="49">
        <v>1000.0</v>
      </c>
      <c r="R14" s="49">
        <v>3040.0</v>
      </c>
      <c r="S14" s="49" t="s">
        <v>166</v>
      </c>
      <c r="T14" s="51">
        <v>10000.0</v>
      </c>
      <c r="U14" s="51">
        <v>3640.0</v>
      </c>
      <c r="V14" s="58">
        <v>45910.0</v>
      </c>
      <c r="W14" s="46"/>
      <c r="X14" s="46"/>
      <c r="Y14" s="46"/>
      <c r="Z14" s="46"/>
      <c r="AA14" s="46"/>
      <c r="AB14" s="46"/>
    </row>
    <row r="15">
      <c r="A15" s="45">
        <v>13.0</v>
      </c>
      <c r="B15" s="46" t="s">
        <v>167</v>
      </c>
      <c r="C15" s="46" t="s">
        <v>168</v>
      </c>
      <c r="D15" s="47" t="s">
        <v>29</v>
      </c>
      <c r="E15" s="48"/>
      <c r="F15" s="46" t="s">
        <v>169</v>
      </c>
      <c r="G15" s="49">
        <v>9.001603329E9</v>
      </c>
      <c r="H15" s="49">
        <v>1000.0</v>
      </c>
      <c r="I15" s="49">
        <v>9900.0</v>
      </c>
      <c r="J15" s="49">
        <v>7000.0</v>
      </c>
      <c r="K15" s="47">
        <v>0.0</v>
      </c>
      <c r="L15" s="49">
        <v>5500.0</v>
      </c>
      <c r="M15" s="49">
        <f t="shared" si="1"/>
        <v>12400</v>
      </c>
      <c r="N15" s="49">
        <f t="shared" si="2"/>
        <v>6000</v>
      </c>
      <c r="O15" s="49">
        <f t="shared" si="3"/>
        <v>6400</v>
      </c>
      <c r="P15" s="46" t="s">
        <v>159</v>
      </c>
      <c r="Q15" s="49">
        <v>5000.0</v>
      </c>
      <c r="R15" s="49">
        <v>3076.0</v>
      </c>
      <c r="S15" s="49" t="s">
        <v>170</v>
      </c>
      <c r="T15" s="51">
        <v>1000.0</v>
      </c>
      <c r="U15" s="51">
        <v>3899.0</v>
      </c>
      <c r="V15" s="51" t="s">
        <v>171</v>
      </c>
      <c r="W15" s="46"/>
      <c r="X15" s="46"/>
      <c r="Y15" s="46"/>
      <c r="Z15" s="46"/>
      <c r="AA15" s="46"/>
      <c r="AB15" s="46"/>
    </row>
    <row r="16">
      <c r="A16" s="45">
        <v>14.0</v>
      </c>
      <c r="B16" s="52" t="s">
        <v>82</v>
      </c>
      <c r="C16" s="52" t="s">
        <v>172</v>
      </c>
      <c r="D16" s="45" t="s">
        <v>29</v>
      </c>
      <c r="E16" s="55">
        <v>1912.0</v>
      </c>
      <c r="F16" s="51" t="s">
        <v>30</v>
      </c>
      <c r="G16" s="49">
        <v>9.78493172E9</v>
      </c>
      <c r="H16" s="49">
        <v>1000.0</v>
      </c>
      <c r="I16" s="49">
        <v>9900.0</v>
      </c>
      <c r="J16" s="49">
        <v>9500.0</v>
      </c>
      <c r="K16" s="47">
        <v>0.0</v>
      </c>
      <c r="L16" s="49">
        <v>2400.0</v>
      </c>
      <c r="M16" s="49">
        <f t="shared" si="1"/>
        <v>18000</v>
      </c>
      <c r="N16" s="49">
        <f t="shared" si="2"/>
        <v>7500</v>
      </c>
      <c r="O16" s="49">
        <f t="shared" si="3"/>
        <v>10500</v>
      </c>
      <c r="P16" s="46" t="s">
        <v>44</v>
      </c>
      <c r="Q16" s="49">
        <v>2500.0</v>
      </c>
      <c r="R16" s="49">
        <v>3069.0</v>
      </c>
      <c r="S16" s="49" t="s">
        <v>170</v>
      </c>
      <c r="T16" s="52">
        <v>5000.0</v>
      </c>
      <c r="U16" s="52">
        <v>3818.0</v>
      </c>
      <c r="V16" s="59">
        <v>45941.0</v>
      </c>
      <c r="W16" s="48"/>
      <c r="X16" s="48"/>
      <c r="Y16" s="48"/>
      <c r="Z16" s="48"/>
      <c r="AA16" s="48"/>
      <c r="AB16" s="48"/>
    </row>
    <row r="17">
      <c r="A17" s="45">
        <v>15.0</v>
      </c>
      <c r="B17" s="52" t="s">
        <v>173</v>
      </c>
      <c r="C17" s="52" t="s">
        <v>174</v>
      </c>
      <c r="D17" s="45" t="s">
        <v>29</v>
      </c>
      <c r="E17" s="55">
        <v>2.0220041E7</v>
      </c>
      <c r="F17" s="52" t="s">
        <v>130</v>
      </c>
      <c r="G17" s="52">
        <v>9.001066805E9</v>
      </c>
      <c r="H17" s="49">
        <v>1000.0</v>
      </c>
      <c r="I17" s="49">
        <v>9900.0</v>
      </c>
      <c r="J17" s="45">
        <v>5000.0</v>
      </c>
      <c r="K17" s="47">
        <v>0.0</v>
      </c>
      <c r="L17" s="48"/>
      <c r="M17" s="49">
        <f t="shared" si="1"/>
        <v>15900</v>
      </c>
      <c r="N17" s="49">
        <f t="shared" si="2"/>
        <v>2000</v>
      </c>
      <c r="O17" s="49">
        <f t="shared" si="3"/>
        <v>13900</v>
      </c>
      <c r="P17" s="48"/>
      <c r="Q17" s="45">
        <v>2000.0</v>
      </c>
      <c r="R17" s="45">
        <v>220.0</v>
      </c>
      <c r="S17" s="60">
        <v>45880.0</v>
      </c>
      <c r="T17" s="48"/>
      <c r="U17" s="48"/>
      <c r="V17" s="48"/>
      <c r="W17" s="48"/>
      <c r="X17" s="48"/>
      <c r="Y17" s="48"/>
      <c r="Z17" s="48"/>
      <c r="AA17" s="48"/>
      <c r="AB17" s="48"/>
    </row>
    <row r="18">
      <c r="A18" s="61">
        <v>16.0</v>
      </c>
      <c r="B18" s="62" t="s">
        <v>175</v>
      </c>
      <c r="C18" s="62" t="s">
        <v>176</v>
      </c>
      <c r="D18" s="61" t="s">
        <v>29</v>
      </c>
      <c r="E18" s="63">
        <v>2.022004E7</v>
      </c>
      <c r="F18" s="62" t="s">
        <v>145</v>
      </c>
      <c r="G18" s="62">
        <v>8.975773947E9</v>
      </c>
      <c r="H18" s="64">
        <v>1000.0</v>
      </c>
      <c r="I18" s="64">
        <v>9900.0</v>
      </c>
      <c r="J18" s="61">
        <v>0.0</v>
      </c>
      <c r="K18" s="65">
        <v>0.0</v>
      </c>
      <c r="L18" s="62">
        <v>3400.0</v>
      </c>
      <c r="M18" s="64">
        <f t="shared" si="1"/>
        <v>7500</v>
      </c>
      <c r="N18" s="64">
        <f t="shared" si="2"/>
        <v>0</v>
      </c>
      <c r="O18" s="64">
        <f t="shared" si="3"/>
        <v>7500</v>
      </c>
      <c r="P18" s="62" t="s">
        <v>177</v>
      </c>
      <c r="Q18" s="66"/>
      <c r="R18" s="66"/>
      <c r="S18" s="66"/>
      <c r="T18" s="67"/>
      <c r="U18" s="67"/>
      <c r="V18" s="67"/>
      <c r="W18" s="67"/>
      <c r="X18" s="67"/>
      <c r="Y18" s="67"/>
      <c r="Z18" s="67"/>
      <c r="AA18" s="67"/>
      <c r="AB18" s="67"/>
      <c r="AC18" s="68"/>
    </row>
    <row r="19">
      <c r="A19" s="45">
        <v>17.0</v>
      </c>
      <c r="B19" s="52" t="s">
        <v>178</v>
      </c>
      <c r="C19" s="52" t="s">
        <v>179</v>
      </c>
      <c r="D19" s="45" t="s">
        <v>29</v>
      </c>
      <c r="E19" s="55">
        <v>2052.0</v>
      </c>
      <c r="F19" s="52" t="s">
        <v>126</v>
      </c>
      <c r="G19" s="52">
        <v>7.426847347E9</v>
      </c>
      <c r="H19" s="54"/>
      <c r="I19" s="49">
        <v>9900.0</v>
      </c>
      <c r="J19" s="45">
        <v>5000.0</v>
      </c>
      <c r="K19" s="45">
        <v>0.0</v>
      </c>
      <c r="L19" s="52">
        <v>14900.0</v>
      </c>
      <c r="M19" s="49">
        <f t="shared" si="1"/>
        <v>0</v>
      </c>
      <c r="N19" s="49">
        <f t="shared" si="2"/>
        <v>0</v>
      </c>
      <c r="O19" s="49">
        <f t="shared" si="3"/>
        <v>0</v>
      </c>
      <c r="P19" s="52" t="s">
        <v>131</v>
      </c>
      <c r="Q19" s="54"/>
      <c r="R19" s="54"/>
      <c r="S19" s="54"/>
      <c r="T19" s="48"/>
      <c r="U19" s="48"/>
      <c r="V19" s="48"/>
      <c r="W19" s="48"/>
      <c r="X19" s="48"/>
      <c r="Y19" s="48"/>
      <c r="Z19" s="48"/>
      <c r="AA19" s="48"/>
      <c r="AB19" s="48"/>
    </row>
    <row r="20">
      <c r="A20" s="45">
        <v>18.0</v>
      </c>
      <c r="B20" s="52" t="s">
        <v>180</v>
      </c>
      <c r="C20" s="52" t="s">
        <v>181</v>
      </c>
      <c r="D20" s="45" t="s">
        <v>29</v>
      </c>
      <c r="E20" s="55">
        <v>1976.0</v>
      </c>
      <c r="F20" s="51" t="s">
        <v>182</v>
      </c>
      <c r="G20" s="49">
        <v>9.982545759E9</v>
      </c>
      <c r="H20" s="49">
        <v>1000.0</v>
      </c>
      <c r="I20" s="49">
        <v>9900.0</v>
      </c>
      <c r="J20" s="49">
        <v>7000.0</v>
      </c>
      <c r="K20" s="47">
        <v>0.0</v>
      </c>
      <c r="L20" s="49">
        <v>4400.0</v>
      </c>
      <c r="M20" s="49">
        <f t="shared" si="1"/>
        <v>13500</v>
      </c>
      <c r="N20" s="49">
        <f t="shared" si="2"/>
        <v>9000</v>
      </c>
      <c r="O20" s="49">
        <f t="shared" si="3"/>
        <v>4500</v>
      </c>
      <c r="P20" s="46" t="s">
        <v>131</v>
      </c>
      <c r="Q20" s="49">
        <v>4000.0</v>
      </c>
      <c r="R20" s="49">
        <v>3143.0</v>
      </c>
      <c r="S20" s="56">
        <v>45755.0</v>
      </c>
      <c r="T20" s="52">
        <v>5000.0</v>
      </c>
      <c r="U20" s="52">
        <v>4055.0</v>
      </c>
      <c r="V20" s="52" t="s">
        <v>183</v>
      </c>
      <c r="W20" s="48"/>
      <c r="X20" s="48"/>
      <c r="Y20" s="48"/>
      <c r="Z20" s="48"/>
      <c r="AA20" s="48"/>
      <c r="AB20" s="48"/>
    </row>
    <row r="21">
      <c r="A21" s="45">
        <v>19.0</v>
      </c>
      <c r="B21" s="52" t="s">
        <v>184</v>
      </c>
      <c r="C21" s="52" t="s">
        <v>185</v>
      </c>
      <c r="D21" s="45" t="s">
        <v>29</v>
      </c>
      <c r="E21" s="53"/>
      <c r="F21" s="52" t="s">
        <v>126</v>
      </c>
      <c r="G21" s="52">
        <v>9.950409208E9</v>
      </c>
      <c r="H21" s="49">
        <v>1000.0</v>
      </c>
      <c r="I21" s="49">
        <v>9900.0</v>
      </c>
      <c r="J21" s="45">
        <v>5000.0</v>
      </c>
      <c r="K21" s="47">
        <v>0.0</v>
      </c>
      <c r="L21" s="48"/>
      <c r="M21" s="49">
        <f t="shared" si="1"/>
        <v>15900</v>
      </c>
      <c r="N21" s="49">
        <f t="shared" si="2"/>
        <v>2000</v>
      </c>
      <c r="O21" s="49">
        <f t="shared" si="3"/>
        <v>13900</v>
      </c>
      <c r="P21" s="48"/>
      <c r="Q21" s="45">
        <v>2000.0</v>
      </c>
      <c r="R21" s="45">
        <v>4019.0</v>
      </c>
      <c r="S21" s="45" t="s">
        <v>132</v>
      </c>
      <c r="T21" s="48"/>
      <c r="U21" s="48"/>
      <c r="V21" s="48"/>
      <c r="W21" s="48"/>
      <c r="X21" s="48"/>
      <c r="Y21" s="48"/>
      <c r="Z21" s="48"/>
      <c r="AA21" s="48"/>
      <c r="AB21" s="48"/>
    </row>
    <row r="22">
      <c r="A22" s="45">
        <v>20.0</v>
      </c>
      <c r="B22" s="52" t="s">
        <v>186</v>
      </c>
      <c r="C22" s="52" t="s">
        <v>187</v>
      </c>
      <c r="D22" s="45" t="s">
        <v>29</v>
      </c>
      <c r="E22" s="53"/>
      <c r="F22" s="52" t="s">
        <v>188</v>
      </c>
      <c r="G22" s="52">
        <v>6.378144225E9</v>
      </c>
      <c r="H22" s="54"/>
      <c r="I22" s="45">
        <v>9900.0</v>
      </c>
      <c r="J22" s="45">
        <v>5000.0</v>
      </c>
      <c r="K22" s="54"/>
      <c r="L22" s="52">
        <v>1900.0</v>
      </c>
      <c r="M22" s="49">
        <f t="shared" si="1"/>
        <v>13000</v>
      </c>
      <c r="N22" s="49">
        <f t="shared" si="2"/>
        <v>0</v>
      </c>
      <c r="O22" s="49">
        <f t="shared" si="3"/>
        <v>13000</v>
      </c>
      <c r="P22" s="48"/>
      <c r="Q22" s="45"/>
      <c r="R22" s="54"/>
      <c r="S22" s="54"/>
      <c r="T22" s="48"/>
      <c r="U22" s="48"/>
      <c r="V22" s="48"/>
      <c r="W22" s="48"/>
      <c r="X22" s="48"/>
      <c r="Y22" s="48"/>
      <c r="Z22" s="48"/>
      <c r="AA22" s="48"/>
      <c r="AB22" s="48"/>
    </row>
    <row r="23">
      <c r="A23" s="45">
        <v>21.0</v>
      </c>
      <c r="B23" s="51" t="s">
        <v>189</v>
      </c>
      <c r="C23" s="46" t="s">
        <v>190</v>
      </c>
      <c r="D23" s="45" t="s">
        <v>29</v>
      </c>
      <c r="E23" s="48"/>
      <c r="F23" s="46" t="s">
        <v>145</v>
      </c>
      <c r="G23" s="51">
        <v>7.726898395E9</v>
      </c>
      <c r="H23" s="49">
        <v>1000.0</v>
      </c>
      <c r="I23" s="49">
        <v>9900.0</v>
      </c>
      <c r="J23" s="47">
        <v>0.0</v>
      </c>
      <c r="K23" s="47">
        <v>0.0</v>
      </c>
      <c r="L23" s="46"/>
      <c r="M23" s="49">
        <f t="shared" si="1"/>
        <v>10900</v>
      </c>
      <c r="N23" s="49">
        <f t="shared" si="2"/>
        <v>2000</v>
      </c>
      <c r="O23" s="49">
        <f t="shared" si="3"/>
        <v>8900</v>
      </c>
      <c r="P23" s="48"/>
      <c r="Q23" s="69">
        <v>2000.0</v>
      </c>
      <c r="R23" s="69">
        <v>2901.0</v>
      </c>
      <c r="S23" s="46" t="s">
        <v>191</v>
      </c>
      <c r="T23" s="46"/>
      <c r="U23" s="46"/>
      <c r="V23" s="46"/>
      <c r="W23" s="46"/>
      <c r="X23" s="46"/>
      <c r="Y23" s="46"/>
      <c r="Z23" s="46"/>
      <c r="AA23" s="48"/>
      <c r="AB23" s="48"/>
    </row>
    <row r="24">
      <c r="A24" s="45">
        <v>22.0</v>
      </c>
      <c r="B24" s="52" t="s">
        <v>192</v>
      </c>
      <c r="C24" s="52" t="s">
        <v>193</v>
      </c>
      <c r="D24" s="45" t="s">
        <v>29</v>
      </c>
      <c r="E24" s="55">
        <v>1836.0</v>
      </c>
      <c r="F24" s="46" t="s">
        <v>194</v>
      </c>
      <c r="G24" s="49">
        <v>8.955176035E9</v>
      </c>
      <c r="H24" s="49">
        <v>1000.0</v>
      </c>
      <c r="I24" s="49">
        <v>9900.0</v>
      </c>
      <c r="J24" s="49">
        <v>3000.0</v>
      </c>
      <c r="K24" s="47">
        <v>0.0</v>
      </c>
      <c r="L24" s="49">
        <v>900.0</v>
      </c>
      <c r="M24" s="49">
        <f t="shared" si="1"/>
        <v>13000</v>
      </c>
      <c r="N24" s="49">
        <f t="shared" si="2"/>
        <v>9000</v>
      </c>
      <c r="O24" s="49">
        <f t="shared" si="3"/>
        <v>4000</v>
      </c>
      <c r="P24" s="46" t="s">
        <v>177</v>
      </c>
      <c r="Q24" s="49">
        <v>4000.0</v>
      </c>
      <c r="R24" s="49">
        <v>2846.0</v>
      </c>
      <c r="S24" s="49" t="s">
        <v>195</v>
      </c>
      <c r="T24" s="52">
        <v>2000.0</v>
      </c>
      <c r="U24" s="52">
        <v>3668.0</v>
      </c>
      <c r="V24" s="70">
        <v>45910.0</v>
      </c>
      <c r="W24" s="52">
        <v>3000.0</v>
      </c>
      <c r="X24" s="52">
        <v>3844.0</v>
      </c>
      <c r="Y24" s="59">
        <v>45941.0</v>
      </c>
      <c r="Z24" s="48"/>
      <c r="AA24" s="48"/>
      <c r="AB24" s="48"/>
    </row>
    <row r="25">
      <c r="A25" s="45">
        <v>23.0</v>
      </c>
      <c r="B25" s="52" t="s">
        <v>196</v>
      </c>
      <c r="C25" s="52" t="s">
        <v>197</v>
      </c>
      <c r="D25" s="45" t="s">
        <v>29</v>
      </c>
      <c r="E25" s="55">
        <v>1817.0</v>
      </c>
      <c r="F25" s="46" t="s">
        <v>165</v>
      </c>
      <c r="G25" s="49">
        <v>6.367624583E9</v>
      </c>
      <c r="H25" s="49">
        <v>1000.0</v>
      </c>
      <c r="I25" s="49">
        <v>9900.0</v>
      </c>
      <c r="J25" s="49">
        <v>7000.0</v>
      </c>
      <c r="K25" s="47">
        <v>0.0</v>
      </c>
      <c r="L25" s="49">
        <v>1900.0</v>
      </c>
      <c r="M25" s="49">
        <f t="shared" si="1"/>
        <v>16000</v>
      </c>
      <c r="N25" s="49">
        <f t="shared" si="2"/>
        <v>12000</v>
      </c>
      <c r="O25" s="49">
        <f t="shared" si="3"/>
        <v>4000</v>
      </c>
      <c r="P25" s="46" t="s">
        <v>177</v>
      </c>
      <c r="Q25" s="49">
        <v>8000.0</v>
      </c>
      <c r="R25" s="49">
        <v>2933.0</v>
      </c>
      <c r="S25" s="56">
        <v>45876.0</v>
      </c>
      <c r="T25" s="52">
        <v>4000.0</v>
      </c>
      <c r="U25" s="52">
        <v>3816.0</v>
      </c>
      <c r="V25" s="59">
        <v>45941.0</v>
      </c>
      <c r="W25" s="48"/>
      <c r="X25" s="48"/>
      <c r="Y25" s="48"/>
      <c r="Z25" s="48"/>
      <c r="AA25" s="48"/>
      <c r="AB25" s="48"/>
    </row>
    <row r="26">
      <c r="A26" s="45">
        <v>24.0</v>
      </c>
      <c r="B26" s="52" t="s">
        <v>198</v>
      </c>
      <c r="C26" s="52" t="s">
        <v>199</v>
      </c>
      <c r="D26" s="45" t="s">
        <v>29</v>
      </c>
      <c r="E26" s="53"/>
      <c r="F26" s="52" t="s">
        <v>200</v>
      </c>
      <c r="G26" s="52">
        <v>9.521527211E9</v>
      </c>
      <c r="H26" s="45">
        <v>1000.0</v>
      </c>
      <c r="I26" s="45">
        <v>9900.0</v>
      </c>
      <c r="J26" s="45">
        <v>7000.0</v>
      </c>
      <c r="K26" s="54"/>
      <c r="L26" s="52">
        <v>2900.0</v>
      </c>
      <c r="M26" s="49">
        <f t="shared" si="1"/>
        <v>15000</v>
      </c>
      <c r="N26" s="49">
        <f t="shared" si="2"/>
        <v>2000</v>
      </c>
      <c r="O26" s="49">
        <f t="shared" si="3"/>
        <v>13000</v>
      </c>
      <c r="P26" s="52" t="s">
        <v>159</v>
      </c>
      <c r="Q26" s="45">
        <v>2000.0</v>
      </c>
      <c r="R26" s="45">
        <v>3359.0</v>
      </c>
      <c r="S26" s="60">
        <v>45666.0</v>
      </c>
      <c r="T26" s="48"/>
      <c r="U26" s="48"/>
      <c r="V26" s="48"/>
      <c r="W26" s="48"/>
      <c r="X26" s="48"/>
      <c r="Y26" s="48"/>
      <c r="Z26" s="48"/>
      <c r="AA26" s="48"/>
      <c r="AB26" s="48"/>
    </row>
    <row r="27">
      <c r="A27" s="45">
        <v>25.0</v>
      </c>
      <c r="B27" s="52" t="s">
        <v>201</v>
      </c>
      <c r="C27" s="52" t="s">
        <v>202</v>
      </c>
      <c r="D27" s="45" t="s">
        <v>29</v>
      </c>
      <c r="E27" s="55">
        <v>2.0220042E7</v>
      </c>
      <c r="F27" s="52" t="s">
        <v>169</v>
      </c>
      <c r="G27" s="52">
        <v>9.5212719E9</v>
      </c>
      <c r="H27" s="49">
        <v>1000.0</v>
      </c>
      <c r="I27" s="45">
        <v>9900.0</v>
      </c>
      <c r="J27" s="45">
        <v>7000.0</v>
      </c>
      <c r="K27" s="47">
        <v>0.0</v>
      </c>
      <c r="L27" s="48"/>
      <c r="M27" s="49">
        <f t="shared" si="1"/>
        <v>17900</v>
      </c>
      <c r="N27" s="49">
        <f t="shared" si="2"/>
        <v>1000</v>
      </c>
      <c r="O27" s="49">
        <f t="shared" si="3"/>
        <v>16900</v>
      </c>
      <c r="P27" s="48"/>
      <c r="Q27" s="45">
        <v>1000.0</v>
      </c>
      <c r="R27" s="45">
        <v>224.0</v>
      </c>
      <c r="S27" s="57">
        <v>45941.0</v>
      </c>
      <c r="T27" s="48"/>
      <c r="U27" s="48"/>
      <c r="V27" s="48"/>
      <c r="W27" s="48"/>
      <c r="X27" s="48"/>
      <c r="Y27" s="48"/>
      <c r="Z27" s="48"/>
      <c r="AA27" s="48"/>
      <c r="AB27" s="48"/>
    </row>
    <row r="28">
      <c r="A28" s="45">
        <v>26.0</v>
      </c>
      <c r="B28" s="52" t="s">
        <v>203</v>
      </c>
      <c r="C28" s="52" t="s">
        <v>204</v>
      </c>
      <c r="D28" s="45" t="s">
        <v>29</v>
      </c>
      <c r="E28" s="55">
        <v>1931.0</v>
      </c>
      <c r="F28" s="46" t="s">
        <v>205</v>
      </c>
      <c r="G28" s="49">
        <v>9.001695506E9</v>
      </c>
      <c r="H28" s="49">
        <v>1000.0</v>
      </c>
      <c r="I28" s="49">
        <v>9900.0</v>
      </c>
      <c r="J28" s="49">
        <v>7500.0</v>
      </c>
      <c r="K28" s="47">
        <v>0.0</v>
      </c>
      <c r="L28" s="49">
        <v>3400.0</v>
      </c>
      <c r="M28" s="49">
        <f t="shared" si="1"/>
        <v>15000</v>
      </c>
      <c r="N28" s="49">
        <f t="shared" si="2"/>
        <v>8000</v>
      </c>
      <c r="O28" s="49">
        <f t="shared" si="3"/>
        <v>7000</v>
      </c>
      <c r="P28" s="46" t="s">
        <v>159</v>
      </c>
      <c r="Q28" s="49">
        <v>5000.0</v>
      </c>
      <c r="R28" s="49">
        <v>3093.0</v>
      </c>
      <c r="S28" s="49" t="s">
        <v>206</v>
      </c>
      <c r="T28" s="52">
        <v>3000.0</v>
      </c>
      <c r="U28" s="52">
        <v>4049.0</v>
      </c>
      <c r="V28" s="52" t="s">
        <v>207</v>
      </c>
      <c r="W28" s="48"/>
      <c r="X28" s="48"/>
      <c r="Y28" s="48"/>
      <c r="Z28" s="48"/>
      <c r="AA28" s="48"/>
      <c r="AB28" s="48"/>
    </row>
    <row r="29">
      <c r="A29" s="45">
        <v>27.0</v>
      </c>
      <c r="B29" s="46" t="s">
        <v>208</v>
      </c>
      <c r="C29" s="46" t="s">
        <v>209</v>
      </c>
      <c r="D29" s="47" t="s">
        <v>29</v>
      </c>
      <c r="E29" s="48"/>
      <c r="F29" s="46" t="s">
        <v>188</v>
      </c>
      <c r="G29" s="49">
        <v>9.79924723E9</v>
      </c>
      <c r="H29" s="49">
        <v>1000.0</v>
      </c>
      <c r="I29" s="49">
        <v>9900.0</v>
      </c>
      <c r="J29" s="49">
        <v>5000.0</v>
      </c>
      <c r="K29" s="47">
        <v>0.0</v>
      </c>
      <c r="L29" s="49">
        <v>4900.0</v>
      </c>
      <c r="M29" s="49">
        <f t="shared" si="1"/>
        <v>11000</v>
      </c>
      <c r="N29" s="49">
        <f t="shared" si="2"/>
        <v>5000</v>
      </c>
      <c r="O29" s="49">
        <f t="shared" si="3"/>
        <v>6000</v>
      </c>
      <c r="P29" s="46" t="s">
        <v>34</v>
      </c>
      <c r="Q29" s="49">
        <v>5000.0</v>
      </c>
      <c r="R29" s="49">
        <v>2920.0</v>
      </c>
      <c r="S29" s="56">
        <v>45845.0</v>
      </c>
      <c r="T29" s="48"/>
      <c r="U29" s="48"/>
      <c r="V29" s="48"/>
      <c r="W29" s="48"/>
      <c r="X29" s="48"/>
      <c r="Y29" s="48"/>
      <c r="Z29" s="48"/>
      <c r="AA29" s="48"/>
      <c r="AB29" s="48"/>
    </row>
    <row r="30">
      <c r="A30" s="45">
        <v>28.0</v>
      </c>
      <c r="B30" s="48" t="s">
        <v>210</v>
      </c>
      <c r="C30" s="48" t="s">
        <v>211</v>
      </c>
      <c r="D30" s="45" t="s">
        <v>29</v>
      </c>
      <c r="E30" s="48"/>
      <c r="F30" s="53" t="s">
        <v>212</v>
      </c>
      <c r="G30" s="48">
        <v>9.983537565E9</v>
      </c>
      <c r="H30" s="49">
        <v>1000.0</v>
      </c>
      <c r="I30" s="45">
        <v>9900.0</v>
      </c>
      <c r="J30" s="45">
        <v>6500.0</v>
      </c>
      <c r="K30" s="47">
        <v>0.0</v>
      </c>
      <c r="L30" s="48"/>
      <c r="M30" s="49">
        <f t="shared" si="1"/>
        <v>17400</v>
      </c>
      <c r="N30" s="49">
        <f t="shared" si="2"/>
        <v>0</v>
      </c>
      <c r="O30" s="49">
        <f t="shared" si="3"/>
        <v>17400</v>
      </c>
      <c r="P30" s="48"/>
      <c r="Q30" s="54"/>
      <c r="R30" s="54"/>
      <c r="S30" s="54"/>
      <c r="T30" s="48"/>
      <c r="U30" s="48"/>
      <c r="V30" s="48"/>
      <c r="W30" s="48"/>
      <c r="X30" s="48"/>
      <c r="Y30" s="48"/>
      <c r="Z30" s="48"/>
      <c r="AA30" s="48"/>
      <c r="AB30" s="48"/>
    </row>
    <row r="31">
      <c r="A31" s="45">
        <v>29.0</v>
      </c>
      <c r="B31" s="52" t="s">
        <v>213</v>
      </c>
      <c r="C31" s="52" t="s">
        <v>214</v>
      </c>
      <c r="D31" s="45" t="s">
        <v>29</v>
      </c>
      <c r="E31" s="53"/>
      <c r="F31" s="52" t="s">
        <v>135</v>
      </c>
      <c r="G31" s="52">
        <v>6.377191974E9</v>
      </c>
      <c r="H31" s="49">
        <v>1000.0</v>
      </c>
      <c r="I31" s="49">
        <v>9900.0</v>
      </c>
      <c r="J31" s="45">
        <v>7500.0</v>
      </c>
      <c r="K31" s="47">
        <v>0.0</v>
      </c>
      <c r="L31" s="52">
        <v>7900.0</v>
      </c>
      <c r="M31" s="49">
        <f t="shared" si="1"/>
        <v>10500</v>
      </c>
      <c r="N31" s="49">
        <f t="shared" si="2"/>
        <v>2500</v>
      </c>
      <c r="O31" s="49">
        <f t="shared" si="3"/>
        <v>8000</v>
      </c>
      <c r="P31" s="52" t="s">
        <v>131</v>
      </c>
      <c r="Q31" s="45">
        <v>2500.0</v>
      </c>
      <c r="R31" s="45">
        <v>3429.0</v>
      </c>
      <c r="S31" s="45" t="s">
        <v>136</v>
      </c>
      <c r="T31" s="48"/>
      <c r="U31" s="48"/>
      <c r="V31" s="48"/>
      <c r="W31" s="48"/>
      <c r="X31" s="48"/>
      <c r="Y31" s="48"/>
      <c r="Z31" s="48"/>
      <c r="AA31" s="48"/>
      <c r="AB31" s="48"/>
    </row>
    <row r="32">
      <c r="A32" s="45">
        <v>30.0</v>
      </c>
      <c r="B32" s="52" t="s">
        <v>215</v>
      </c>
      <c r="C32" s="52" t="s">
        <v>216</v>
      </c>
      <c r="D32" s="45" t="s">
        <v>29</v>
      </c>
      <c r="E32" s="53"/>
      <c r="F32" s="51" t="s">
        <v>30</v>
      </c>
      <c r="G32" s="52">
        <v>8.696279186E9</v>
      </c>
      <c r="H32" s="45">
        <v>1000.0</v>
      </c>
      <c r="I32" s="45">
        <v>9900.0</v>
      </c>
      <c r="J32" s="45">
        <v>9500.0</v>
      </c>
      <c r="K32" s="54"/>
      <c r="L32" s="52">
        <v>7400.0</v>
      </c>
      <c r="M32" s="49">
        <f t="shared" si="1"/>
        <v>13000</v>
      </c>
      <c r="N32" s="49">
        <f t="shared" si="2"/>
        <v>4000</v>
      </c>
      <c r="O32" s="49">
        <f t="shared" si="3"/>
        <v>9000</v>
      </c>
      <c r="P32" s="48"/>
      <c r="Q32" s="45">
        <v>4000.0</v>
      </c>
      <c r="R32" s="45">
        <v>3442.0</v>
      </c>
      <c r="S32" s="45" t="s">
        <v>217</v>
      </c>
      <c r="T32" s="48"/>
      <c r="U32" s="48"/>
      <c r="V32" s="48"/>
      <c r="W32" s="48"/>
      <c r="X32" s="48"/>
      <c r="Y32" s="48"/>
      <c r="Z32" s="48"/>
      <c r="AA32" s="48"/>
      <c r="AB32" s="48"/>
    </row>
    <row r="33">
      <c r="A33" s="45">
        <v>31.0</v>
      </c>
      <c r="B33" s="52" t="s">
        <v>218</v>
      </c>
      <c r="C33" s="52" t="s">
        <v>219</v>
      </c>
      <c r="D33" s="45" t="s">
        <v>29</v>
      </c>
      <c r="E33" s="55">
        <v>1809.0</v>
      </c>
      <c r="F33" s="46" t="s">
        <v>126</v>
      </c>
      <c r="G33" s="49">
        <v>8.955554645E9</v>
      </c>
      <c r="H33" s="49">
        <v>1000.0</v>
      </c>
      <c r="I33" s="49">
        <v>9900.0</v>
      </c>
      <c r="J33" s="49">
        <v>5000.0</v>
      </c>
      <c r="K33" s="47">
        <v>0.0</v>
      </c>
      <c r="L33" s="49">
        <v>5900.0</v>
      </c>
      <c r="M33" s="49">
        <f t="shared" si="1"/>
        <v>10000</v>
      </c>
      <c r="N33" s="49">
        <f t="shared" si="2"/>
        <v>3000</v>
      </c>
      <c r="O33" s="49">
        <f t="shared" si="3"/>
        <v>7000</v>
      </c>
      <c r="P33" s="46" t="s">
        <v>148</v>
      </c>
      <c r="Q33" s="49">
        <v>3000.0</v>
      </c>
      <c r="R33" s="49">
        <v>3232.0</v>
      </c>
      <c r="S33" s="49" t="s">
        <v>220</v>
      </c>
      <c r="T33" s="48"/>
      <c r="U33" s="48"/>
      <c r="V33" s="48"/>
      <c r="W33" s="48"/>
      <c r="X33" s="48"/>
      <c r="Y33" s="48"/>
      <c r="Z33" s="48"/>
      <c r="AA33" s="48"/>
      <c r="AB33" s="48"/>
    </row>
    <row r="34">
      <c r="A34" s="45">
        <v>32.0</v>
      </c>
      <c r="B34" s="52" t="s">
        <v>221</v>
      </c>
      <c r="C34" s="52" t="s">
        <v>222</v>
      </c>
      <c r="D34" s="45" t="s">
        <v>29</v>
      </c>
      <c r="E34" s="55">
        <v>1842.0</v>
      </c>
      <c r="F34" s="46" t="s">
        <v>223</v>
      </c>
      <c r="G34" s="49">
        <v>9.571619533E9</v>
      </c>
      <c r="H34" s="49">
        <v>1000.0</v>
      </c>
      <c r="I34" s="49">
        <v>9900.0</v>
      </c>
      <c r="J34" s="49">
        <v>7000.0</v>
      </c>
      <c r="K34" s="47">
        <v>0.0</v>
      </c>
      <c r="L34" s="49">
        <f>1900+4000</f>
        <v>5900</v>
      </c>
      <c r="M34" s="49">
        <f t="shared" si="1"/>
        <v>12000</v>
      </c>
      <c r="N34" s="49">
        <f t="shared" si="2"/>
        <v>5000</v>
      </c>
      <c r="O34" s="49">
        <f t="shared" si="3"/>
        <v>7000</v>
      </c>
      <c r="P34" s="46" t="s">
        <v>177</v>
      </c>
      <c r="Q34" s="49">
        <v>5000.0</v>
      </c>
      <c r="R34" s="49">
        <v>2838.0</v>
      </c>
      <c r="S34" s="49" t="s">
        <v>224</v>
      </c>
      <c r="T34" s="48"/>
      <c r="U34" s="48"/>
      <c r="V34" s="48"/>
      <c r="W34" s="48"/>
      <c r="X34" s="48"/>
      <c r="Y34" s="48"/>
      <c r="Z34" s="48"/>
      <c r="AA34" s="48"/>
      <c r="AB34" s="48"/>
    </row>
    <row r="35">
      <c r="A35" s="45">
        <v>33.0</v>
      </c>
      <c r="B35" s="52" t="s">
        <v>225</v>
      </c>
      <c r="C35" s="52" t="s">
        <v>226</v>
      </c>
      <c r="D35" s="45" t="s">
        <v>29</v>
      </c>
      <c r="E35" s="53"/>
      <c r="F35" s="51" t="s">
        <v>30</v>
      </c>
      <c r="G35" s="52">
        <v>8.890834455E9</v>
      </c>
      <c r="H35" s="45">
        <v>1000.0</v>
      </c>
      <c r="I35" s="45">
        <v>9900.0</v>
      </c>
      <c r="J35" s="45">
        <v>9000.0</v>
      </c>
      <c r="K35" s="47">
        <v>0.0</v>
      </c>
      <c r="L35" s="52">
        <v>3900.0</v>
      </c>
      <c r="M35" s="49">
        <f t="shared" si="1"/>
        <v>16000</v>
      </c>
      <c r="N35" s="49">
        <f t="shared" si="2"/>
        <v>5000</v>
      </c>
      <c r="O35" s="49">
        <f t="shared" si="3"/>
        <v>11000</v>
      </c>
      <c r="P35" s="48"/>
      <c r="Q35" s="45">
        <v>5000.0</v>
      </c>
      <c r="R35" s="45">
        <v>3446.0</v>
      </c>
      <c r="S35" s="45" t="s">
        <v>217</v>
      </c>
      <c r="T35" s="48"/>
      <c r="U35" s="48"/>
      <c r="V35" s="48"/>
      <c r="W35" s="48"/>
      <c r="X35" s="48"/>
      <c r="Y35" s="48"/>
      <c r="Z35" s="48"/>
      <c r="AA35" s="48"/>
      <c r="AB35" s="48"/>
    </row>
    <row r="36">
      <c r="A36" s="45">
        <v>34.0</v>
      </c>
      <c r="B36" s="52" t="s">
        <v>227</v>
      </c>
      <c r="C36" s="52" t="s">
        <v>228</v>
      </c>
      <c r="D36" s="45" t="s">
        <v>29</v>
      </c>
      <c r="E36" s="55">
        <v>1830.0</v>
      </c>
      <c r="F36" s="46" t="s">
        <v>229</v>
      </c>
      <c r="G36" s="49">
        <v>9.001671811E9</v>
      </c>
      <c r="H36" s="49">
        <v>1000.0</v>
      </c>
      <c r="I36" s="49">
        <v>9900.0</v>
      </c>
      <c r="J36" s="49">
        <v>6000.0</v>
      </c>
      <c r="K36" s="47">
        <v>0.0</v>
      </c>
      <c r="L36" s="49">
        <v>5900.0</v>
      </c>
      <c r="M36" s="49">
        <f t="shared" si="1"/>
        <v>11000</v>
      </c>
      <c r="N36" s="49">
        <f t="shared" si="2"/>
        <v>5000</v>
      </c>
      <c r="O36" s="49">
        <f t="shared" si="3"/>
        <v>6000</v>
      </c>
      <c r="P36" s="46" t="s">
        <v>230</v>
      </c>
      <c r="Q36" s="49">
        <v>5000.0</v>
      </c>
      <c r="R36" s="49">
        <v>3145.0</v>
      </c>
      <c r="S36" s="56">
        <v>45755.0</v>
      </c>
      <c r="T36" s="48"/>
      <c r="U36" s="48"/>
      <c r="V36" s="48"/>
      <c r="W36" s="48"/>
      <c r="X36" s="48"/>
      <c r="Y36" s="48"/>
      <c r="Z36" s="48"/>
      <c r="AA36" s="48"/>
      <c r="AB36" s="48"/>
    </row>
    <row r="37">
      <c r="A37" s="45">
        <v>35.0</v>
      </c>
      <c r="B37" s="52" t="s">
        <v>231</v>
      </c>
      <c r="C37" s="52" t="s">
        <v>232</v>
      </c>
      <c r="D37" s="45" t="s">
        <v>29</v>
      </c>
      <c r="E37" s="55">
        <v>2.0220043E7</v>
      </c>
      <c r="F37" s="52" t="s">
        <v>145</v>
      </c>
      <c r="G37" s="48"/>
      <c r="H37" s="49">
        <v>1000.0</v>
      </c>
      <c r="I37" s="49">
        <v>9900.0</v>
      </c>
      <c r="J37" s="45">
        <v>0.0</v>
      </c>
      <c r="K37" s="47">
        <v>0.0</v>
      </c>
      <c r="L37" s="48"/>
      <c r="M37" s="49">
        <f t="shared" si="1"/>
        <v>10900</v>
      </c>
      <c r="N37" s="49">
        <f t="shared" si="2"/>
        <v>0</v>
      </c>
      <c r="O37" s="49">
        <f t="shared" si="3"/>
        <v>10900</v>
      </c>
      <c r="P37" s="48"/>
      <c r="Q37" s="54"/>
      <c r="R37" s="54"/>
      <c r="S37" s="54"/>
      <c r="T37" s="48"/>
      <c r="U37" s="48"/>
      <c r="V37" s="48"/>
      <c r="W37" s="48"/>
      <c r="X37" s="48"/>
      <c r="Y37" s="48"/>
      <c r="Z37" s="48"/>
      <c r="AA37" s="48"/>
      <c r="AB37" s="48"/>
    </row>
    <row r="38">
      <c r="A38" s="45">
        <v>36.0</v>
      </c>
      <c r="B38" s="52" t="s">
        <v>233</v>
      </c>
      <c r="C38" s="52" t="s">
        <v>234</v>
      </c>
      <c r="D38" s="45" t="s">
        <v>29</v>
      </c>
      <c r="E38" s="55">
        <v>1883.0</v>
      </c>
      <c r="F38" s="46" t="s">
        <v>235</v>
      </c>
      <c r="G38" s="49">
        <v>9.950466726E9</v>
      </c>
      <c r="H38" s="49">
        <v>1000.0</v>
      </c>
      <c r="I38" s="49">
        <v>9900.0</v>
      </c>
      <c r="J38" s="49">
        <v>10000.0</v>
      </c>
      <c r="K38" s="47">
        <v>0.0</v>
      </c>
      <c r="L38" s="49">
        <v>3900.0</v>
      </c>
      <c r="M38" s="49">
        <f t="shared" si="1"/>
        <v>17000</v>
      </c>
      <c r="N38" s="49">
        <f t="shared" si="2"/>
        <v>2000</v>
      </c>
      <c r="O38" s="49">
        <f t="shared" si="3"/>
        <v>15000</v>
      </c>
      <c r="P38" s="46" t="s">
        <v>44</v>
      </c>
      <c r="Q38" s="49">
        <v>2000.0</v>
      </c>
      <c r="R38" s="49">
        <v>2973.0</v>
      </c>
      <c r="S38" s="56">
        <v>45937.0</v>
      </c>
      <c r="T38" s="48"/>
      <c r="U38" s="48"/>
      <c r="V38" s="48"/>
      <c r="W38" s="48"/>
      <c r="X38" s="48"/>
      <c r="Y38" s="48"/>
      <c r="Z38" s="48"/>
      <c r="AA38" s="48"/>
      <c r="AB38" s="48"/>
    </row>
    <row r="39">
      <c r="A39" s="45">
        <v>37.0</v>
      </c>
      <c r="B39" s="46" t="s">
        <v>236</v>
      </c>
      <c r="C39" s="46" t="s">
        <v>237</v>
      </c>
      <c r="D39" s="45" t="s">
        <v>29</v>
      </c>
      <c r="E39" s="48"/>
      <c r="F39" s="46" t="s">
        <v>145</v>
      </c>
      <c r="G39" s="51">
        <v>9.799198593E9</v>
      </c>
      <c r="H39" s="49">
        <v>1000.0</v>
      </c>
      <c r="I39" s="49">
        <v>9900.0</v>
      </c>
      <c r="J39" s="47">
        <v>0.0</v>
      </c>
      <c r="K39" s="47">
        <v>0.0</v>
      </c>
      <c r="L39" s="46"/>
      <c r="M39" s="49">
        <f t="shared" si="1"/>
        <v>10900</v>
      </c>
      <c r="N39" s="49">
        <f t="shared" si="2"/>
        <v>5000</v>
      </c>
      <c r="O39" s="49">
        <f t="shared" si="3"/>
        <v>5900</v>
      </c>
      <c r="P39" s="48"/>
      <c r="Q39" s="69">
        <v>1000.0</v>
      </c>
      <c r="R39" s="69">
        <v>3141.0</v>
      </c>
      <c r="S39" s="71">
        <v>45755.0</v>
      </c>
      <c r="T39" s="51">
        <v>4000.0</v>
      </c>
      <c r="U39" s="51">
        <v>3866.0</v>
      </c>
      <c r="V39" s="72">
        <v>45972.0</v>
      </c>
      <c r="W39" s="46"/>
      <c r="X39" s="46"/>
      <c r="Y39" s="46"/>
      <c r="Z39" s="46"/>
      <c r="AA39" s="48"/>
      <c r="AB39" s="48"/>
    </row>
    <row r="40">
      <c r="A40" s="45">
        <v>38.0</v>
      </c>
      <c r="B40" s="52" t="s">
        <v>238</v>
      </c>
      <c r="C40" s="52" t="s">
        <v>239</v>
      </c>
      <c r="D40" s="45" t="s">
        <v>29</v>
      </c>
      <c r="E40" s="53"/>
      <c r="F40" s="52" t="s">
        <v>240</v>
      </c>
      <c r="G40" s="52">
        <v>8.290014557E9</v>
      </c>
      <c r="H40" s="45">
        <v>1000.0</v>
      </c>
      <c r="I40" s="45">
        <v>9900.0</v>
      </c>
      <c r="J40" s="45">
        <v>10000.0</v>
      </c>
      <c r="K40" s="54"/>
      <c r="L40" s="52">
        <v>2900.0</v>
      </c>
      <c r="M40" s="49">
        <f t="shared" si="1"/>
        <v>18000</v>
      </c>
      <c r="N40" s="49">
        <f t="shared" si="2"/>
        <v>2000</v>
      </c>
      <c r="O40" s="49">
        <f t="shared" si="3"/>
        <v>16000</v>
      </c>
      <c r="P40" s="48"/>
      <c r="Q40" s="45">
        <v>1000.0</v>
      </c>
      <c r="R40" s="54"/>
      <c r="S40" s="45" t="s">
        <v>241</v>
      </c>
      <c r="T40" s="52">
        <v>1000.0</v>
      </c>
      <c r="U40" s="52">
        <v>3346.0</v>
      </c>
      <c r="V40" s="52" t="s">
        <v>140</v>
      </c>
      <c r="W40" s="48"/>
      <c r="X40" s="48"/>
      <c r="Y40" s="48"/>
      <c r="Z40" s="48"/>
      <c r="AA40" s="48"/>
      <c r="AB40" s="48"/>
    </row>
    <row r="41">
      <c r="A41" s="45">
        <v>39.0</v>
      </c>
      <c r="B41" s="73" t="s">
        <v>242</v>
      </c>
      <c r="C41" s="73" t="s">
        <v>243</v>
      </c>
      <c r="D41" s="51" t="s">
        <v>29</v>
      </c>
      <c r="E41" s="46"/>
      <c r="F41" s="73" t="s">
        <v>244</v>
      </c>
      <c r="G41" s="74">
        <v>7.023902474E9</v>
      </c>
      <c r="H41" s="73"/>
      <c r="I41" s="45">
        <v>9900.0</v>
      </c>
      <c r="J41" s="51">
        <v>5000.0</v>
      </c>
      <c r="K41" s="73"/>
      <c r="L41" s="73"/>
      <c r="M41" s="49">
        <f t="shared" si="1"/>
        <v>14900</v>
      </c>
      <c r="N41" s="49">
        <f t="shared" si="2"/>
        <v>4000</v>
      </c>
      <c r="O41" s="49">
        <f t="shared" si="3"/>
        <v>10900</v>
      </c>
      <c r="P41" s="46"/>
      <c r="Q41" s="69">
        <v>1000.0</v>
      </c>
      <c r="R41" s="69">
        <v>3234.0</v>
      </c>
      <c r="S41" s="46" t="s">
        <v>220</v>
      </c>
      <c r="T41" s="52">
        <v>3000.0</v>
      </c>
      <c r="U41" s="52">
        <v>3861.0</v>
      </c>
      <c r="V41" s="59">
        <v>45972.0</v>
      </c>
      <c r="W41" s="48"/>
      <c r="X41" s="48"/>
      <c r="Y41" s="48"/>
      <c r="Z41" s="48"/>
      <c r="AA41" s="48"/>
      <c r="AB41" s="48"/>
    </row>
    <row r="42">
      <c r="A42" s="5">
        <v>40.0</v>
      </c>
      <c r="B42" s="6" t="s">
        <v>245</v>
      </c>
      <c r="C42" s="6" t="s">
        <v>246</v>
      </c>
      <c r="D42" s="5" t="s">
        <v>29</v>
      </c>
      <c r="E42" s="13"/>
      <c r="F42" s="6" t="s">
        <v>3</v>
      </c>
      <c r="H42" s="5">
        <v>1000.0</v>
      </c>
      <c r="I42" s="5">
        <v>9900.0</v>
      </c>
      <c r="J42" s="9"/>
      <c r="K42" s="9"/>
      <c r="M42" s="49">
        <f t="shared" si="1"/>
        <v>10900</v>
      </c>
      <c r="N42" s="49">
        <f t="shared" si="2"/>
        <v>5000</v>
      </c>
      <c r="O42" s="49">
        <f t="shared" si="3"/>
        <v>5900</v>
      </c>
      <c r="Q42" s="5">
        <v>5000.0</v>
      </c>
      <c r="R42" s="5">
        <v>3822.0</v>
      </c>
      <c r="S42" s="75">
        <v>45941.0</v>
      </c>
    </row>
    <row r="43">
      <c r="A43" s="9"/>
      <c r="D43" s="9"/>
      <c r="E43" s="13"/>
      <c r="H43" s="9"/>
      <c r="I43" s="9"/>
      <c r="J43" s="9"/>
      <c r="K43" s="9"/>
      <c r="M43" s="9"/>
      <c r="N43" s="9"/>
      <c r="O43" s="9"/>
      <c r="Q43" s="9"/>
      <c r="R43" s="9"/>
      <c r="S43" s="9"/>
    </row>
    <row r="44">
      <c r="A44" s="9"/>
      <c r="D44" s="9"/>
      <c r="E44" s="13"/>
      <c r="H44" s="9"/>
      <c r="I44" s="9"/>
      <c r="J44" s="9"/>
      <c r="K44" s="9"/>
      <c r="M44" s="9"/>
      <c r="N44" s="9"/>
      <c r="O44" s="9"/>
      <c r="Q44" s="9"/>
      <c r="R44" s="9"/>
      <c r="S44" s="9"/>
    </row>
    <row r="45">
      <c r="A45" s="9"/>
      <c r="D45" s="9"/>
      <c r="E45" s="13"/>
      <c r="H45" s="9"/>
      <c r="I45" s="9"/>
      <c r="J45" s="9"/>
      <c r="K45" s="9"/>
      <c r="M45" s="9"/>
      <c r="N45" s="9"/>
      <c r="O45" s="9"/>
      <c r="Q45" s="9"/>
      <c r="R45" s="9"/>
      <c r="S45" s="9"/>
    </row>
    <row r="46">
      <c r="A46" s="9"/>
      <c r="D46" s="9"/>
      <c r="E46" s="13"/>
      <c r="H46" s="9"/>
      <c r="I46" s="9"/>
      <c r="J46" s="9"/>
      <c r="K46" s="9"/>
      <c r="M46" s="9"/>
      <c r="N46" s="9"/>
      <c r="O46" s="9"/>
      <c r="Q46" s="9"/>
      <c r="R46" s="9"/>
      <c r="S46" s="9"/>
    </row>
    <row r="47">
      <c r="A47" s="9"/>
      <c r="D47" s="9"/>
      <c r="E47" s="13"/>
      <c r="H47" s="9"/>
      <c r="I47" s="9"/>
      <c r="J47" s="9"/>
      <c r="K47" s="9"/>
      <c r="M47" s="9"/>
      <c r="N47" s="9"/>
      <c r="O47" s="9"/>
      <c r="Q47" s="9"/>
      <c r="R47" s="9"/>
      <c r="S47" s="9"/>
    </row>
    <row r="48">
      <c r="A48" s="9"/>
      <c r="D48" s="9"/>
      <c r="E48" s="13"/>
      <c r="H48" s="9"/>
      <c r="I48" s="9"/>
      <c r="J48" s="9"/>
      <c r="K48" s="9"/>
      <c r="M48" s="9"/>
      <c r="N48" s="9"/>
      <c r="O48" s="9"/>
      <c r="Q48" s="9"/>
      <c r="R48" s="9"/>
      <c r="S48" s="9"/>
    </row>
    <row r="49">
      <c r="A49" s="9"/>
      <c r="D49" s="9"/>
      <c r="E49" s="13"/>
      <c r="H49" s="9"/>
      <c r="I49" s="9"/>
      <c r="J49" s="9"/>
      <c r="K49" s="9"/>
      <c r="M49" s="9"/>
      <c r="N49" s="9"/>
      <c r="O49" s="9"/>
      <c r="Q49" s="9"/>
      <c r="R49" s="9"/>
      <c r="S49" s="9"/>
    </row>
    <row r="50">
      <c r="A50" s="9"/>
      <c r="D50" s="9"/>
      <c r="E50" s="13"/>
      <c r="H50" s="9"/>
      <c r="I50" s="9"/>
      <c r="J50" s="9"/>
      <c r="K50" s="9"/>
      <c r="M50" s="9"/>
      <c r="N50" s="9"/>
      <c r="O50" s="9"/>
      <c r="Q50" s="9"/>
      <c r="R50" s="9"/>
      <c r="S50" s="9"/>
    </row>
    <row r="51">
      <c r="A51" s="9"/>
      <c r="D51" s="9"/>
      <c r="E51" s="13"/>
      <c r="H51" s="9"/>
      <c r="I51" s="9"/>
      <c r="J51" s="9"/>
      <c r="K51" s="9"/>
      <c r="M51" s="9"/>
      <c r="N51" s="9"/>
      <c r="O51" s="9"/>
      <c r="Q51" s="9"/>
      <c r="R51" s="9"/>
      <c r="S51" s="9"/>
    </row>
    <row r="52">
      <c r="A52" s="9"/>
      <c r="D52" s="9"/>
      <c r="E52" s="13"/>
      <c r="H52" s="9"/>
      <c r="I52" s="9"/>
      <c r="J52" s="9"/>
      <c r="K52" s="9"/>
      <c r="M52" s="9"/>
      <c r="N52" s="9"/>
      <c r="O52" s="9"/>
      <c r="Q52" s="9"/>
      <c r="R52" s="9"/>
      <c r="S52" s="9"/>
    </row>
    <row r="53">
      <c r="A53" s="9"/>
      <c r="D53" s="9"/>
      <c r="E53" s="13"/>
      <c r="H53" s="9"/>
      <c r="I53" s="9"/>
      <c r="J53" s="9"/>
      <c r="K53" s="9"/>
      <c r="M53" s="9"/>
      <c r="N53" s="9"/>
      <c r="O53" s="9"/>
      <c r="Q53" s="9"/>
      <c r="R53" s="9"/>
      <c r="S53" s="9"/>
    </row>
    <row r="54">
      <c r="A54" s="9"/>
      <c r="D54" s="9"/>
      <c r="E54" s="13"/>
      <c r="H54" s="9"/>
      <c r="I54" s="9"/>
      <c r="J54" s="9"/>
      <c r="K54" s="9"/>
      <c r="M54" s="9"/>
      <c r="N54" s="9"/>
      <c r="O54" s="9"/>
      <c r="Q54" s="9"/>
      <c r="R54" s="9"/>
      <c r="S54" s="9"/>
    </row>
    <row r="55">
      <c r="A55" s="9"/>
      <c r="D55" s="9"/>
      <c r="E55" s="13"/>
      <c r="H55" s="9"/>
      <c r="I55" s="9"/>
      <c r="J55" s="9"/>
      <c r="K55" s="9"/>
      <c r="M55" s="9"/>
      <c r="N55" s="9"/>
      <c r="O55" s="9"/>
      <c r="Q55" s="9"/>
      <c r="R55" s="9"/>
      <c r="S55" s="9"/>
    </row>
    <row r="56">
      <c r="A56" s="9"/>
      <c r="D56" s="9"/>
      <c r="E56" s="13"/>
      <c r="H56" s="9"/>
      <c r="I56" s="9"/>
      <c r="J56" s="9"/>
      <c r="K56" s="9"/>
      <c r="M56" s="9"/>
      <c r="N56" s="9"/>
      <c r="O56" s="9"/>
      <c r="Q56" s="9"/>
      <c r="R56" s="9"/>
      <c r="S56" s="9"/>
    </row>
    <row r="57">
      <c r="A57" s="9"/>
      <c r="D57" s="9"/>
      <c r="E57" s="13"/>
      <c r="H57" s="9"/>
      <c r="I57" s="9"/>
      <c r="J57" s="9"/>
      <c r="K57" s="9"/>
      <c r="M57" s="9"/>
      <c r="N57" s="9"/>
      <c r="O57" s="9"/>
      <c r="Q57" s="9"/>
      <c r="R57" s="9"/>
      <c r="S57" s="9"/>
    </row>
    <row r="58">
      <c r="A58" s="9"/>
      <c r="D58" s="9"/>
      <c r="E58" s="13"/>
      <c r="H58" s="9"/>
      <c r="I58" s="9"/>
      <c r="J58" s="9"/>
      <c r="K58" s="9"/>
      <c r="M58" s="9"/>
      <c r="N58" s="9"/>
      <c r="O58" s="9"/>
      <c r="Q58" s="9"/>
      <c r="R58" s="9"/>
      <c r="S58" s="9"/>
    </row>
    <row r="59">
      <c r="A59" s="9"/>
      <c r="D59" s="9"/>
      <c r="E59" s="13"/>
      <c r="H59" s="9"/>
      <c r="I59" s="9"/>
      <c r="J59" s="9"/>
      <c r="K59" s="9"/>
      <c r="M59" s="9"/>
      <c r="N59" s="9"/>
      <c r="O59" s="9"/>
      <c r="Q59" s="9"/>
      <c r="R59" s="9"/>
      <c r="S59" s="9"/>
    </row>
    <row r="60">
      <c r="A60" s="9"/>
      <c r="D60" s="9"/>
      <c r="E60" s="13"/>
      <c r="H60" s="9"/>
      <c r="I60" s="9"/>
      <c r="J60" s="9"/>
      <c r="K60" s="9"/>
      <c r="M60" s="9"/>
      <c r="N60" s="9"/>
      <c r="O60" s="9"/>
      <c r="Q60" s="9"/>
      <c r="R60" s="9"/>
      <c r="S60" s="9"/>
    </row>
    <row r="61">
      <c r="A61" s="9"/>
      <c r="D61" s="9"/>
      <c r="E61" s="13"/>
      <c r="H61" s="9"/>
      <c r="I61" s="9"/>
      <c r="J61" s="9"/>
      <c r="K61" s="9"/>
      <c r="M61" s="9"/>
      <c r="N61" s="9"/>
      <c r="O61" s="9"/>
      <c r="Q61" s="9"/>
      <c r="R61" s="9"/>
      <c r="S61" s="9"/>
    </row>
    <row r="62">
      <c r="A62" s="9"/>
      <c r="D62" s="9"/>
      <c r="E62" s="13"/>
      <c r="H62" s="9"/>
      <c r="I62" s="9"/>
      <c r="J62" s="9"/>
      <c r="K62" s="9"/>
      <c r="M62" s="9"/>
      <c r="N62" s="9"/>
      <c r="O62" s="9"/>
      <c r="Q62" s="9"/>
      <c r="R62" s="9"/>
      <c r="S62" s="9"/>
    </row>
    <row r="63">
      <c r="A63" s="9"/>
      <c r="D63" s="9"/>
      <c r="E63" s="13"/>
      <c r="H63" s="9"/>
      <c r="I63" s="9"/>
      <c r="J63" s="9"/>
      <c r="K63" s="9"/>
      <c r="M63" s="9"/>
      <c r="N63" s="9"/>
      <c r="O63" s="9"/>
      <c r="Q63" s="9"/>
      <c r="R63" s="9"/>
      <c r="S63" s="9"/>
    </row>
    <row r="64">
      <c r="A64" s="9"/>
      <c r="D64" s="9"/>
      <c r="E64" s="13"/>
      <c r="H64" s="9"/>
      <c r="I64" s="9"/>
      <c r="J64" s="9"/>
      <c r="K64" s="9"/>
      <c r="M64" s="9"/>
      <c r="N64" s="9"/>
      <c r="O64" s="9"/>
      <c r="Q64" s="9"/>
      <c r="R64" s="9"/>
      <c r="S64" s="9"/>
    </row>
    <row r="65">
      <c r="A65" s="9"/>
      <c r="D65" s="9"/>
      <c r="E65" s="13"/>
      <c r="H65" s="9"/>
      <c r="I65" s="9"/>
      <c r="J65" s="9"/>
      <c r="K65" s="9"/>
      <c r="M65" s="9"/>
      <c r="N65" s="9"/>
      <c r="O65" s="9"/>
      <c r="Q65" s="9"/>
      <c r="R65" s="9"/>
      <c r="S65" s="9"/>
    </row>
    <row r="66">
      <c r="A66" s="9"/>
      <c r="D66" s="9"/>
      <c r="E66" s="13"/>
      <c r="H66" s="9"/>
      <c r="I66" s="9"/>
      <c r="J66" s="9"/>
      <c r="K66" s="9"/>
      <c r="M66" s="9"/>
      <c r="N66" s="9"/>
      <c r="O66" s="9"/>
      <c r="Q66" s="9"/>
      <c r="R66" s="9"/>
      <c r="S66" s="9"/>
    </row>
    <row r="67">
      <c r="A67" s="9"/>
      <c r="D67" s="9"/>
      <c r="E67" s="13"/>
      <c r="H67" s="9"/>
      <c r="I67" s="9"/>
      <c r="J67" s="9"/>
      <c r="K67" s="9"/>
      <c r="M67" s="9"/>
      <c r="N67" s="9"/>
      <c r="O67" s="9"/>
      <c r="Q67" s="9"/>
      <c r="R67" s="9"/>
      <c r="S67" s="9"/>
    </row>
    <row r="68">
      <c r="A68" s="9"/>
      <c r="D68" s="9"/>
      <c r="E68" s="13"/>
      <c r="H68" s="9"/>
      <c r="I68" s="9"/>
      <c r="J68" s="9"/>
      <c r="K68" s="9"/>
      <c r="M68" s="9"/>
      <c r="N68" s="9"/>
      <c r="O68" s="9"/>
      <c r="Q68" s="9"/>
      <c r="R68" s="9"/>
      <c r="S68" s="9"/>
    </row>
    <row r="69">
      <c r="A69" s="9"/>
      <c r="D69" s="9"/>
      <c r="E69" s="13"/>
      <c r="H69" s="9"/>
      <c r="I69" s="9"/>
      <c r="J69" s="9"/>
      <c r="K69" s="9"/>
      <c r="M69" s="9"/>
      <c r="N69" s="9"/>
      <c r="O69" s="9"/>
      <c r="Q69" s="9"/>
      <c r="R69" s="9"/>
      <c r="S69" s="9"/>
    </row>
    <row r="70">
      <c r="A70" s="9"/>
      <c r="D70" s="9"/>
      <c r="E70" s="13"/>
      <c r="H70" s="9"/>
      <c r="I70" s="9"/>
      <c r="J70" s="9"/>
      <c r="K70" s="9"/>
      <c r="M70" s="9"/>
      <c r="N70" s="9"/>
      <c r="O70" s="9"/>
      <c r="Q70" s="9"/>
      <c r="R70" s="9"/>
      <c r="S70" s="9"/>
    </row>
    <row r="71">
      <c r="A71" s="9"/>
      <c r="D71" s="9"/>
      <c r="E71" s="13"/>
      <c r="H71" s="9"/>
      <c r="I71" s="9"/>
      <c r="J71" s="9"/>
      <c r="K71" s="9"/>
      <c r="M71" s="9"/>
      <c r="N71" s="9"/>
      <c r="O71" s="9"/>
      <c r="Q71" s="9"/>
      <c r="R71" s="9"/>
      <c r="S71" s="9"/>
    </row>
    <row r="72">
      <c r="A72" s="9"/>
      <c r="D72" s="9"/>
      <c r="E72" s="13"/>
      <c r="H72" s="9"/>
      <c r="I72" s="9"/>
      <c r="J72" s="9"/>
      <c r="K72" s="9"/>
      <c r="M72" s="9"/>
      <c r="N72" s="9"/>
      <c r="O72" s="9"/>
      <c r="Q72" s="9"/>
      <c r="R72" s="9"/>
      <c r="S72" s="9"/>
    </row>
    <row r="73">
      <c r="A73" s="9"/>
      <c r="D73" s="9"/>
      <c r="E73" s="13"/>
      <c r="H73" s="9"/>
      <c r="I73" s="9"/>
      <c r="J73" s="9"/>
      <c r="K73" s="9"/>
      <c r="M73" s="9"/>
      <c r="N73" s="9"/>
      <c r="O73" s="9"/>
      <c r="Q73" s="9"/>
      <c r="R73" s="9"/>
      <c r="S73" s="9"/>
    </row>
    <row r="74">
      <c r="A74" s="9"/>
      <c r="D74" s="9"/>
      <c r="E74" s="13"/>
      <c r="H74" s="9"/>
      <c r="I74" s="9"/>
      <c r="J74" s="9"/>
      <c r="K74" s="9"/>
      <c r="M74" s="9"/>
      <c r="N74" s="9"/>
      <c r="O74" s="9"/>
      <c r="Q74" s="9"/>
      <c r="R74" s="9"/>
      <c r="S74" s="9"/>
    </row>
    <row r="75">
      <c r="A75" s="9"/>
      <c r="D75" s="9"/>
      <c r="E75" s="13"/>
      <c r="H75" s="9"/>
      <c r="I75" s="9"/>
      <c r="J75" s="9"/>
      <c r="K75" s="9"/>
      <c r="M75" s="9"/>
      <c r="N75" s="9"/>
      <c r="O75" s="9"/>
      <c r="Q75" s="9"/>
      <c r="R75" s="9"/>
      <c r="S75" s="9"/>
    </row>
    <row r="76">
      <c r="A76" s="9"/>
      <c r="D76" s="9"/>
      <c r="E76" s="13"/>
      <c r="H76" s="9"/>
      <c r="I76" s="9"/>
      <c r="J76" s="9"/>
      <c r="K76" s="9"/>
      <c r="M76" s="9"/>
      <c r="N76" s="9"/>
      <c r="O76" s="9"/>
      <c r="Q76" s="9"/>
      <c r="R76" s="9"/>
      <c r="S76" s="9"/>
    </row>
    <row r="77">
      <c r="A77" s="9"/>
      <c r="D77" s="9"/>
      <c r="E77" s="13"/>
      <c r="H77" s="9"/>
      <c r="I77" s="9"/>
      <c r="J77" s="9"/>
      <c r="K77" s="9"/>
      <c r="M77" s="9"/>
      <c r="N77" s="9"/>
      <c r="O77" s="9"/>
      <c r="Q77" s="9"/>
      <c r="R77" s="9"/>
      <c r="S77" s="9"/>
    </row>
    <row r="78">
      <c r="A78" s="9"/>
      <c r="D78" s="9"/>
      <c r="E78" s="13"/>
      <c r="H78" s="9"/>
      <c r="I78" s="9"/>
      <c r="J78" s="9"/>
      <c r="K78" s="9"/>
      <c r="M78" s="9"/>
      <c r="N78" s="9"/>
      <c r="O78" s="9"/>
      <c r="Q78" s="9"/>
      <c r="R78" s="9"/>
      <c r="S78" s="9"/>
    </row>
    <row r="79">
      <c r="A79" s="9"/>
      <c r="D79" s="9"/>
      <c r="E79" s="13"/>
      <c r="H79" s="9"/>
      <c r="I79" s="9"/>
      <c r="J79" s="9"/>
      <c r="K79" s="9"/>
      <c r="M79" s="9"/>
      <c r="N79" s="9"/>
      <c r="O79" s="9"/>
      <c r="Q79" s="9"/>
      <c r="R79" s="9"/>
      <c r="S79" s="9"/>
    </row>
    <row r="80">
      <c r="A80" s="9"/>
      <c r="D80" s="9"/>
      <c r="E80" s="13"/>
      <c r="H80" s="9"/>
      <c r="I80" s="9"/>
      <c r="J80" s="9"/>
      <c r="K80" s="9"/>
      <c r="M80" s="9"/>
      <c r="N80" s="9"/>
      <c r="O80" s="9"/>
      <c r="Q80" s="9"/>
      <c r="R80" s="9"/>
      <c r="S80" s="9"/>
    </row>
    <row r="81">
      <c r="A81" s="9"/>
      <c r="D81" s="9"/>
      <c r="E81" s="13"/>
      <c r="H81" s="9"/>
      <c r="I81" s="9"/>
      <c r="J81" s="9"/>
      <c r="K81" s="9"/>
      <c r="M81" s="9"/>
      <c r="N81" s="9"/>
      <c r="O81" s="9"/>
      <c r="Q81" s="9"/>
      <c r="R81" s="9"/>
      <c r="S81" s="9"/>
    </row>
    <row r="82">
      <c r="A82" s="9"/>
      <c r="D82" s="9"/>
      <c r="E82" s="13"/>
      <c r="H82" s="9"/>
      <c r="I82" s="9"/>
      <c r="J82" s="9"/>
      <c r="K82" s="9"/>
      <c r="M82" s="9"/>
      <c r="N82" s="9"/>
      <c r="O82" s="9"/>
      <c r="Q82" s="9"/>
      <c r="R82" s="9"/>
      <c r="S82" s="9"/>
    </row>
    <row r="83">
      <c r="A83" s="9"/>
      <c r="D83" s="9"/>
      <c r="E83" s="13"/>
      <c r="H83" s="9"/>
      <c r="I83" s="9"/>
      <c r="J83" s="9"/>
      <c r="K83" s="9"/>
      <c r="M83" s="9"/>
      <c r="N83" s="9"/>
      <c r="O83" s="9"/>
      <c r="Q83" s="9"/>
      <c r="R83" s="9"/>
      <c r="S83" s="9"/>
    </row>
    <row r="84">
      <c r="A84" s="9"/>
      <c r="D84" s="9"/>
      <c r="E84" s="13"/>
      <c r="H84" s="9"/>
      <c r="I84" s="9"/>
      <c r="J84" s="9"/>
      <c r="K84" s="9"/>
      <c r="M84" s="9"/>
      <c r="N84" s="9"/>
      <c r="O84" s="9"/>
      <c r="Q84" s="9"/>
      <c r="R84" s="9"/>
      <c r="S84" s="9"/>
    </row>
    <row r="85">
      <c r="A85" s="9"/>
      <c r="D85" s="9"/>
      <c r="E85" s="13"/>
      <c r="H85" s="9"/>
      <c r="I85" s="9"/>
      <c r="J85" s="9"/>
      <c r="K85" s="9"/>
      <c r="M85" s="9"/>
      <c r="N85" s="9"/>
      <c r="O85" s="9"/>
      <c r="Q85" s="9"/>
      <c r="R85" s="9"/>
      <c r="S85" s="9"/>
    </row>
    <row r="86">
      <c r="A86" s="9"/>
      <c r="D86" s="9"/>
      <c r="E86" s="13"/>
      <c r="H86" s="9"/>
      <c r="I86" s="9"/>
      <c r="J86" s="9"/>
      <c r="K86" s="9"/>
      <c r="M86" s="9"/>
      <c r="N86" s="9"/>
      <c r="O86" s="9"/>
      <c r="Q86" s="9"/>
      <c r="R86" s="9"/>
      <c r="S86" s="9"/>
    </row>
    <row r="87">
      <c r="A87" s="9"/>
      <c r="D87" s="9"/>
      <c r="E87" s="13"/>
      <c r="H87" s="9"/>
      <c r="I87" s="9"/>
      <c r="J87" s="9"/>
      <c r="K87" s="9"/>
      <c r="M87" s="9"/>
      <c r="N87" s="9"/>
      <c r="O87" s="9"/>
      <c r="Q87" s="9"/>
      <c r="R87" s="9"/>
      <c r="S87" s="9"/>
    </row>
    <row r="88">
      <c r="A88" s="9"/>
      <c r="D88" s="9"/>
      <c r="E88" s="13"/>
      <c r="H88" s="9"/>
      <c r="I88" s="9"/>
      <c r="J88" s="9"/>
      <c r="K88" s="9"/>
      <c r="M88" s="9"/>
      <c r="N88" s="9"/>
      <c r="O88" s="9"/>
      <c r="Q88" s="9"/>
      <c r="R88" s="9"/>
      <c r="S88" s="9"/>
    </row>
    <row r="89">
      <c r="A89" s="9"/>
      <c r="D89" s="9"/>
      <c r="E89" s="13"/>
      <c r="H89" s="9"/>
      <c r="I89" s="9"/>
      <c r="J89" s="9"/>
      <c r="K89" s="9"/>
      <c r="M89" s="9"/>
      <c r="N89" s="9"/>
      <c r="O89" s="9"/>
      <c r="Q89" s="9"/>
      <c r="R89" s="9"/>
      <c r="S89" s="9"/>
    </row>
    <row r="90">
      <c r="A90" s="9"/>
      <c r="D90" s="9"/>
      <c r="E90" s="13"/>
      <c r="H90" s="9"/>
      <c r="I90" s="9"/>
      <c r="J90" s="9"/>
      <c r="K90" s="9"/>
      <c r="M90" s="9"/>
      <c r="N90" s="9"/>
      <c r="O90" s="9"/>
      <c r="Q90" s="9"/>
      <c r="R90" s="9"/>
      <c r="S90" s="9"/>
    </row>
    <row r="91">
      <c r="A91" s="9"/>
      <c r="D91" s="9"/>
      <c r="E91" s="13"/>
      <c r="H91" s="9"/>
      <c r="I91" s="9"/>
      <c r="J91" s="9"/>
      <c r="K91" s="9"/>
      <c r="M91" s="9"/>
      <c r="N91" s="9"/>
      <c r="O91" s="9"/>
      <c r="Q91" s="9"/>
      <c r="R91" s="9"/>
      <c r="S91" s="9"/>
    </row>
    <row r="92">
      <c r="A92" s="9"/>
      <c r="D92" s="9"/>
      <c r="E92" s="13"/>
      <c r="H92" s="9"/>
      <c r="I92" s="9"/>
      <c r="J92" s="9"/>
      <c r="K92" s="9"/>
      <c r="M92" s="9"/>
      <c r="N92" s="9"/>
      <c r="O92" s="9"/>
      <c r="Q92" s="9"/>
      <c r="R92" s="9"/>
      <c r="S92" s="9"/>
    </row>
    <row r="93">
      <c r="A93" s="9"/>
      <c r="D93" s="9"/>
      <c r="E93" s="13"/>
      <c r="H93" s="9"/>
      <c r="I93" s="9"/>
      <c r="J93" s="9"/>
      <c r="K93" s="9"/>
      <c r="M93" s="9"/>
      <c r="N93" s="9"/>
      <c r="O93" s="9"/>
      <c r="Q93" s="9"/>
      <c r="R93" s="9"/>
      <c r="S93" s="9"/>
    </row>
    <row r="94">
      <c r="A94" s="9"/>
      <c r="D94" s="9"/>
      <c r="E94" s="13"/>
      <c r="H94" s="9"/>
      <c r="I94" s="9"/>
      <c r="J94" s="9"/>
      <c r="K94" s="9"/>
      <c r="M94" s="9"/>
      <c r="N94" s="9"/>
      <c r="O94" s="9"/>
      <c r="Q94" s="9"/>
      <c r="R94" s="9"/>
      <c r="S94" s="9"/>
    </row>
    <row r="95">
      <c r="A95" s="9"/>
      <c r="D95" s="9"/>
      <c r="E95" s="13"/>
      <c r="H95" s="9"/>
      <c r="I95" s="9"/>
      <c r="J95" s="9"/>
      <c r="K95" s="9"/>
      <c r="M95" s="9"/>
      <c r="N95" s="9"/>
      <c r="O95" s="9"/>
      <c r="Q95" s="9"/>
      <c r="R95" s="9"/>
      <c r="S95" s="9"/>
    </row>
    <row r="96">
      <c r="A96" s="9"/>
      <c r="D96" s="9"/>
      <c r="E96" s="13"/>
      <c r="H96" s="9"/>
      <c r="I96" s="9"/>
      <c r="J96" s="9"/>
      <c r="K96" s="9"/>
      <c r="M96" s="9"/>
      <c r="N96" s="9"/>
      <c r="O96" s="9"/>
      <c r="Q96" s="9"/>
      <c r="R96" s="9"/>
      <c r="S96" s="9"/>
    </row>
    <row r="97">
      <c r="A97" s="9"/>
      <c r="D97" s="9"/>
      <c r="E97" s="13"/>
      <c r="H97" s="9"/>
      <c r="I97" s="9"/>
      <c r="J97" s="9"/>
      <c r="K97" s="9"/>
      <c r="M97" s="9"/>
      <c r="N97" s="9"/>
      <c r="O97" s="9"/>
      <c r="Q97" s="9"/>
      <c r="R97" s="9"/>
      <c r="S97" s="9"/>
    </row>
    <row r="98">
      <c r="A98" s="9"/>
      <c r="D98" s="9"/>
      <c r="E98" s="13"/>
      <c r="H98" s="9"/>
      <c r="I98" s="9"/>
      <c r="J98" s="9"/>
      <c r="K98" s="9"/>
      <c r="M98" s="9"/>
      <c r="N98" s="9"/>
      <c r="O98" s="9"/>
      <c r="Q98" s="9"/>
      <c r="R98" s="9"/>
      <c r="S98" s="9"/>
    </row>
    <row r="99">
      <c r="A99" s="9"/>
      <c r="D99" s="9"/>
      <c r="E99" s="13"/>
      <c r="H99" s="9"/>
      <c r="I99" s="9"/>
      <c r="J99" s="9"/>
      <c r="K99" s="9"/>
      <c r="M99" s="9"/>
      <c r="N99" s="9"/>
      <c r="O99" s="9"/>
      <c r="Q99" s="9"/>
      <c r="R99" s="9"/>
      <c r="S99" s="9"/>
    </row>
    <row r="100">
      <c r="A100" s="9"/>
      <c r="D100" s="9"/>
      <c r="E100" s="13"/>
      <c r="H100" s="9"/>
      <c r="I100" s="9"/>
      <c r="J100" s="9"/>
      <c r="K100" s="9"/>
      <c r="M100" s="9"/>
      <c r="N100" s="9"/>
      <c r="O100" s="9"/>
      <c r="Q100" s="9"/>
      <c r="R100" s="9"/>
      <c r="S100" s="9"/>
    </row>
    <row r="101">
      <c r="A101" s="9"/>
      <c r="D101" s="9"/>
      <c r="E101" s="13"/>
      <c r="H101" s="9"/>
      <c r="I101" s="9"/>
      <c r="J101" s="9"/>
      <c r="K101" s="9"/>
      <c r="M101" s="9"/>
      <c r="N101" s="9"/>
      <c r="O101" s="9"/>
      <c r="Q101" s="9"/>
      <c r="R101" s="9"/>
      <c r="S101" s="9"/>
    </row>
    <row r="102">
      <c r="A102" s="9"/>
      <c r="D102" s="9"/>
      <c r="E102" s="13"/>
      <c r="H102" s="9"/>
      <c r="I102" s="9"/>
      <c r="J102" s="9"/>
      <c r="K102" s="9"/>
      <c r="M102" s="9"/>
      <c r="N102" s="9"/>
      <c r="O102" s="9"/>
      <c r="Q102" s="9"/>
      <c r="R102" s="9"/>
      <c r="S102" s="9"/>
    </row>
    <row r="103">
      <c r="A103" s="9"/>
      <c r="D103" s="9"/>
      <c r="E103" s="13"/>
      <c r="H103" s="9"/>
      <c r="I103" s="9"/>
      <c r="J103" s="9"/>
      <c r="K103" s="9"/>
      <c r="M103" s="9"/>
      <c r="N103" s="9"/>
      <c r="O103" s="9"/>
      <c r="Q103" s="9"/>
      <c r="R103" s="9"/>
      <c r="S103" s="9"/>
    </row>
    <row r="104">
      <c r="A104" s="9"/>
      <c r="D104" s="9"/>
      <c r="E104" s="13"/>
      <c r="H104" s="9"/>
      <c r="I104" s="9"/>
      <c r="J104" s="9"/>
      <c r="K104" s="9"/>
      <c r="M104" s="9"/>
      <c r="N104" s="9"/>
      <c r="O104" s="9"/>
      <c r="Q104" s="9"/>
      <c r="R104" s="9"/>
      <c r="S104" s="9"/>
    </row>
    <row r="105">
      <c r="A105" s="9"/>
      <c r="D105" s="9"/>
      <c r="E105" s="13"/>
      <c r="H105" s="9"/>
      <c r="I105" s="9"/>
      <c r="J105" s="9"/>
      <c r="K105" s="9"/>
      <c r="M105" s="9"/>
      <c r="N105" s="9"/>
      <c r="O105" s="9"/>
      <c r="Q105" s="9"/>
      <c r="R105" s="9"/>
      <c r="S105" s="9"/>
    </row>
    <row r="106">
      <c r="A106" s="9"/>
      <c r="D106" s="9"/>
      <c r="E106" s="13"/>
      <c r="H106" s="9"/>
      <c r="I106" s="9"/>
      <c r="J106" s="9"/>
      <c r="K106" s="9"/>
      <c r="M106" s="9"/>
      <c r="N106" s="9"/>
      <c r="O106" s="9"/>
      <c r="Q106" s="9"/>
      <c r="R106" s="9"/>
      <c r="S106" s="9"/>
    </row>
    <row r="107">
      <c r="A107" s="9"/>
      <c r="D107" s="9"/>
      <c r="E107" s="13"/>
      <c r="H107" s="9"/>
      <c r="I107" s="9"/>
      <c r="J107" s="9"/>
      <c r="K107" s="9"/>
      <c r="M107" s="9"/>
      <c r="N107" s="9"/>
      <c r="O107" s="9"/>
      <c r="Q107" s="9"/>
      <c r="R107" s="9"/>
      <c r="S107" s="9"/>
    </row>
    <row r="108">
      <c r="A108" s="9"/>
      <c r="D108" s="9"/>
      <c r="E108" s="13"/>
      <c r="H108" s="9"/>
      <c r="I108" s="9"/>
      <c r="J108" s="9"/>
      <c r="K108" s="9"/>
      <c r="M108" s="9"/>
      <c r="N108" s="9"/>
      <c r="O108" s="9"/>
      <c r="Q108" s="9"/>
      <c r="R108" s="9"/>
      <c r="S108" s="9"/>
    </row>
    <row r="109">
      <c r="A109" s="9"/>
      <c r="D109" s="9"/>
      <c r="E109" s="13"/>
      <c r="H109" s="9"/>
      <c r="I109" s="9"/>
      <c r="J109" s="9"/>
      <c r="K109" s="9"/>
      <c r="M109" s="9"/>
      <c r="N109" s="9"/>
      <c r="O109" s="9"/>
      <c r="Q109" s="9"/>
      <c r="R109" s="9"/>
      <c r="S109" s="9"/>
    </row>
    <row r="110">
      <c r="A110" s="9"/>
      <c r="D110" s="9"/>
      <c r="E110" s="13"/>
      <c r="H110" s="9"/>
      <c r="I110" s="9"/>
      <c r="J110" s="9"/>
      <c r="K110" s="9"/>
      <c r="M110" s="9"/>
      <c r="N110" s="9"/>
      <c r="O110" s="9"/>
      <c r="Q110" s="9"/>
      <c r="R110" s="9"/>
      <c r="S110" s="9"/>
    </row>
    <row r="111">
      <c r="A111" s="9"/>
      <c r="D111" s="9"/>
      <c r="E111" s="13"/>
      <c r="H111" s="9"/>
      <c r="I111" s="9"/>
      <c r="J111" s="9"/>
      <c r="K111" s="9"/>
      <c r="M111" s="9"/>
      <c r="N111" s="9"/>
      <c r="O111" s="9"/>
      <c r="Q111" s="9"/>
      <c r="R111" s="9"/>
      <c r="S111" s="9"/>
    </row>
    <row r="112">
      <c r="A112" s="9"/>
      <c r="D112" s="9"/>
      <c r="E112" s="13"/>
      <c r="H112" s="9"/>
      <c r="I112" s="9"/>
      <c r="J112" s="9"/>
      <c r="K112" s="9"/>
      <c r="M112" s="9"/>
      <c r="N112" s="9"/>
      <c r="O112" s="9"/>
      <c r="Q112" s="9"/>
      <c r="R112" s="9"/>
      <c r="S112" s="9"/>
    </row>
    <row r="113">
      <c r="A113" s="9"/>
      <c r="D113" s="9"/>
      <c r="E113" s="13"/>
      <c r="H113" s="9"/>
      <c r="I113" s="9"/>
      <c r="J113" s="9"/>
      <c r="K113" s="9"/>
      <c r="M113" s="9"/>
      <c r="N113" s="9"/>
      <c r="O113" s="9"/>
      <c r="Q113" s="9"/>
      <c r="R113" s="9"/>
      <c r="S113" s="9"/>
    </row>
    <row r="114">
      <c r="A114" s="9"/>
      <c r="D114" s="9"/>
      <c r="E114" s="13"/>
      <c r="H114" s="9"/>
      <c r="I114" s="9"/>
      <c r="J114" s="9"/>
      <c r="K114" s="9"/>
      <c r="M114" s="9"/>
      <c r="N114" s="9"/>
      <c r="O114" s="9"/>
      <c r="Q114" s="9"/>
      <c r="R114" s="9"/>
      <c r="S114" s="9"/>
    </row>
    <row r="115">
      <c r="A115" s="9"/>
      <c r="D115" s="9"/>
      <c r="E115" s="13"/>
      <c r="H115" s="9"/>
      <c r="I115" s="9"/>
      <c r="J115" s="9"/>
      <c r="K115" s="9"/>
      <c r="M115" s="9"/>
      <c r="N115" s="9"/>
      <c r="O115" s="9"/>
      <c r="Q115" s="9"/>
      <c r="R115" s="9"/>
      <c r="S115" s="9"/>
    </row>
    <row r="116">
      <c r="A116" s="9"/>
      <c r="D116" s="9"/>
      <c r="E116" s="13"/>
      <c r="H116" s="9"/>
      <c r="I116" s="9"/>
      <c r="J116" s="9"/>
      <c r="K116" s="9"/>
      <c r="M116" s="9"/>
      <c r="N116" s="9"/>
      <c r="O116" s="9"/>
      <c r="Q116" s="9"/>
      <c r="R116" s="9"/>
      <c r="S116" s="9"/>
    </row>
    <row r="117">
      <c r="A117" s="9"/>
      <c r="D117" s="9"/>
      <c r="E117" s="13"/>
      <c r="H117" s="9"/>
      <c r="I117" s="9"/>
      <c r="J117" s="9"/>
      <c r="K117" s="9"/>
      <c r="M117" s="9"/>
      <c r="N117" s="9"/>
      <c r="O117" s="9"/>
      <c r="Q117" s="9"/>
      <c r="R117" s="9"/>
      <c r="S117" s="9"/>
    </row>
    <row r="118">
      <c r="A118" s="9"/>
      <c r="D118" s="9"/>
      <c r="E118" s="13"/>
      <c r="H118" s="9"/>
      <c r="I118" s="9"/>
      <c r="J118" s="9"/>
      <c r="K118" s="9"/>
      <c r="M118" s="9"/>
      <c r="N118" s="9"/>
      <c r="O118" s="9"/>
      <c r="Q118" s="9"/>
      <c r="R118" s="9"/>
      <c r="S118" s="9"/>
    </row>
    <row r="119">
      <c r="A119" s="9"/>
      <c r="D119" s="9"/>
      <c r="E119" s="13"/>
      <c r="H119" s="9"/>
      <c r="I119" s="9"/>
      <c r="J119" s="9"/>
      <c r="K119" s="9"/>
      <c r="M119" s="9"/>
      <c r="N119" s="9"/>
      <c r="O119" s="9"/>
      <c r="Q119" s="9"/>
      <c r="R119" s="9"/>
      <c r="S119" s="9"/>
    </row>
    <row r="120">
      <c r="A120" s="9"/>
      <c r="D120" s="9"/>
      <c r="E120" s="13"/>
      <c r="H120" s="9"/>
      <c r="I120" s="9"/>
      <c r="J120" s="9"/>
      <c r="K120" s="9"/>
      <c r="M120" s="9"/>
      <c r="N120" s="9"/>
      <c r="O120" s="9"/>
      <c r="Q120" s="9"/>
      <c r="R120" s="9"/>
      <c r="S120" s="9"/>
    </row>
    <row r="121">
      <c r="A121" s="9"/>
      <c r="D121" s="9"/>
      <c r="E121" s="13"/>
      <c r="H121" s="9"/>
      <c r="I121" s="9"/>
      <c r="J121" s="9"/>
      <c r="K121" s="9"/>
      <c r="M121" s="9"/>
      <c r="N121" s="9"/>
      <c r="O121" s="9"/>
      <c r="Q121" s="9"/>
      <c r="R121" s="9"/>
      <c r="S121" s="9"/>
    </row>
    <row r="122">
      <c r="A122" s="9"/>
      <c r="D122" s="9"/>
      <c r="E122" s="13"/>
      <c r="H122" s="9"/>
      <c r="I122" s="9"/>
      <c r="J122" s="9"/>
      <c r="K122" s="9"/>
      <c r="M122" s="9"/>
      <c r="N122" s="9"/>
      <c r="O122" s="9"/>
      <c r="Q122" s="9"/>
      <c r="R122" s="9"/>
      <c r="S122" s="9"/>
    </row>
    <row r="123">
      <c r="A123" s="9"/>
      <c r="D123" s="9"/>
      <c r="E123" s="13"/>
      <c r="H123" s="9"/>
      <c r="I123" s="9"/>
      <c r="J123" s="9"/>
      <c r="K123" s="9"/>
      <c r="M123" s="9"/>
      <c r="N123" s="9"/>
      <c r="O123" s="9"/>
      <c r="Q123" s="9"/>
      <c r="R123" s="9"/>
      <c r="S123" s="9"/>
    </row>
    <row r="124">
      <c r="A124" s="9"/>
      <c r="D124" s="9"/>
      <c r="E124" s="13"/>
      <c r="H124" s="9"/>
      <c r="I124" s="9"/>
      <c r="J124" s="9"/>
      <c r="K124" s="9"/>
      <c r="M124" s="9"/>
      <c r="N124" s="9"/>
      <c r="O124" s="9"/>
      <c r="Q124" s="9"/>
      <c r="R124" s="9"/>
      <c r="S124" s="9"/>
    </row>
    <row r="125">
      <c r="A125" s="9"/>
      <c r="D125" s="9"/>
      <c r="E125" s="13"/>
      <c r="H125" s="9"/>
      <c r="I125" s="9"/>
      <c r="J125" s="9"/>
      <c r="K125" s="9"/>
      <c r="M125" s="9"/>
      <c r="N125" s="9"/>
      <c r="O125" s="9"/>
      <c r="Q125" s="9"/>
      <c r="R125" s="9"/>
      <c r="S125" s="9"/>
    </row>
    <row r="126">
      <c r="A126" s="9"/>
      <c r="D126" s="9"/>
      <c r="E126" s="13"/>
      <c r="H126" s="9"/>
      <c r="I126" s="9"/>
      <c r="J126" s="9"/>
      <c r="K126" s="9"/>
      <c r="M126" s="9"/>
      <c r="N126" s="9"/>
      <c r="O126" s="9"/>
      <c r="Q126" s="9"/>
      <c r="R126" s="9"/>
      <c r="S126" s="9"/>
    </row>
    <row r="127">
      <c r="A127" s="9"/>
      <c r="D127" s="9"/>
      <c r="E127" s="13"/>
      <c r="H127" s="9"/>
      <c r="I127" s="9"/>
      <c r="J127" s="9"/>
      <c r="K127" s="9"/>
      <c r="M127" s="9"/>
      <c r="N127" s="9"/>
      <c r="O127" s="9"/>
      <c r="Q127" s="9"/>
      <c r="R127" s="9"/>
      <c r="S127" s="9"/>
    </row>
    <row r="128">
      <c r="A128" s="9"/>
      <c r="D128" s="9"/>
      <c r="E128" s="13"/>
      <c r="H128" s="9"/>
      <c r="I128" s="9"/>
      <c r="J128" s="9"/>
      <c r="K128" s="9"/>
      <c r="M128" s="9"/>
      <c r="N128" s="9"/>
      <c r="O128" s="9"/>
      <c r="Q128" s="9"/>
      <c r="R128" s="9"/>
      <c r="S128" s="9"/>
    </row>
    <row r="129">
      <c r="A129" s="9"/>
      <c r="D129" s="9"/>
      <c r="E129" s="13"/>
      <c r="H129" s="9"/>
      <c r="I129" s="9"/>
      <c r="J129" s="9"/>
      <c r="K129" s="9"/>
      <c r="M129" s="9"/>
      <c r="N129" s="9"/>
      <c r="O129" s="9"/>
      <c r="Q129" s="9"/>
      <c r="R129" s="9"/>
      <c r="S129" s="9"/>
    </row>
    <row r="130">
      <c r="A130" s="9"/>
      <c r="D130" s="9"/>
      <c r="E130" s="13"/>
      <c r="H130" s="9"/>
      <c r="I130" s="9"/>
      <c r="J130" s="9"/>
      <c r="K130" s="9"/>
      <c r="M130" s="9"/>
      <c r="N130" s="9"/>
      <c r="O130" s="9"/>
      <c r="Q130" s="9"/>
      <c r="R130" s="9"/>
      <c r="S130" s="9"/>
    </row>
    <row r="131">
      <c r="A131" s="9"/>
      <c r="D131" s="9"/>
      <c r="E131" s="13"/>
      <c r="H131" s="9"/>
      <c r="I131" s="9"/>
      <c r="J131" s="9"/>
      <c r="K131" s="9"/>
      <c r="M131" s="9"/>
      <c r="N131" s="9"/>
      <c r="O131" s="9"/>
      <c r="Q131" s="9"/>
      <c r="R131" s="9"/>
      <c r="S131" s="9"/>
    </row>
    <row r="132">
      <c r="A132" s="9"/>
      <c r="D132" s="9"/>
      <c r="E132" s="13"/>
      <c r="H132" s="9"/>
      <c r="I132" s="9"/>
      <c r="J132" s="9"/>
      <c r="K132" s="9"/>
      <c r="M132" s="9"/>
      <c r="N132" s="9"/>
      <c r="O132" s="9"/>
      <c r="Q132" s="9"/>
      <c r="R132" s="9"/>
      <c r="S132" s="9"/>
    </row>
    <row r="133">
      <c r="A133" s="9"/>
      <c r="D133" s="9"/>
      <c r="E133" s="13"/>
      <c r="H133" s="9"/>
      <c r="I133" s="9"/>
      <c r="J133" s="9"/>
      <c r="K133" s="9"/>
      <c r="M133" s="9"/>
      <c r="N133" s="9"/>
      <c r="O133" s="9"/>
      <c r="Q133" s="9"/>
      <c r="R133" s="9"/>
      <c r="S133" s="9"/>
    </row>
    <row r="134">
      <c r="A134" s="9"/>
      <c r="D134" s="9"/>
      <c r="E134" s="13"/>
      <c r="H134" s="9"/>
      <c r="I134" s="9"/>
      <c r="J134" s="9"/>
      <c r="K134" s="9"/>
      <c r="M134" s="9"/>
      <c r="N134" s="9"/>
      <c r="O134" s="9"/>
      <c r="Q134" s="9"/>
      <c r="R134" s="9"/>
      <c r="S134" s="9"/>
    </row>
    <row r="135">
      <c r="A135" s="9"/>
      <c r="D135" s="9"/>
      <c r="E135" s="13"/>
      <c r="H135" s="9"/>
      <c r="I135" s="9"/>
      <c r="J135" s="9"/>
      <c r="K135" s="9"/>
      <c r="M135" s="9"/>
      <c r="N135" s="9"/>
      <c r="O135" s="9"/>
      <c r="Q135" s="9"/>
      <c r="R135" s="9"/>
      <c r="S135" s="9"/>
    </row>
    <row r="136">
      <c r="A136" s="9"/>
      <c r="D136" s="9"/>
      <c r="E136" s="13"/>
      <c r="H136" s="9"/>
      <c r="I136" s="9"/>
      <c r="J136" s="9"/>
      <c r="K136" s="9"/>
      <c r="M136" s="9"/>
      <c r="N136" s="9"/>
      <c r="O136" s="9"/>
      <c r="Q136" s="9"/>
      <c r="R136" s="9"/>
      <c r="S136" s="9"/>
    </row>
    <row r="137">
      <c r="A137" s="9"/>
      <c r="D137" s="9"/>
      <c r="E137" s="13"/>
      <c r="H137" s="9"/>
      <c r="I137" s="9"/>
      <c r="J137" s="9"/>
      <c r="K137" s="9"/>
      <c r="M137" s="9"/>
      <c r="N137" s="9"/>
      <c r="O137" s="9"/>
      <c r="Q137" s="9"/>
      <c r="R137" s="9"/>
      <c r="S137" s="9"/>
    </row>
    <row r="138">
      <c r="A138" s="9"/>
      <c r="D138" s="9"/>
      <c r="E138" s="13"/>
      <c r="H138" s="9"/>
      <c r="I138" s="9"/>
      <c r="J138" s="9"/>
      <c r="K138" s="9"/>
      <c r="M138" s="9"/>
      <c r="N138" s="9"/>
      <c r="O138" s="9"/>
      <c r="Q138" s="9"/>
      <c r="R138" s="9"/>
      <c r="S138" s="9"/>
    </row>
    <row r="139">
      <c r="A139" s="9"/>
      <c r="D139" s="9"/>
      <c r="E139" s="13"/>
      <c r="H139" s="9"/>
      <c r="I139" s="9"/>
      <c r="J139" s="9"/>
      <c r="K139" s="9"/>
      <c r="M139" s="9"/>
      <c r="N139" s="9"/>
      <c r="O139" s="9"/>
      <c r="Q139" s="9"/>
      <c r="R139" s="9"/>
      <c r="S139" s="9"/>
    </row>
    <row r="140">
      <c r="A140" s="9"/>
      <c r="D140" s="9"/>
      <c r="E140" s="13"/>
      <c r="H140" s="9"/>
      <c r="I140" s="9"/>
      <c r="J140" s="9"/>
      <c r="K140" s="9"/>
      <c r="M140" s="9"/>
      <c r="N140" s="9"/>
      <c r="O140" s="9"/>
      <c r="Q140" s="9"/>
      <c r="R140" s="9"/>
      <c r="S140" s="9"/>
    </row>
    <row r="141">
      <c r="A141" s="9"/>
      <c r="D141" s="9"/>
      <c r="E141" s="13"/>
      <c r="H141" s="9"/>
      <c r="I141" s="9"/>
      <c r="J141" s="9"/>
      <c r="K141" s="9"/>
      <c r="M141" s="9"/>
      <c r="N141" s="9"/>
      <c r="O141" s="9"/>
      <c r="Q141" s="9"/>
      <c r="R141" s="9"/>
      <c r="S141" s="9"/>
    </row>
    <row r="142">
      <c r="A142" s="9"/>
      <c r="D142" s="9"/>
      <c r="E142" s="13"/>
      <c r="H142" s="9"/>
      <c r="I142" s="9"/>
      <c r="J142" s="9"/>
      <c r="K142" s="9"/>
      <c r="M142" s="9"/>
      <c r="N142" s="9"/>
      <c r="O142" s="9"/>
      <c r="Q142" s="9"/>
      <c r="R142" s="9"/>
      <c r="S142" s="9"/>
    </row>
    <row r="143">
      <c r="A143" s="9"/>
      <c r="D143" s="9"/>
      <c r="E143" s="13"/>
      <c r="H143" s="9"/>
      <c r="I143" s="9"/>
      <c r="J143" s="9"/>
      <c r="K143" s="9"/>
      <c r="M143" s="9"/>
      <c r="N143" s="9"/>
      <c r="O143" s="9"/>
      <c r="Q143" s="9"/>
      <c r="R143" s="9"/>
      <c r="S143" s="9"/>
    </row>
    <row r="144">
      <c r="A144" s="9"/>
      <c r="D144" s="9"/>
      <c r="E144" s="13"/>
      <c r="H144" s="9"/>
      <c r="I144" s="9"/>
      <c r="J144" s="9"/>
      <c r="K144" s="9"/>
      <c r="M144" s="9"/>
      <c r="N144" s="9"/>
      <c r="O144" s="9"/>
      <c r="Q144" s="9"/>
      <c r="R144" s="9"/>
      <c r="S144" s="9"/>
    </row>
    <row r="145">
      <c r="A145" s="9"/>
      <c r="D145" s="9"/>
      <c r="E145" s="13"/>
      <c r="H145" s="9"/>
      <c r="I145" s="9"/>
      <c r="J145" s="9"/>
      <c r="K145" s="9"/>
      <c r="M145" s="9"/>
      <c r="N145" s="9"/>
      <c r="O145" s="9"/>
      <c r="Q145" s="9"/>
      <c r="R145" s="9"/>
      <c r="S145" s="9"/>
    </row>
    <row r="146">
      <c r="A146" s="9"/>
      <c r="D146" s="9"/>
      <c r="E146" s="13"/>
      <c r="H146" s="9"/>
      <c r="I146" s="9"/>
      <c r="J146" s="9"/>
      <c r="K146" s="9"/>
      <c r="M146" s="9"/>
      <c r="N146" s="9"/>
      <c r="O146" s="9"/>
      <c r="Q146" s="9"/>
      <c r="R146" s="9"/>
      <c r="S146" s="9"/>
    </row>
    <row r="147">
      <c r="A147" s="9"/>
      <c r="D147" s="9"/>
      <c r="E147" s="13"/>
      <c r="H147" s="9"/>
      <c r="I147" s="9"/>
      <c r="J147" s="9"/>
      <c r="K147" s="9"/>
      <c r="M147" s="9"/>
      <c r="N147" s="9"/>
      <c r="O147" s="9"/>
      <c r="Q147" s="9"/>
      <c r="R147" s="9"/>
      <c r="S147" s="9"/>
    </row>
    <row r="148">
      <c r="A148" s="9"/>
      <c r="D148" s="9"/>
      <c r="E148" s="13"/>
      <c r="H148" s="9"/>
      <c r="I148" s="9"/>
      <c r="J148" s="9"/>
      <c r="K148" s="9"/>
      <c r="M148" s="9"/>
      <c r="N148" s="9"/>
      <c r="O148" s="9"/>
      <c r="Q148" s="9"/>
      <c r="R148" s="9"/>
      <c r="S148" s="9"/>
    </row>
    <row r="149">
      <c r="A149" s="9"/>
      <c r="D149" s="9"/>
      <c r="E149" s="13"/>
      <c r="H149" s="9"/>
      <c r="I149" s="9"/>
      <c r="J149" s="9"/>
      <c r="K149" s="9"/>
      <c r="M149" s="9"/>
      <c r="N149" s="9"/>
      <c r="O149" s="9"/>
      <c r="Q149" s="9"/>
      <c r="R149" s="9"/>
      <c r="S149" s="9"/>
    </row>
    <row r="150">
      <c r="A150" s="9"/>
      <c r="D150" s="9"/>
      <c r="E150" s="13"/>
      <c r="H150" s="9"/>
      <c r="I150" s="9"/>
      <c r="J150" s="9"/>
      <c r="K150" s="9"/>
      <c r="M150" s="9"/>
      <c r="N150" s="9"/>
      <c r="O150" s="9"/>
      <c r="Q150" s="9"/>
      <c r="R150" s="9"/>
      <c r="S150" s="9"/>
    </row>
    <row r="151">
      <c r="A151" s="9"/>
      <c r="D151" s="9"/>
      <c r="E151" s="13"/>
      <c r="H151" s="9"/>
      <c r="I151" s="9"/>
      <c r="J151" s="9"/>
      <c r="K151" s="9"/>
      <c r="M151" s="9"/>
      <c r="N151" s="9"/>
      <c r="O151" s="9"/>
      <c r="Q151" s="9"/>
      <c r="R151" s="9"/>
      <c r="S151" s="9"/>
    </row>
    <row r="152">
      <c r="A152" s="9"/>
      <c r="D152" s="9"/>
      <c r="E152" s="13"/>
      <c r="H152" s="9"/>
      <c r="I152" s="9"/>
      <c r="J152" s="9"/>
      <c r="K152" s="9"/>
      <c r="M152" s="9"/>
      <c r="N152" s="9"/>
      <c r="O152" s="9"/>
      <c r="Q152" s="9"/>
      <c r="R152" s="9"/>
      <c r="S152" s="9"/>
    </row>
    <row r="153">
      <c r="A153" s="9"/>
      <c r="D153" s="9"/>
      <c r="E153" s="13"/>
      <c r="H153" s="9"/>
      <c r="I153" s="9"/>
      <c r="J153" s="9"/>
      <c r="K153" s="9"/>
      <c r="M153" s="9"/>
      <c r="N153" s="9"/>
      <c r="O153" s="9"/>
      <c r="Q153" s="9"/>
      <c r="R153" s="9"/>
      <c r="S153" s="9"/>
    </row>
    <row r="154">
      <c r="A154" s="9"/>
      <c r="D154" s="9"/>
      <c r="E154" s="13"/>
      <c r="H154" s="9"/>
      <c r="I154" s="9"/>
      <c r="J154" s="9"/>
      <c r="K154" s="9"/>
      <c r="M154" s="9"/>
      <c r="N154" s="9"/>
      <c r="O154" s="9"/>
      <c r="Q154" s="9"/>
      <c r="R154" s="9"/>
      <c r="S154" s="9"/>
    </row>
    <row r="155">
      <c r="A155" s="9"/>
      <c r="D155" s="9"/>
      <c r="E155" s="13"/>
      <c r="H155" s="9"/>
      <c r="I155" s="9"/>
      <c r="J155" s="9"/>
      <c r="K155" s="9"/>
      <c r="M155" s="9"/>
      <c r="N155" s="9"/>
      <c r="O155" s="9"/>
      <c r="Q155" s="9"/>
      <c r="R155" s="9"/>
      <c r="S155" s="9"/>
    </row>
    <row r="156">
      <c r="A156" s="9"/>
      <c r="D156" s="9"/>
      <c r="E156" s="13"/>
      <c r="H156" s="9"/>
      <c r="I156" s="9"/>
      <c r="J156" s="9"/>
      <c r="K156" s="9"/>
      <c r="M156" s="9"/>
      <c r="N156" s="9"/>
      <c r="O156" s="9"/>
      <c r="Q156" s="9"/>
      <c r="R156" s="9"/>
      <c r="S156" s="9"/>
    </row>
    <row r="157">
      <c r="A157" s="9"/>
      <c r="D157" s="9"/>
      <c r="E157" s="13"/>
      <c r="H157" s="9"/>
      <c r="I157" s="9"/>
      <c r="J157" s="9"/>
      <c r="K157" s="9"/>
      <c r="M157" s="9"/>
      <c r="N157" s="9"/>
      <c r="O157" s="9"/>
      <c r="Q157" s="9"/>
      <c r="R157" s="9"/>
      <c r="S157" s="9"/>
    </row>
    <row r="158">
      <c r="A158" s="9"/>
      <c r="D158" s="9"/>
      <c r="E158" s="13"/>
      <c r="H158" s="9"/>
      <c r="I158" s="9"/>
      <c r="J158" s="9"/>
      <c r="K158" s="9"/>
      <c r="M158" s="9"/>
      <c r="N158" s="9"/>
      <c r="O158" s="9"/>
      <c r="Q158" s="9"/>
      <c r="R158" s="9"/>
      <c r="S158" s="9"/>
    </row>
    <row r="159">
      <c r="A159" s="9"/>
      <c r="D159" s="9"/>
      <c r="E159" s="13"/>
      <c r="H159" s="9"/>
      <c r="I159" s="9"/>
      <c r="J159" s="9"/>
      <c r="K159" s="9"/>
      <c r="M159" s="9"/>
      <c r="N159" s="9"/>
      <c r="O159" s="9"/>
      <c r="Q159" s="9"/>
      <c r="R159" s="9"/>
      <c r="S159" s="9"/>
    </row>
    <row r="160">
      <c r="A160" s="9"/>
      <c r="D160" s="9"/>
      <c r="E160" s="13"/>
      <c r="H160" s="9"/>
      <c r="I160" s="9"/>
      <c r="J160" s="9"/>
      <c r="K160" s="9"/>
      <c r="M160" s="9"/>
      <c r="N160" s="9"/>
      <c r="O160" s="9"/>
      <c r="Q160" s="9"/>
      <c r="R160" s="9"/>
      <c r="S160" s="9"/>
    </row>
    <row r="161">
      <c r="A161" s="9"/>
      <c r="D161" s="9"/>
      <c r="E161" s="13"/>
      <c r="H161" s="9"/>
      <c r="I161" s="9"/>
      <c r="J161" s="9"/>
      <c r="K161" s="9"/>
      <c r="M161" s="9"/>
      <c r="N161" s="9"/>
      <c r="O161" s="9"/>
      <c r="Q161" s="9"/>
      <c r="R161" s="9"/>
      <c r="S161" s="9"/>
    </row>
    <row r="162">
      <c r="A162" s="9"/>
      <c r="D162" s="9"/>
      <c r="E162" s="13"/>
      <c r="H162" s="9"/>
      <c r="I162" s="9"/>
      <c r="J162" s="9"/>
      <c r="K162" s="9"/>
      <c r="M162" s="9"/>
      <c r="N162" s="9"/>
      <c r="O162" s="9"/>
      <c r="Q162" s="9"/>
      <c r="R162" s="9"/>
      <c r="S162" s="9"/>
    </row>
    <row r="163">
      <c r="A163" s="9"/>
      <c r="D163" s="9"/>
      <c r="E163" s="13"/>
      <c r="H163" s="9"/>
      <c r="I163" s="9"/>
      <c r="J163" s="9"/>
      <c r="K163" s="9"/>
      <c r="M163" s="9"/>
      <c r="N163" s="9"/>
      <c r="O163" s="9"/>
      <c r="Q163" s="9"/>
      <c r="R163" s="9"/>
      <c r="S163" s="9"/>
    </row>
    <row r="164">
      <c r="A164" s="9"/>
      <c r="D164" s="9"/>
      <c r="E164" s="13"/>
      <c r="H164" s="9"/>
      <c r="I164" s="9"/>
      <c r="J164" s="9"/>
      <c r="K164" s="9"/>
      <c r="M164" s="9"/>
      <c r="N164" s="9"/>
      <c r="O164" s="9"/>
      <c r="Q164" s="9"/>
      <c r="R164" s="9"/>
      <c r="S164" s="9"/>
    </row>
    <row r="165">
      <c r="A165" s="9"/>
      <c r="D165" s="9"/>
      <c r="E165" s="13"/>
      <c r="H165" s="9"/>
      <c r="I165" s="9"/>
      <c r="J165" s="9"/>
      <c r="K165" s="9"/>
      <c r="M165" s="9"/>
      <c r="N165" s="9"/>
      <c r="O165" s="9"/>
      <c r="Q165" s="9"/>
      <c r="R165" s="9"/>
      <c r="S165" s="9"/>
    </row>
    <row r="166">
      <c r="A166" s="9"/>
      <c r="D166" s="9"/>
      <c r="E166" s="13"/>
      <c r="H166" s="9"/>
      <c r="I166" s="9"/>
      <c r="J166" s="9"/>
      <c r="K166" s="9"/>
      <c r="M166" s="9"/>
      <c r="N166" s="9"/>
      <c r="O166" s="9"/>
      <c r="Q166" s="9"/>
      <c r="R166" s="9"/>
      <c r="S166" s="9"/>
    </row>
    <row r="167">
      <c r="A167" s="9"/>
      <c r="D167" s="9"/>
      <c r="E167" s="13"/>
      <c r="H167" s="9"/>
      <c r="I167" s="9"/>
      <c r="J167" s="9"/>
      <c r="K167" s="9"/>
      <c r="M167" s="9"/>
      <c r="N167" s="9"/>
      <c r="O167" s="9"/>
      <c r="Q167" s="9"/>
      <c r="R167" s="9"/>
      <c r="S167" s="9"/>
    </row>
    <row r="168">
      <c r="A168" s="9"/>
      <c r="D168" s="9"/>
      <c r="E168" s="13"/>
      <c r="H168" s="9"/>
      <c r="I168" s="9"/>
      <c r="J168" s="9"/>
      <c r="K168" s="9"/>
      <c r="M168" s="9"/>
      <c r="N168" s="9"/>
      <c r="O168" s="9"/>
      <c r="Q168" s="9"/>
      <c r="R168" s="9"/>
      <c r="S168" s="9"/>
    </row>
    <row r="169">
      <c r="A169" s="9"/>
      <c r="D169" s="9"/>
      <c r="E169" s="13"/>
      <c r="H169" s="9"/>
      <c r="I169" s="9"/>
      <c r="J169" s="9"/>
      <c r="K169" s="9"/>
      <c r="M169" s="9"/>
      <c r="N169" s="9"/>
      <c r="O169" s="9"/>
      <c r="Q169" s="9"/>
      <c r="R169" s="9"/>
      <c r="S169" s="9"/>
    </row>
    <row r="170">
      <c r="A170" s="9"/>
      <c r="D170" s="9"/>
      <c r="E170" s="13"/>
      <c r="H170" s="9"/>
      <c r="I170" s="9"/>
      <c r="J170" s="9"/>
      <c r="K170" s="9"/>
      <c r="M170" s="9"/>
      <c r="N170" s="9"/>
      <c r="O170" s="9"/>
      <c r="Q170" s="9"/>
      <c r="R170" s="9"/>
      <c r="S170" s="9"/>
    </row>
    <row r="171">
      <c r="A171" s="9"/>
      <c r="D171" s="9"/>
      <c r="E171" s="13"/>
      <c r="H171" s="9"/>
      <c r="I171" s="9"/>
      <c r="J171" s="9"/>
      <c r="K171" s="9"/>
      <c r="M171" s="9"/>
      <c r="N171" s="9"/>
      <c r="O171" s="9"/>
      <c r="Q171" s="9"/>
      <c r="R171" s="9"/>
      <c r="S171" s="9"/>
    </row>
    <row r="172">
      <c r="A172" s="9"/>
      <c r="D172" s="9"/>
      <c r="E172" s="13"/>
      <c r="H172" s="9"/>
      <c r="I172" s="9"/>
      <c r="J172" s="9"/>
      <c r="K172" s="9"/>
      <c r="M172" s="9"/>
      <c r="N172" s="9"/>
      <c r="O172" s="9"/>
      <c r="Q172" s="9"/>
      <c r="R172" s="9"/>
      <c r="S172" s="9"/>
    </row>
    <row r="173">
      <c r="A173" s="9"/>
      <c r="D173" s="9"/>
      <c r="E173" s="13"/>
      <c r="H173" s="9"/>
      <c r="I173" s="9"/>
      <c r="J173" s="9"/>
      <c r="K173" s="9"/>
      <c r="M173" s="9"/>
      <c r="N173" s="9"/>
      <c r="O173" s="9"/>
      <c r="Q173" s="9"/>
      <c r="R173" s="9"/>
      <c r="S173" s="9"/>
    </row>
    <row r="174">
      <c r="A174" s="9"/>
      <c r="D174" s="9"/>
      <c r="E174" s="13"/>
      <c r="H174" s="9"/>
      <c r="I174" s="9"/>
      <c r="J174" s="9"/>
      <c r="K174" s="9"/>
      <c r="M174" s="9"/>
      <c r="N174" s="9"/>
      <c r="O174" s="9"/>
      <c r="Q174" s="9"/>
      <c r="R174" s="9"/>
      <c r="S174" s="9"/>
    </row>
    <row r="175">
      <c r="A175" s="9"/>
      <c r="D175" s="9"/>
      <c r="E175" s="13"/>
      <c r="H175" s="9"/>
      <c r="I175" s="9"/>
      <c r="J175" s="9"/>
      <c r="K175" s="9"/>
      <c r="M175" s="9"/>
      <c r="N175" s="9"/>
      <c r="O175" s="9"/>
      <c r="Q175" s="9"/>
      <c r="R175" s="9"/>
      <c r="S175" s="9"/>
    </row>
    <row r="176">
      <c r="A176" s="9"/>
      <c r="D176" s="9"/>
      <c r="E176" s="13"/>
      <c r="H176" s="9"/>
      <c r="I176" s="9"/>
      <c r="J176" s="9"/>
      <c r="K176" s="9"/>
      <c r="M176" s="9"/>
      <c r="N176" s="9"/>
      <c r="O176" s="9"/>
      <c r="Q176" s="9"/>
      <c r="R176" s="9"/>
      <c r="S176" s="9"/>
    </row>
    <row r="177">
      <c r="A177" s="9"/>
      <c r="D177" s="9"/>
      <c r="E177" s="13"/>
      <c r="H177" s="9"/>
      <c r="I177" s="9"/>
      <c r="J177" s="9"/>
      <c r="K177" s="9"/>
      <c r="M177" s="9"/>
      <c r="N177" s="9"/>
      <c r="O177" s="9"/>
      <c r="Q177" s="9"/>
      <c r="R177" s="9"/>
      <c r="S177" s="9"/>
    </row>
    <row r="178">
      <c r="A178" s="9"/>
      <c r="D178" s="9"/>
      <c r="E178" s="13"/>
      <c r="H178" s="9"/>
      <c r="I178" s="9"/>
      <c r="J178" s="9"/>
      <c r="K178" s="9"/>
      <c r="M178" s="9"/>
      <c r="N178" s="9"/>
      <c r="O178" s="9"/>
      <c r="Q178" s="9"/>
      <c r="R178" s="9"/>
      <c r="S178" s="9"/>
    </row>
    <row r="179">
      <c r="A179" s="9"/>
      <c r="D179" s="9"/>
      <c r="E179" s="13"/>
      <c r="H179" s="9"/>
      <c r="I179" s="9"/>
      <c r="J179" s="9"/>
      <c r="K179" s="9"/>
      <c r="M179" s="9"/>
      <c r="N179" s="9"/>
      <c r="O179" s="9"/>
      <c r="Q179" s="9"/>
      <c r="R179" s="9"/>
      <c r="S179" s="9"/>
    </row>
    <row r="180">
      <c r="A180" s="9"/>
      <c r="D180" s="9"/>
      <c r="E180" s="13"/>
      <c r="H180" s="9"/>
      <c r="I180" s="9"/>
      <c r="J180" s="9"/>
      <c r="K180" s="9"/>
      <c r="M180" s="9"/>
      <c r="N180" s="9"/>
      <c r="O180" s="9"/>
      <c r="Q180" s="9"/>
      <c r="R180" s="9"/>
      <c r="S180" s="9"/>
    </row>
    <row r="181">
      <c r="A181" s="9"/>
      <c r="D181" s="9"/>
      <c r="E181" s="13"/>
      <c r="H181" s="9"/>
      <c r="I181" s="9"/>
      <c r="J181" s="9"/>
      <c r="K181" s="9"/>
      <c r="M181" s="9"/>
      <c r="N181" s="9"/>
      <c r="O181" s="9"/>
      <c r="Q181" s="9"/>
      <c r="R181" s="9"/>
      <c r="S181" s="9"/>
    </row>
    <row r="182">
      <c r="A182" s="9"/>
      <c r="D182" s="9"/>
      <c r="E182" s="13"/>
      <c r="H182" s="9"/>
      <c r="I182" s="9"/>
      <c r="J182" s="9"/>
      <c r="K182" s="9"/>
      <c r="M182" s="9"/>
      <c r="N182" s="9"/>
      <c r="O182" s="9"/>
      <c r="Q182" s="9"/>
      <c r="R182" s="9"/>
      <c r="S182" s="9"/>
    </row>
    <row r="183">
      <c r="A183" s="9"/>
      <c r="D183" s="9"/>
      <c r="E183" s="13"/>
      <c r="H183" s="9"/>
      <c r="I183" s="9"/>
      <c r="J183" s="9"/>
      <c r="K183" s="9"/>
      <c r="M183" s="9"/>
      <c r="N183" s="9"/>
      <c r="O183" s="9"/>
      <c r="Q183" s="9"/>
      <c r="R183" s="9"/>
      <c r="S183" s="9"/>
    </row>
    <row r="184">
      <c r="A184" s="9"/>
      <c r="D184" s="9"/>
      <c r="E184" s="13"/>
      <c r="H184" s="9"/>
      <c r="I184" s="9"/>
      <c r="J184" s="9"/>
      <c r="K184" s="9"/>
      <c r="M184" s="9"/>
      <c r="N184" s="9"/>
      <c r="O184" s="9"/>
      <c r="Q184" s="9"/>
      <c r="R184" s="9"/>
      <c r="S184" s="9"/>
    </row>
    <row r="185">
      <c r="A185" s="9"/>
      <c r="D185" s="9"/>
      <c r="E185" s="13"/>
      <c r="H185" s="9"/>
      <c r="I185" s="9"/>
      <c r="J185" s="9"/>
      <c r="K185" s="9"/>
      <c r="M185" s="9"/>
      <c r="N185" s="9"/>
      <c r="O185" s="9"/>
      <c r="Q185" s="9"/>
      <c r="R185" s="9"/>
      <c r="S185" s="9"/>
    </row>
    <row r="186">
      <c r="A186" s="9"/>
      <c r="D186" s="9"/>
      <c r="E186" s="13"/>
      <c r="H186" s="9"/>
      <c r="I186" s="9"/>
      <c r="J186" s="9"/>
      <c r="K186" s="9"/>
      <c r="M186" s="9"/>
      <c r="N186" s="9"/>
      <c r="O186" s="9"/>
      <c r="Q186" s="9"/>
      <c r="R186" s="9"/>
      <c r="S186" s="9"/>
    </row>
    <row r="187">
      <c r="A187" s="9"/>
      <c r="D187" s="9"/>
      <c r="E187" s="13"/>
      <c r="H187" s="9"/>
      <c r="I187" s="9"/>
      <c r="J187" s="9"/>
      <c r="K187" s="9"/>
      <c r="M187" s="9"/>
      <c r="N187" s="9"/>
      <c r="O187" s="9"/>
      <c r="Q187" s="9"/>
      <c r="R187" s="9"/>
      <c r="S187" s="9"/>
    </row>
    <row r="188">
      <c r="A188" s="9"/>
      <c r="D188" s="9"/>
      <c r="E188" s="13"/>
      <c r="H188" s="9"/>
      <c r="I188" s="9"/>
      <c r="J188" s="9"/>
      <c r="K188" s="9"/>
      <c r="M188" s="9"/>
      <c r="N188" s="9"/>
      <c r="O188" s="9"/>
      <c r="Q188" s="9"/>
      <c r="R188" s="9"/>
      <c r="S188" s="9"/>
    </row>
    <row r="189">
      <c r="A189" s="9"/>
      <c r="D189" s="9"/>
      <c r="E189" s="13"/>
      <c r="H189" s="9"/>
      <c r="I189" s="9"/>
      <c r="J189" s="9"/>
      <c r="K189" s="9"/>
      <c r="M189" s="9"/>
      <c r="N189" s="9"/>
      <c r="O189" s="9"/>
      <c r="Q189" s="9"/>
      <c r="R189" s="9"/>
      <c r="S189" s="9"/>
    </row>
    <row r="190">
      <c r="A190" s="9"/>
      <c r="D190" s="9"/>
      <c r="E190" s="13"/>
      <c r="H190" s="9"/>
      <c r="I190" s="9"/>
      <c r="J190" s="9"/>
      <c r="K190" s="9"/>
      <c r="M190" s="9"/>
      <c r="N190" s="9"/>
      <c r="O190" s="9"/>
      <c r="Q190" s="9"/>
      <c r="R190" s="9"/>
      <c r="S190" s="9"/>
    </row>
    <row r="191">
      <c r="A191" s="9"/>
      <c r="D191" s="9"/>
      <c r="E191" s="13"/>
      <c r="H191" s="9"/>
      <c r="I191" s="9"/>
      <c r="J191" s="9"/>
      <c r="K191" s="9"/>
      <c r="M191" s="9"/>
      <c r="N191" s="9"/>
      <c r="O191" s="9"/>
      <c r="Q191" s="9"/>
      <c r="R191" s="9"/>
      <c r="S191" s="9"/>
    </row>
    <row r="192">
      <c r="A192" s="9"/>
      <c r="D192" s="9"/>
      <c r="E192" s="13"/>
      <c r="H192" s="9"/>
      <c r="I192" s="9"/>
      <c r="J192" s="9"/>
      <c r="K192" s="9"/>
      <c r="M192" s="9"/>
      <c r="N192" s="9"/>
      <c r="O192" s="9"/>
      <c r="Q192" s="9"/>
      <c r="R192" s="9"/>
      <c r="S192" s="9"/>
    </row>
    <row r="193">
      <c r="A193" s="9"/>
      <c r="D193" s="9"/>
      <c r="E193" s="13"/>
      <c r="H193" s="9"/>
      <c r="I193" s="9"/>
      <c r="J193" s="9"/>
      <c r="K193" s="9"/>
      <c r="M193" s="9"/>
      <c r="N193" s="9"/>
      <c r="O193" s="9"/>
      <c r="Q193" s="9"/>
      <c r="R193" s="9"/>
      <c r="S193" s="9"/>
    </row>
    <row r="194">
      <c r="A194" s="9"/>
      <c r="D194" s="9"/>
      <c r="E194" s="13"/>
      <c r="H194" s="9"/>
      <c r="I194" s="9"/>
      <c r="J194" s="9"/>
      <c r="K194" s="9"/>
      <c r="M194" s="9"/>
      <c r="N194" s="9"/>
      <c r="O194" s="9"/>
      <c r="Q194" s="9"/>
      <c r="R194" s="9"/>
      <c r="S194" s="9"/>
    </row>
    <row r="195">
      <c r="A195" s="9"/>
      <c r="D195" s="9"/>
      <c r="E195" s="13"/>
      <c r="H195" s="9"/>
      <c r="I195" s="9"/>
      <c r="J195" s="9"/>
      <c r="K195" s="9"/>
      <c r="M195" s="9"/>
      <c r="N195" s="9"/>
      <c r="O195" s="9"/>
      <c r="Q195" s="9"/>
      <c r="R195" s="9"/>
      <c r="S195" s="9"/>
    </row>
    <row r="196">
      <c r="A196" s="9"/>
      <c r="D196" s="9"/>
      <c r="E196" s="13"/>
      <c r="H196" s="9"/>
      <c r="I196" s="9"/>
      <c r="J196" s="9"/>
      <c r="K196" s="9"/>
      <c r="M196" s="9"/>
      <c r="N196" s="9"/>
      <c r="O196" s="9"/>
      <c r="Q196" s="9"/>
      <c r="R196" s="9"/>
      <c r="S196" s="9"/>
    </row>
    <row r="197">
      <c r="A197" s="9"/>
      <c r="D197" s="9"/>
      <c r="E197" s="13"/>
      <c r="H197" s="9"/>
      <c r="I197" s="9"/>
      <c r="J197" s="9"/>
      <c r="K197" s="9"/>
      <c r="M197" s="9"/>
      <c r="N197" s="9"/>
      <c r="O197" s="9"/>
      <c r="Q197" s="9"/>
      <c r="R197" s="9"/>
      <c r="S197" s="9"/>
    </row>
    <row r="198">
      <c r="A198" s="9"/>
      <c r="D198" s="9"/>
      <c r="E198" s="13"/>
      <c r="H198" s="9"/>
      <c r="I198" s="9"/>
      <c r="J198" s="9"/>
      <c r="K198" s="9"/>
      <c r="M198" s="9"/>
      <c r="N198" s="9"/>
      <c r="O198" s="9"/>
      <c r="Q198" s="9"/>
      <c r="R198" s="9"/>
      <c r="S198" s="9"/>
    </row>
    <row r="199">
      <c r="A199" s="9"/>
      <c r="D199" s="9"/>
      <c r="E199" s="13"/>
      <c r="H199" s="9"/>
      <c r="I199" s="9"/>
      <c r="J199" s="9"/>
      <c r="K199" s="9"/>
      <c r="M199" s="9"/>
      <c r="N199" s="9"/>
      <c r="O199" s="9"/>
      <c r="Q199" s="9"/>
      <c r="R199" s="9"/>
      <c r="S199" s="9"/>
    </row>
    <row r="200">
      <c r="A200" s="9"/>
      <c r="D200" s="9"/>
      <c r="E200" s="13"/>
      <c r="H200" s="9"/>
      <c r="I200" s="9"/>
      <c r="J200" s="9"/>
      <c r="K200" s="9"/>
      <c r="M200" s="9"/>
      <c r="N200" s="9"/>
      <c r="O200" s="9"/>
      <c r="Q200" s="9"/>
      <c r="R200" s="9"/>
      <c r="S200" s="9"/>
    </row>
    <row r="201">
      <c r="A201" s="9"/>
      <c r="D201" s="9"/>
      <c r="E201" s="13"/>
      <c r="H201" s="9"/>
      <c r="I201" s="9"/>
      <c r="J201" s="9"/>
      <c r="K201" s="9"/>
      <c r="M201" s="9"/>
      <c r="N201" s="9"/>
      <c r="O201" s="9"/>
      <c r="Q201" s="9"/>
      <c r="R201" s="9"/>
      <c r="S201" s="9"/>
    </row>
    <row r="202">
      <c r="A202" s="9"/>
      <c r="D202" s="9"/>
      <c r="E202" s="13"/>
      <c r="H202" s="9"/>
      <c r="I202" s="9"/>
      <c r="J202" s="9"/>
      <c r="K202" s="9"/>
      <c r="M202" s="9"/>
      <c r="N202" s="9"/>
      <c r="O202" s="9"/>
      <c r="Q202" s="9"/>
      <c r="R202" s="9"/>
      <c r="S202" s="9"/>
    </row>
    <row r="203">
      <c r="A203" s="9"/>
      <c r="D203" s="9"/>
      <c r="E203" s="13"/>
      <c r="H203" s="9"/>
      <c r="I203" s="9"/>
      <c r="J203" s="9"/>
      <c r="K203" s="9"/>
      <c r="M203" s="9"/>
      <c r="N203" s="9"/>
      <c r="O203" s="9"/>
      <c r="Q203" s="9"/>
      <c r="R203" s="9"/>
      <c r="S203" s="9"/>
    </row>
    <row r="204">
      <c r="A204" s="9"/>
      <c r="D204" s="9"/>
      <c r="E204" s="13"/>
      <c r="H204" s="9"/>
      <c r="I204" s="9"/>
      <c r="J204" s="9"/>
      <c r="K204" s="9"/>
      <c r="M204" s="9"/>
      <c r="N204" s="9"/>
      <c r="O204" s="9"/>
      <c r="Q204" s="9"/>
      <c r="R204" s="9"/>
      <c r="S204" s="9"/>
    </row>
    <row r="205">
      <c r="A205" s="9"/>
      <c r="D205" s="9"/>
      <c r="E205" s="13"/>
      <c r="H205" s="9"/>
      <c r="I205" s="9"/>
      <c r="J205" s="9"/>
      <c r="K205" s="9"/>
      <c r="M205" s="9"/>
      <c r="N205" s="9"/>
      <c r="O205" s="9"/>
      <c r="Q205" s="9"/>
      <c r="R205" s="9"/>
      <c r="S205" s="9"/>
    </row>
    <row r="206">
      <c r="A206" s="9"/>
      <c r="D206" s="9"/>
      <c r="E206" s="13"/>
      <c r="H206" s="9"/>
      <c r="I206" s="9"/>
      <c r="J206" s="9"/>
      <c r="K206" s="9"/>
      <c r="M206" s="9"/>
      <c r="N206" s="9"/>
      <c r="O206" s="9"/>
      <c r="Q206" s="9"/>
      <c r="R206" s="9"/>
      <c r="S206" s="9"/>
    </row>
    <row r="207">
      <c r="A207" s="9"/>
      <c r="D207" s="9"/>
      <c r="E207" s="13"/>
      <c r="H207" s="9"/>
      <c r="I207" s="9"/>
      <c r="J207" s="9"/>
      <c r="K207" s="9"/>
      <c r="M207" s="9"/>
      <c r="N207" s="9"/>
      <c r="O207" s="9"/>
      <c r="Q207" s="9"/>
      <c r="R207" s="9"/>
      <c r="S207" s="9"/>
    </row>
    <row r="208">
      <c r="A208" s="9"/>
      <c r="D208" s="9"/>
      <c r="E208" s="13"/>
      <c r="H208" s="9"/>
      <c r="I208" s="9"/>
      <c r="J208" s="9"/>
      <c r="K208" s="9"/>
      <c r="M208" s="9"/>
      <c r="N208" s="9"/>
      <c r="O208" s="9"/>
      <c r="Q208" s="9"/>
      <c r="R208" s="9"/>
      <c r="S208" s="9"/>
    </row>
    <row r="209">
      <c r="A209" s="9"/>
      <c r="D209" s="9"/>
      <c r="E209" s="13"/>
      <c r="H209" s="9"/>
      <c r="I209" s="9"/>
      <c r="J209" s="9"/>
      <c r="K209" s="9"/>
      <c r="M209" s="9"/>
      <c r="N209" s="9"/>
      <c r="O209" s="9"/>
      <c r="Q209" s="9"/>
      <c r="R209" s="9"/>
      <c r="S209" s="9"/>
    </row>
    <row r="210">
      <c r="A210" s="9"/>
      <c r="D210" s="9"/>
      <c r="E210" s="13"/>
      <c r="H210" s="9"/>
      <c r="I210" s="9"/>
      <c r="J210" s="9"/>
      <c r="K210" s="9"/>
      <c r="M210" s="9"/>
      <c r="N210" s="9"/>
      <c r="O210" s="9"/>
      <c r="Q210" s="9"/>
      <c r="R210" s="9"/>
      <c r="S210" s="9"/>
    </row>
    <row r="211">
      <c r="A211" s="9"/>
      <c r="D211" s="9"/>
      <c r="E211" s="13"/>
      <c r="H211" s="9"/>
      <c r="I211" s="9"/>
      <c r="J211" s="9"/>
      <c r="K211" s="9"/>
      <c r="M211" s="9"/>
      <c r="N211" s="9"/>
      <c r="O211" s="9"/>
      <c r="Q211" s="9"/>
      <c r="R211" s="9"/>
      <c r="S211" s="9"/>
    </row>
    <row r="212">
      <c r="A212" s="9"/>
      <c r="D212" s="9"/>
      <c r="E212" s="13"/>
      <c r="H212" s="9"/>
      <c r="I212" s="9"/>
      <c r="J212" s="9"/>
      <c r="K212" s="9"/>
      <c r="M212" s="9"/>
      <c r="N212" s="9"/>
      <c r="O212" s="9"/>
      <c r="Q212" s="9"/>
      <c r="R212" s="9"/>
      <c r="S212" s="9"/>
    </row>
    <row r="213">
      <c r="A213" s="9"/>
      <c r="D213" s="9"/>
      <c r="E213" s="13"/>
      <c r="H213" s="9"/>
      <c r="I213" s="9"/>
      <c r="J213" s="9"/>
      <c r="K213" s="9"/>
      <c r="M213" s="9"/>
      <c r="N213" s="9"/>
      <c r="O213" s="9"/>
      <c r="Q213" s="9"/>
      <c r="R213" s="9"/>
      <c r="S213" s="9"/>
    </row>
    <row r="214">
      <c r="A214" s="9"/>
      <c r="D214" s="9"/>
      <c r="E214" s="13"/>
      <c r="H214" s="9"/>
      <c r="I214" s="9"/>
      <c r="J214" s="9"/>
      <c r="K214" s="9"/>
      <c r="M214" s="9"/>
      <c r="N214" s="9"/>
      <c r="O214" s="9"/>
      <c r="Q214" s="9"/>
      <c r="R214" s="9"/>
      <c r="S214" s="9"/>
    </row>
    <row r="215">
      <c r="A215" s="9"/>
      <c r="D215" s="9"/>
      <c r="E215" s="13"/>
      <c r="H215" s="9"/>
      <c r="I215" s="9"/>
      <c r="J215" s="9"/>
      <c r="K215" s="9"/>
      <c r="M215" s="9"/>
      <c r="N215" s="9"/>
      <c r="O215" s="9"/>
      <c r="Q215" s="9"/>
      <c r="R215" s="9"/>
      <c r="S215" s="9"/>
    </row>
    <row r="216">
      <c r="A216" s="9"/>
      <c r="D216" s="9"/>
      <c r="E216" s="13"/>
      <c r="H216" s="9"/>
      <c r="I216" s="9"/>
      <c r="J216" s="9"/>
      <c r="K216" s="9"/>
      <c r="M216" s="9"/>
      <c r="N216" s="9"/>
      <c r="O216" s="9"/>
      <c r="Q216" s="9"/>
      <c r="R216" s="9"/>
      <c r="S216" s="9"/>
    </row>
    <row r="217">
      <c r="A217" s="9"/>
      <c r="D217" s="9"/>
      <c r="E217" s="13"/>
      <c r="H217" s="9"/>
      <c r="I217" s="9"/>
      <c r="J217" s="9"/>
      <c r="K217" s="9"/>
      <c r="M217" s="9"/>
      <c r="N217" s="9"/>
      <c r="O217" s="9"/>
      <c r="Q217" s="9"/>
      <c r="R217" s="9"/>
      <c r="S217" s="9"/>
    </row>
    <row r="218">
      <c r="A218" s="9"/>
      <c r="D218" s="9"/>
      <c r="E218" s="13"/>
      <c r="H218" s="9"/>
      <c r="I218" s="9"/>
      <c r="J218" s="9"/>
      <c r="K218" s="9"/>
      <c r="M218" s="9"/>
      <c r="N218" s="9"/>
      <c r="O218" s="9"/>
      <c r="Q218" s="9"/>
      <c r="R218" s="9"/>
      <c r="S218" s="9"/>
    </row>
    <row r="219">
      <c r="A219" s="9"/>
      <c r="D219" s="9"/>
      <c r="E219" s="13"/>
      <c r="H219" s="9"/>
      <c r="I219" s="9"/>
      <c r="J219" s="9"/>
      <c r="K219" s="9"/>
      <c r="M219" s="9"/>
      <c r="N219" s="9"/>
      <c r="O219" s="9"/>
      <c r="Q219" s="9"/>
      <c r="R219" s="9"/>
      <c r="S219" s="9"/>
    </row>
    <row r="220">
      <c r="A220" s="9"/>
      <c r="D220" s="9"/>
      <c r="E220" s="13"/>
      <c r="H220" s="9"/>
      <c r="I220" s="9"/>
      <c r="J220" s="9"/>
      <c r="K220" s="9"/>
      <c r="M220" s="9"/>
      <c r="N220" s="9"/>
      <c r="O220" s="9"/>
      <c r="Q220" s="9"/>
      <c r="R220" s="9"/>
      <c r="S220" s="9"/>
    </row>
    <row r="221">
      <c r="A221" s="9"/>
      <c r="D221" s="9"/>
      <c r="E221" s="13"/>
      <c r="H221" s="9"/>
      <c r="I221" s="9"/>
      <c r="J221" s="9"/>
      <c r="K221" s="9"/>
      <c r="M221" s="9"/>
      <c r="N221" s="9"/>
      <c r="O221" s="9"/>
      <c r="Q221" s="9"/>
      <c r="R221" s="9"/>
      <c r="S221" s="9"/>
    </row>
    <row r="222">
      <c r="A222" s="9"/>
      <c r="D222" s="9"/>
      <c r="E222" s="13"/>
      <c r="H222" s="9"/>
      <c r="I222" s="9"/>
      <c r="J222" s="9"/>
      <c r="K222" s="9"/>
      <c r="M222" s="9"/>
      <c r="N222" s="9"/>
      <c r="O222" s="9"/>
      <c r="Q222" s="9"/>
      <c r="R222" s="9"/>
      <c r="S222" s="9"/>
    </row>
    <row r="223">
      <c r="A223" s="9"/>
      <c r="D223" s="9"/>
      <c r="E223" s="13"/>
      <c r="H223" s="9"/>
      <c r="I223" s="9"/>
      <c r="J223" s="9"/>
      <c r="K223" s="9"/>
      <c r="M223" s="9"/>
      <c r="N223" s="9"/>
      <c r="O223" s="9"/>
      <c r="Q223" s="9"/>
      <c r="R223" s="9"/>
      <c r="S223" s="9"/>
    </row>
    <row r="224">
      <c r="A224" s="9"/>
      <c r="D224" s="9"/>
      <c r="E224" s="13"/>
      <c r="H224" s="9"/>
      <c r="I224" s="9"/>
      <c r="J224" s="9"/>
      <c r="K224" s="9"/>
      <c r="M224" s="9"/>
      <c r="N224" s="9"/>
      <c r="O224" s="9"/>
      <c r="Q224" s="9"/>
      <c r="R224" s="9"/>
      <c r="S224" s="9"/>
    </row>
    <row r="225">
      <c r="A225" s="9"/>
      <c r="D225" s="9"/>
      <c r="E225" s="13"/>
      <c r="H225" s="9"/>
      <c r="I225" s="9"/>
      <c r="J225" s="9"/>
      <c r="K225" s="9"/>
      <c r="M225" s="9"/>
      <c r="N225" s="9"/>
      <c r="O225" s="9"/>
      <c r="Q225" s="9"/>
      <c r="R225" s="9"/>
      <c r="S225" s="9"/>
    </row>
    <row r="226">
      <c r="A226" s="9"/>
      <c r="D226" s="9"/>
      <c r="E226" s="13"/>
      <c r="H226" s="9"/>
      <c r="I226" s="9"/>
      <c r="J226" s="9"/>
      <c r="K226" s="9"/>
      <c r="M226" s="9"/>
      <c r="N226" s="9"/>
      <c r="O226" s="9"/>
      <c r="Q226" s="9"/>
      <c r="R226" s="9"/>
      <c r="S226" s="9"/>
    </row>
    <row r="227">
      <c r="A227" s="9"/>
      <c r="D227" s="9"/>
      <c r="E227" s="13"/>
      <c r="H227" s="9"/>
      <c r="I227" s="9"/>
      <c r="J227" s="9"/>
      <c r="K227" s="9"/>
      <c r="M227" s="9"/>
      <c r="N227" s="9"/>
      <c r="O227" s="9"/>
      <c r="Q227" s="9"/>
      <c r="R227" s="9"/>
      <c r="S227" s="9"/>
    </row>
    <row r="228">
      <c r="A228" s="9"/>
      <c r="D228" s="9"/>
      <c r="E228" s="13"/>
      <c r="H228" s="9"/>
      <c r="I228" s="9"/>
      <c r="J228" s="9"/>
      <c r="K228" s="9"/>
      <c r="M228" s="9"/>
      <c r="N228" s="9"/>
      <c r="O228" s="9"/>
      <c r="Q228" s="9"/>
      <c r="R228" s="9"/>
      <c r="S228" s="9"/>
    </row>
    <row r="229">
      <c r="A229" s="9"/>
      <c r="D229" s="9"/>
      <c r="E229" s="13"/>
      <c r="H229" s="9"/>
      <c r="I229" s="9"/>
      <c r="J229" s="9"/>
      <c r="K229" s="9"/>
      <c r="M229" s="9"/>
      <c r="N229" s="9"/>
      <c r="O229" s="9"/>
      <c r="Q229" s="9"/>
      <c r="R229" s="9"/>
      <c r="S229" s="9"/>
    </row>
    <row r="230">
      <c r="A230" s="9"/>
      <c r="D230" s="9"/>
      <c r="E230" s="13"/>
      <c r="H230" s="9"/>
      <c r="I230" s="9"/>
      <c r="J230" s="9"/>
      <c r="K230" s="9"/>
      <c r="M230" s="9"/>
      <c r="N230" s="9"/>
      <c r="O230" s="9"/>
      <c r="Q230" s="9"/>
      <c r="R230" s="9"/>
      <c r="S230" s="9"/>
    </row>
    <row r="231">
      <c r="A231" s="9"/>
      <c r="D231" s="9"/>
      <c r="E231" s="13"/>
      <c r="H231" s="9"/>
      <c r="I231" s="9"/>
      <c r="J231" s="9"/>
      <c r="K231" s="9"/>
      <c r="M231" s="9"/>
      <c r="N231" s="9"/>
      <c r="O231" s="9"/>
      <c r="Q231" s="9"/>
      <c r="R231" s="9"/>
      <c r="S231" s="9"/>
    </row>
    <row r="232">
      <c r="A232" s="9"/>
      <c r="D232" s="9"/>
      <c r="E232" s="13"/>
      <c r="H232" s="9"/>
      <c r="I232" s="9"/>
      <c r="J232" s="9"/>
      <c r="K232" s="9"/>
      <c r="M232" s="9"/>
      <c r="N232" s="9"/>
      <c r="O232" s="9"/>
      <c r="Q232" s="9"/>
      <c r="R232" s="9"/>
      <c r="S232" s="9"/>
    </row>
    <row r="233">
      <c r="A233" s="9"/>
      <c r="D233" s="9"/>
      <c r="E233" s="13"/>
      <c r="H233" s="9"/>
      <c r="I233" s="9"/>
      <c r="J233" s="9"/>
      <c r="K233" s="9"/>
      <c r="M233" s="9"/>
      <c r="N233" s="9"/>
      <c r="O233" s="9"/>
      <c r="Q233" s="9"/>
      <c r="R233" s="9"/>
      <c r="S233" s="9"/>
    </row>
    <row r="234">
      <c r="A234" s="9"/>
      <c r="D234" s="9"/>
      <c r="E234" s="13"/>
      <c r="H234" s="9"/>
      <c r="I234" s="9"/>
      <c r="J234" s="9"/>
      <c r="K234" s="9"/>
      <c r="M234" s="9"/>
      <c r="N234" s="9"/>
      <c r="O234" s="9"/>
      <c r="Q234" s="9"/>
      <c r="R234" s="9"/>
      <c r="S234" s="9"/>
    </row>
    <row r="235">
      <c r="A235" s="9"/>
      <c r="D235" s="9"/>
      <c r="E235" s="13"/>
      <c r="H235" s="9"/>
      <c r="I235" s="9"/>
      <c r="J235" s="9"/>
      <c r="K235" s="9"/>
      <c r="M235" s="9"/>
      <c r="N235" s="9"/>
      <c r="O235" s="9"/>
      <c r="Q235" s="9"/>
      <c r="R235" s="9"/>
      <c r="S235" s="9"/>
    </row>
    <row r="236">
      <c r="A236" s="9"/>
      <c r="D236" s="9"/>
      <c r="E236" s="13"/>
      <c r="H236" s="9"/>
      <c r="I236" s="9"/>
      <c r="J236" s="9"/>
      <c r="K236" s="9"/>
      <c r="M236" s="9"/>
      <c r="N236" s="9"/>
      <c r="O236" s="9"/>
      <c r="Q236" s="9"/>
      <c r="R236" s="9"/>
      <c r="S236" s="9"/>
    </row>
    <row r="237">
      <c r="A237" s="9"/>
      <c r="D237" s="9"/>
      <c r="E237" s="13"/>
      <c r="H237" s="9"/>
      <c r="I237" s="9"/>
      <c r="J237" s="9"/>
      <c r="K237" s="9"/>
      <c r="M237" s="9"/>
      <c r="N237" s="9"/>
      <c r="O237" s="9"/>
      <c r="Q237" s="9"/>
      <c r="R237" s="9"/>
      <c r="S237" s="9"/>
    </row>
    <row r="238">
      <c r="A238" s="9"/>
      <c r="D238" s="9"/>
      <c r="E238" s="13"/>
      <c r="H238" s="9"/>
      <c r="I238" s="9"/>
      <c r="J238" s="9"/>
      <c r="K238" s="9"/>
      <c r="M238" s="9"/>
      <c r="N238" s="9"/>
      <c r="O238" s="9"/>
      <c r="Q238" s="9"/>
      <c r="R238" s="9"/>
      <c r="S238" s="9"/>
    </row>
    <row r="239">
      <c r="A239" s="9"/>
      <c r="D239" s="9"/>
      <c r="E239" s="13"/>
      <c r="H239" s="9"/>
      <c r="I239" s="9"/>
      <c r="J239" s="9"/>
      <c r="K239" s="9"/>
      <c r="M239" s="9"/>
      <c r="N239" s="9"/>
      <c r="O239" s="9"/>
      <c r="Q239" s="9"/>
      <c r="R239" s="9"/>
      <c r="S239" s="9"/>
    </row>
    <row r="240">
      <c r="A240" s="9"/>
      <c r="D240" s="9"/>
      <c r="E240" s="13"/>
      <c r="H240" s="9"/>
      <c r="I240" s="9"/>
      <c r="J240" s="9"/>
      <c r="K240" s="9"/>
      <c r="M240" s="9"/>
      <c r="N240" s="9"/>
      <c r="O240" s="9"/>
      <c r="Q240" s="9"/>
      <c r="R240" s="9"/>
      <c r="S240" s="9"/>
    </row>
    <row r="241">
      <c r="A241" s="9"/>
      <c r="D241" s="9"/>
      <c r="E241" s="13"/>
      <c r="H241" s="9"/>
      <c r="I241" s="9"/>
      <c r="J241" s="9"/>
      <c r="K241" s="9"/>
      <c r="M241" s="9"/>
      <c r="N241" s="9"/>
      <c r="O241" s="9"/>
      <c r="Q241" s="9"/>
      <c r="R241" s="9"/>
      <c r="S241" s="9"/>
    </row>
    <row r="242">
      <c r="A242" s="9"/>
      <c r="D242" s="9"/>
      <c r="E242" s="13"/>
      <c r="H242" s="9"/>
      <c r="I242" s="9"/>
      <c r="J242" s="9"/>
      <c r="K242" s="9"/>
      <c r="M242" s="9"/>
      <c r="N242" s="9"/>
      <c r="O242" s="9"/>
      <c r="Q242" s="9"/>
      <c r="R242" s="9"/>
      <c r="S242" s="9"/>
    </row>
    <row r="243">
      <c r="A243" s="9"/>
      <c r="D243" s="9"/>
      <c r="E243" s="13"/>
      <c r="H243" s="9"/>
      <c r="I243" s="9"/>
      <c r="J243" s="9"/>
      <c r="K243" s="9"/>
      <c r="M243" s="9"/>
      <c r="N243" s="9"/>
      <c r="O243" s="9"/>
      <c r="Q243" s="9"/>
      <c r="R243" s="9"/>
      <c r="S243" s="9"/>
    </row>
    <row r="244">
      <c r="A244" s="9"/>
      <c r="D244" s="9"/>
      <c r="E244" s="13"/>
      <c r="H244" s="9"/>
      <c r="I244" s="9"/>
      <c r="J244" s="9"/>
      <c r="K244" s="9"/>
      <c r="M244" s="9"/>
      <c r="N244" s="9"/>
      <c r="O244" s="9"/>
      <c r="Q244" s="9"/>
      <c r="R244" s="9"/>
      <c r="S244" s="9"/>
    </row>
    <row r="245">
      <c r="A245" s="9"/>
      <c r="D245" s="9"/>
      <c r="E245" s="13"/>
      <c r="H245" s="9"/>
      <c r="I245" s="9"/>
      <c r="J245" s="9"/>
      <c r="K245" s="9"/>
      <c r="M245" s="9"/>
      <c r="N245" s="9"/>
      <c r="O245" s="9"/>
      <c r="Q245" s="9"/>
      <c r="R245" s="9"/>
      <c r="S245" s="9"/>
    </row>
    <row r="246">
      <c r="A246" s="9"/>
      <c r="D246" s="9"/>
      <c r="E246" s="13"/>
      <c r="H246" s="9"/>
      <c r="I246" s="9"/>
      <c r="J246" s="9"/>
      <c r="K246" s="9"/>
      <c r="M246" s="9"/>
      <c r="N246" s="9"/>
      <c r="O246" s="9"/>
      <c r="Q246" s="9"/>
      <c r="R246" s="9"/>
      <c r="S246" s="9"/>
    </row>
    <row r="247">
      <c r="A247" s="9"/>
      <c r="D247" s="9"/>
      <c r="E247" s="13"/>
      <c r="H247" s="9"/>
      <c r="I247" s="9"/>
      <c r="J247" s="9"/>
      <c r="K247" s="9"/>
      <c r="M247" s="9"/>
      <c r="N247" s="9"/>
      <c r="O247" s="9"/>
      <c r="Q247" s="9"/>
      <c r="R247" s="9"/>
      <c r="S247" s="9"/>
    </row>
    <row r="248">
      <c r="A248" s="9"/>
      <c r="D248" s="9"/>
      <c r="E248" s="13"/>
      <c r="H248" s="9"/>
      <c r="I248" s="9"/>
      <c r="J248" s="9"/>
      <c r="K248" s="9"/>
      <c r="M248" s="9"/>
      <c r="N248" s="9"/>
      <c r="O248" s="9"/>
      <c r="Q248" s="9"/>
      <c r="R248" s="9"/>
      <c r="S248" s="9"/>
    </row>
    <row r="249">
      <c r="A249" s="9"/>
      <c r="D249" s="9"/>
      <c r="E249" s="13"/>
      <c r="H249" s="9"/>
      <c r="I249" s="9"/>
      <c r="J249" s="9"/>
      <c r="K249" s="9"/>
      <c r="M249" s="9"/>
      <c r="N249" s="9"/>
      <c r="O249" s="9"/>
      <c r="Q249" s="9"/>
      <c r="R249" s="9"/>
      <c r="S249" s="9"/>
    </row>
    <row r="250">
      <c r="A250" s="9"/>
      <c r="D250" s="9"/>
      <c r="E250" s="13"/>
      <c r="H250" s="9"/>
      <c r="I250" s="9"/>
      <c r="J250" s="9"/>
      <c r="K250" s="9"/>
      <c r="M250" s="9"/>
      <c r="N250" s="9"/>
      <c r="O250" s="9"/>
      <c r="Q250" s="9"/>
      <c r="R250" s="9"/>
      <c r="S250" s="9"/>
    </row>
    <row r="251">
      <c r="A251" s="9"/>
      <c r="D251" s="9"/>
      <c r="E251" s="13"/>
      <c r="H251" s="9"/>
      <c r="I251" s="9"/>
      <c r="J251" s="9"/>
      <c r="K251" s="9"/>
      <c r="M251" s="9"/>
      <c r="N251" s="9"/>
      <c r="O251" s="9"/>
      <c r="Q251" s="9"/>
      <c r="R251" s="9"/>
      <c r="S251" s="9"/>
    </row>
    <row r="252">
      <c r="A252" s="9"/>
      <c r="D252" s="9"/>
      <c r="E252" s="13"/>
      <c r="H252" s="9"/>
      <c r="I252" s="9"/>
      <c r="J252" s="9"/>
      <c r="K252" s="9"/>
      <c r="M252" s="9"/>
      <c r="N252" s="9"/>
      <c r="O252" s="9"/>
      <c r="Q252" s="9"/>
      <c r="R252" s="9"/>
      <c r="S252" s="9"/>
    </row>
    <row r="253">
      <c r="A253" s="9"/>
      <c r="D253" s="9"/>
      <c r="E253" s="13"/>
      <c r="H253" s="9"/>
      <c r="I253" s="9"/>
      <c r="J253" s="9"/>
      <c r="K253" s="9"/>
      <c r="M253" s="9"/>
      <c r="N253" s="9"/>
      <c r="O253" s="9"/>
      <c r="Q253" s="9"/>
      <c r="R253" s="9"/>
      <c r="S253" s="9"/>
    </row>
    <row r="254">
      <c r="A254" s="9"/>
      <c r="D254" s="9"/>
      <c r="E254" s="13"/>
      <c r="H254" s="9"/>
      <c r="I254" s="9"/>
      <c r="J254" s="9"/>
      <c r="K254" s="9"/>
      <c r="M254" s="9"/>
      <c r="N254" s="9"/>
      <c r="O254" s="9"/>
      <c r="Q254" s="9"/>
      <c r="R254" s="9"/>
      <c r="S254" s="9"/>
    </row>
    <row r="255">
      <c r="A255" s="9"/>
      <c r="D255" s="9"/>
      <c r="E255" s="13"/>
      <c r="H255" s="9"/>
      <c r="I255" s="9"/>
      <c r="J255" s="9"/>
      <c r="K255" s="9"/>
      <c r="M255" s="9"/>
      <c r="N255" s="9"/>
      <c r="O255" s="9"/>
      <c r="Q255" s="9"/>
      <c r="R255" s="9"/>
      <c r="S255" s="9"/>
    </row>
    <row r="256">
      <c r="A256" s="9"/>
      <c r="D256" s="9"/>
      <c r="E256" s="13"/>
      <c r="H256" s="9"/>
      <c r="I256" s="9"/>
      <c r="J256" s="9"/>
      <c r="K256" s="9"/>
      <c r="M256" s="9"/>
      <c r="N256" s="9"/>
      <c r="O256" s="9"/>
      <c r="Q256" s="9"/>
      <c r="R256" s="9"/>
      <c r="S256" s="9"/>
    </row>
    <row r="257">
      <c r="A257" s="9"/>
      <c r="D257" s="9"/>
      <c r="E257" s="13"/>
      <c r="H257" s="9"/>
      <c r="I257" s="9"/>
      <c r="J257" s="9"/>
      <c r="K257" s="9"/>
      <c r="M257" s="9"/>
      <c r="N257" s="9"/>
      <c r="O257" s="9"/>
      <c r="Q257" s="9"/>
      <c r="R257" s="9"/>
      <c r="S257" s="9"/>
    </row>
    <row r="258">
      <c r="A258" s="9"/>
      <c r="D258" s="9"/>
      <c r="E258" s="13"/>
      <c r="H258" s="9"/>
      <c r="I258" s="9"/>
      <c r="J258" s="9"/>
      <c r="K258" s="9"/>
      <c r="M258" s="9"/>
      <c r="N258" s="9"/>
      <c r="O258" s="9"/>
      <c r="Q258" s="9"/>
      <c r="R258" s="9"/>
      <c r="S258" s="9"/>
    </row>
    <row r="259">
      <c r="A259" s="9"/>
      <c r="D259" s="9"/>
      <c r="E259" s="13"/>
      <c r="H259" s="9"/>
      <c r="I259" s="9"/>
      <c r="J259" s="9"/>
      <c r="K259" s="9"/>
      <c r="M259" s="9"/>
      <c r="N259" s="9"/>
      <c r="O259" s="9"/>
      <c r="Q259" s="9"/>
      <c r="R259" s="9"/>
      <c r="S259" s="9"/>
    </row>
    <row r="260">
      <c r="A260" s="9"/>
      <c r="D260" s="9"/>
      <c r="E260" s="13"/>
      <c r="H260" s="9"/>
      <c r="I260" s="9"/>
      <c r="J260" s="9"/>
      <c r="K260" s="9"/>
      <c r="M260" s="9"/>
      <c r="N260" s="9"/>
      <c r="O260" s="9"/>
      <c r="Q260" s="9"/>
      <c r="R260" s="9"/>
      <c r="S260" s="9"/>
    </row>
    <row r="261">
      <c r="A261" s="9"/>
      <c r="D261" s="9"/>
      <c r="E261" s="13"/>
      <c r="H261" s="9"/>
      <c r="I261" s="9"/>
      <c r="J261" s="9"/>
      <c r="K261" s="9"/>
      <c r="M261" s="9"/>
      <c r="N261" s="9"/>
      <c r="O261" s="9"/>
      <c r="Q261" s="9"/>
      <c r="R261" s="9"/>
      <c r="S261" s="9"/>
    </row>
    <row r="262">
      <c r="A262" s="9"/>
      <c r="D262" s="9"/>
      <c r="E262" s="13"/>
      <c r="H262" s="9"/>
      <c r="I262" s="9"/>
      <c r="J262" s="9"/>
      <c r="K262" s="9"/>
      <c r="M262" s="9"/>
      <c r="N262" s="9"/>
      <c r="O262" s="9"/>
      <c r="Q262" s="9"/>
      <c r="R262" s="9"/>
      <c r="S262" s="9"/>
    </row>
    <row r="263">
      <c r="A263" s="9"/>
      <c r="D263" s="9"/>
      <c r="E263" s="13"/>
      <c r="H263" s="9"/>
      <c r="I263" s="9"/>
      <c r="J263" s="9"/>
      <c r="K263" s="9"/>
      <c r="M263" s="9"/>
      <c r="N263" s="9"/>
      <c r="O263" s="9"/>
      <c r="Q263" s="9"/>
      <c r="R263" s="9"/>
      <c r="S263" s="9"/>
    </row>
    <row r="264">
      <c r="A264" s="9"/>
      <c r="D264" s="9"/>
      <c r="E264" s="13"/>
      <c r="H264" s="9"/>
      <c r="I264" s="9"/>
      <c r="J264" s="9"/>
      <c r="K264" s="9"/>
      <c r="M264" s="9"/>
      <c r="N264" s="9"/>
      <c r="O264" s="9"/>
      <c r="Q264" s="9"/>
      <c r="R264" s="9"/>
      <c r="S264" s="9"/>
    </row>
    <row r="265">
      <c r="A265" s="9"/>
      <c r="D265" s="9"/>
      <c r="E265" s="13"/>
      <c r="H265" s="9"/>
      <c r="I265" s="9"/>
      <c r="J265" s="9"/>
      <c r="K265" s="9"/>
      <c r="M265" s="9"/>
      <c r="N265" s="9"/>
      <c r="O265" s="9"/>
      <c r="Q265" s="9"/>
      <c r="R265" s="9"/>
      <c r="S265" s="9"/>
    </row>
    <row r="266">
      <c r="A266" s="9"/>
      <c r="D266" s="9"/>
      <c r="E266" s="13"/>
      <c r="H266" s="9"/>
      <c r="I266" s="9"/>
      <c r="J266" s="9"/>
      <c r="K266" s="9"/>
      <c r="M266" s="9"/>
      <c r="N266" s="9"/>
      <c r="O266" s="9"/>
      <c r="Q266" s="9"/>
      <c r="R266" s="9"/>
      <c r="S266" s="9"/>
    </row>
    <row r="267">
      <c r="A267" s="9"/>
      <c r="D267" s="9"/>
      <c r="E267" s="13"/>
      <c r="H267" s="9"/>
      <c r="I267" s="9"/>
      <c r="J267" s="9"/>
      <c r="K267" s="9"/>
      <c r="M267" s="9"/>
      <c r="N267" s="9"/>
      <c r="O267" s="9"/>
      <c r="Q267" s="9"/>
      <c r="R267" s="9"/>
      <c r="S267" s="9"/>
    </row>
    <row r="268">
      <c r="A268" s="9"/>
      <c r="D268" s="9"/>
      <c r="E268" s="13"/>
      <c r="H268" s="9"/>
      <c r="I268" s="9"/>
      <c r="J268" s="9"/>
      <c r="K268" s="9"/>
      <c r="M268" s="9"/>
      <c r="N268" s="9"/>
      <c r="O268" s="9"/>
      <c r="Q268" s="9"/>
      <c r="R268" s="9"/>
      <c r="S268" s="9"/>
    </row>
    <row r="269">
      <c r="A269" s="9"/>
      <c r="D269" s="9"/>
      <c r="E269" s="13"/>
      <c r="H269" s="9"/>
      <c r="I269" s="9"/>
      <c r="J269" s="9"/>
      <c r="K269" s="9"/>
      <c r="M269" s="9"/>
      <c r="N269" s="9"/>
      <c r="O269" s="9"/>
      <c r="Q269" s="9"/>
      <c r="R269" s="9"/>
      <c r="S269" s="9"/>
    </row>
    <row r="270">
      <c r="A270" s="9"/>
      <c r="D270" s="9"/>
      <c r="E270" s="13"/>
      <c r="H270" s="9"/>
      <c r="I270" s="9"/>
      <c r="J270" s="9"/>
      <c r="K270" s="9"/>
      <c r="M270" s="9"/>
      <c r="N270" s="9"/>
      <c r="O270" s="9"/>
      <c r="Q270" s="9"/>
      <c r="R270" s="9"/>
      <c r="S270" s="9"/>
    </row>
    <row r="271">
      <c r="A271" s="9"/>
      <c r="D271" s="9"/>
      <c r="E271" s="13"/>
      <c r="H271" s="9"/>
      <c r="I271" s="9"/>
      <c r="J271" s="9"/>
      <c r="K271" s="9"/>
      <c r="M271" s="9"/>
      <c r="N271" s="9"/>
      <c r="O271" s="9"/>
      <c r="Q271" s="9"/>
      <c r="R271" s="9"/>
      <c r="S271" s="9"/>
    </row>
    <row r="272">
      <c r="A272" s="9"/>
      <c r="D272" s="9"/>
      <c r="E272" s="13"/>
      <c r="H272" s="9"/>
      <c r="I272" s="9"/>
      <c r="J272" s="9"/>
      <c r="K272" s="9"/>
      <c r="M272" s="9"/>
      <c r="N272" s="9"/>
      <c r="O272" s="9"/>
      <c r="Q272" s="9"/>
      <c r="R272" s="9"/>
      <c r="S272" s="9"/>
    </row>
    <row r="273">
      <c r="A273" s="9"/>
      <c r="D273" s="9"/>
      <c r="E273" s="13"/>
      <c r="H273" s="9"/>
      <c r="I273" s="9"/>
      <c r="J273" s="9"/>
      <c r="K273" s="9"/>
      <c r="M273" s="9"/>
      <c r="N273" s="9"/>
      <c r="O273" s="9"/>
      <c r="Q273" s="9"/>
      <c r="R273" s="9"/>
      <c r="S273" s="9"/>
    </row>
    <row r="274">
      <c r="A274" s="9"/>
      <c r="D274" s="9"/>
      <c r="E274" s="13"/>
      <c r="H274" s="9"/>
      <c r="I274" s="9"/>
      <c r="J274" s="9"/>
      <c r="K274" s="9"/>
      <c r="M274" s="9"/>
      <c r="N274" s="9"/>
      <c r="O274" s="9"/>
      <c r="Q274" s="9"/>
      <c r="R274" s="9"/>
      <c r="S274" s="9"/>
    </row>
    <row r="275">
      <c r="A275" s="9"/>
      <c r="D275" s="9"/>
      <c r="E275" s="13"/>
      <c r="H275" s="9"/>
      <c r="I275" s="9"/>
      <c r="J275" s="9"/>
      <c r="K275" s="9"/>
      <c r="M275" s="9"/>
      <c r="N275" s="9"/>
      <c r="O275" s="9"/>
      <c r="Q275" s="9"/>
      <c r="R275" s="9"/>
      <c r="S275" s="9"/>
    </row>
    <row r="276">
      <c r="A276" s="9"/>
      <c r="D276" s="9"/>
      <c r="E276" s="13"/>
      <c r="H276" s="9"/>
      <c r="I276" s="9"/>
      <c r="J276" s="9"/>
      <c r="K276" s="9"/>
      <c r="M276" s="9"/>
      <c r="N276" s="9"/>
      <c r="O276" s="9"/>
      <c r="Q276" s="9"/>
      <c r="R276" s="9"/>
      <c r="S276" s="9"/>
    </row>
    <row r="277">
      <c r="A277" s="9"/>
      <c r="D277" s="9"/>
      <c r="E277" s="13"/>
      <c r="H277" s="9"/>
      <c r="I277" s="9"/>
      <c r="J277" s="9"/>
      <c r="K277" s="9"/>
      <c r="M277" s="9"/>
      <c r="N277" s="9"/>
      <c r="O277" s="9"/>
      <c r="Q277" s="9"/>
      <c r="R277" s="9"/>
      <c r="S277" s="9"/>
    </row>
    <row r="278">
      <c r="A278" s="9"/>
      <c r="D278" s="9"/>
      <c r="E278" s="13"/>
      <c r="H278" s="9"/>
      <c r="I278" s="9"/>
      <c r="J278" s="9"/>
      <c r="K278" s="9"/>
      <c r="M278" s="9"/>
      <c r="N278" s="9"/>
      <c r="O278" s="9"/>
      <c r="Q278" s="9"/>
      <c r="R278" s="9"/>
      <c r="S278" s="9"/>
    </row>
    <row r="279">
      <c r="A279" s="9"/>
      <c r="D279" s="9"/>
      <c r="E279" s="13"/>
      <c r="H279" s="9"/>
      <c r="I279" s="9"/>
      <c r="J279" s="9"/>
      <c r="K279" s="9"/>
      <c r="M279" s="9"/>
      <c r="N279" s="9"/>
      <c r="O279" s="9"/>
      <c r="Q279" s="9"/>
      <c r="R279" s="9"/>
      <c r="S279" s="9"/>
    </row>
    <row r="280">
      <c r="A280" s="9"/>
      <c r="D280" s="9"/>
      <c r="E280" s="13"/>
      <c r="H280" s="9"/>
      <c r="I280" s="9"/>
      <c r="J280" s="9"/>
      <c r="K280" s="9"/>
      <c r="M280" s="9"/>
      <c r="N280" s="9"/>
      <c r="O280" s="9"/>
      <c r="Q280" s="9"/>
      <c r="R280" s="9"/>
      <c r="S280" s="9"/>
    </row>
    <row r="281">
      <c r="A281" s="9"/>
      <c r="D281" s="9"/>
      <c r="E281" s="13"/>
      <c r="H281" s="9"/>
      <c r="I281" s="9"/>
      <c r="J281" s="9"/>
      <c r="K281" s="9"/>
      <c r="M281" s="9"/>
      <c r="N281" s="9"/>
      <c r="O281" s="9"/>
      <c r="Q281" s="9"/>
      <c r="R281" s="9"/>
      <c r="S281" s="9"/>
    </row>
    <row r="282">
      <c r="A282" s="9"/>
      <c r="D282" s="9"/>
      <c r="E282" s="13"/>
      <c r="H282" s="9"/>
      <c r="I282" s="9"/>
      <c r="J282" s="9"/>
      <c r="K282" s="9"/>
      <c r="M282" s="9"/>
      <c r="N282" s="9"/>
      <c r="O282" s="9"/>
      <c r="Q282" s="9"/>
      <c r="R282" s="9"/>
      <c r="S282" s="9"/>
    </row>
    <row r="283">
      <c r="A283" s="9"/>
      <c r="D283" s="9"/>
      <c r="E283" s="13"/>
      <c r="H283" s="9"/>
      <c r="I283" s="9"/>
      <c r="J283" s="9"/>
      <c r="K283" s="9"/>
      <c r="M283" s="9"/>
      <c r="N283" s="9"/>
      <c r="O283" s="9"/>
      <c r="Q283" s="9"/>
      <c r="R283" s="9"/>
      <c r="S283" s="9"/>
    </row>
    <row r="284">
      <c r="A284" s="9"/>
      <c r="D284" s="9"/>
      <c r="E284" s="13"/>
      <c r="H284" s="9"/>
      <c r="I284" s="9"/>
      <c r="J284" s="9"/>
      <c r="K284" s="9"/>
      <c r="M284" s="9"/>
      <c r="N284" s="9"/>
      <c r="O284" s="9"/>
      <c r="Q284" s="9"/>
      <c r="R284" s="9"/>
      <c r="S284" s="9"/>
    </row>
    <row r="285">
      <c r="A285" s="9"/>
      <c r="D285" s="9"/>
      <c r="E285" s="13"/>
      <c r="H285" s="9"/>
      <c r="I285" s="9"/>
      <c r="J285" s="9"/>
      <c r="K285" s="9"/>
      <c r="M285" s="9"/>
      <c r="N285" s="9"/>
      <c r="O285" s="9"/>
      <c r="Q285" s="9"/>
      <c r="R285" s="9"/>
      <c r="S285" s="9"/>
    </row>
    <row r="286">
      <c r="A286" s="9"/>
      <c r="D286" s="9"/>
      <c r="E286" s="13"/>
      <c r="H286" s="9"/>
      <c r="I286" s="9"/>
      <c r="J286" s="9"/>
      <c r="K286" s="9"/>
      <c r="M286" s="9"/>
      <c r="N286" s="9"/>
      <c r="O286" s="9"/>
      <c r="Q286" s="9"/>
      <c r="R286" s="9"/>
      <c r="S286" s="9"/>
    </row>
    <row r="287">
      <c r="A287" s="9"/>
      <c r="D287" s="9"/>
      <c r="E287" s="13"/>
      <c r="H287" s="9"/>
      <c r="I287" s="9"/>
      <c r="J287" s="9"/>
      <c r="K287" s="9"/>
      <c r="M287" s="9"/>
      <c r="N287" s="9"/>
      <c r="O287" s="9"/>
      <c r="Q287" s="9"/>
      <c r="R287" s="9"/>
      <c r="S287" s="9"/>
    </row>
    <row r="288">
      <c r="A288" s="9"/>
      <c r="D288" s="9"/>
      <c r="E288" s="13"/>
      <c r="H288" s="9"/>
      <c r="I288" s="9"/>
      <c r="J288" s="9"/>
      <c r="K288" s="9"/>
      <c r="M288" s="9"/>
      <c r="N288" s="9"/>
      <c r="O288" s="9"/>
      <c r="Q288" s="9"/>
      <c r="R288" s="9"/>
      <c r="S288" s="9"/>
    </row>
    <row r="289">
      <c r="A289" s="9"/>
      <c r="D289" s="9"/>
      <c r="E289" s="13"/>
      <c r="H289" s="9"/>
      <c r="I289" s="9"/>
      <c r="J289" s="9"/>
      <c r="K289" s="9"/>
      <c r="M289" s="9"/>
      <c r="N289" s="9"/>
      <c r="O289" s="9"/>
      <c r="Q289" s="9"/>
      <c r="R289" s="9"/>
      <c r="S289" s="9"/>
    </row>
    <row r="290">
      <c r="A290" s="9"/>
      <c r="D290" s="9"/>
      <c r="E290" s="13"/>
      <c r="H290" s="9"/>
      <c r="I290" s="9"/>
      <c r="J290" s="9"/>
      <c r="K290" s="9"/>
      <c r="M290" s="9"/>
      <c r="N290" s="9"/>
      <c r="O290" s="9"/>
      <c r="Q290" s="9"/>
      <c r="R290" s="9"/>
      <c r="S290" s="9"/>
    </row>
    <row r="291">
      <c r="A291" s="9"/>
      <c r="D291" s="9"/>
      <c r="E291" s="13"/>
      <c r="H291" s="9"/>
      <c r="I291" s="9"/>
      <c r="J291" s="9"/>
      <c r="K291" s="9"/>
      <c r="M291" s="9"/>
      <c r="N291" s="9"/>
      <c r="O291" s="9"/>
      <c r="Q291" s="9"/>
      <c r="R291" s="9"/>
      <c r="S291" s="9"/>
    </row>
    <row r="292">
      <c r="A292" s="9"/>
      <c r="D292" s="9"/>
      <c r="E292" s="13"/>
      <c r="H292" s="9"/>
      <c r="I292" s="9"/>
      <c r="J292" s="9"/>
      <c r="K292" s="9"/>
      <c r="M292" s="9"/>
      <c r="N292" s="9"/>
      <c r="O292" s="9"/>
      <c r="Q292" s="9"/>
      <c r="R292" s="9"/>
      <c r="S292" s="9"/>
    </row>
    <row r="293">
      <c r="A293" s="9"/>
      <c r="D293" s="9"/>
      <c r="E293" s="13"/>
      <c r="H293" s="9"/>
      <c r="I293" s="9"/>
      <c r="J293" s="9"/>
      <c r="K293" s="9"/>
      <c r="M293" s="9"/>
      <c r="N293" s="9"/>
      <c r="O293" s="9"/>
      <c r="Q293" s="9"/>
      <c r="R293" s="9"/>
      <c r="S293" s="9"/>
    </row>
    <row r="294">
      <c r="A294" s="9"/>
      <c r="D294" s="9"/>
      <c r="E294" s="13"/>
      <c r="H294" s="9"/>
      <c r="I294" s="9"/>
      <c r="J294" s="9"/>
      <c r="K294" s="9"/>
      <c r="M294" s="9"/>
      <c r="N294" s="9"/>
      <c r="O294" s="9"/>
      <c r="Q294" s="9"/>
      <c r="R294" s="9"/>
      <c r="S294" s="9"/>
    </row>
    <row r="295">
      <c r="A295" s="9"/>
      <c r="D295" s="9"/>
      <c r="E295" s="13"/>
      <c r="H295" s="9"/>
      <c r="I295" s="9"/>
      <c r="J295" s="9"/>
      <c r="K295" s="9"/>
      <c r="M295" s="9"/>
      <c r="N295" s="9"/>
      <c r="O295" s="9"/>
      <c r="Q295" s="9"/>
      <c r="R295" s="9"/>
      <c r="S295" s="9"/>
    </row>
    <row r="296">
      <c r="A296" s="9"/>
      <c r="D296" s="9"/>
      <c r="E296" s="13"/>
      <c r="H296" s="9"/>
      <c r="I296" s="9"/>
      <c r="J296" s="9"/>
      <c r="K296" s="9"/>
      <c r="M296" s="9"/>
      <c r="N296" s="9"/>
      <c r="O296" s="9"/>
      <c r="Q296" s="9"/>
      <c r="R296" s="9"/>
      <c r="S296" s="9"/>
    </row>
    <row r="297">
      <c r="A297" s="9"/>
      <c r="D297" s="9"/>
      <c r="E297" s="13"/>
      <c r="H297" s="9"/>
      <c r="I297" s="9"/>
      <c r="J297" s="9"/>
      <c r="K297" s="9"/>
      <c r="M297" s="9"/>
      <c r="N297" s="9"/>
      <c r="O297" s="9"/>
      <c r="Q297" s="9"/>
      <c r="R297" s="9"/>
      <c r="S297" s="9"/>
    </row>
    <row r="298">
      <c r="A298" s="9"/>
      <c r="D298" s="9"/>
      <c r="E298" s="13"/>
      <c r="H298" s="9"/>
      <c r="I298" s="9"/>
      <c r="J298" s="9"/>
      <c r="K298" s="9"/>
      <c r="M298" s="9"/>
      <c r="N298" s="9"/>
      <c r="O298" s="9"/>
      <c r="Q298" s="9"/>
      <c r="R298" s="9"/>
      <c r="S298" s="9"/>
    </row>
    <row r="299">
      <c r="A299" s="9"/>
      <c r="D299" s="9"/>
      <c r="E299" s="13"/>
      <c r="H299" s="9"/>
      <c r="I299" s="9"/>
      <c r="J299" s="9"/>
      <c r="K299" s="9"/>
      <c r="M299" s="9"/>
      <c r="N299" s="9"/>
      <c r="O299" s="9"/>
      <c r="Q299" s="9"/>
      <c r="R299" s="9"/>
      <c r="S299" s="9"/>
    </row>
    <row r="300">
      <c r="A300" s="9"/>
      <c r="D300" s="9"/>
      <c r="E300" s="13"/>
      <c r="H300" s="9"/>
      <c r="I300" s="9"/>
      <c r="J300" s="9"/>
      <c r="K300" s="9"/>
      <c r="M300" s="9"/>
      <c r="N300" s="9"/>
      <c r="O300" s="9"/>
      <c r="Q300" s="9"/>
      <c r="R300" s="9"/>
      <c r="S300" s="9"/>
    </row>
    <row r="301">
      <c r="A301" s="9"/>
      <c r="D301" s="9"/>
      <c r="E301" s="13"/>
      <c r="H301" s="9"/>
      <c r="I301" s="9"/>
      <c r="J301" s="9"/>
      <c r="K301" s="9"/>
      <c r="M301" s="9"/>
      <c r="N301" s="9"/>
      <c r="O301" s="9"/>
      <c r="Q301" s="9"/>
      <c r="R301" s="9"/>
      <c r="S301" s="9"/>
    </row>
    <row r="302">
      <c r="A302" s="9"/>
      <c r="D302" s="9"/>
      <c r="E302" s="13"/>
      <c r="H302" s="9"/>
      <c r="I302" s="9"/>
      <c r="J302" s="9"/>
      <c r="K302" s="9"/>
      <c r="M302" s="9"/>
      <c r="N302" s="9"/>
      <c r="O302" s="9"/>
      <c r="Q302" s="9"/>
      <c r="R302" s="9"/>
      <c r="S302" s="9"/>
    </row>
    <row r="303">
      <c r="A303" s="9"/>
      <c r="D303" s="9"/>
      <c r="E303" s="13"/>
      <c r="H303" s="9"/>
      <c r="I303" s="9"/>
      <c r="J303" s="9"/>
      <c r="K303" s="9"/>
      <c r="M303" s="9"/>
      <c r="N303" s="9"/>
      <c r="O303" s="9"/>
      <c r="Q303" s="9"/>
      <c r="R303" s="9"/>
      <c r="S303" s="9"/>
    </row>
    <row r="304">
      <c r="A304" s="9"/>
      <c r="D304" s="9"/>
      <c r="E304" s="13"/>
      <c r="H304" s="9"/>
      <c r="I304" s="9"/>
      <c r="J304" s="9"/>
      <c r="K304" s="9"/>
      <c r="M304" s="9"/>
      <c r="N304" s="9"/>
      <c r="O304" s="9"/>
      <c r="Q304" s="9"/>
      <c r="R304" s="9"/>
      <c r="S304" s="9"/>
    </row>
    <row r="305">
      <c r="A305" s="9"/>
      <c r="D305" s="9"/>
      <c r="E305" s="13"/>
      <c r="H305" s="9"/>
      <c r="I305" s="9"/>
      <c r="J305" s="9"/>
      <c r="K305" s="9"/>
      <c r="M305" s="9"/>
      <c r="N305" s="9"/>
      <c r="O305" s="9"/>
      <c r="Q305" s="9"/>
      <c r="R305" s="9"/>
      <c r="S305" s="9"/>
    </row>
    <row r="306">
      <c r="A306" s="9"/>
      <c r="D306" s="9"/>
      <c r="E306" s="13"/>
      <c r="H306" s="9"/>
      <c r="I306" s="9"/>
      <c r="J306" s="9"/>
      <c r="K306" s="9"/>
      <c r="M306" s="9"/>
      <c r="N306" s="9"/>
      <c r="O306" s="9"/>
      <c r="Q306" s="9"/>
      <c r="R306" s="9"/>
      <c r="S306" s="9"/>
    </row>
    <row r="307">
      <c r="A307" s="9"/>
      <c r="D307" s="9"/>
      <c r="E307" s="13"/>
      <c r="H307" s="9"/>
      <c r="I307" s="9"/>
      <c r="J307" s="9"/>
      <c r="K307" s="9"/>
      <c r="M307" s="9"/>
      <c r="N307" s="9"/>
      <c r="O307" s="9"/>
      <c r="Q307" s="9"/>
      <c r="R307" s="9"/>
      <c r="S307" s="9"/>
    </row>
    <row r="308">
      <c r="A308" s="9"/>
      <c r="D308" s="9"/>
      <c r="E308" s="13"/>
      <c r="H308" s="9"/>
      <c r="I308" s="9"/>
      <c r="J308" s="9"/>
      <c r="K308" s="9"/>
      <c r="M308" s="9"/>
      <c r="N308" s="9"/>
      <c r="O308" s="9"/>
      <c r="Q308" s="9"/>
      <c r="R308" s="9"/>
      <c r="S308" s="9"/>
    </row>
    <row r="309">
      <c r="A309" s="9"/>
      <c r="D309" s="9"/>
      <c r="E309" s="13"/>
      <c r="H309" s="9"/>
      <c r="I309" s="9"/>
      <c r="J309" s="9"/>
      <c r="K309" s="9"/>
      <c r="M309" s="9"/>
      <c r="N309" s="9"/>
      <c r="O309" s="9"/>
      <c r="Q309" s="9"/>
      <c r="R309" s="9"/>
      <c r="S309" s="9"/>
    </row>
    <row r="310">
      <c r="A310" s="9"/>
      <c r="D310" s="9"/>
      <c r="E310" s="13"/>
      <c r="H310" s="9"/>
      <c r="I310" s="9"/>
      <c r="J310" s="9"/>
      <c r="K310" s="9"/>
      <c r="M310" s="9"/>
      <c r="N310" s="9"/>
      <c r="O310" s="9"/>
      <c r="Q310" s="9"/>
      <c r="R310" s="9"/>
      <c r="S310" s="9"/>
    </row>
    <row r="311">
      <c r="A311" s="9"/>
      <c r="D311" s="9"/>
      <c r="E311" s="13"/>
      <c r="H311" s="9"/>
      <c r="I311" s="9"/>
      <c r="J311" s="9"/>
      <c r="K311" s="9"/>
      <c r="M311" s="9"/>
      <c r="N311" s="9"/>
      <c r="O311" s="9"/>
      <c r="Q311" s="9"/>
      <c r="R311" s="9"/>
      <c r="S311" s="9"/>
    </row>
    <row r="312">
      <c r="A312" s="9"/>
      <c r="D312" s="9"/>
      <c r="E312" s="13"/>
      <c r="H312" s="9"/>
      <c r="I312" s="9"/>
      <c r="J312" s="9"/>
      <c r="K312" s="9"/>
      <c r="M312" s="9"/>
      <c r="N312" s="9"/>
      <c r="O312" s="9"/>
      <c r="Q312" s="9"/>
      <c r="R312" s="9"/>
      <c r="S312" s="9"/>
    </row>
    <row r="313">
      <c r="A313" s="9"/>
      <c r="D313" s="9"/>
      <c r="E313" s="13"/>
      <c r="H313" s="9"/>
      <c r="I313" s="9"/>
      <c r="J313" s="9"/>
      <c r="K313" s="9"/>
      <c r="M313" s="9"/>
      <c r="N313" s="9"/>
      <c r="O313" s="9"/>
      <c r="Q313" s="9"/>
      <c r="R313" s="9"/>
      <c r="S313" s="9"/>
    </row>
    <row r="314">
      <c r="A314" s="9"/>
      <c r="D314" s="9"/>
      <c r="E314" s="13"/>
      <c r="H314" s="9"/>
      <c r="I314" s="9"/>
      <c r="J314" s="9"/>
      <c r="K314" s="9"/>
      <c r="M314" s="9"/>
      <c r="N314" s="9"/>
      <c r="O314" s="9"/>
      <c r="Q314" s="9"/>
      <c r="R314" s="9"/>
      <c r="S314" s="9"/>
    </row>
    <row r="315">
      <c r="A315" s="9"/>
      <c r="D315" s="9"/>
      <c r="E315" s="13"/>
      <c r="H315" s="9"/>
      <c r="I315" s="9"/>
      <c r="J315" s="9"/>
      <c r="K315" s="9"/>
      <c r="M315" s="9"/>
      <c r="N315" s="9"/>
      <c r="O315" s="9"/>
      <c r="Q315" s="9"/>
      <c r="R315" s="9"/>
      <c r="S315" s="9"/>
    </row>
    <row r="316">
      <c r="A316" s="9"/>
      <c r="D316" s="9"/>
      <c r="E316" s="13"/>
      <c r="H316" s="9"/>
      <c r="I316" s="9"/>
      <c r="J316" s="9"/>
      <c r="K316" s="9"/>
      <c r="M316" s="9"/>
      <c r="N316" s="9"/>
      <c r="O316" s="9"/>
      <c r="Q316" s="9"/>
      <c r="R316" s="9"/>
      <c r="S316" s="9"/>
    </row>
    <row r="317">
      <c r="A317" s="9"/>
      <c r="D317" s="9"/>
      <c r="E317" s="13"/>
      <c r="H317" s="9"/>
      <c r="I317" s="9"/>
      <c r="J317" s="9"/>
      <c r="K317" s="9"/>
      <c r="M317" s="9"/>
      <c r="N317" s="9"/>
      <c r="O317" s="9"/>
      <c r="Q317" s="9"/>
      <c r="R317" s="9"/>
      <c r="S317" s="9"/>
    </row>
    <row r="318">
      <c r="A318" s="9"/>
      <c r="D318" s="9"/>
      <c r="E318" s="13"/>
      <c r="H318" s="9"/>
      <c r="I318" s="9"/>
      <c r="J318" s="9"/>
      <c r="K318" s="9"/>
      <c r="M318" s="9"/>
      <c r="N318" s="9"/>
      <c r="O318" s="9"/>
      <c r="Q318" s="9"/>
      <c r="R318" s="9"/>
      <c r="S318" s="9"/>
    </row>
    <row r="319">
      <c r="A319" s="9"/>
      <c r="D319" s="9"/>
      <c r="E319" s="13"/>
      <c r="H319" s="9"/>
      <c r="I319" s="9"/>
      <c r="J319" s="9"/>
      <c r="K319" s="9"/>
      <c r="M319" s="9"/>
      <c r="N319" s="9"/>
      <c r="O319" s="9"/>
      <c r="Q319" s="9"/>
      <c r="R319" s="9"/>
      <c r="S319" s="9"/>
    </row>
    <row r="320">
      <c r="A320" s="9"/>
      <c r="D320" s="9"/>
      <c r="E320" s="13"/>
      <c r="H320" s="9"/>
      <c r="I320" s="9"/>
      <c r="J320" s="9"/>
      <c r="K320" s="9"/>
      <c r="M320" s="9"/>
      <c r="N320" s="9"/>
      <c r="O320" s="9"/>
      <c r="Q320" s="9"/>
      <c r="R320" s="9"/>
      <c r="S320" s="9"/>
    </row>
    <row r="321">
      <c r="A321" s="9"/>
      <c r="D321" s="9"/>
      <c r="E321" s="13"/>
      <c r="H321" s="9"/>
      <c r="I321" s="9"/>
      <c r="J321" s="9"/>
      <c r="K321" s="9"/>
      <c r="M321" s="9"/>
      <c r="N321" s="9"/>
      <c r="O321" s="9"/>
      <c r="Q321" s="9"/>
      <c r="R321" s="9"/>
      <c r="S321" s="9"/>
    </row>
    <row r="322">
      <c r="A322" s="9"/>
      <c r="D322" s="9"/>
      <c r="E322" s="13"/>
      <c r="H322" s="9"/>
      <c r="I322" s="9"/>
      <c r="J322" s="9"/>
      <c r="K322" s="9"/>
      <c r="M322" s="9"/>
      <c r="N322" s="9"/>
      <c r="O322" s="9"/>
      <c r="Q322" s="9"/>
      <c r="R322" s="9"/>
      <c r="S322" s="9"/>
    </row>
    <row r="323">
      <c r="A323" s="9"/>
      <c r="D323" s="9"/>
      <c r="E323" s="13"/>
      <c r="H323" s="9"/>
      <c r="I323" s="9"/>
      <c r="J323" s="9"/>
      <c r="K323" s="9"/>
      <c r="M323" s="9"/>
      <c r="N323" s="9"/>
      <c r="O323" s="9"/>
      <c r="Q323" s="9"/>
      <c r="R323" s="9"/>
      <c r="S323" s="9"/>
    </row>
    <row r="324">
      <c r="A324" s="9"/>
      <c r="D324" s="9"/>
      <c r="E324" s="13"/>
      <c r="H324" s="9"/>
      <c r="I324" s="9"/>
      <c r="J324" s="9"/>
      <c r="K324" s="9"/>
      <c r="M324" s="9"/>
      <c r="N324" s="9"/>
      <c r="O324" s="9"/>
      <c r="Q324" s="9"/>
      <c r="R324" s="9"/>
      <c r="S324" s="9"/>
    </row>
    <row r="325">
      <c r="A325" s="9"/>
      <c r="D325" s="9"/>
      <c r="E325" s="13"/>
      <c r="H325" s="9"/>
      <c r="I325" s="9"/>
      <c r="J325" s="9"/>
      <c r="K325" s="9"/>
      <c r="M325" s="9"/>
      <c r="N325" s="9"/>
      <c r="O325" s="9"/>
      <c r="Q325" s="9"/>
      <c r="R325" s="9"/>
      <c r="S325" s="9"/>
    </row>
    <row r="326">
      <c r="A326" s="9"/>
      <c r="D326" s="9"/>
      <c r="E326" s="13"/>
      <c r="H326" s="9"/>
      <c r="I326" s="9"/>
      <c r="J326" s="9"/>
      <c r="K326" s="9"/>
      <c r="M326" s="9"/>
      <c r="N326" s="9"/>
      <c r="O326" s="9"/>
      <c r="Q326" s="9"/>
      <c r="R326" s="9"/>
      <c r="S326" s="9"/>
    </row>
    <row r="327">
      <c r="A327" s="9"/>
      <c r="D327" s="9"/>
      <c r="E327" s="13"/>
      <c r="H327" s="9"/>
      <c r="I327" s="9"/>
      <c r="J327" s="9"/>
      <c r="K327" s="9"/>
      <c r="M327" s="9"/>
      <c r="N327" s="9"/>
      <c r="O327" s="9"/>
      <c r="Q327" s="9"/>
      <c r="R327" s="9"/>
      <c r="S327" s="9"/>
    </row>
    <row r="328">
      <c r="A328" s="9"/>
      <c r="D328" s="9"/>
      <c r="E328" s="13"/>
      <c r="H328" s="9"/>
      <c r="I328" s="9"/>
      <c r="J328" s="9"/>
      <c r="K328" s="9"/>
      <c r="M328" s="9"/>
      <c r="N328" s="9"/>
      <c r="O328" s="9"/>
      <c r="Q328" s="9"/>
      <c r="R328" s="9"/>
      <c r="S328" s="9"/>
    </row>
    <row r="329">
      <c r="A329" s="9"/>
      <c r="D329" s="9"/>
      <c r="E329" s="13"/>
      <c r="H329" s="9"/>
      <c r="I329" s="9"/>
      <c r="J329" s="9"/>
      <c r="K329" s="9"/>
      <c r="M329" s="9"/>
      <c r="N329" s="9"/>
      <c r="O329" s="9"/>
      <c r="Q329" s="9"/>
      <c r="R329" s="9"/>
      <c r="S329" s="9"/>
    </row>
    <row r="330">
      <c r="A330" s="9"/>
      <c r="D330" s="9"/>
      <c r="E330" s="13"/>
      <c r="H330" s="9"/>
      <c r="I330" s="9"/>
      <c r="J330" s="9"/>
      <c r="K330" s="9"/>
      <c r="M330" s="9"/>
      <c r="N330" s="9"/>
      <c r="O330" s="9"/>
      <c r="Q330" s="9"/>
      <c r="R330" s="9"/>
      <c r="S330" s="9"/>
    </row>
    <row r="331">
      <c r="A331" s="9"/>
      <c r="D331" s="9"/>
      <c r="E331" s="13"/>
      <c r="H331" s="9"/>
      <c r="I331" s="9"/>
      <c r="J331" s="9"/>
      <c r="K331" s="9"/>
      <c r="M331" s="9"/>
      <c r="N331" s="9"/>
      <c r="O331" s="9"/>
      <c r="Q331" s="9"/>
      <c r="R331" s="9"/>
      <c r="S331" s="9"/>
    </row>
    <row r="332">
      <c r="A332" s="9"/>
      <c r="D332" s="9"/>
      <c r="E332" s="13"/>
      <c r="H332" s="9"/>
      <c r="I332" s="9"/>
      <c r="J332" s="9"/>
      <c r="K332" s="9"/>
      <c r="M332" s="9"/>
      <c r="N332" s="9"/>
      <c r="O332" s="9"/>
      <c r="Q332" s="9"/>
      <c r="R332" s="9"/>
      <c r="S332" s="9"/>
    </row>
    <row r="333">
      <c r="A333" s="9"/>
      <c r="D333" s="9"/>
      <c r="E333" s="13"/>
      <c r="H333" s="9"/>
      <c r="I333" s="9"/>
      <c r="J333" s="9"/>
      <c r="K333" s="9"/>
      <c r="M333" s="9"/>
      <c r="N333" s="9"/>
      <c r="O333" s="9"/>
      <c r="Q333" s="9"/>
      <c r="R333" s="9"/>
      <c r="S333" s="9"/>
    </row>
    <row r="334">
      <c r="A334" s="9"/>
      <c r="D334" s="9"/>
      <c r="E334" s="13"/>
      <c r="H334" s="9"/>
      <c r="I334" s="9"/>
      <c r="J334" s="9"/>
      <c r="K334" s="9"/>
      <c r="M334" s="9"/>
      <c r="N334" s="9"/>
      <c r="O334" s="9"/>
      <c r="Q334" s="9"/>
      <c r="R334" s="9"/>
      <c r="S334" s="9"/>
    </row>
    <row r="335">
      <c r="A335" s="9"/>
      <c r="D335" s="9"/>
      <c r="E335" s="13"/>
      <c r="H335" s="9"/>
      <c r="I335" s="9"/>
      <c r="J335" s="9"/>
      <c r="K335" s="9"/>
      <c r="M335" s="9"/>
      <c r="N335" s="9"/>
      <c r="O335" s="9"/>
      <c r="Q335" s="9"/>
      <c r="R335" s="9"/>
      <c r="S335" s="9"/>
    </row>
    <row r="336">
      <c r="A336" s="9"/>
      <c r="D336" s="9"/>
      <c r="E336" s="13"/>
      <c r="H336" s="9"/>
      <c r="I336" s="9"/>
      <c r="J336" s="9"/>
      <c r="K336" s="9"/>
      <c r="M336" s="9"/>
      <c r="N336" s="9"/>
      <c r="O336" s="9"/>
      <c r="Q336" s="9"/>
      <c r="R336" s="9"/>
      <c r="S336" s="9"/>
    </row>
    <row r="337">
      <c r="A337" s="9"/>
      <c r="D337" s="9"/>
      <c r="E337" s="13"/>
      <c r="H337" s="9"/>
      <c r="I337" s="9"/>
      <c r="J337" s="9"/>
      <c r="K337" s="9"/>
      <c r="M337" s="9"/>
      <c r="N337" s="9"/>
      <c r="O337" s="9"/>
      <c r="Q337" s="9"/>
      <c r="R337" s="9"/>
      <c r="S337" s="9"/>
    </row>
    <row r="338">
      <c r="A338" s="9"/>
      <c r="D338" s="9"/>
      <c r="E338" s="13"/>
      <c r="H338" s="9"/>
      <c r="I338" s="9"/>
      <c r="J338" s="9"/>
      <c r="K338" s="9"/>
      <c r="M338" s="9"/>
      <c r="N338" s="9"/>
      <c r="O338" s="9"/>
      <c r="Q338" s="9"/>
      <c r="R338" s="9"/>
      <c r="S338" s="9"/>
    </row>
    <row r="339">
      <c r="A339" s="9"/>
      <c r="D339" s="9"/>
      <c r="E339" s="13"/>
      <c r="H339" s="9"/>
      <c r="I339" s="9"/>
      <c r="J339" s="9"/>
      <c r="K339" s="9"/>
      <c r="M339" s="9"/>
      <c r="N339" s="9"/>
      <c r="O339" s="9"/>
      <c r="Q339" s="9"/>
      <c r="R339" s="9"/>
      <c r="S339" s="9"/>
    </row>
    <row r="340">
      <c r="A340" s="9"/>
      <c r="D340" s="9"/>
      <c r="E340" s="13"/>
      <c r="H340" s="9"/>
      <c r="I340" s="9"/>
      <c r="J340" s="9"/>
      <c r="K340" s="9"/>
      <c r="M340" s="9"/>
      <c r="N340" s="9"/>
      <c r="O340" s="9"/>
      <c r="Q340" s="9"/>
      <c r="R340" s="9"/>
      <c r="S340" s="9"/>
    </row>
    <row r="341">
      <c r="A341" s="9"/>
      <c r="D341" s="9"/>
      <c r="E341" s="13"/>
      <c r="H341" s="9"/>
      <c r="I341" s="9"/>
      <c r="J341" s="9"/>
      <c r="K341" s="9"/>
      <c r="M341" s="9"/>
      <c r="N341" s="9"/>
      <c r="O341" s="9"/>
      <c r="Q341" s="9"/>
      <c r="R341" s="9"/>
      <c r="S341" s="9"/>
    </row>
    <row r="342">
      <c r="A342" s="9"/>
      <c r="D342" s="9"/>
      <c r="E342" s="13"/>
      <c r="H342" s="9"/>
      <c r="I342" s="9"/>
      <c r="J342" s="9"/>
      <c r="K342" s="9"/>
      <c r="M342" s="9"/>
      <c r="N342" s="9"/>
      <c r="O342" s="9"/>
      <c r="Q342" s="9"/>
      <c r="R342" s="9"/>
      <c r="S342" s="9"/>
    </row>
    <row r="343">
      <c r="A343" s="9"/>
      <c r="D343" s="9"/>
      <c r="E343" s="13"/>
      <c r="H343" s="9"/>
      <c r="I343" s="9"/>
      <c r="J343" s="9"/>
      <c r="K343" s="9"/>
      <c r="M343" s="9"/>
      <c r="N343" s="9"/>
      <c r="O343" s="9"/>
      <c r="Q343" s="9"/>
      <c r="R343" s="9"/>
      <c r="S343" s="9"/>
    </row>
    <row r="344">
      <c r="A344" s="9"/>
      <c r="D344" s="9"/>
      <c r="E344" s="13"/>
      <c r="H344" s="9"/>
      <c r="I344" s="9"/>
      <c r="J344" s="9"/>
      <c r="K344" s="9"/>
      <c r="M344" s="9"/>
      <c r="N344" s="9"/>
      <c r="O344" s="9"/>
      <c r="Q344" s="9"/>
      <c r="R344" s="9"/>
      <c r="S344" s="9"/>
    </row>
    <row r="345">
      <c r="A345" s="9"/>
      <c r="D345" s="9"/>
      <c r="E345" s="13"/>
      <c r="H345" s="9"/>
      <c r="I345" s="9"/>
      <c r="J345" s="9"/>
      <c r="K345" s="9"/>
      <c r="M345" s="9"/>
      <c r="N345" s="9"/>
      <c r="O345" s="9"/>
      <c r="Q345" s="9"/>
      <c r="R345" s="9"/>
      <c r="S345" s="9"/>
    </row>
    <row r="346">
      <c r="A346" s="9"/>
      <c r="D346" s="9"/>
      <c r="E346" s="13"/>
      <c r="H346" s="9"/>
      <c r="I346" s="9"/>
      <c r="J346" s="9"/>
      <c r="K346" s="9"/>
      <c r="M346" s="9"/>
      <c r="N346" s="9"/>
      <c r="O346" s="9"/>
      <c r="Q346" s="9"/>
      <c r="R346" s="9"/>
      <c r="S346" s="9"/>
    </row>
    <row r="347">
      <c r="A347" s="9"/>
      <c r="D347" s="9"/>
      <c r="E347" s="13"/>
      <c r="H347" s="9"/>
      <c r="I347" s="9"/>
      <c r="J347" s="9"/>
      <c r="K347" s="9"/>
      <c r="M347" s="9"/>
      <c r="N347" s="9"/>
      <c r="O347" s="9"/>
      <c r="Q347" s="9"/>
      <c r="R347" s="9"/>
      <c r="S347" s="9"/>
    </row>
    <row r="348">
      <c r="A348" s="9"/>
      <c r="D348" s="9"/>
      <c r="E348" s="13"/>
      <c r="H348" s="9"/>
      <c r="I348" s="9"/>
      <c r="J348" s="9"/>
      <c r="K348" s="9"/>
      <c r="M348" s="9"/>
      <c r="N348" s="9"/>
      <c r="O348" s="9"/>
      <c r="Q348" s="9"/>
      <c r="R348" s="9"/>
      <c r="S348" s="9"/>
    </row>
    <row r="349">
      <c r="A349" s="9"/>
      <c r="D349" s="9"/>
      <c r="E349" s="13"/>
      <c r="H349" s="9"/>
      <c r="I349" s="9"/>
      <c r="J349" s="9"/>
      <c r="K349" s="9"/>
      <c r="M349" s="9"/>
      <c r="N349" s="9"/>
      <c r="O349" s="9"/>
      <c r="Q349" s="9"/>
      <c r="R349" s="9"/>
      <c r="S349" s="9"/>
    </row>
    <row r="350">
      <c r="A350" s="9"/>
      <c r="D350" s="9"/>
      <c r="E350" s="13"/>
      <c r="H350" s="9"/>
      <c r="I350" s="9"/>
      <c r="J350" s="9"/>
      <c r="K350" s="9"/>
      <c r="M350" s="9"/>
      <c r="N350" s="9"/>
      <c r="O350" s="9"/>
      <c r="Q350" s="9"/>
      <c r="R350" s="9"/>
      <c r="S350" s="9"/>
    </row>
    <row r="351">
      <c r="A351" s="9"/>
      <c r="D351" s="9"/>
      <c r="E351" s="13"/>
      <c r="H351" s="9"/>
      <c r="I351" s="9"/>
      <c r="J351" s="9"/>
      <c r="K351" s="9"/>
      <c r="M351" s="9"/>
      <c r="N351" s="9"/>
      <c r="O351" s="9"/>
      <c r="Q351" s="9"/>
      <c r="R351" s="9"/>
      <c r="S351" s="9"/>
    </row>
    <row r="352">
      <c r="A352" s="9"/>
      <c r="D352" s="9"/>
      <c r="E352" s="13"/>
      <c r="H352" s="9"/>
      <c r="I352" s="9"/>
      <c r="J352" s="9"/>
      <c r="K352" s="9"/>
      <c r="M352" s="9"/>
      <c r="N352" s="9"/>
      <c r="O352" s="9"/>
      <c r="Q352" s="9"/>
      <c r="R352" s="9"/>
      <c r="S352" s="9"/>
    </row>
    <row r="353">
      <c r="A353" s="9"/>
      <c r="D353" s="9"/>
      <c r="E353" s="13"/>
      <c r="H353" s="9"/>
      <c r="I353" s="9"/>
      <c r="J353" s="9"/>
      <c r="K353" s="9"/>
      <c r="M353" s="9"/>
      <c r="N353" s="9"/>
      <c r="O353" s="9"/>
      <c r="Q353" s="9"/>
      <c r="R353" s="9"/>
      <c r="S353" s="9"/>
    </row>
    <row r="354">
      <c r="A354" s="9"/>
      <c r="D354" s="9"/>
      <c r="E354" s="13"/>
      <c r="H354" s="9"/>
      <c r="I354" s="9"/>
      <c r="J354" s="9"/>
      <c r="K354" s="9"/>
      <c r="M354" s="9"/>
      <c r="N354" s="9"/>
      <c r="O354" s="9"/>
      <c r="Q354" s="9"/>
      <c r="R354" s="9"/>
      <c r="S354" s="9"/>
    </row>
    <row r="355">
      <c r="A355" s="9"/>
      <c r="D355" s="9"/>
      <c r="E355" s="13"/>
      <c r="H355" s="9"/>
      <c r="I355" s="9"/>
      <c r="J355" s="9"/>
      <c r="K355" s="9"/>
      <c r="M355" s="9"/>
      <c r="N355" s="9"/>
      <c r="O355" s="9"/>
      <c r="Q355" s="9"/>
      <c r="R355" s="9"/>
      <c r="S355" s="9"/>
    </row>
    <row r="356">
      <c r="A356" s="9"/>
      <c r="D356" s="9"/>
      <c r="E356" s="13"/>
      <c r="H356" s="9"/>
      <c r="I356" s="9"/>
      <c r="J356" s="9"/>
      <c r="K356" s="9"/>
      <c r="M356" s="9"/>
      <c r="N356" s="9"/>
      <c r="O356" s="9"/>
      <c r="Q356" s="9"/>
      <c r="R356" s="9"/>
      <c r="S356" s="9"/>
    </row>
    <row r="357">
      <c r="A357" s="9"/>
      <c r="D357" s="9"/>
      <c r="E357" s="13"/>
      <c r="H357" s="9"/>
      <c r="I357" s="9"/>
      <c r="J357" s="9"/>
      <c r="K357" s="9"/>
      <c r="M357" s="9"/>
      <c r="N357" s="9"/>
      <c r="O357" s="9"/>
      <c r="Q357" s="9"/>
      <c r="R357" s="9"/>
      <c r="S357" s="9"/>
    </row>
    <row r="358">
      <c r="A358" s="9"/>
      <c r="D358" s="9"/>
      <c r="E358" s="13"/>
      <c r="H358" s="9"/>
      <c r="I358" s="9"/>
      <c r="J358" s="9"/>
      <c r="K358" s="9"/>
      <c r="M358" s="9"/>
      <c r="N358" s="9"/>
      <c r="O358" s="9"/>
      <c r="Q358" s="9"/>
      <c r="R358" s="9"/>
      <c r="S358" s="9"/>
    </row>
    <row r="359">
      <c r="A359" s="9"/>
      <c r="D359" s="9"/>
      <c r="E359" s="13"/>
      <c r="H359" s="9"/>
      <c r="I359" s="9"/>
      <c r="J359" s="9"/>
      <c r="K359" s="9"/>
      <c r="M359" s="9"/>
      <c r="N359" s="9"/>
      <c r="O359" s="9"/>
      <c r="Q359" s="9"/>
      <c r="R359" s="9"/>
      <c r="S359" s="9"/>
    </row>
    <row r="360">
      <c r="A360" s="9"/>
      <c r="D360" s="9"/>
      <c r="E360" s="13"/>
      <c r="H360" s="9"/>
      <c r="I360" s="9"/>
      <c r="J360" s="9"/>
      <c r="K360" s="9"/>
      <c r="M360" s="9"/>
      <c r="N360" s="9"/>
      <c r="O360" s="9"/>
      <c r="Q360" s="9"/>
      <c r="R360" s="9"/>
      <c r="S360" s="9"/>
    </row>
    <row r="361">
      <c r="A361" s="9"/>
      <c r="D361" s="9"/>
      <c r="E361" s="13"/>
      <c r="H361" s="9"/>
      <c r="I361" s="9"/>
      <c r="J361" s="9"/>
      <c r="K361" s="9"/>
      <c r="M361" s="9"/>
      <c r="N361" s="9"/>
      <c r="O361" s="9"/>
      <c r="Q361" s="9"/>
      <c r="R361" s="9"/>
      <c r="S361" s="9"/>
    </row>
    <row r="362">
      <c r="A362" s="9"/>
      <c r="D362" s="9"/>
      <c r="E362" s="13"/>
      <c r="H362" s="9"/>
      <c r="I362" s="9"/>
      <c r="J362" s="9"/>
      <c r="K362" s="9"/>
      <c r="M362" s="9"/>
      <c r="N362" s="9"/>
      <c r="O362" s="9"/>
      <c r="Q362" s="9"/>
      <c r="R362" s="9"/>
      <c r="S362" s="9"/>
    </row>
    <row r="363">
      <c r="A363" s="9"/>
      <c r="D363" s="9"/>
      <c r="E363" s="13"/>
      <c r="H363" s="9"/>
      <c r="I363" s="9"/>
      <c r="J363" s="9"/>
      <c r="K363" s="9"/>
      <c r="M363" s="9"/>
      <c r="N363" s="9"/>
      <c r="O363" s="9"/>
      <c r="Q363" s="9"/>
      <c r="R363" s="9"/>
      <c r="S363" s="9"/>
    </row>
    <row r="364">
      <c r="A364" s="9"/>
      <c r="D364" s="9"/>
      <c r="E364" s="13"/>
      <c r="H364" s="9"/>
      <c r="I364" s="9"/>
      <c r="J364" s="9"/>
      <c r="K364" s="9"/>
      <c r="M364" s="9"/>
      <c r="N364" s="9"/>
      <c r="O364" s="9"/>
      <c r="Q364" s="9"/>
      <c r="R364" s="9"/>
      <c r="S364" s="9"/>
    </row>
    <row r="365">
      <c r="A365" s="9"/>
      <c r="D365" s="9"/>
      <c r="E365" s="13"/>
      <c r="H365" s="9"/>
      <c r="I365" s="9"/>
      <c r="J365" s="9"/>
      <c r="K365" s="9"/>
      <c r="M365" s="9"/>
      <c r="N365" s="9"/>
      <c r="O365" s="9"/>
      <c r="Q365" s="9"/>
      <c r="R365" s="9"/>
      <c r="S365" s="9"/>
    </row>
    <row r="366">
      <c r="A366" s="9"/>
      <c r="D366" s="9"/>
      <c r="E366" s="13"/>
      <c r="H366" s="9"/>
      <c r="I366" s="9"/>
      <c r="J366" s="9"/>
      <c r="K366" s="9"/>
      <c r="M366" s="9"/>
      <c r="N366" s="9"/>
      <c r="O366" s="9"/>
      <c r="Q366" s="9"/>
      <c r="R366" s="9"/>
      <c r="S366" s="9"/>
    </row>
    <row r="367">
      <c r="A367" s="9"/>
      <c r="D367" s="9"/>
      <c r="E367" s="13"/>
      <c r="H367" s="9"/>
      <c r="I367" s="9"/>
      <c r="J367" s="9"/>
      <c r="K367" s="9"/>
      <c r="M367" s="9"/>
      <c r="N367" s="9"/>
      <c r="O367" s="9"/>
      <c r="Q367" s="9"/>
      <c r="R367" s="9"/>
      <c r="S367" s="9"/>
    </row>
    <row r="368">
      <c r="A368" s="9"/>
      <c r="D368" s="9"/>
      <c r="E368" s="13"/>
      <c r="H368" s="9"/>
      <c r="I368" s="9"/>
      <c r="J368" s="9"/>
      <c r="K368" s="9"/>
      <c r="M368" s="9"/>
      <c r="N368" s="9"/>
      <c r="O368" s="9"/>
      <c r="Q368" s="9"/>
      <c r="R368" s="9"/>
      <c r="S368" s="9"/>
    </row>
    <row r="369">
      <c r="A369" s="9"/>
      <c r="D369" s="9"/>
      <c r="E369" s="13"/>
      <c r="H369" s="9"/>
      <c r="I369" s="9"/>
      <c r="J369" s="9"/>
      <c r="K369" s="9"/>
      <c r="M369" s="9"/>
      <c r="N369" s="9"/>
      <c r="O369" s="9"/>
      <c r="Q369" s="9"/>
      <c r="R369" s="9"/>
      <c r="S369" s="9"/>
    </row>
    <row r="370">
      <c r="A370" s="9"/>
      <c r="D370" s="9"/>
      <c r="E370" s="13"/>
      <c r="H370" s="9"/>
      <c r="I370" s="9"/>
      <c r="J370" s="9"/>
      <c r="K370" s="9"/>
      <c r="M370" s="9"/>
      <c r="N370" s="9"/>
      <c r="O370" s="9"/>
      <c r="Q370" s="9"/>
      <c r="R370" s="9"/>
      <c r="S370" s="9"/>
    </row>
    <row r="371">
      <c r="A371" s="9"/>
      <c r="D371" s="9"/>
      <c r="E371" s="13"/>
      <c r="H371" s="9"/>
      <c r="I371" s="9"/>
      <c r="J371" s="9"/>
      <c r="K371" s="9"/>
      <c r="M371" s="9"/>
      <c r="N371" s="9"/>
      <c r="O371" s="9"/>
      <c r="Q371" s="9"/>
      <c r="R371" s="9"/>
      <c r="S371" s="9"/>
    </row>
    <row r="372">
      <c r="A372" s="9"/>
      <c r="D372" s="9"/>
      <c r="E372" s="13"/>
      <c r="H372" s="9"/>
      <c r="I372" s="9"/>
      <c r="J372" s="9"/>
      <c r="K372" s="9"/>
      <c r="M372" s="9"/>
      <c r="N372" s="9"/>
      <c r="O372" s="9"/>
      <c r="Q372" s="9"/>
      <c r="R372" s="9"/>
      <c r="S372" s="9"/>
    </row>
    <row r="373">
      <c r="A373" s="9"/>
      <c r="D373" s="9"/>
      <c r="E373" s="13"/>
      <c r="H373" s="9"/>
      <c r="I373" s="9"/>
      <c r="J373" s="9"/>
      <c r="K373" s="9"/>
      <c r="M373" s="9"/>
      <c r="N373" s="9"/>
      <c r="O373" s="9"/>
      <c r="Q373" s="9"/>
      <c r="R373" s="9"/>
      <c r="S373" s="9"/>
    </row>
    <row r="374">
      <c r="A374" s="9"/>
      <c r="D374" s="9"/>
      <c r="E374" s="13"/>
      <c r="H374" s="9"/>
      <c r="I374" s="9"/>
      <c r="J374" s="9"/>
      <c r="K374" s="9"/>
      <c r="M374" s="9"/>
      <c r="N374" s="9"/>
      <c r="O374" s="9"/>
      <c r="Q374" s="9"/>
      <c r="R374" s="9"/>
      <c r="S374" s="9"/>
    </row>
    <row r="375">
      <c r="A375" s="9"/>
      <c r="D375" s="9"/>
      <c r="E375" s="13"/>
      <c r="H375" s="9"/>
      <c r="I375" s="9"/>
      <c r="J375" s="9"/>
      <c r="K375" s="9"/>
      <c r="M375" s="9"/>
      <c r="N375" s="9"/>
      <c r="O375" s="9"/>
      <c r="Q375" s="9"/>
      <c r="R375" s="9"/>
      <c r="S375" s="9"/>
    </row>
    <row r="376">
      <c r="A376" s="9"/>
      <c r="D376" s="9"/>
      <c r="E376" s="13"/>
      <c r="H376" s="9"/>
      <c r="I376" s="9"/>
      <c r="J376" s="9"/>
      <c r="K376" s="9"/>
      <c r="M376" s="9"/>
      <c r="N376" s="9"/>
      <c r="O376" s="9"/>
      <c r="Q376" s="9"/>
      <c r="R376" s="9"/>
      <c r="S376" s="9"/>
    </row>
    <row r="377">
      <c r="A377" s="9"/>
      <c r="D377" s="9"/>
      <c r="E377" s="13"/>
      <c r="H377" s="9"/>
      <c r="I377" s="9"/>
      <c r="J377" s="9"/>
      <c r="K377" s="9"/>
      <c r="M377" s="9"/>
      <c r="N377" s="9"/>
      <c r="O377" s="9"/>
      <c r="Q377" s="9"/>
      <c r="R377" s="9"/>
      <c r="S377" s="9"/>
    </row>
    <row r="378">
      <c r="A378" s="9"/>
      <c r="D378" s="9"/>
      <c r="E378" s="13"/>
      <c r="H378" s="9"/>
      <c r="I378" s="9"/>
      <c r="J378" s="9"/>
      <c r="K378" s="9"/>
      <c r="M378" s="9"/>
      <c r="N378" s="9"/>
      <c r="O378" s="9"/>
      <c r="Q378" s="9"/>
      <c r="R378" s="9"/>
      <c r="S378" s="9"/>
    </row>
    <row r="379">
      <c r="A379" s="9"/>
      <c r="D379" s="9"/>
      <c r="E379" s="13"/>
      <c r="H379" s="9"/>
      <c r="I379" s="9"/>
      <c r="J379" s="9"/>
      <c r="K379" s="9"/>
      <c r="M379" s="9"/>
      <c r="N379" s="9"/>
      <c r="O379" s="9"/>
      <c r="Q379" s="9"/>
      <c r="R379" s="9"/>
      <c r="S379" s="9"/>
    </row>
    <row r="380">
      <c r="A380" s="9"/>
      <c r="D380" s="9"/>
      <c r="E380" s="13"/>
      <c r="H380" s="9"/>
      <c r="I380" s="9"/>
      <c r="J380" s="9"/>
      <c r="K380" s="9"/>
      <c r="M380" s="9"/>
      <c r="N380" s="9"/>
      <c r="O380" s="9"/>
      <c r="Q380" s="9"/>
      <c r="R380" s="9"/>
      <c r="S380" s="9"/>
    </row>
    <row r="381">
      <c r="A381" s="9"/>
      <c r="D381" s="9"/>
      <c r="E381" s="13"/>
      <c r="H381" s="9"/>
      <c r="I381" s="9"/>
      <c r="J381" s="9"/>
      <c r="K381" s="9"/>
      <c r="M381" s="9"/>
      <c r="N381" s="9"/>
      <c r="O381" s="9"/>
      <c r="Q381" s="9"/>
      <c r="R381" s="9"/>
      <c r="S381" s="9"/>
    </row>
    <row r="382">
      <c r="A382" s="9"/>
      <c r="D382" s="9"/>
      <c r="E382" s="13"/>
      <c r="H382" s="9"/>
      <c r="I382" s="9"/>
      <c r="J382" s="9"/>
      <c r="K382" s="9"/>
      <c r="M382" s="9"/>
      <c r="N382" s="9"/>
      <c r="O382" s="9"/>
      <c r="Q382" s="9"/>
      <c r="R382" s="9"/>
      <c r="S382" s="9"/>
    </row>
    <row r="383">
      <c r="A383" s="9"/>
      <c r="D383" s="9"/>
      <c r="E383" s="13"/>
      <c r="H383" s="9"/>
      <c r="I383" s="9"/>
      <c r="J383" s="9"/>
      <c r="K383" s="9"/>
      <c r="M383" s="9"/>
      <c r="N383" s="9"/>
      <c r="O383" s="9"/>
      <c r="Q383" s="9"/>
      <c r="R383" s="9"/>
      <c r="S383" s="9"/>
    </row>
    <row r="384">
      <c r="A384" s="9"/>
      <c r="D384" s="9"/>
      <c r="E384" s="13"/>
      <c r="H384" s="9"/>
      <c r="I384" s="9"/>
      <c r="J384" s="9"/>
      <c r="K384" s="9"/>
      <c r="M384" s="9"/>
      <c r="N384" s="9"/>
      <c r="O384" s="9"/>
      <c r="Q384" s="9"/>
      <c r="R384" s="9"/>
      <c r="S384" s="9"/>
    </row>
    <row r="385">
      <c r="A385" s="9"/>
      <c r="D385" s="9"/>
      <c r="E385" s="13"/>
      <c r="H385" s="9"/>
      <c r="I385" s="9"/>
      <c r="J385" s="9"/>
      <c r="K385" s="9"/>
      <c r="M385" s="9"/>
      <c r="N385" s="9"/>
      <c r="O385" s="9"/>
      <c r="Q385" s="9"/>
      <c r="R385" s="9"/>
      <c r="S385" s="9"/>
    </row>
    <row r="386">
      <c r="A386" s="9"/>
      <c r="D386" s="9"/>
      <c r="E386" s="13"/>
      <c r="H386" s="9"/>
      <c r="I386" s="9"/>
      <c r="J386" s="9"/>
      <c r="K386" s="9"/>
      <c r="M386" s="9"/>
      <c r="N386" s="9"/>
      <c r="O386" s="9"/>
      <c r="Q386" s="9"/>
      <c r="R386" s="9"/>
      <c r="S386" s="9"/>
    </row>
    <row r="387">
      <c r="A387" s="9"/>
      <c r="D387" s="9"/>
      <c r="E387" s="13"/>
      <c r="H387" s="9"/>
      <c r="I387" s="9"/>
      <c r="J387" s="9"/>
      <c r="K387" s="9"/>
      <c r="M387" s="9"/>
      <c r="N387" s="9"/>
      <c r="O387" s="9"/>
      <c r="Q387" s="9"/>
      <c r="R387" s="9"/>
      <c r="S387" s="9"/>
    </row>
    <row r="388">
      <c r="A388" s="9"/>
      <c r="D388" s="9"/>
      <c r="E388" s="13"/>
      <c r="H388" s="9"/>
      <c r="I388" s="9"/>
      <c r="J388" s="9"/>
      <c r="K388" s="9"/>
      <c r="M388" s="9"/>
      <c r="N388" s="9"/>
      <c r="O388" s="9"/>
      <c r="Q388" s="9"/>
      <c r="R388" s="9"/>
      <c r="S388" s="9"/>
    </row>
    <row r="389">
      <c r="A389" s="9"/>
      <c r="D389" s="9"/>
      <c r="E389" s="13"/>
      <c r="H389" s="9"/>
      <c r="I389" s="9"/>
      <c r="J389" s="9"/>
      <c r="K389" s="9"/>
      <c r="M389" s="9"/>
      <c r="N389" s="9"/>
      <c r="O389" s="9"/>
      <c r="Q389" s="9"/>
      <c r="R389" s="9"/>
      <c r="S389" s="9"/>
    </row>
    <row r="390">
      <c r="A390" s="9"/>
      <c r="D390" s="9"/>
      <c r="E390" s="13"/>
      <c r="H390" s="9"/>
      <c r="I390" s="9"/>
      <c r="J390" s="9"/>
      <c r="K390" s="9"/>
      <c r="M390" s="9"/>
      <c r="N390" s="9"/>
      <c r="O390" s="9"/>
      <c r="Q390" s="9"/>
      <c r="R390" s="9"/>
      <c r="S390" s="9"/>
    </row>
    <row r="391">
      <c r="A391" s="9"/>
      <c r="D391" s="9"/>
      <c r="E391" s="13"/>
      <c r="H391" s="9"/>
      <c r="I391" s="9"/>
      <c r="J391" s="9"/>
      <c r="K391" s="9"/>
      <c r="M391" s="9"/>
      <c r="N391" s="9"/>
      <c r="O391" s="9"/>
      <c r="Q391" s="9"/>
      <c r="R391" s="9"/>
      <c r="S391" s="9"/>
    </row>
    <row r="392">
      <c r="A392" s="9"/>
      <c r="D392" s="9"/>
      <c r="E392" s="13"/>
      <c r="H392" s="9"/>
      <c r="I392" s="9"/>
      <c r="J392" s="9"/>
      <c r="K392" s="9"/>
      <c r="M392" s="9"/>
      <c r="N392" s="9"/>
      <c r="O392" s="9"/>
      <c r="Q392" s="9"/>
      <c r="R392" s="9"/>
      <c r="S392" s="9"/>
    </row>
    <row r="393">
      <c r="A393" s="9"/>
      <c r="D393" s="9"/>
      <c r="E393" s="13"/>
      <c r="H393" s="9"/>
      <c r="I393" s="9"/>
      <c r="J393" s="9"/>
      <c r="K393" s="9"/>
      <c r="M393" s="9"/>
      <c r="N393" s="9"/>
      <c r="O393" s="9"/>
      <c r="Q393" s="9"/>
      <c r="R393" s="9"/>
      <c r="S393" s="9"/>
    </row>
    <row r="394">
      <c r="A394" s="9"/>
      <c r="D394" s="9"/>
      <c r="E394" s="13"/>
      <c r="H394" s="9"/>
      <c r="I394" s="9"/>
      <c r="J394" s="9"/>
      <c r="K394" s="9"/>
      <c r="M394" s="9"/>
      <c r="N394" s="9"/>
      <c r="O394" s="9"/>
      <c r="Q394" s="9"/>
      <c r="R394" s="9"/>
      <c r="S394" s="9"/>
    </row>
    <row r="395">
      <c r="A395" s="9"/>
      <c r="D395" s="9"/>
      <c r="E395" s="13"/>
      <c r="H395" s="9"/>
      <c r="I395" s="9"/>
      <c r="J395" s="9"/>
      <c r="K395" s="9"/>
      <c r="M395" s="9"/>
      <c r="N395" s="9"/>
      <c r="O395" s="9"/>
      <c r="Q395" s="9"/>
      <c r="R395" s="9"/>
      <c r="S395" s="9"/>
    </row>
    <row r="396">
      <c r="A396" s="9"/>
      <c r="D396" s="9"/>
      <c r="E396" s="13"/>
      <c r="H396" s="9"/>
      <c r="I396" s="9"/>
      <c r="J396" s="9"/>
      <c r="K396" s="9"/>
      <c r="M396" s="9"/>
      <c r="N396" s="9"/>
      <c r="O396" s="9"/>
      <c r="Q396" s="9"/>
      <c r="R396" s="9"/>
      <c r="S396" s="9"/>
    </row>
    <row r="397">
      <c r="A397" s="9"/>
      <c r="D397" s="9"/>
      <c r="E397" s="13"/>
      <c r="H397" s="9"/>
      <c r="I397" s="9"/>
      <c r="J397" s="9"/>
      <c r="K397" s="9"/>
      <c r="M397" s="9"/>
      <c r="N397" s="9"/>
      <c r="O397" s="9"/>
      <c r="Q397" s="9"/>
      <c r="R397" s="9"/>
      <c r="S397" s="9"/>
    </row>
    <row r="398">
      <c r="A398" s="9"/>
      <c r="D398" s="9"/>
      <c r="E398" s="13"/>
      <c r="H398" s="9"/>
      <c r="I398" s="9"/>
      <c r="J398" s="9"/>
      <c r="K398" s="9"/>
      <c r="M398" s="9"/>
      <c r="N398" s="9"/>
      <c r="O398" s="9"/>
      <c r="Q398" s="9"/>
      <c r="R398" s="9"/>
      <c r="S398" s="9"/>
    </row>
    <row r="399">
      <c r="A399" s="9"/>
      <c r="D399" s="9"/>
      <c r="E399" s="13"/>
      <c r="H399" s="9"/>
      <c r="I399" s="9"/>
      <c r="J399" s="9"/>
      <c r="K399" s="9"/>
      <c r="M399" s="9"/>
      <c r="N399" s="9"/>
      <c r="O399" s="9"/>
      <c r="Q399" s="9"/>
      <c r="R399" s="9"/>
      <c r="S399" s="9"/>
    </row>
    <row r="400">
      <c r="A400" s="9"/>
      <c r="D400" s="9"/>
      <c r="E400" s="13"/>
      <c r="H400" s="9"/>
      <c r="I400" s="9"/>
      <c r="J400" s="9"/>
      <c r="K400" s="9"/>
      <c r="M400" s="9"/>
      <c r="N400" s="9"/>
      <c r="O400" s="9"/>
      <c r="Q400" s="9"/>
      <c r="R400" s="9"/>
      <c r="S400" s="9"/>
    </row>
    <row r="401">
      <c r="A401" s="9"/>
      <c r="D401" s="9"/>
      <c r="E401" s="13"/>
      <c r="H401" s="9"/>
      <c r="I401" s="9"/>
      <c r="J401" s="9"/>
      <c r="K401" s="9"/>
      <c r="M401" s="9"/>
      <c r="N401" s="9"/>
      <c r="O401" s="9"/>
      <c r="Q401" s="9"/>
      <c r="R401" s="9"/>
      <c r="S401" s="9"/>
    </row>
    <row r="402">
      <c r="A402" s="9"/>
      <c r="D402" s="9"/>
      <c r="E402" s="13"/>
      <c r="H402" s="9"/>
      <c r="I402" s="9"/>
      <c r="J402" s="9"/>
      <c r="K402" s="9"/>
      <c r="M402" s="9"/>
      <c r="N402" s="9"/>
      <c r="O402" s="9"/>
      <c r="Q402" s="9"/>
      <c r="R402" s="9"/>
      <c r="S402" s="9"/>
    </row>
    <row r="403">
      <c r="A403" s="9"/>
      <c r="D403" s="9"/>
      <c r="E403" s="13"/>
      <c r="H403" s="9"/>
      <c r="I403" s="9"/>
      <c r="J403" s="9"/>
      <c r="K403" s="9"/>
      <c r="M403" s="9"/>
      <c r="N403" s="9"/>
      <c r="O403" s="9"/>
      <c r="Q403" s="9"/>
      <c r="R403" s="9"/>
      <c r="S403" s="9"/>
    </row>
    <row r="404">
      <c r="A404" s="9"/>
      <c r="D404" s="9"/>
      <c r="E404" s="13"/>
      <c r="H404" s="9"/>
      <c r="I404" s="9"/>
      <c r="J404" s="9"/>
      <c r="K404" s="9"/>
      <c r="M404" s="9"/>
      <c r="N404" s="9"/>
      <c r="O404" s="9"/>
      <c r="Q404" s="9"/>
      <c r="R404" s="9"/>
      <c r="S404" s="9"/>
    </row>
    <row r="405">
      <c r="A405" s="9"/>
      <c r="D405" s="9"/>
      <c r="E405" s="13"/>
      <c r="H405" s="9"/>
      <c r="I405" s="9"/>
      <c r="J405" s="9"/>
      <c r="K405" s="9"/>
      <c r="M405" s="9"/>
      <c r="N405" s="9"/>
      <c r="O405" s="9"/>
      <c r="Q405" s="9"/>
      <c r="R405" s="9"/>
      <c r="S405" s="9"/>
    </row>
    <row r="406">
      <c r="A406" s="9"/>
      <c r="D406" s="9"/>
      <c r="E406" s="13"/>
      <c r="H406" s="9"/>
      <c r="I406" s="9"/>
      <c r="J406" s="9"/>
      <c r="K406" s="9"/>
      <c r="M406" s="9"/>
      <c r="N406" s="9"/>
      <c r="O406" s="9"/>
      <c r="Q406" s="9"/>
      <c r="R406" s="9"/>
      <c r="S406" s="9"/>
    </row>
    <row r="407">
      <c r="A407" s="9"/>
      <c r="D407" s="9"/>
      <c r="E407" s="13"/>
      <c r="H407" s="9"/>
      <c r="I407" s="9"/>
      <c r="J407" s="9"/>
      <c r="K407" s="9"/>
      <c r="M407" s="9"/>
      <c r="N407" s="9"/>
      <c r="O407" s="9"/>
      <c r="Q407" s="9"/>
      <c r="R407" s="9"/>
      <c r="S407" s="9"/>
    </row>
    <row r="408">
      <c r="A408" s="9"/>
      <c r="D408" s="9"/>
      <c r="E408" s="13"/>
      <c r="H408" s="9"/>
      <c r="I408" s="9"/>
      <c r="J408" s="9"/>
      <c r="K408" s="9"/>
      <c r="M408" s="9"/>
      <c r="N408" s="9"/>
      <c r="O408" s="9"/>
      <c r="Q408" s="9"/>
      <c r="R408" s="9"/>
      <c r="S408" s="9"/>
    </row>
    <row r="409">
      <c r="A409" s="9"/>
      <c r="D409" s="9"/>
      <c r="E409" s="13"/>
      <c r="H409" s="9"/>
      <c r="I409" s="9"/>
      <c r="J409" s="9"/>
      <c r="K409" s="9"/>
      <c r="M409" s="9"/>
      <c r="N409" s="9"/>
      <c r="O409" s="9"/>
      <c r="Q409" s="9"/>
      <c r="R409" s="9"/>
      <c r="S409" s="9"/>
    </row>
    <row r="410">
      <c r="A410" s="9"/>
      <c r="D410" s="9"/>
      <c r="E410" s="13"/>
      <c r="H410" s="9"/>
      <c r="I410" s="9"/>
      <c r="J410" s="9"/>
      <c r="K410" s="9"/>
      <c r="M410" s="9"/>
      <c r="N410" s="9"/>
      <c r="O410" s="9"/>
      <c r="Q410" s="9"/>
      <c r="R410" s="9"/>
      <c r="S410" s="9"/>
    </row>
    <row r="411">
      <c r="A411" s="9"/>
      <c r="D411" s="9"/>
      <c r="E411" s="13"/>
      <c r="H411" s="9"/>
      <c r="I411" s="9"/>
      <c r="J411" s="9"/>
      <c r="K411" s="9"/>
      <c r="M411" s="9"/>
      <c r="N411" s="9"/>
      <c r="O411" s="9"/>
      <c r="Q411" s="9"/>
      <c r="R411" s="9"/>
      <c r="S411" s="9"/>
    </row>
    <row r="412">
      <c r="A412" s="9"/>
      <c r="D412" s="9"/>
      <c r="E412" s="13"/>
      <c r="H412" s="9"/>
      <c r="I412" s="9"/>
      <c r="J412" s="9"/>
      <c r="K412" s="9"/>
      <c r="M412" s="9"/>
      <c r="N412" s="9"/>
      <c r="O412" s="9"/>
      <c r="Q412" s="9"/>
      <c r="R412" s="9"/>
      <c r="S412" s="9"/>
    </row>
    <row r="413">
      <c r="A413" s="9"/>
      <c r="D413" s="9"/>
      <c r="E413" s="13"/>
      <c r="H413" s="9"/>
      <c r="I413" s="9"/>
      <c r="J413" s="9"/>
      <c r="K413" s="9"/>
      <c r="M413" s="9"/>
      <c r="N413" s="9"/>
      <c r="O413" s="9"/>
      <c r="Q413" s="9"/>
      <c r="R413" s="9"/>
      <c r="S413" s="9"/>
    </row>
    <row r="414">
      <c r="A414" s="9"/>
      <c r="D414" s="9"/>
      <c r="E414" s="13"/>
      <c r="H414" s="9"/>
      <c r="I414" s="9"/>
      <c r="J414" s="9"/>
      <c r="K414" s="9"/>
      <c r="M414" s="9"/>
      <c r="N414" s="9"/>
      <c r="O414" s="9"/>
      <c r="Q414" s="9"/>
      <c r="R414" s="9"/>
      <c r="S414" s="9"/>
    </row>
    <row r="415">
      <c r="A415" s="9"/>
      <c r="D415" s="9"/>
      <c r="E415" s="13"/>
      <c r="H415" s="9"/>
      <c r="I415" s="9"/>
      <c r="J415" s="9"/>
      <c r="K415" s="9"/>
      <c r="M415" s="9"/>
      <c r="N415" s="9"/>
      <c r="O415" s="9"/>
      <c r="Q415" s="9"/>
      <c r="R415" s="9"/>
      <c r="S415" s="9"/>
    </row>
    <row r="416">
      <c r="A416" s="9"/>
      <c r="D416" s="9"/>
      <c r="E416" s="13"/>
      <c r="H416" s="9"/>
      <c r="I416" s="9"/>
      <c r="J416" s="9"/>
      <c r="K416" s="9"/>
      <c r="M416" s="9"/>
      <c r="N416" s="9"/>
      <c r="O416" s="9"/>
      <c r="Q416" s="9"/>
      <c r="R416" s="9"/>
      <c r="S416" s="9"/>
    </row>
    <row r="417">
      <c r="A417" s="9"/>
      <c r="D417" s="9"/>
      <c r="E417" s="13"/>
      <c r="H417" s="9"/>
      <c r="I417" s="9"/>
      <c r="J417" s="9"/>
      <c r="K417" s="9"/>
      <c r="M417" s="9"/>
      <c r="N417" s="9"/>
      <c r="O417" s="9"/>
      <c r="Q417" s="9"/>
      <c r="R417" s="9"/>
      <c r="S417" s="9"/>
    </row>
    <row r="418">
      <c r="A418" s="9"/>
      <c r="D418" s="9"/>
      <c r="E418" s="13"/>
      <c r="H418" s="9"/>
      <c r="I418" s="9"/>
      <c r="J418" s="9"/>
      <c r="K418" s="9"/>
      <c r="M418" s="9"/>
      <c r="N418" s="9"/>
      <c r="O418" s="9"/>
      <c r="Q418" s="9"/>
      <c r="R418" s="9"/>
      <c r="S418" s="9"/>
    </row>
    <row r="419">
      <c r="A419" s="9"/>
      <c r="D419" s="9"/>
      <c r="E419" s="13"/>
      <c r="H419" s="9"/>
      <c r="I419" s="9"/>
      <c r="J419" s="9"/>
      <c r="K419" s="9"/>
      <c r="M419" s="9"/>
      <c r="N419" s="9"/>
      <c r="O419" s="9"/>
      <c r="Q419" s="9"/>
      <c r="R419" s="9"/>
      <c r="S419" s="9"/>
    </row>
    <row r="420">
      <c r="A420" s="9"/>
      <c r="D420" s="9"/>
      <c r="E420" s="13"/>
      <c r="H420" s="9"/>
      <c r="I420" s="9"/>
      <c r="J420" s="9"/>
      <c r="K420" s="9"/>
      <c r="M420" s="9"/>
      <c r="N420" s="9"/>
      <c r="O420" s="9"/>
      <c r="Q420" s="9"/>
      <c r="R420" s="9"/>
      <c r="S420" s="9"/>
    </row>
    <row r="421">
      <c r="A421" s="9"/>
      <c r="D421" s="9"/>
      <c r="E421" s="13"/>
      <c r="H421" s="9"/>
      <c r="I421" s="9"/>
      <c r="J421" s="9"/>
      <c r="K421" s="9"/>
      <c r="M421" s="9"/>
      <c r="N421" s="9"/>
      <c r="O421" s="9"/>
      <c r="Q421" s="9"/>
      <c r="R421" s="9"/>
      <c r="S421" s="9"/>
    </row>
    <row r="422">
      <c r="A422" s="9"/>
      <c r="D422" s="9"/>
      <c r="E422" s="13"/>
      <c r="H422" s="9"/>
      <c r="I422" s="9"/>
      <c r="J422" s="9"/>
      <c r="K422" s="9"/>
      <c r="M422" s="9"/>
      <c r="N422" s="9"/>
      <c r="O422" s="9"/>
      <c r="Q422" s="9"/>
      <c r="R422" s="9"/>
      <c r="S422" s="9"/>
    </row>
    <row r="423">
      <c r="A423" s="9"/>
      <c r="D423" s="9"/>
      <c r="E423" s="13"/>
      <c r="H423" s="9"/>
      <c r="I423" s="9"/>
      <c r="J423" s="9"/>
      <c r="K423" s="9"/>
      <c r="M423" s="9"/>
      <c r="N423" s="9"/>
      <c r="O423" s="9"/>
      <c r="Q423" s="9"/>
      <c r="R423" s="9"/>
      <c r="S423" s="9"/>
    </row>
    <row r="424">
      <c r="A424" s="9"/>
      <c r="D424" s="9"/>
      <c r="E424" s="13"/>
      <c r="H424" s="9"/>
      <c r="I424" s="9"/>
      <c r="J424" s="9"/>
      <c r="K424" s="9"/>
      <c r="M424" s="9"/>
      <c r="N424" s="9"/>
      <c r="O424" s="9"/>
      <c r="Q424" s="9"/>
      <c r="R424" s="9"/>
      <c r="S424" s="9"/>
    </row>
    <row r="425">
      <c r="A425" s="9"/>
      <c r="D425" s="9"/>
      <c r="E425" s="13"/>
      <c r="H425" s="9"/>
      <c r="I425" s="9"/>
      <c r="J425" s="9"/>
      <c r="K425" s="9"/>
      <c r="M425" s="9"/>
      <c r="N425" s="9"/>
      <c r="O425" s="9"/>
      <c r="Q425" s="9"/>
      <c r="R425" s="9"/>
      <c r="S425" s="9"/>
    </row>
    <row r="426">
      <c r="A426" s="9"/>
      <c r="D426" s="9"/>
      <c r="E426" s="13"/>
      <c r="H426" s="9"/>
      <c r="I426" s="9"/>
      <c r="J426" s="9"/>
      <c r="K426" s="9"/>
      <c r="M426" s="9"/>
      <c r="N426" s="9"/>
      <c r="O426" s="9"/>
      <c r="Q426" s="9"/>
      <c r="R426" s="9"/>
      <c r="S426" s="9"/>
    </row>
    <row r="427">
      <c r="A427" s="9"/>
      <c r="D427" s="9"/>
      <c r="E427" s="13"/>
      <c r="H427" s="9"/>
      <c r="I427" s="9"/>
      <c r="J427" s="9"/>
      <c r="K427" s="9"/>
      <c r="M427" s="9"/>
      <c r="N427" s="9"/>
      <c r="O427" s="9"/>
      <c r="Q427" s="9"/>
      <c r="R427" s="9"/>
      <c r="S427" s="9"/>
    </row>
    <row r="428">
      <c r="A428" s="9"/>
      <c r="D428" s="9"/>
      <c r="E428" s="13"/>
      <c r="H428" s="9"/>
      <c r="I428" s="9"/>
      <c r="J428" s="9"/>
      <c r="K428" s="9"/>
      <c r="M428" s="9"/>
      <c r="N428" s="9"/>
      <c r="O428" s="9"/>
      <c r="Q428" s="9"/>
      <c r="R428" s="9"/>
      <c r="S428" s="9"/>
    </row>
    <row r="429">
      <c r="A429" s="9"/>
      <c r="D429" s="9"/>
      <c r="E429" s="13"/>
      <c r="H429" s="9"/>
      <c r="I429" s="9"/>
      <c r="J429" s="9"/>
      <c r="K429" s="9"/>
      <c r="M429" s="9"/>
      <c r="N429" s="9"/>
      <c r="O429" s="9"/>
      <c r="Q429" s="9"/>
      <c r="R429" s="9"/>
      <c r="S429" s="9"/>
    </row>
    <row r="430">
      <c r="A430" s="9"/>
      <c r="D430" s="9"/>
      <c r="E430" s="13"/>
      <c r="H430" s="9"/>
      <c r="I430" s="9"/>
      <c r="J430" s="9"/>
      <c r="K430" s="9"/>
      <c r="M430" s="9"/>
      <c r="N430" s="9"/>
      <c r="O430" s="9"/>
      <c r="Q430" s="9"/>
      <c r="R430" s="9"/>
      <c r="S430" s="9"/>
    </row>
    <row r="431">
      <c r="A431" s="9"/>
      <c r="D431" s="9"/>
      <c r="E431" s="13"/>
      <c r="H431" s="9"/>
      <c r="I431" s="9"/>
      <c r="J431" s="9"/>
      <c r="K431" s="9"/>
      <c r="M431" s="9"/>
      <c r="N431" s="9"/>
      <c r="O431" s="9"/>
      <c r="Q431" s="9"/>
      <c r="R431" s="9"/>
      <c r="S431" s="9"/>
    </row>
    <row r="432">
      <c r="A432" s="9"/>
      <c r="D432" s="9"/>
      <c r="E432" s="13"/>
      <c r="H432" s="9"/>
      <c r="I432" s="9"/>
      <c r="J432" s="9"/>
      <c r="K432" s="9"/>
      <c r="M432" s="9"/>
      <c r="N432" s="9"/>
      <c r="O432" s="9"/>
      <c r="Q432" s="9"/>
      <c r="R432" s="9"/>
      <c r="S432" s="9"/>
    </row>
    <row r="433">
      <c r="A433" s="9"/>
      <c r="D433" s="9"/>
      <c r="E433" s="13"/>
      <c r="H433" s="9"/>
      <c r="I433" s="9"/>
      <c r="J433" s="9"/>
      <c r="K433" s="9"/>
      <c r="M433" s="9"/>
      <c r="N433" s="9"/>
      <c r="O433" s="9"/>
      <c r="Q433" s="9"/>
      <c r="R433" s="9"/>
      <c r="S433" s="9"/>
    </row>
    <row r="434">
      <c r="A434" s="9"/>
      <c r="D434" s="9"/>
      <c r="E434" s="13"/>
      <c r="H434" s="9"/>
      <c r="I434" s="9"/>
      <c r="J434" s="9"/>
      <c r="K434" s="9"/>
      <c r="M434" s="9"/>
      <c r="N434" s="9"/>
      <c r="O434" s="9"/>
      <c r="Q434" s="9"/>
      <c r="R434" s="9"/>
      <c r="S434" s="9"/>
    </row>
    <row r="435">
      <c r="A435" s="9"/>
      <c r="D435" s="9"/>
      <c r="E435" s="13"/>
      <c r="H435" s="9"/>
      <c r="I435" s="9"/>
      <c r="J435" s="9"/>
      <c r="K435" s="9"/>
      <c r="M435" s="9"/>
      <c r="N435" s="9"/>
      <c r="O435" s="9"/>
      <c r="Q435" s="9"/>
      <c r="R435" s="9"/>
      <c r="S435" s="9"/>
    </row>
    <row r="436">
      <c r="A436" s="9"/>
      <c r="D436" s="9"/>
      <c r="E436" s="13"/>
      <c r="H436" s="9"/>
      <c r="I436" s="9"/>
      <c r="J436" s="9"/>
      <c r="K436" s="9"/>
      <c r="M436" s="9"/>
      <c r="N436" s="9"/>
      <c r="O436" s="9"/>
      <c r="Q436" s="9"/>
      <c r="R436" s="9"/>
      <c r="S436" s="9"/>
    </row>
    <row r="437">
      <c r="A437" s="9"/>
      <c r="D437" s="9"/>
      <c r="E437" s="13"/>
      <c r="H437" s="9"/>
      <c r="I437" s="9"/>
      <c r="J437" s="9"/>
      <c r="K437" s="9"/>
      <c r="M437" s="9"/>
      <c r="N437" s="9"/>
      <c r="O437" s="9"/>
      <c r="Q437" s="9"/>
      <c r="R437" s="9"/>
      <c r="S437" s="9"/>
    </row>
    <row r="438">
      <c r="A438" s="9"/>
      <c r="D438" s="9"/>
      <c r="E438" s="13"/>
      <c r="H438" s="9"/>
      <c r="I438" s="9"/>
      <c r="J438" s="9"/>
      <c r="K438" s="9"/>
      <c r="M438" s="9"/>
      <c r="N438" s="9"/>
      <c r="O438" s="9"/>
      <c r="Q438" s="9"/>
      <c r="R438" s="9"/>
      <c r="S438" s="9"/>
    </row>
    <row r="439">
      <c r="A439" s="9"/>
      <c r="D439" s="9"/>
      <c r="E439" s="13"/>
      <c r="H439" s="9"/>
      <c r="I439" s="9"/>
      <c r="J439" s="9"/>
      <c r="K439" s="9"/>
      <c r="M439" s="9"/>
      <c r="N439" s="9"/>
      <c r="O439" s="9"/>
      <c r="Q439" s="9"/>
      <c r="R439" s="9"/>
      <c r="S439" s="9"/>
    </row>
    <row r="440">
      <c r="A440" s="9"/>
      <c r="D440" s="9"/>
      <c r="E440" s="13"/>
      <c r="H440" s="9"/>
      <c r="I440" s="9"/>
      <c r="J440" s="9"/>
      <c r="K440" s="9"/>
      <c r="M440" s="9"/>
      <c r="N440" s="9"/>
      <c r="O440" s="9"/>
      <c r="Q440" s="9"/>
      <c r="R440" s="9"/>
      <c r="S440" s="9"/>
    </row>
    <row r="441">
      <c r="A441" s="9"/>
      <c r="D441" s="9"/>
      <c r="E441" s="13"/>
      <c r="H441" s="9"/>
      <c r="I441" s="9"/>
      <c r="J441" s="9"/>
      <c r="K441" s="9"/>
      <c r="M441" s="9"/>
      <c r="N441" s="9"/>
      <c r="O441" s="9"/>
      <c r="Q441" s="9"/>
      <c r="R441" s="9"/>
      <c r="S441" s="9"/>
    </row>
    <row r="442">
      <c r="A442" s="9"/>
      <c r="D442" s="9"/>
      <c r="E442" s="13"/>
      <c r="H442" s="9"/>
      <c r="I442" s="9"/>
      <c r="J442" s="9"/>
      <c r="K442" s="9"/>
      <c r="M442" s="9"/>
      <c r="N442" s="9"/>
      <c r="O442" s="9"/>
      <c r="Q442" s="9"/>
      <c r="R442" s="9"/>
      <c r="S442" s="9"/>
    </row>
    <row r="443">
      <c r="A443" s="9"/>
      <c r="D443" s="9"/>
      <c r="E443" s="13"/>
      <c r="H443" s="9"/>
      <c r="I443" s="9"/>
      <c r="J443" s="9"/>
      <c r="K443" s="9"/>
      <c r="M443" s="9"/>
      <c r="N443" s="9"/>
      <c r="O443" s="9"/>
      <c r="Q443" s="9"/>
      <c r="R443" s="9"/>
      <c r="S443" s="9"/>
    </row>
    <row r="444">
      <c r="A444" s="9"/>
      <c r="D444" s="9"/>
      <c r="E444" s="13"/>
      <c r="H444" s="9"/>
      <c r="I444" s="9"/>
      <c r="J444" s="9"/>
      <c r="K444" s="9"/>
      <c r="M444" s="9"/>
      <c r="N444" s="9"/>
      <c r="O444" s="9"/>
      <c r="Q444" s="9"/>
      <c r="R444" s="9"/>
      <c r="S444" s="9"/>
    </row>
    <row r="445">
      <c r="A445" s="9"/>
      <c r="D445" s="9"/>
      <c r="E445" s="13"/>
      <c r="H445" s="9"/>
      <c r="I445" s="9"/>
      <c r="J445" s="9"/>
      <c r="K445" s="9"/>
      <c r="M445" s="9"/>
      <c r="N445" s="9"/>
      <c r="O445" s="9"/>
      <c r="Q445" s="9"/>
      <c r="R445" s="9"/>
      <c r="S445" s="9"/>
    </row>
    <row r="446">
      <c r="A446" s="9"/>
      <c r="D446" s="9"/>
      <c r="E446" s="13"/>
      <c r="H446" s="9"/>
      <c r="I446" s="9"/>
      <c r="J446" s="9"/>
      <c r="K446" s="9"/>
      <c r="M446" s="9"/>
      <c r="N446" s="9"/>
      <c r="O446" s="9"/>
      <c r="Q446" s="9"/>
      <c r="R446" s="9"/>
      <c r="S446" s="9"/>
    </row>
    <row r="447">
      <c r="A447" s="9"/>
      <c r="D447" s="9"/>
      <c r="E447" s="13"/>
      <c r="H447" s="9"/>
      <c r="I447" s="9"/>
      <c r="J447" s="9"/>
      <c r="K447" s="9"/>
      <c r="M447" s="9"/>
      <c r="N447" s="9"/>
      <c r="O447" s="9"/>
      <c r="Q447" s="9"/>
      <c r="R447" s="9"/>
      <c r="S447" s="9"/>
    </row>
    <row r="448">
      <c r="A448" s="9"/>
      <c r="D448" s="9"/>
      <c r="E448" s="13"/>
      <c r="H448" s="9"/>
      <c r="I448" s="9"/>
      <c r="J448" s="9"/>
      <c r="K448" s="9"/>
      <c r="M448" s="9"/>
      <c r="N448" s="9"/>
      <c r="O448" s="9"/>
      <c r="Q448" s="9"/>
      <c r="R448" s="9"/>
      <c r="S448" s="9"/>
    </row>
    <row r="449">
      <c r="A449" s="9"/>
      <c r="D449" s="9"/>
      <c r="E449" s="13"/>
      <c r="H449" s="9"/>
      <c r="I449" s="9"/>
      <c r="J449" s="9"/>
      <c r="K449" s="9"/>
      <c r="M449" s="9"/>
      <c r="N449" s="9"/>
      <c r="O449" s="9"/>
      <c r="Q449" s="9"/>
      <c r="R449" s="9"/>
      <c r="S449" s="9"/>
    </row>
    <row r="450">
      <c r="A450" s="9"/>
      <c r="D450" s="9"/>
      <c r="E450" s="13"/>
      <c r="H450" s="9"/>
      <c r="I450" s="9"/>
      <c r="J450" s="9"/>
      <c r="K450" s="9"/>
      <c r="M450" s="9"/>
      <c r="N450" s="9"/>
      <c r="O450" s="9"/>
      <c r="Q450" s="9"/>
      <c r="R450" s="9"/>
      <c r="S450" s="9"/>
    </row>
    <row r="451">
      <c r="A451" s="9"/>
      <c r="D451" s="9"/>
      <c r="E451" s="13"/>
      <c r="H451" s="9"/>
      <c r="I451" s="9"/>
      <c r="J451" s="9"/>
      <c r="K451" s="9"/>
      <c r="M451" s="9"/>
      <c r="N451" s="9"/>
      <c r="O451" s="9"/>
      <c r="Q451" s="9"/>
      <c r="R451" s="9"/>
      <c r="S451" s="9"/>
    </row>
    <row r="452">
      <c r="A452" s="9"/>
      <c r="D452" s="9"/>
      <c r="E452" s="13"/>
      <c r="H452" s="9"/>
      <c r="I452" s="9"/>
      <c r="J452" s="9"/>
      <c r="K452" s="9"/>
      <c r="M452" s="9"/>
      <c r="N452" s="9"/>
      <c r="O452" s="9"/>
      <c r="Q452" s="9"/>
      <c r="R452" s="9"/>
      <c r="S452" s="9"/>
    </row>
    <row r="453">
      <c r="A453" s="9"/>
      <c r="D453" s="9"/>
      <c r="E453" s="13"/>
      <c r="H453" s="9"/>
      <c r="I453" s="9"/>
      <c r="J453" s="9"/>
      <c r="K453" s="9"/>
      <c r="M453" s="9"/>
      <c r="N453" s="9"/>
      <c r="O453" s="9"/>
      <c r="Q453" s="9"/>
      <c r="R453" s="9"/>
      <c r="S453" s="9"/>
    </row>
    <row r="454">
      <c r="A454" s="9"/>
      <c r="D454" s="9"/>
      <c r="E454" s="13"/>
      <c r="H454" s="9"/>
      <c r="I454" s="9"/>
      <c r="J454" s="9"/>
      <c r="K454" s="9"/>
      <c r="M454" s="9"/>
      <c r="N454" s="9"/>
      <c r="O454" s="9"/>
      <c r="Q454" s="9"/>
      <c r="R454" s="9"/>
      <c r="S454" s="9"/>
    </row>
    <row r="455">
      <c r="A455" s="9"/>
      <c r="D455" s="9"/>
      <c r="E455" s="13"/>
      <c r="H455" s="9"/>
      <c r="I455" s="9"/>
      <c r="J455" s="9"/>
      <c r="K455" s="9"/>
      <c r="M455" s="9"/>
      <c r="N455" s="9"/>
      <c r="O455" s="9"/>
      <c r="Q455" s="9"/>
      <c r="R455" s="9"/>
      <c r="S455" s="9"/>
    </row>
    <row r="456">
      <c r="A456" s="9"/>
      <c r="D456" s="9"/>
      <c r="E456" s="13"/>
      <c r="H456" s="9"/>
      <c r="I456" s="9"/>
      <c r="J456" s="9"/>
      <c r="K456" s="9"/>
      <c r="M456" s="9"/>
      <c r="N456" s="9"/>
      <c r="O456" s="9"/>
      <c r="Q456" s="9"/>
      <c r="R456" s="9"/>
      <c r="S456" s="9"/>
    </row>
    <row r="457">
      <c r="A457" s="9"/>
      <c r="D457" s="9"/>
      <c r="E457" s="13"/>
      <c r="H457" s="9"/>
      <c r="I457" s="9"/>
      <c r="J457" s="9"/>
      <c r="K457" s="9"/>
      <c r="M457" s="9"/>
      <c r="N457" s="9"/>
      <c r="O457" s="9"/>
      <c r="Q457" s="9"/>
      <c r="R457" s="9"/>
      <c r="S457" s="9"/>
    </row>
    <row r="458">
      <c r="A458" s="9"/>
      <c r="D458" s="9"/>
      <c r="E458" s="13"/>
      <c r="H458" s="9"/>
      <c r="I458" s="9"/>
      <c r="J458" s="9"/>
      <c r="K458" s="9"/>
      <c r="M458" s="9"/>
      <c r="N458" s="9"/>
      <c r="O458" s="9"/>
      <c r="Q458" s="9"/>
      <c r="R458" s="9"/>
      <c r="S458" s="9"/>
    </row>
    <row r="459">
      <c r="A459" s="9"/>
      <c r="D459" s="9"/>
      <c r="E459" s="13"/>
      <c r="H459" s="9"/>
      <c r="I459" s="9"/>
      <c r="J459" s="9"/>
      <c r="K459" s="9"/>
      <c r="M459" s="9"/>
      <c r="N459" s="9"/>
      <c r="O459" s="9"/>
      <c r="Q459" s="9"/>
      <c r="R459" s="9"/>
      <c r="S459" s="9"/>
    </row>
    <row r="460">
      <c r="A460" s="9"/>
      <c r="D460" s="9"/>
      <c r="E460" s="13"/>
      <c r="H460" s="9"/>
      <c r="I460" s="9"/>
      <c r="J460" s="9"/>
      <c r="K460" s="9"/>
      <c r="M460" s="9"/>
      <c r="N460" s="9"/>
      <c r="O460" s="9"/>
      <c r="Q460" s="9"/>
      <c r="R460" s="9"/>
      <c r="S460" s="9"/>
    </row>
    <row r="461">
      <c r="A461" s="9"/>
      <c r="D461" s="9"/>
      <c r="E461" s="13"/>
      <c r="H461" s="9"/>
      <c r="I461" s="9"/>
      <c r="J461" s="9"/>
      <c r="K461" s="9"/>
      <c r="M461" s="9"/>
      <c r="N461" s="9"/>
      <c r="O461" s="9"/>
      <c r="Q461" s="9"/>
      <c r="R461" s="9"/>
      <c r="S461" s="9"/>
    </row>
    <row r="462">
      <c r="A462" s="9"/>
      <c r="D462" s="9"/>
      <c r="E462" s="13"/>
      <c r="H462" s="9"/>
      <c r="I462" s="9"/>
      <c r="J462" s="9"/>
      <c r="K462" s="9"/>
      <c r="M462" s="9"/>
      <c r="N462" s="9"/>
      <c r="O462" s="9"/>
      <c r="Q462" s="9"/>
      <c r="R462" s="9"/>
      <c r="S462" s="9"/>
    </row>
    <row r="463">
      <c r="A463" s="9"/>
      <c r="D463" s="9"/>
      <c r="E463" s="13"/>
      <c r="H463" s="9"/>
      <c r="I463" s="9"/>
      <c r="J463" s="9"/>
      <c r="K463" s="9"/>
      <c r="M463" s="9"/>
      <c r="N463" s="9"/>
      <c r="O463" s="9"/>
      <c r="Q463" s="9"/>
      <c r="R463" s="9"/>
      <c r="S463" s="9"/>
    </row>
    <row r="464">
      <c r="A464" s="9"/>
      <c r="D464" s="9"/>
      <c r="E464" s="13"/>
      <c r="H464" s="9"/>
      <c r="I464" s="9"/>
      <c r="J464" s="9"/>
      <c r="K464" s="9"/>
      <c r="M464" s="9"/>
      <c r="N464" s="9"/>
      <c r="O464" s="9"/>
      <c r="Q464" s="9"/>
      <c r="R464" s="9"/>
      <c r="S464" s="9"/>
    </row>
    <row r="465">
      <c r="A465" s="9"/>
      <c r="D465" s="9"/>
      <c r="E465" s="13"/>
      <c r="H465" s="9"/>
      <c r="I465" s="9"/>
      <c r="J465" s="9"/>
      <c r="K465" s="9"/>
      <c r="M465" s="9"/>
      <c r="N465" s="9"/>
      <c r="O465" s="9"/>
      <c r="Q465" s="9"/>
      <c r="R465" s="9"/>
      <c r="S465" s="9"/>
    </row>
    <row r="466">
      <c r="A466" s="9"/>
      <c r="D466" s="9"/>
      <c r="E466" s="13"/>
      <c r="H466" s="9"/>
      <c r="I466" s="9"/>
      <c r="J466" s="9"/>
      <c r="K466" s="9"/>
      <c r="M466" s="9"/>
      <c r="N466" s="9"/>
      <c r="O466" s="9"/>
      <c r="Q466" s="9"/>
      <c r="R466" s="9"/>
      <c r="S466" s="9"/>
    </row>
    <row r="467">
      <c r="A467" s="9"/>
      <c r="D467" s="9"/>
      <c r="E467" s="13"/>
      <c r="H467" s="9"/>
      <c r="I467" s="9"/>
      <c r="J467" s="9"/>
      <c r="K467" s="9"/>
      <c r="M467" s="9"/>
      <c r="N467" s="9"/>
      <c r="O467" s="9"/>
      <c r="Q467" s="9"/>
      <c r="R467" s="9"/>
      <c r="S467" s="9"/>
    </row>
    <row r="468">
      <c r="A468" s="9"/>
      <c r="D468" s="9"/>
      <c r="E468" s="13"/>
      <c r="H468" s="9"/>
      <c r="I468" s="9"/>
      <c r="J468" s="9"/>
      <c r="K468" s="9"/>
      <c r="M468" s="9"/>
      <c r="N468" s="9"/>
      <c r="O468" s="9"/>
      <c r="Q468" s="9"/>
      <c r="R468" s="9"/>
      <c r="S468" s="9"/>
    </row>
    <row r="469">
      <c r="A469" s="9"/>
      <c r="D469" s="9"/>
      <c r="E469" s="13"/>
      <c r="H469" s="9"/>
      <c r="I469" s="9"/>
      <c r="J469" s="9"/>
      <c r="K469" s="9"/>
      <c r="M469" s="9"/>
      <c r="N469" s="9"/>
      <c r="O469" s="9"/>
      <c r="Q469" s="9"/>
      <c r="R469" s="9"/>
      <c r="S469" s="9"/>
    </row>
    <row r="470">
      <c r="A470" s="9"/>
      <c r="D470" s="9"/>
      <c r="E470" s="13"/>
      <c r="H470" s="9"/>
      <c r="I470" s="9"/>
      <c r="J470" s="9"/>
      <c r="K470" s="9"/>
      <c r="M470" s="9"/>
      <c r="N470" s="9"/>
      <c r="O470" s="9"/>
      <c r="Q470" s="9"/>
      <c r="R470" s="9"/>
      <c r="S470" s="9"/>
    </row>
    <row r="471">
      <c r="A471" s="9"/>
      <c r="D471" s="9"/>
      <c r="E471" s="13"/>
      <c r="H471" s="9"/>
      <c r="I471" s="9"/>
      <c r="J471" s="9"/>
      <c r="K471" s="9"/>
      <c r="M471" s="9"/>
      <c r="N471" s="9"/>
      <c r="O471" s="9"/>
      <c r="Q471" s="9"/>
      <c r="R471" s="9"/>
      <c r="S471" s="9"/>
    </row>
    <row r="472">
      <c r="A472" s="9"/>
      <c r="D472" s="9"/>
      <c r="E472" s="13"/>
      <c r="H472" s="9"/>
      <c r="I472" s="9"/>
      <c r="J472" s="9"/>
      <c r="K472" s="9"/>
      <c r="M472" s="9"/>
      <c r="N472" s="9"/>
      <c r="O472" s="9"/>
      <c r="Q472" s="9"/>
      <c r="R472" s="9"/>
      <c r="S472" s="9"/>
    </row>
    <row r="473">
      <c r="A473" s="9"/>
      <c r="D473" s="9"/>
      <c r="E473" s="13"/>
      <c r="H473" s="9"/>
      <c r="I473" s="9"/>
      <c r="J473" s="9"/>
      <c r="K473" s="9"/>
      <c r="M473" s="9"/>
      <c r="N473" s="9"/>
      <c r="O473" s="9"/>
      <c r="Q473" s="9"/>
      <c r="R473" s="9"/>
      <c r="S473" s="9"/>
    </row>
    <row r="474">
      <c r="A474" s="9"/>
      <c r="D474" s="9"/>
      <c r="E474" s="13"/>
      <c r="H474" s="9"/>
      <c r="I474" s="9"/>
      <c r="J474" s="9"/>
      <c r="K474" s="9"/>
      <c r="M474" s="9"/>
      <c r="N474" s="9"/>
      <c r="O474" s="9"/>
      <c r="Q474" s="9"/>
      <c r="R474" s="9"/>
      <c r="S474" s="9"/>
    </row>
    <row r="475">
      <c r="A475" s="9"/>
      <c r="D475" s="9"/>
      <c r="E475" s="13"/>
      <c r="H475" s="9"/>
      <c r="I475" s="9"/>
      <c r="J475" s="9"/>
      <c r="K475" s="9"/>
      <c r="M475" s="9"/>
      <c r="N475" s="9"/>
      <c r="O475" s="9"/>
      <c r="Q475" s="9"/>
      <c r="R475" s="9"/>
      <c r="S475" s="9"/>
    </row>
    <row r="476">
      <c r="A476" s="9"/>
      <c r="D476" s="9"/>
      <c r="E476" s="13"/>
      <c r="H476" s="9"/>
      <c r="I476" s="9"/>
      <c r="J476" s="9"/>
      <c r="K476" s="9"/>
      <c r="M476" s="9"/>
      <c r="N476" s="9"/>
      <c r="O476" s="9"/>
      <c r="Q476" s="9"/>
      <c r="R476" s="9"/>
      <c r="S476" s="9"/>
    </row>
    <row r="477">
      <c r="A477" s="9"/>
      <c r="D477" s="9"/>
      <c r="E477" s="13"/>
      <c r="H477" s="9"/>
      <c r="I477" s="9"/>
      <c r="J477" s="9"/>
      <c r="K477" s="9"/>
      <c r="M477" s="9"/>
      <c r="N477" s="9"/>
      <c r="O477" s="9"/>
      <c r="Q477" s="9"/>
      <c r="R477" s="9"/>
      <c r="S477" s="9"/>
    </row>
    <row r="478">
      <c r="A478" s="9"/>
      <c r="D478" s="9"/>
      <c r="E478" s="13"/>
      <c r="H478" s="9"/>
      <c r="I478" s="9"/>
      <c r="J478" s="9"/>
      <c r="K478" s="9"/>
      <c r="M478" s="9"/>
      <c r="N478" s="9"/>
      <c r="O478" s="9"/>
      <c r="Q478" s="9"/>
      <c r="R478" s="9"/>
      <c r="S478" s="9"/>
    </row>
    <row r="479">
      <c r="A479" s="9"/>
      <c r="D479" s="9"/>
      <c r="E479" s="13"/>
      <c r="H479" s="9"/>
      <c r="I479" s="9"/>
      <c r="J479" s="9"/>
      <c r="K479" s="9"/>
      <c r="M479" s="9"/>
      <c r="N479" s="9"/>
      <c r="O479" s="9"/>
      <c r="Q479" s="9"/>
      <c r="R479" s="9"/>
      <c r="S479" s="9"/>
    </row>
    <row r="480">
      <c r="A480" s="9"/>
      <c r="D480" s="9"/>
      <c r="E480" s="13"/>
      <c r="H480" s="9"/>
      <c r="I480" s="9"/>
      <c r="J480" s="9"/>
      <c r="K480" s="9"/>
      <c r="M480" s="9"/>
      <c r="N480" s="9"/>
      <c r="O480" s="9"/>
      <c r="Q480" s="9"/>
      <c r="R480" s="9"/>
      <c r="S480" s="9"/>
    </row>
    <row r="481">
      <c r="A481" s="9"/>
      <c r="D481" s="9"/>
      <c r="E481" s="13"/>
      <c r="H481" s="9"/>
      <c r="I481" s="9"/>
      <c r="J481" s="9"/>
      <c r="K481" s="9"/>
      <c r="M481" s="9"/>
      <c r="N481" s="9"/>
      <c r="O481" s="9"/>
      <c r="Q481" s="9"/>
      <c r="R481" s="9"/>
      <c r="S481" s="9"/>
    </row>
    <row r="482">
      <c r="A482" s="9"/>
      <c r="D482" s="9"/>
      <c r="E482" s="13"/>
      <c r="H482" s="9"/>
      <c r="I482" s="9"/>
      <c r="J482" s="9"/>
      <c r="K482" s="9"/>
      <c r="M482" s="9"/>
      <c r="N482" s="9"/>
      <c r="O482" s="9"/>
      <c r="Q482" s="9"/>
      <c r="R482" s="9"/>
      <c r="S482" s="9"/>
    </row>
    <row r="483">
      <c r="A483" s="9"/>
      <c r="D483" s="9"/>
      <c r="E483" s="13"/>
      <c r="H483" s="9"/>
      <c r="I483" s="9"/>
      <c r="J483" s="9"/>
      <c r="K483" s="9"/>
      <c r="M483" s="9"/>
      <c r="N483" s="9"/>
      <c r="O483" s="9"/>
      <c r="Q483" s="9"/>
      <c r="R483" s="9"/>
      <c r="S483" s="9"/>
    </row>
    <row r="484">
      <c r="A484" s="9"/>
      <c r="D484" s="9"/>
      <c r="E484" s="13"/>
      <c r="H484" s="9"/>
      <c r="I484" s="9"/>
      <c r="J484" s="9"/>
      <c r="K484" s="9"/>
      <c r="M484" s="9"/>
      <c r="N484" s="9"/>
      <c r="O484" s="9"/>
      <c r="Q484" s="9"/>
      <c r="R484" s="9"/>
      <c r="S484" s="9"/>
    </row>
    <row r="485">
      <c r="A485" s="9"/>
      <c r="D485" s="9"/>
      <c r="E485" s="13"/>
      <c r="H485" s="9"/>
      <c r="I485" s="9"/>
      <c r="J485" s="9"/>
      <c r="K485" s="9"/>
      <c r="M485" s="9"/>
      <c r="N485" s="9"/>
      <c r="O485" s="9"/>
      <c r="Q485" s="9"/>
      <c r="R485" s="9"/>
      <c r="S485" s="9"/>
    </row>
    <row r="486">
      <c r="A486" s="9"/>
      <c r="D486" s="9"/>
      <c r="E486" s="13"/>
      <c r="H486" s="9"/>
      <c r="I486" s="9"/>
      <c r="J486" s="9"/>
      <c r="K486" s="9"/>
      <c r="M486" s="9"/>
      <c r="N486" s="9"/>
      <c r="O486" s="9"/>
      <c r="Q486" s="9"/>
      <c r="R486" s="9"/>
      <c r="S486" s="9"/>
    </row>
    <row r="487">
      <c r="A487" s="9"/>
      <c r="D487" s="9"/>
      <c r="E487" s="13"/>
      <c r="H487" s="9"/>
      <c r="I487" s="9"/>
      <c r="J487" s="9"/>
      <c r="K487" s="9"/>
      <c r="M487" s="9"/>
      <c r="N487" s="9"/>
      <c r="O487" s="9"/>
      <c r="Q487" s="9"/>
      <c r="R487" s="9"/>
      <c r="S487" s="9"/>
    </row>
    <row r="488">
      <c r="A488" s="9"/>
      <c r="D488" s="9"/>
      <c r="E488" s="13"/>
      <c r="H488" s="9"/>
      <c r="I488" s="9"/>
      <c r="J488" s="9"/>
      <c r="K488" s="9"/>
      <c r="M488" s="9"/>
      <c r="N488" s="9"/>
      <c r="O488" s="9"/>
      <c r="Q488" s="9"/>
      <c r="R488" s="9"/>
      <c r="S488" s="9"/>
    </row>
    <row r="489">
      <c r="A489" s="9"/>
      <c r="D489" s="9"/>
      <c r="E489" s="13"/>
      <c r="H489" s="9"/>
      <c r="I489" s="9"/>
      <c r="J489" s="9"/>
      <c r="K489" s="9"/>
      <c r="M489" s="9"/>
      <c r="N489" s="9"/>
      <c r="O489" s="9"/>
      <c r="Q489" s="9"/>
      <c r="R489" s="9"/>
      <c r="S489" s="9"/>
    </row>
    <row r="490">
      <c r="A490" s="9"/>
      <c r="D490" s="9"/>
      <c r="E490" s="13"/>
      <c r="H490" s="9"/>
      <c r="I490" s="9"/>
      <c r="J490" s="9"/>
      <c r="K490" s="9"/>
      <c r="M490" s="9"/>
      <c r="N490" s="9"/>
      <c r="O490" s="9"/>
      <c r="Q490" s="9"/>
      <c r="R490" s="9"/>
      <c r="S490" s="9"/>
    </row>
    <row r="491">
      <c r="A491" s="9"/>
      <c r="D491" s="9"/>
      <c r="E491" s="13"/>
      <c r="H491" s="9"/>
      <c r="I491" s="9"/>
      <c r="J491" s="9"/>
      <c r="K491" s="9"/>
      <c r="M491" s="9"/>
      <c r="N491" s="9"/>
      <c r="O491" s="9"/>
      <c r="Q491" s="9"/>
      <c r="R491" s="9"/>
      <c r="S491" s="9"/>
    </row>
    <row r="492">
      <c r="A492" s="9"/>
      <c r="D492" s="9"/>
      <c r="E492" s="13"/>
      <c r="H492" s="9"/>
      <c r="I492" s="9"/>
      <c r="J492" s="9"/>
      <c r="K492" s="9"/>
      <c r="M492" s="9"/>
      <c r="N492" s="9"/>
      <c r="O492" s="9"/>
      <c r="Q492" s="9"/>
      <c r="R492" s="9"/>
      <c r="S492" s="9"/>
    </row>
    <row r="493">
      <c r="A493" s="9"/>
      <c r="D493" s="9"/>
      <c r="E493" s="13"/>
      <c r="H493" s="9"/>
      <c r="I493" s="9"/>
      <c r="J493" s="9"/>
      <c r="K493" s="9"/>
      <c r="M493" s="9"/>
      <c r="N493" s="9"/>
      <c r="O493" s="9"/>
      <c r="Q493" s="9"/>
      <c r="R493" s="9"/>
      <c r="S493" s="9"/>
    </row>
    <row r="494">
      <c r="A494" s="9"/>
      <c r="D494" s="9"/>
      <c r="E494" s="13"/>
      <c r="H494" s="9"/>
      <c r="I494" s="9"/>
      <c r="J494" s="9"/>
      <c r="K494" s="9"/>
      <c r="M494" s="9"/>
      <c r="N494" s="9"/>
      <c r="O494" s="9"/>
      <c r="Q494" s="9"/>
      <c r="R494" s="9"/>
      <c r="S494" s="9"/>
    </row>
    <row r="495">
      <c r="A495" s="9"/>
      <c r="D495" s="9"/>
      <c r="E495" s="13"/>
      <c r="H495" s="9"/>
      <c r="I495" s="9"/>
      <c r="J495" s="9"/>
      <c r="K495" s="9"/>
      <c r="M495" s="9"/>
      <c r="N495" s="9"/>
      <c r="O495" s="9"/>
      <c r="Q495" s="9"/>
      <c r="R495" s="9"/>
      <c r="S495" s="9"/>
    </row>
    <row r="496">
      <c r="A496" s="9"/>
      <c r="D496" s="9"/>
      <c r="E496" s="13"/>
      <c r="H496" s="9"/>
      <c r="I496" s="9"/>
      <c r="J496" s="9"/>
      <c r="K496" s="9"/>
      <c r="M496" s="9"/>
      <c r="N496" s="9"/>
      <c r="O496" s="9"/>
      <c r="Q496" s="9"/>
      <c r="R496" s="9"/>
      <c r="S496" s="9"/>
    </row>
    <row r="497">
      <c r="A497" s="9"/>
      <c r="D497" s="9"/>
      <c r="E497" s="13"/>
      <c r="H497" s="9"/>
      <c r="I497" s="9"/>
      <c r="J497" s="9"/>
      <c r="K497" s="9"/>
      <c r="M497" s="9"/>
      <c r="N497" s="9"/>
      <c r="O497" s="9"/>
      <c r="Q497" s="9"/>
      <c r="R497" s="9"/>
      <c r="S497" s="9"/>
    </row>
    <row r="498">
      <c r="A498" s="9"/>
      <c r="D498" s="9"/>
      <c r="E498" s="13"/>
      <c r="H498" s="9"/>
      <c r="I498" s="9"/>
      <c r="J498" s="9"/>
      <c r="K498" s="9"/>
      <c r="M498" s="9"/>
      <c r="N498" s="9"/>
      <c r="O498" s="9"/>
      <c r="Q498" s="9"/>
      <c r="R498" s="9"/>
      <c r="S498" s="9"/>
    </row>
    <row r="499">
      <c r="A499" s="9"/>
      <c r="D499" s="9"/>
      <c r="E499" s="13"/>
      <c r="H499" s="9"/>
      <c r="I499" s="9"/>
      <c r="J499" s="9"/>
      <c r="K499" s="9"/>
      <c r="M499" s="9"/>
      <c r="N499" s="9"/>
      <c r="O499" s="9"/>
      <c r="Q499" s="9"/>
      <c r="R499" s="9"/>
      <c r="S499" s="9"/>
    </row>
    <row r="500">
      <c r="A500" s="9"/>
      <c r="D500" s="9"/>
      <c r="E500" s="13"/>
      <c r="H500" s="9"/>
      <c r="I500" s="9"/>
      <c r="J500" s="9"/>
      <c r="K500" s="9"/>
      <c r="M500" s="9"/>
      <c r="N500" s="9"/>
      <c r="O500" s="9"/>
      <c r="Q500" s="9"/>
      <c r="R500" s="9"/>
      <c r="S500" s="9"/>
    </row>
    <row r="501">
      <c r="A501" s="9"/>
      <c r="D501" s="9"/>
      <c r="E501" s="13"/>
      <c r="H501" s="9"/>
      <c r="I501" s="9"/>
      <c r="J501" s="9"/>
      <c r="K501" s="9"/>
      <c r="M501" s="9"/>
      <c r="N501" s="9"/>
      <c r="O501" s="9"/>
      <c r="Q501" s="9"/>
      <c r="R501" s="9"/>
      <c r="S501" s="9"/>
    </row>
    <row r="502">
      <c r="A502" s="9"/>
      <c r="D502" s="9"/>
      <c r="E502" s="13"/>
      <c r="H502" s="9"/>
      <c r="I502" s="9"/>
      <c r="J502" s="9"/>
      <c r="K502" s="9"/>
      <c r="M502" s="9"/>
      <c r="N502" s="9"/>
      <c r="O502" s="9"/>
      <c r="Q502" s="9"/>
      <c r="R502" s="9"/>
      <c r="S502" s="9"/>
    </row>
    <row r="503">
      <c r="A503" s="9"/>
      <c r="D503" s="9"/>
      <c r="E503" s="13"/>
      <c r="H503" s="9"/>
      <c r="I503" s="9"/>
      <c r="J503" s="9"/>
      <c r="K503" s="9"/>
      <c r="M503" s="9"/>
      <c r="N503" s="9"/>
      <c r="O503" s="9"/>
      <c r="Q503" s="9"/>
      <c r="R503" s="9"/>
      <c r="S503" s="9"/>
    </row>
    <row r="504">
      <c r="A504" s="9"/>
      <c r="D504" s="9"/>
      <c r="E504" s="13"/>
      <c r="H504" s="9"/>
      <c r="I504" s="9"/>
      <c r="J504" s="9"/>
      <c r="K504" s="9"/>
      <c r="M504" s="9"/>
      <c r="N504" s="9"/>
      <c r="O504" s="9"/>
      <c r="Q504" s="9"/>
      <c r="R504" s="9"/>
      <c r="S504" s="9"/>
    </row>
    <row r="505">
      <c r="A505" s="9"/>
      <c r="D505" s="9"/>
      <c r="E505" s="13"/>
      <c r="H505" s="9"/>
      <c r="I505" s="9"/>
      <c r="J505" s="9"/>
      <c r="K505" s="9"/>
      <c r="M505" s="9"/>
      <c r="N505" s="9"/>
      <c r="O505" s="9"/>
      <c r="Q505" s="9"/>
      <c r="R505" s="9"/>
      <c r="S505" s="9"/>
    </row>
    <row r="506">
      <c r="A506" s="9"/>
      <c r="D506" s="9"/>
      <c r="E506" s="13"/>
      <c r="H506" s="9"/>
      <c r="I506" s="9"/>
      <c r="J506" s="9"/>
      <c r="K506" s="9"/>
      <c r="M506" s="9"/>
      <c r="N506" s="9"/>
      <c r="O506" s="9"/>
      <c r="Q506" s="9"/>
      <c r="R506" s="9"/>
      <c r="S506" s="9"/>
    </row>
    <row r="507">
      <c r="A507" s="9"/>
      <c r="D507" s="9"/>
      <c r="E507" s="13"/>
      <c r="H507" s="9"/>
      <c r="I507" s="9"/>
      <c r="J507" s="9"/>
      <c r="K507" s="9"/>
      <c r="M507" s="9"/>
      <c r="N507" s="9"/>
      <c r="O507" s="9"/>
      <c r="Q507" s="9"/>
      <c r="R507" s="9"/>
      <c r="S507" s="9"/>
    </row>
    <row r="508">
      <c r="A508" s="9"/>
      <c r="D508" s="9"/>
      <c r="E508" s="13"/>
      <c r="H508" s="9"/>
      <c r="I508" s="9"/>
      <c r="J508" s="9"/>
      <c r="K508" s="9"/>
      <c r="M508" s="9"/>
      <c r="N508" s="9"/>
      <c r="O508" s="9"/>
      <c r="Q508" s="9"/>
      <c r="R508" s="9"/>
      <c r="S508" s="9"/>
    </row>
    <row r="509">
      <c r="A509" s="9"/>
      <c r="D509" s="9"/>
      <c r="E509" s="13"/>
      <c r="H509" s="9"/>
      <c r="I509" s="9"/>
      <c r="J509" s="9"/>
      <c r="K509" s="9"/>
      <c r="M509" s="9"/>
      <c r="N509" s="9"/>
      <c r="O509" s="9"/>
      <c r="Q509" s="9"/>
      <c r="R509" s="9"/>
      <c r="S509" s="9"/>
    </row>
    <row r="510">
      <c r="A510" s="9"/>
      <c r="D510" s="9"/>
      <c r="E510" s="13"/>
      <c r="H510" s="9"/>
      <c r="I510" s="9"/>
      <c r="J510" s="9"/>
      <c r="K510" s="9"/>
      <c r="M510" s="9"/>
      <c r="N510" s="9"/>
      <c r="O510" s="9"/>
      <c r="Q510" s="9"/>
      <c r="R510" s="9"/>
      <c r="S510" s="9"/>
    </row>
    <row r="511">
      <c r="A511" s="9"/>
      <c r="D511" s="9"/>
      <c r="E511" s="13"/>
      <c r="H511" s="9"/>
      <c r="I511" s="9"/>
      <c r="J511" s="9"/>
      <c r="K511" s="9"/>
      <c r="M511" s="9"/>
      <c r="N511" s="9"/>
      <c r="O511" s="9"/>
      <c r="Q511" s="9"/>
      <c r="R511" s="9"/>
      <c r="S511" s="9"/>
    </row>
    <row r="512">
      <c r="A512" s="9"/>
      <c r="D512" s="9"/>
      <c r="E512" s="13"/>
      <c r="H512" s="9"/>
      <c r="I512" s="9"/>
      <c r="J512" s="9"/>
      <c r="K512" s="9"/>
      <c r="M512" s="9"/>
      <c r="N512" s="9"/>
      <c r="O512" s="9"/>
      <c r="Q512" s="9"/>
      <c r="R512" s="9"/>
      <c r="S512" s="9"/>
    </row>
    <row r="513">
      <c r="A513" s="9"/>
      <c r="D513" s="9"/>
      <c r="E513" s="13"/>
      <c r="H513" s="9"/>
      <c r="I513" s="9"/>
      <c r="J513" s="9"/>
      <c r="K513" s="9"/>
      <c r="M513" s="9"/>
      <c r="N513" s="9"/>
      <c r="O513" s="9"/>
      <c r="Q513" s="9"/>
      <c r="R513" s="9"/>
      <c r="S513" s="9"/>
    </row>
    <row r="514">
      <c r="A514" s="9"/>
      <c r="D514" s="9"/>
      <c r="E514" s="13"/>
      <c r="H514" s="9"/>
      <c r="I514" s="9"/>
      <c r="J514" s="9"/>
      <c r="K514" s="9"/>
      <c r="M514" s="9"/>
      <c r="N514" s="9"/>
      <c r="O514" s="9"/>
      <c r="Q514" s="9"/>
      <c r="R514" s="9"/>
      <c r="S514" s="9"/>
    </row>
    <row r="515">
      <c r="A515" s="9"/>
      <c r="D515" s="9"/>
      <c r="E515" s="13"/>
      <c r="H515" s="9"/>
      <c r="I515" s="9"/>
      <c r="J515" s="9"/>
      <c r="K515" s="9"/>
      <c r="M515" s="9"/>
      <c r="N515" s="9"/>
      <c r="O515" s="9"/>
      <c r="Q515" s="9"/>
      <c r="R515" s="9"/>
      <c r="S515" s="9"/>
    </row>
    <row r="516">
      <c r="A516" s="9"/>
      <c r="D516" s="9"/>
      <c r="E516" s="13"/>
      <c r="H516" s="9"/>
      <c r="I516" s="9"/>
      <c r="J516" s="9"/>
      <c r="K516" s="9"/>
      <c r="M516" s="9"/>
      <c r="N516" s="9"/>
      <c r="O516" s="9"/>
      <c r="Q516" s="9"/>
      <c r="R516" s="9"/>
      <c r="S516" s="9"/>
    </row>
    <row r="517">
      <c r="A517" s="9"/>
      <c r="D517" s="9"/>
      <c r="E517" s="13"/>
      <c r="H517" s="9"/>
      <c r="I517" s="9"/>
      <c r="J517" s="9"/>
      <c r="K517" s="9"/>
      <c r="M517" s="9"/>
      <c r="N517" s="9"/>
      <c r="O517" s="9"/>
      <c r="Q517" s="9"/>
      <c r="R517" s="9"/>
      <c r="S517" s="9"/>
    </row>
    <row r="518">
      <c r="A518" s="9"/>
      <c r="D518" s="9"/>
      <c r="E518" s="13"/>
      <c r="H518" s="9"/>
      <c r="I518" s="9"/>
      <c r="J518" s="9"/>
      <c r="K518" s="9"/>
      <c r="M518" s="9"/>
      <c r="N518" s="9"/>
      <c r="O518" s="9"/>
      <c r="Q518" s="9"/>
      <c r="R518" s="9"/>
      <c r="S518" s="9"/>
    </row>
    <row r="519">
      <c r="A519" s="9"/>
      <c r="D519" s="9"/>
      <c r="E519" s="13"/>
      <c r="H519" s="9"/>
      <c r="I519" s="9"/>
      <c r="J519" s="9"/>
      <c r="K519" s="9"/>
      <c r="M519" s="9"/>
      <c r="N519" s="9"/>
      <c r="O519" s="9"/>
      <c r="Q519" s="9"/>
      <c r="R519" s="9"/>
      <c r="S519" s="9"/>
    </row>
    <row r="520">
      <c r="A520" s="9"/>
      <c r="D520" s="9"/>
      <c r="E520" s="13"/>
      <c r="H520" s="9"/>
      <c r="I520" s="9"/>
      <c r="J520" s="9"/>
      <c r="K520" s="9"/>
      <c r="M520" s="9"/>
      <c r="N520" s="9"/>
      <c r="O520" s="9"/>
      <c r="Q520" s="9"/>
      <c r="R520" s="9"/>
      <c r="S520" s="9"/>
    </row>
    <row r="521">
      <c r="A521" s="9"/>
      <c r="D521" s="9"/>
      <c r="E521" s="13"/>
      <c r="H521" s="9"/>
      <c r="I521" s="9"/>
      <c r="J521" s="9"/>
      <c r="K521" s="9"/>
      <c r="M521" s="9"/>
      <c r="N521" s="9"/>
      <c r="O521" s="9"/>
      <c r="Q521" s="9"/>
      <c r="R521" s="9"/>
      <c r="S521" s="9"/>
    </row>
    <row r="522">
      <c r="A522" s="9"/>
      <c r="D522" s="9"/>
      <c r="E522" s="13"/>
      <c r="H522" s="9"/>
      <c r="I522" s="9"/>
      <c r="J522" s="9"/>
      <c r="K522" s="9"/>
      <c r="M522" s="9"/>
      <c r="N522" s="9"/>
      <c r="O522" s="9"/>
      <c r="Q522" s="9"/>
      <c r="R522" s="9"/>
      <c r="S522" s="9"/>
    </row>
    <row r="523">
      <c r="A523" s="9"/>
      <c r="D523" s="9"/>
      <c r="E523" s="13"/>
      <c r="H523" s="9"/>
      <c r="I523" s="9"/>
      <c r="J523" s="9"/>
      <c r="K523" s="9"/>
      <c r="M523" s="9"/>
      <c r="N523" s="9"/>
      <c r="O523" s="9"/>
      <c r="Q523" s="9"/>
      <c r="R523" s="9"/>
      <c r="S523" s="9"/>
    </row>
    <row r="524">
      <c r="A524" s="9"/>
      <c r="D524" s="9"/>
      <c r="E524" s="13"/>
      <c r="H524" s="9"/>
      <c r="I524" s="9"/>
      <c r="J524" s="9"/>
      <c r="K524" s="9"/>
      <c r="M524" s="9"/>
      <c r="N524" s="9"/>
      <c r="O524" s="9"/>
      <c r="Q524" s="9"/>
      <c r="R524" s="9"/>
      <c r="S524" s="9"/>
    </row>
    <row r="525">
      <c r="A525" s="9"/>
      <c r="D525" s="9"/>
      <c r="E525" s="13"/>
      <c r="H525" s="9"/>
      <c r="I525" s="9"/>
      <c r="J525" s="9"/>
      <c r="K525" s="9"/>
      <c r="M525" s="9"/>
      <c r="N525" s="9"/>
      <c r="O525" s="9"/>
      <c r="Q525" s="9"/>
      <c r="R525" s="9"/>
      <c r="S525" s="9"/>
    </row>
    <row r="526">
      <c r="A526" s="9"/>
      <c r="D526" s="9"/>
      <c r="E526" s="13"/>
      <c r="H526" s="9"/>
      <c r="I526" s="9"/>
      <c r="J526" s="9"/>
      <c r="K526" s="9"/>
      <c r="M526" s="9"/>
      <c r="N526" s="9"/>
      <c r="O526" s="9"/>
      <c r="Q526" s="9"/>
      <c r="R526" s="9"/>
      <c r="S526" s="9"/>
    </row>
    <row r="527">
      <c r="A527" s="9"/>
      <c r="D527" s="9"/>
      <c r="E527" s="13"/>
      <c r="H527" s="9"/>
      <c r="I527" s="9"/>
      <c r="J527" s="9"/>
      <c r="K527" s="9"/>
      <c r="M527" s="9"/>
      <c r="N527" s="9"/>
      <c r="O527" s="9"/>
      <c r="Q527" s="9"/>
      <c r="R527" s="9"/>
      <c r="S527" s="9"/>
    </row>
    <row r="528">
      <c r="A528" s="9"/>
      <c r="D528" s="9"/>
      <c r="E528" s="13"/>
      <c r="H528" s="9"/>
      <c r="I528" s="9"/>
      <c r="J528" s="9"/>
      <c r="K528" s="9"/>
      <c r="M528" s="9"/>
      <c r="N528" s="9"/>
      <c r="O528" s="9"/>
      <c r="Q528" s="9"/>
      <c r="R528" s="9"/>
      <c r="S528" s="9"/>
    </row>
    <row r="529">
      <c r="A529" s="9"/>
      <c r="D529" s="9"/>
      <c r="E529" s="13"/>
      <c r="H529" s="9"/>
      <c r="I529" s="9"/>
      <c r="J529" s="9"/>
      <c r="K529" s="9"/>
      <c r="M529" s="9"/>
      <c r="N529" s="9"/>
      <c r="O529" s="9"/>
      <c r="Q529" s="9"/>
      <c r="R529" s="9"/>
      <c r="S529" s="9"/>
    </row>
    <row r="530">
      <c r="A530" s="9"/>
      <c r="D530" s="9"/>
      <c r="E530" s="13"/>
      <c r="H530" s="9"/>
      <c r="I530" s="9"/>
      <c r="J530" s="9"/>
      <c r="K530" s="9"/>
      <c r="M530" s="9"/>
      <c r="N530" s="9"/>
      <c r="O530" s="9"/>
      <c r="Q530" s="9"/>
      <c r="R530" s="9"/>
      <c r="S530" s="9"/>
    </row>
    <row r="531">
      <c r="A531" s="9"/>
      <c r="D531" s="9"/>
      <c r="E531" s="13"/>
      <c r="H531" s="9"/>
      <c r="I531" s="9"/>
      <c r="J531" s="9"/>
      <c r="K531" s="9"/>
      <c r="M531" s="9"/>
      <c r="N531" s="9"/>
      <c r="O531" s="9"/>
      <c r="Q531" s="9"/>
      <c r="R531" s="9"/>
      <c r="S531" s="9"/>
    </row>
    <row r="532">
      <c r="A532" s="9"/>
      <c r="D532" s="9"/>
      <c r="E532" s="13"/>
      <c r="H532" s="9"/>
      <c r="I532" s="9"/>
      <c r="J532" s="9"/>
      <c r="K532" s="9"/>
      <c r="M532" s="9"/>
      <c r="N532" s="9"/>
      <c r="O532" s="9"/>
      <c r="Q532" s="9"/>
      <c r="R532" s="9"/>
      <c r="S532" s="9"/>
    </row>
    <row r="533">
      <c r="A533" s="9"/>
      <c r="D533" s="9"/>
      <c r="E533" s="13"/>
      <c r="H533" s="9"/>
      <c r="I533" s="9"/>
      <c r="J533" s="9"/>
      <c r="K533" s="9"/>
      <c r="M533" s="9"/>
      <c r="N533" s="9"/>
      <c r="O533" s="9"/>
      <c r="Q533" s="9"/>
      <c r="R533" s="9"/>
      <c r="S533" s="9"/>
    </row>
    <row r="534">
      <c r="A534" s="9"/>
      <c r="D534" s="9"/>
      <c r="E534" s="13"/>
      <c r="H534" s="9"/>
      <c r="I534" s="9"/>
      <c r="J534" s="9"/>
      <c r="K534" s="9"/>
      <c r="M534" s="9"/>
      <c r="N534" s="9"/>
      <c r="O534" s="9"/>
      <c r="Q534" s="9"/>
      <c r="R534" s="9"/>
      <c r="S534" s="9"/>
    </row>
    <row r="535">
      <c r="A535" s="9"/>
      <c r="D535" s="9"/>
      <c r="E535" s="13"/>
      <c r="H535" s="9"/>
      <c r="I535" s="9"/>
      <c r="J535" s="9"/>
      <c r="K535" s="9"/>
      <c r="M535" s="9"/>
      <c r="N535" s="9"/>
      <c r="O535" s="9"/>
      <c r="Q535" s="9"/>
      <c r="R535" s="9"/>
      <c r="S535" s="9"/>
    </row>
    <row r="536">
      <c r="A536" s="9"/>
      <c r="D536" s="9"/>
      <c r="E536" s="13"/>
      <c r="H536" s="9"/>
      <c r="I536" s="9"/>
      <c r="J536" s="9"/>
      <c r="K536" s="9"/>
      <c r="M536" s="9"/>
      <c r="N536" s="9"/>
      <c r="O536" s="9"/>
      <c r="Q536" s="9"/>
      <c r="R536" s="9"/>
      <c r="S536" s="9"/>
    </row>
    <row r="537">
      <c r="A537" s="9"/>
      <c r="D537" s="9"/>
      <c r="E537" s="13"/>
      <c r="H537" s="9"/>
      <c r="I537" s="9"/>
      <c r="J537" s="9"/>
      <c r="K537" s="9"/>
      <c r="M537" s="9"/>
      <c r="N537" s="9"/>
      <c r="O537" s="9"/>
      <c r="Q537" s="9"/>
      <c r="R537" s="9"/>
      <c r="S537" s="9"/>
    </row>
    <row r="538">
      <c r="A538" s="9"/>
      <c r="D538" s="9"/>
      <c r="E538" s="13"/>
      <c r="H538" s="9"/>
      <c r="I538" s="9"/>
      <c r="J538" s="9"/>
      <c r="K538" s="9"/>
      <c r="M538" s="9"/>
      <c r="N538" s="9"/>
      <c r="O538" s="9"/>
      <c r="Q538" s="9"/>
      <c r="R538" s="9"/>
      <c r="S538" s="9"/>
    </row>
    <row r="539">
      <c r="A539" s="9"/>
      <c r="D539" s="9"/>
      <c r="E539" s="13"/>
      <c r="H539" s="9"/>
      <c r="I539" s="9"/>
      <c r="J539" s="9"/>
      <c r="K539" s="9"/>
      <c r="M539" s="9"/>
      <c r="N539" s="9"/>
      <c r="O539" s="9"/>
      <c r="Q539" s="9"/>
      <c r="R539" s="9"/>
      <c r="S539" s="9"/>
    </row>
    <row r="540">
      <c r="A540" s="9"/>
      <c r="D540" s="9"/>
      <c r="E540" s="13"/>
      <c r="H540" s="9"/>
      <c r="I540" s="9"/>
      <c r="J540" s="9"/>
      <c r="K540" s="9"/>
      <c r="M540" s="9"/>
      <c r="N540" s="9"/>
      <c r="O540" s="9"/>
      <c r="Q540" s="9"/>
      <c r="R540" s="9"/>
      <c r="S540" s="9"/>
    </row>
    <row r="541">
      <c r="A541" s="9"/>
      <c r="D541" s="9"/>
      <c r="E541" s="13"/>
      <c r="H541" s="9"/>
      <c r="I541" s="9"/>
      <c r="J541" s="9"/>
      <c r="K541" s="9"/>
      <c r="M541" s="9"/>
      <c r="N541" s="9"/>
      <c r="O541" s="9"/>
      <c r="Q541" s="9"/>
      <c r="R541" s="9"/>
      <c r="S541" s="9"/>
    </row>
    <row r="542">
      <c r="A542" s="9"/>
      <c r="D542" s="9"/>
      <c r="E542" s="13"/>
      <c r="H542" s="9"/>
      <c r="I542" s="9"/>
      <c r="J542" s="9"/>
      <c r="K542" s="9"/>
      <c r="M542" s="9"/>
      <c r="N542" s="9"/>
      <c r="O542" s="9"/>
      <c r="Q542" s="9"/>
      <c r="R542" s="9"/>
      <c r="S542" s="9"/>
    </row>
    <row r="543">
      <c r="A543" s="9"/>
      <c r="D543" s="9"/>
      <c r="E543" s="13"/>
      <c r="H543" s="9"/>
      <c r="I543" s="9"/>
      <c r="J543" s="9"/>
      <c r="K543" s="9"/>
      <c r="M543" s="9"/>
      <c r="N543" s="9"/>
      <c r="O543" s="9"/>
      <c r="Q543" s="9"/>
      <c r="R543" s="9"/>
      <c r="S543" s="9"/>
    </row>
    <row r="544">
      <c r="A544" s="9"/>
      <c r="D544" s="9"/>
      <c r="E544" s="13"/>
      <c r="H544" s="9"/>
      <c r="I544" s="9"/>
      <c r="J544" s="9"/>
      <c r="K544" s="9"/>
      <c r="M544" s="9"/>
      <c r="N544" s="9"/>
      <c r="O544" s="9"/>
      <c r="Q544" s="9"/>
      <c r="R544" s="9"/>
      <c r="S544" s="9"/>
    </row>
    <row r="545">
      <c r="A545" s="9"/>
      <c r="D545" s="9"/>
      <c r="E545" s="13"/>
      <c r="H545" s="9"/>
      <c r="I545" s="9"/>
      <c r="J545" s="9"/>
      <c r="K545" s="9"/>
      <c r="M545" s="9"/>
      <c r="N545" s="9"/>
      <c r="O545" s="9"/>
      <c r="Q545" s="9"/>
      <c r="R545" s="9"/>
      <c r="S545" s="9"/>
    </row>
    <row r="546">
      <c r="A546" s="9"/>
      <c r="D546" s="9"/>
      <c r="E546" s="13"/>
      <c r="H546" s="9"/>
      <c r="I546" s="9"/>
      <c r="J546" s="9"/>
      <c r="K546" s="9"/>
      <c r="M546" s="9"/>
      <c r="N546" s="9"/>
      <c r="O546" s="9"/>
      <c r="Q546" s="9"/>
      <c r="R546" s="9"/>
      <c r="S546" s="9"/>
    </row>
    <row r="547">
      <c r="A547" s="9"/>
      <c r="D547" s="9"/>
      <c r="E547" s="13"/>
      <c r="H547" s="9"/>
      <c r="I547" s="9"/>
      <c r="J547" s="9"/>
      <c r="K547" s="9"/>
      <c r="M547" s="9"/>
      <c r="N547" s="9"/>
      <c r="O547" s="9"/>
      <c r="Q547" s="9"/>
      <c r="R547" s="9"/>
      <c r="S547" s="9"/>
    </row>
    <row r="548">
      <c r="A548" s="9"/>
      <c r="D548" s="9"/>
      <c r="E548" s="13"/>
      <c r="H548" s="9"/>
      <c r="I548" s="9"/>
      <c r="J548" s="9"/>
      <c r="K548" s="9"/>
      <c r="M548" s="9"/>
      <c r="N548" s="9"/>
      <c r="O548" s="9"/>
      <c r="Q548" s="9"/>
      <c r="R548" s="9"/>
      <c r="S548" s="9"/>
    </row>
    <row r="549">
      <c r="A549" s="9"/>
      <c r="D549" s="9"/>
      <c r="E549" s="13"/>
      <c r="H549" s="9"/>
      <c r="I549" s="9"/>
      <c r="J549" s="9"/>
      <c r="K549" s="9"/>
      <c r="M549" s="9"/>
      <c r="N549" s="9"/>
      <c r="O549" s="9"/>
      <c r="Q549" s="9"/>
      <c r="R549" s="9"/>
      <c r="S549" s="9"/>
    </row>
    <row r="550">
      <c r="A550" s="9"/>
      <c r="D550" s="9"/>
      <c r="E550" s="13"/>
      <c r="H550" s="9"/>
      <c r="I550" s="9"/>
      <c r="J550" s="9"/>
      <c r="K550" s="9"/>
      <c r="M550" s="9"/>
      <c r="N550" s="9"/>
      <c r="O550" s="9"/>
      <c r="Q550" s="9"/>
      <c r="R550" s="9"/>
      <c r="S550" s="9"/>
    </row>
    <row r="551">
      <c r="A551" s="9"/>
      <c r="D551" s="9"/>
      <c r="E551" s="13"/>
      <c r="H551" s="9"/>
      <c r="I551" s="9"/>
      <c r="J551" s="9"/>
      <c r="K551" s="9"/>
      <c r="M551" s="9"/>
      <c r="N551" s="9"/>
      <c r="O551" s="9"/>
      <c r="Q551" s="9"/>
      <c r="R551" s="9"/>
      <c r="S551" s="9"/>
    </row>
    <row r="552">
      <c r="A552" s="9"/>
      <c r="D552" s="9"/>
      <c r="E552" s="13"/>
      <c r="H552" s="9"/>
      <c r="I552" s="9"/>
      <c r="J552" s="9"/>
      <c r="K552" s="9"/>
      <c r="M552" s="9"/>
      <c r="N552" s="9"/>
      <c r="O552" s="9"/>
      <c r="Q552" s="9"/>
      <c r="R552" s="9"/>
      <c r="S552" s="9"/>
    </row>
    <row r="553">
      <c r="A553" s="9"/>
      <c r="D553" s="9"/>
      <c r="E553" s="13"/>
      <c r="H553" s="9"/>
      <c r="I553" s="9"/>
      <c r="J553" s="9"/>
      <c r="K553" s="9"/>
      <c r="M553" s="9"/>
      <c r="N553" s="9"/>
      <c r="O553" s="9"/>
      <c r="Q553" s="9"/>
      <c r="R553" s="9"/>
      <c r="S553" s="9"/>
    </row>
    <row r="554">
      <c r="A554" s="9"/>
      <c r="D554" s="9"/>
      <c r="E554" s="13"/>
      <c r="H554" s="9"/>
      <c r="I554" s="9"/>
      <c r="J554" s="9"/>
      <c r="K554" s="9"/>
      <c r="M554" s="9"/>
      <c r="N554" s="9"/>
      <c r="O554" s="9"/>
      <c r="Q554" s="9"/>
      <c r="R554" s="9"/>
      <c r="S554" s="9"/>
    </row>
    <row r="555">
      <c r="A555" s="9"/>
      <c r="D555" s="9"/>
      <c r="E555" s="13"/>
      <c r="H555" s="9"/>
      <c r="I555" s="9"/>
      <c r="J555" s="9"/>
      <c r="K555" s="9"/>
      <c r="M555" s="9"/>
      <c r="N555" s="9"/>
      <c r="O555" s="9"/>
      <c r="Q555" s="9"/>
      <c r="R555" s="9"/>
      <c r="S555" s="9"/>
    </row>
    <row r="556">
      <c r="A556" s="9"/>
      <c r="D556" s="9"/>
      <c r="E556" s="13"/>
      <c r="H556" s="9"/>
      <c r="I556" s="9"/>
      <c r="J556" s="9"/>
      <c r="K556" s="9"/>
      <c r="M556" s="9"/>
      <c r="N556" s="9"/>
      <c r="O556" s="9"/>
      <c r="Q556" s="9"/>
      <c r="R556" s="9"/>
      <c r="S556" s="9"/>
    </row>
    <row r="557">
      <c r="A557" s="9"/>
      <c r="D557" s="9"/>
      <c r="E557" s="13"/>
      <c r="H557" s="9"/>
      <c r="I557" s="9"/>
      <c r="J557" s="9"/>
      <c r="K557" s="9"/>
      <c r="M557" s="9"/>
      <c r="N557" s="9"/>
      <c r="O557" s="9"/>
      <c r="Q557" s="9"/>
      <c r="R557" s="9"/>
      <c r="S557" s="9"/>
    </row>
    <row r="558">
      <c r="A558" s="9"/>
      <c r="D558" s="9"/>
      <c r="E558" s="13"/>
      <c r="H558" s="9"/>
      <c r="I558" s="9"/>
      <c r="J558" s="9"/>
      <c r="K558" s="9"/>
      <c r="M558" s="9"/>
      <c r="N558" s="9"/>
      <c r="O558" s="9"/>
      <c r="Q558" s="9"/>
      <c r="R558" s="9"/>
      <c r="S558" s="9"/>
    </row>
    <row r="559">
      <c r="A559" s="9"/>
      <c r="D559" s="9"/>
      <c r="E559" s="13"/>
      <c r="H559" s="9"/>
      <c r="I559" s="9"/>
      <c r="J559" s="9"/>
      <c r="K559" s="9"/>
      <c r="M559" s="9"/>
      <c r="N559" s="9"/>
      <c r="O559" s="9"/>
      <c r="Q559" s="9"/>
      <c r="R559" s="9"/>
      <c r="S559" s="9"/>
    </row>
    <row r="560">
      <c r="A560" s="9"/>
      <c r="D560" s="9"/>
      <c r="E560" s="13"/>
      <c r="H560" s="9"/>
      <c r="I560" s="9"/>
      <c r="J560" s="9"/>
      <c r="K560" s="9"/>
      <c r="M560" s="9"/>
      <c r="N560" s="9"/>
      <c r="O560" s="9"/>
      <c r="Q560" s="9"/>
      <c r="R560" s="9"/>
      <c r="S560" s="9"/>
    </row>
    <row r="561">
      <c r="A561" s="9"/>
      <c r="D561" s="9"/>
      <c r="E561" s="13"/>
      <c r="H561" s="9"/>
      <c r="I561" s="9"/>
      <c r="J561" s="9"/>
      <c r="K561" s="9"/>
      <c r="M561" s="9"/>
      <c r="N561" s="9"/>
      <c r="O561" s="9"/>
      <c r="Q561" s="9"/>
      <c r="R561" s="9"/>
      <c r="S561" s="9"/>
    </row>
    <row r="562">
      <c r="A562" s="9"/>
      <c r="D562" s="9"/>
      <c r="E562" s="13"/>
      <c r="H562" s="9"/>
      <c r="I562" s="9"/>
      <c r="J562" s="9"/>
      <c r="K562" s="9"/>
      <c r="M562" s="9"/>
      <c r="N562" s="9"/>
      <c r="O562" s="9"/>
      <c r="Q562" s="9"/>
      <c r="R562" s="9"/>
      <c r="S562" s="9"/>
    </row>
    <row r="563">
      <c r="A563" s="9"/>
      <c r="D563" s="9"/>
      <c r="E563" s="13"/>
      <c r="H563" s="9"/>
      <c r="I563" s="9"/>
      <c r="J563" s="9"/>
      <c r="K563" s="9"/>
      <c r="M563" s="9"/>
      <c r="N563" s="9"/>
      <c r="O563" s="9"/>
      <c r="Q563" s="9"/>
      <c r="R563" s="9"/>
      <c r="S563" s="9"/>
    </row>
    <row r="564">
      <c r="A564" s="9"/>
      <c r="D564" s="9"/>
      <c r="E564" s="13"/>
      <c r="H564" s="9"/>
      <c r="I564" s="9"/>
      <c r="J564" s="9"/>
      <c r="K564" s="9"/>
      <c r="M564" s="9"/>
      <c r="N564" s="9"/>
      <c r="O564" s="9"/>
      <c r="Q564" s="9"/>
      <c r="R564" s="9"/>
      <c r="S564" s="9"/>
    </row>
    <row r="565">
      <c r="A565" s="9"/>
      <c r="D565" s="9"/>
      <c r="E565" s="13"/>
      <c r="H565" s="9"/>
      <c r="I565" s="9"/>
      <c r="J565" s="9"/>
      <c r="K565" s="9"/>
      <c r="M565" s="9"/>
      <c r="N565" s="9"/>
      <c r="O565" s="9"/>
      <c r="Q565" s="9"/>
      <c r="R565" s="9"/>
      <c r="S565" s="9"/>
    </row>
    <row r="566">
      <c r="A566" s="9"/>
      <c r="D566" s="9"/>
      <c r="E566" s="13"/>
      <c r="H566" s="9"/>
      <c r="I566" s="9"/>
      <c r="J566" s="9"/>
      <c r="K566" s="9"/>
      <c r="M566" s="9"/>
      <c r="N566" s="9"/>
      <c r="O566" s="9"/>
      <c r="Q566" s="9"/>
      <c r="R566" s="9"/>
      <c r="S566" s="9"/>
    </row>
    <row r="567">
      <c r="A567" s="9"/>
      <c r="D567" s="9"/>
      <c r="E567" s="13"/>
      <c r="H567" s="9"/>
      <c r="I567" s="9"/>
      <c r="J567" s="9"/>
      <c r="K567" s="9"/>
      <c r="M567" s="9"/>
      <c r="N567" s="9"/>
      <c r="O567" s="9"/>
      <c r="Q567" s="9"/>
      <c r="R567" s="9"/>
      <c r="S567" s="9"/>
    </row>
    <row r="568">
      <c r="A568" s="9"/>
      <c r="D568" s="9"/>
      <c r="E568" s="13"/>
      <c r="H568" s="9"/>
      <c r="I568" s="9"/>
      <c r="J568" s="9"/>
      <c r="K568" s="9"/>
      <c r="M568" s="9"/>
      <c r="N568" s="9"/>
      <c r="O568" s="9"/>
      <c r="Q568" s="9"/>
      <c r="R568" s="9"/>
      <c r="S568" s="9"/>
    </row>
    <row r="569">
      <c r="A569" s="9"/>
      <c r="D569" s="9"/>
      <c r="E569" s="13"/>
      <c r="H569" s="9"/>
      <c r="I569" s="9"/>
      <c r="J569" s="9"/>
      <c r="K569" s="9"/>
      <c r="M569" s="9"/>
      <c r="N569" s="9"/>
      <c r="O569" s="9"/>
      <c r="Q569" s="9"/>
      <c r="R569" s="9"/>
      <c r="S569" s="9"/>
    </row>
    <row r="570">
      <c r="A570" s="9"/>
      <c r="D570" s="9"/>
      <c r="E570" s="13"/>
      <c r="H570" s="9"/>
      <c r="I570" s="9"/>
      <c r="J570" s="9"/>
      <c r="K570" s="9"/>
      <c r="M570" s="9"/>
      <c r="N570" s="9"/>
      <c r="O570" s="9"/>
      <c r="Q570" s="9"/>
      <c r="R570" s="9"/>
      <c r="S570" s="9"/>
    </row>
    <row r="571">
      <c r="A571" s="9"/>
      <c r="D571" s="9"/>
      <c r="E571" s="13"/>
      <c r="H571" s="9"/>
      <c r="I571" s="9"/>
      <c r="J571" s="9"/>
      <c r="K571" s="9"/>
      <c r="M571" s="9"/>
      <c r="N571" s="9"/>
      <c r="O571" s="9"/>
      <c r="Q571" s="9"/>
      <c r="R571" s="9"/>
      <c r="S571" s="9"/>
    </row>
    <row r="572">
      <c r="A572" s="9"/>
      <c r="D572" s="9"/>
      <c r="E572" s="13"/>
      <c r="H572" s="9"/>
      <c r="I572" s="9"/>
      <c r="J572" s="9"/>
      <c r="K572" s="9"/>
      <c r="M572" s="9"/>
      <c r="N572" s="9"/>
      <c r="O572" s="9"/>
      <c r="Q572" s="9"/>
      <c r="R572" s="9"/>
      <c r="S572" s="9"/>
    </row>
    <row r="573">
      <c r="A573" s="9"/>
      <c r="D573" s="9"/>
      <c r="E573" s="13"/>
      <c r="H573" s="9"/>
      <c r="I573" s="9"/>
      <c r="J573" s="9"/>
      <c r="K573" s="9"/>
      <c r="M573" s="9"/>
      <c r="N573" s="9"/>
      <c r="O573" s="9"/>
      <c r="Q573" s="9"/>
      <c r="R573" s="9"/>
      <c r="S573" s="9"/>
    </row>
    <row r="574">
      <c r="A574" s="9"/>
      <c r="D574" s="9"/>
      <c r="E574" s="13"/>
      <c r="H574" s="9"/>
      <c r="I574" s="9"/>
      <c r="J574" s="9"/>
      <c r="K574" s="9"/>
      <c r="M574" s="9"/>
      <c r="N574" s="9"/>
      <c r="O574" s="9"/>
      <c r="Q574" s="9"/>
      <c r="R574" s="9"/>
      <c r="S574" s="9"/>
    </row>
    <row r="575">
      <c r="A575" s="9"/>
      <c r="D575" s="9"/>
      <c r="E575" s="13"/>
      <c r="H575" s="9"/>
      <c r="I575" s="9"/>
      <c r="J575" s="9"/>
      <c r="K575" s="9"/>
      <c r="M575" s="9"/>
      <c r="N575" s="9"/>
      <c r="O575" s="9"/>
      <c r="Q575" s="9"/>
      <c r="R575" s="9"/>
      <c r="S575" s="9"/>
    </row>
    <row r="576">
      <c r="A576" s="9"/>
      <c r="D576" s="9"/>
      <c r="E576" s="13"/>
      <c r="H576" s="9"/>
      <c r="I576" s="9"/>
      <c r="J576" s="9"/>
      <c r="K576" s="9"/>
      <c r="M576" s="9"/>
      <c r="N576" s="9"/>
      <c r="O576" s="9"/>
      <c r="Q576" s="9"/>
      <c r="R576" s="9"/>
      <c r="S576" s="9"/>
    </row>
    <row r="577">
      <c r="A577" s="9"/>
      <c r="D577" s="9"/>
      <c r="E577" s="13"/>
      <c r="H577" s="9"/>
      <c r="I577" s="9"/>
      <c r="J577" s="9"/>
      <c r="K577" s="9"/>
      <c r="M577" s="9"/>
      <c r="N577" s="9"/>
      <c r="O577" s="9"/>
      <c r="Q577" s="9"/>
      <c r="R577" s="9"/>
      <c r="S577" s="9"/>
    </row>
    <row r="578">
      <c r="A578" s="9"/>
      <c r="D578" s="9"/>
      <c r="E578" s="13"/>
      <c r="H578" s="9"/>
      <c r="I578" s="9"/>
      <c r="J578" s="9"/>
      <c r="K578" s="9"/>
      <c r="M578" s="9"/>
      <c r="N578" s="9"/>
      <c r="O578" s="9"/>
      <c r="Q578" s="9"/>
      <c r="R578" s="9"/>
      <c r="S578" s="9"/>
    </row>
    <row r="579">
      <c r="A579" s="9"/>
      <c r="D579" s="9"/>
      <c r="E579" s="13"/>
      <c r="H579" s="9"/>
      <c r="I579" s="9"/>
      <c r="J579" s="9"/>
      <c r="K579" s="9"/>
      <c r="M579" s="9"/>
      <c r="N579" s="9"/>
      <c r="O579" s="9"/>
      <c r="Q579" s="9"/>
      <c r="R579" s="9"/>
      <c r="S579" s="9"/>
    </row>
    <row r="580">
      <c r="A580" s="9"/>
      <c r="D580" s="9"/>
      <c r="E580" s="13"/>
      <c r="H580" s="9"/>
      <c r="I580" s="9"/>
      <c r="J580" s="9"/>
      <c r="K580" s="9"/>
      <c r="M580" s="9"/>
      <c r="N580" s="9"/>
      <c r="O580" s="9"/>
      <c r="Q580" s="9"/>
      <c r="R580" s="9"/>
      <c r="S580" s="9"/>
    </row>
    <row r="581">
      <c r="A581" s="9"/>
      <c r="D581" s="9"/>
      <c r="E581" s="13"/>
      <c r="H581" s="9"/>
      <c r="I581" s="9"/>
      <c r="J581" s="9"/>
      <c r="K581" s="9"/>
      <c r="M581" s="9"/>
      <c r="N581" s="9"/>
      <c r="O581" s="9"/>
      <c r="Q581" s="9"/>
      <c r="R581" s="9"/>
      <c r="S581" s="9"/>
    </row>
    <row r="582">
      <c r="A582" s="9"/>
      <c r="D582" s="9"/>
      <c r="E582" s="13"/>
      <c r="H582" s="9"/>
      <c r="I582" s="9"/>
      <c r="J582" s="9"/>
      <c r="K582" s="9"/>
      <c r="M582" s="9"/>
      <c r="N582" s="9"/>
      <c r="O582" s="9"/>
      <c r="Q582" s="9"/>
      <c r="R582" s="9"/>
      <c r="S582" s="9"/>
    </row>
    <row r="583">
      <c r="A583" s="9"/>
      <c r="D583" s="9"/>
      <c r="E583" s="13"/>
      <c r="H583" s="9"/>
      <c r="I583" s="9"/>
      <c r="J583" s="9"/>
      <c r="K583" s="9"/>
      <c r="M583" s="9"/>
      <c r="N583" s="9"/>
      <c r="O583" s="9"/>
      <c r="Q583" s="9"/>
      <c r="R583" s="9"/>
      <c r="S583" s="9"/>
    </row>
    <row r="584">
      <c r="A584" s="9"/>
      <c r="D584" s="9"/>
      <c r="E584" s="13"/>
      <c r="H584" s="9"/>
      <c r="I584" s="9"/>
      <c r="J584" s="9"/>
      <c r="K584" s="9"/>
      <c r="M584" s="9"/>
      <c r="N584" s="9"/>
      <c r="O584" s="9"/>
      <c r="Q584" s="9"/>
      <c r="R584" s="9"/>
      <c r="S584" s="9"/>
    </row>
    <row r="585">
      <c r="A585" s="9"/>
      <c r="D585" s="9"/>
      <c r="E585" s="13"/>
      <c r="H585" s="9"/>
      <c r="I585" s="9"/>
      <c r="J585" s="9"/>
      <c r="K585" s="9"/>
      <c r="M585" s="9"/>
      <c r="N585" s="9"/>
      <c r="O585" s="9"/>
      <c r="Q585" s="9"/>
      <c r="R585" s="9"/>
      <c r="S585" s="9"/>
    </row>
    <row r="586">
      <c r="A586" s="9"/>
      <c r="D586" s="9"/>
      <c r="E586" s="13"/>
      <c r="H586" s="9"/>
      <c r="I586" s="9"/>
      <c r="J586" s="9"/>
      <c r="K586" s="9"/>
      <c r="M586" s="9"/>
      <c r="N586" s="9"/>
      <c r="O586" s="9"/>
      <c r="Q586" s="9"/>
      <c r="R586" s="9"/>
      <c r="S586" s="9"/>
    </row>
    <row r="587">
      <c r="A587" s="9"/>
      <c r="D587" s="9"/>
      <c r="E587" s="13"/>
      <c r="H587" s="9"/>
      <c r="I587" s="9"/>
      <c r="J587" s="9"/>
      <c r="K587" s="9"/>
      <c r="M587" s="9"/>
      <c r="N587" s="9"/>
      <c r="O587" s="9"/>
      <c r="Q587" s="9"/>
      <c r="R587" s="9"/>
      <c r="S587" s="9"/>
    </row>
    <row r="588">
      <c r="A588" s="9"/>
      <c r="D588" s="9"/>
      <c r="E588" s="13"/>
      <c r="H588" s="9"/>
      <c r="I588" s="9"/>
      <c r="J588" s="9"/>
      <c r="K588" s="9"/>
      <c r="M588" s="9"/>
      <c r="N588" s="9"/>
      <c r="O588" s="9"/>
      <c r="Q588" s="9"/>
      <c r="R588" s="9"/>
      <c r="S588" s="9"/>
    </row>
    <row r="589">
      <c r="A589" s="9"/>
      <c r="D589" s="9"/>
      <c r="E589" s="13"/>
      <c r="H589" s="9"/>
      <c r="I589" s="9"/>
      <c r="J589" s="9"/>
      <c r="K589" s="9"/>
      <c r="M589" s="9"/>
      <c r="N589" s="9"/>
      <c r="O589" s="9"/>
      <c r="Q589" s="9"/>
      <c r="R589" s="9"/>
      <c r="S589" s="9"/>
    </row>
    <row r="590">
      <c r="A590" s="9"/>
      <c r="D590" s="9"/>
      <c r="E590" s="13"/>
      <c r="H590" s="9"/>
      <c r="I590" s="9"/>
      <c r="J590" s="9"/>
      <c r="K590" s="9"/>
      <c r="M590" s="9"/>
      <c r="N590" s="9"/>
      <c r="O590" s="9"/>
      <c r="Q590" s="9"/>
      <c r="R590" s="9"/>
      <c r="S590" s="9"/>
    </row>
    <row r="591">
      <c r="A591" s="9"/>
      <c r="D591" s="9"/>
      <c r="E591" s="13"/>
      <c r="H591" s="9"/>
      <c r="I591" s="9"/>
      <c r="J591" s="9"/>
      <c r="K591" s="9"/>
      <c r="M591" s="9"/>
      <c r="N591" s="9"/>
      <c r="O591" s="9"/>
      <c r="Q591" s="9"/>
      <c r="R591" s="9"/>
      <c r="S591" s="9"/>
    </row>
    <row r="592">
      <c r="A592" s="9"/>
      <c r="D592" s="9"/>
      <c r="E592" s="13"/>
      <c r="H592" s="9"/>
      <c r="I592" s="9"/>
      <c r="J592" s="9"/>
      <c r="K592" s="9"/>
      <c r="M592" s="9"/>
      <c r="N592" s="9"/>
      <c r="O592" s="9"/>
      <c r="Q592" s="9"/>
      <c r="R592" s="9"/>
      <c r="S592" s="9"/>
    </row>
    <row r="593">
      <c r="A593" s="9"/>
      <c r="D593" s="9"/>
      <c r="E593" s="13"/>
      <c r="H593" s="9"/>
      <c r="I593" s="9"/>
      <c r="J593" s="9"/>
      <c r="K593" s="9"/>
      <c r="M593" s="9"/>
      <c r="N593" s="9"/>
      <c r="O593" s="9"/>
      <c r="Q593" s="9"/>
      <c r="R593" s="9"/>
      <c r="S593" s="9"/>
    </row>
    <row r="594">
      <c r="A594" s="9"/>
      <c r="D594" s="9"/>
      <c r="E594" s="13"/>
      <c r="H594" s="9"/>
      <c r="I594" s="9"/>
      <c r="J594" s="9"/>
      <c r="K594" s="9"/>
      <c r="M594" s="9"/>
      <c r="N594" s="9"/>
      <c r="O594" s="9"/>
      <c r="Q594" s="9"/>
      <c r="R594" s="9"/>
      <c r="S594" s="9"/>
    </row>
    <row r="595">
      <c r="A595" s="9"/>
      <c r="D595" s="9"/>
      <c r="E595" s="13"/>
      <c r="H595" s="9"/>
      <c r="I595" s="9"/>
      <c r="J595" s="9"/>
      <c r="K595" s="9"/>
      <c r="M595" s="9"/>
      <c r="N595" s="9"/>
      <c r="O595" s="9"/>
      <c r="Q595" s="9"/>
      <c r="R595" s="9"/>
      <c r="S595" s="9"/>
    </row>
    <row r="596">
      <c r="A596" s="9"/>
      <c r="D596" s="9"/>
      <c r="E596" s="13"/>
      <c r="H596" s="9"/>
      <c r="I596" s="9"/>
      <c r="J596" s="9"/>
      <c r="K596" s="9"/>
      <c r="M596" s="9"/>
      <c r="N596" s="9"/>
      <c r="O596" s="9"/>
      <c r="Q596" s="9"/>
      <c r="R596" s="9"/>
      <c r="S596" s="9"/>
    </row>
    <row r="597">
      <c r="A597" s="9"/>
      <c r="D597" s="9"/>
      <c r="E597" s="13"/>
      <c r="H597" s="9"/>
      <c r="I597" s="9"/>
      <c r="J597" s="9"/>
      <c r="K597" s="9"/>
      <c r="M597" s="9"/>
      <c r="N597" s="9"/>
      <c r="O597" s="9"/>
      <c r="Q597" s="9"/>
      <c r="R597" s="9"/>
      <c r="S597" s="9"/>
    </row>
    <row r="598">
      <c r="A598" s="9"/>
      <c r="D598" s="9"/>
      <c r="E598" s="13"/>
      <c r="H598" s="9"/>
      <c r="I598" s="9"/>
      <c r="J598" s="9"/>
      <c r="K598" s="9"/>
      <c r="M598" s="9"/>
      <c r="N598" s="9"/>
      <c r="O598" s="9"/>
      <c r="Q598" s="9"/>
      <c r="R598" s="9"/>
      <c r="S598" s="9"/>
    </row>
    <row r="599">
      <c r="A599" s="9"/>
      <c r="D599" s="9"/>
      <c r="E599" s="13"/>
      <c r="H599" s="9"/>
      <c r="I599" s="9"/>
      <c r="J599" s="9"/>
      <c r="K599" s="9"/>
      <c r="M599" s="9"/>
      <c r="N599" s="9"/>
      <c r="O599" s="9"/>
      <c r="Q599" s="9"/>
      <c r="R599" s="9"/>
      <c r="S599" s="9"/>
    </row>
    <row r="600">
      <c r="A600" s="9"/>
      <c r="D600" s="9"/>
      <c r="E600" s="13"/>
      <c r="H600" s="9"/>
      <c r="I600" s="9"/>
      <c r="J600" s="9"/>
      <c r="K600" s="9"/>
      <c r="M600" s="9"/>
      <c r="N600" s="9"/>
      <c r="O600" s="9"/>
      <c r="Q600" s="9"/>
      <c r="R600" s="9"/>
      <c r="S600" s="9"/>
    </row>
    <row r="601">
      <c r="A601" s="9"/>
      <c r="D601" s="9"/>
      <c r="E601" s="13"/>
      <c r="H601" s="9"/>
      <c r="I601" s="9"/>
      <c r="J601" s="9"/>
      <c r="K601" s="9"/>
      <c r="M601" s="9"/>
      <c r="N601" s="9"/>
      <c r="O601" s="9"/>
      <c r="Q601" s="9"/>
      <c r="R601" s="9"/>
      <c r="S601" s="9"/>
    </row>
    <row r="602">
      <c r="A602" s="9"/>
      <c r="D602" s="9"/>
      <c r="E602" s="13"/>
      <c r="H602" s="9"/>
      <c r="I602" s="9"/>
      <c r="J602" s="9"/>
      <c r="K602" s="9"/>
      <c r="M602" s="9"/>
      <c r="N602" s="9"/>
      <c r="O602" s="9"/>
      <c r="Q602" s="9"/>
      <c r="R602" s="9"/>
      <c r="S602" s="9"/>
    </row>
    <row r="603">
      <c r="A603" s="9"/>
      <c r="D603" s="9"/>
      <c r="E603" s="13"/>
      <c r="H603" s="9"/>
      <c r="I603" s="9"/>
      <c r="J603" s="9"/>
      <c r="K603" s="9"/>
      <c r="M603" s="9"/>
      <c r="N603" s="9"/>
      <c r="O603" s="9"/>
      <c r="Q603" s="9"/>
      <c r="R603" s="9"/>
      <c r="S603" s="9"/>
    </row>
    <row r="604">
      <c r="A604" s="9"/>
      <c r="D604" s="9"/>
      <c r="E604" s="13"/>
      <c r="H604" s="9"/>
      <c r="I604" s="9"/>
      <c r="J604" s="9"/>
      <c r="K604" s="9"/>
      <c r="M604" s="9"/>
      <c r="N604" s="9"/>
      <c r="O604" s="9"/>
      <c r="Q604" s="9"/>
      <c r="R604" s="9"/>
      <c r="S604" s="9"/>
    </row>
    <row r="605">
      <c r="A605" s="9"/>
      <c r="D605" s="9"/>
      <c r="E605" s="13"/>
      <c r="H605" s="9"/>
      <c r="I605" s="9"/>
      <c r="J605" s="9"/>
      <c r="K605" s="9"/>
      <c r="M605" s="9"/>
      <c r="N605" s="9"/>
      <c r="O605" s="9"/>
      <c r="Q605" s="9"/>
      <c r="R605" s="9"/>
      <c r="S605" s="9"/>
    </row>
    <row r="606">
      <c r="A606" s="9"/>
      <c r="D606" s="9"/>
      <c r="E606" s="13"/>
      <c r="H606" s="9"/>
      <c r="I606" s="9"/>
      <c r="J606" s="9"/>
      <c r="K606" s="9"/>
      <c r="M606" s="9"/>
      <c r="N606" s="9"/>
      <c r="O606" s="9"/>
      <c r="Q606" s="9"/>
      <c r="R606" s="9"/>
      <c r="S606" s="9"/>
    </row>
    <row r="607">
      <c r="A607" s="9"/>
      <c r="D607" s="9"/>
      <c r="E607" s="13"/>
      <c r="H607" s="9"/>
      <c r="I607" s="9"/>
      <c r="J607" s="9"/>
      <c r="K607" s="9"/>
      <c r="M607" s="9"/>
      <c r="N607" s="9"/>
      <c r="O607" s="9"/>
      <c r="Q607" s="9"/>
      <c r="R607" s="9"/>
      <c r="S607" s="9"/>
    </row>
    <row r="608">
      <c r="A608" s="9"/>
      <c r="D608" s="9"/>
      <c r="E608" s="13"/>
      <c r="H608" s="9"/>
      <c r="I608" s="9"/>
      <c r="J608" s="9"/>
      <c r="K608" s="9"/>
      <c r="M608" s="9"/>
      <c r="N608" s="9"/>
      <c r="O608" s="9"/>
      <c r="Q608" s="9"/>
      <c r="R608" s="9"/>
      <c r="S608" s="9"/>
    </row>
    <row r="609">
      <c r="A609" s="9"/>
      <c r="D609" s="9"/>
      <c r="E609" s="13"/>
      <c r="H609" s="9"/>
      <c r="I609" s="9"/>
      <c r="J609" s="9"/>
      <c r="K609" s="9"/>
      <c r="M609" s="9"/>
      <c r="N609" s="9"/>
      <c r="O609" s="9"/>
      <c r="Q609" s="9"/>
      <c r="R609" s="9"/>
      <c r="S609" s="9"/>
    </row>
    <row r="610">
      <c r="A610" s="9"/>
      <c r="D610" s="9"/>
      <c r="E610" s="13"/>
      <c r="H610" s="9"/>
      <c r="I610" s="9"/>
      <c r="J610" s="9"/>
      <c r="K610" s="9"/>
      <c r="M610" s="9"/>
      <c r="N610" s="9"/>
      <c r="O610" s="9"/>
      <c r="Q610" s="9"/>
      <c r="R610" s="9"/>
      <c r="S610" s="9"/>
    </row>
    <row r="611">
      <c r="A611" s="9"/>
      <c r="D611" s="9"/>
      <c r="E611" s="13"/>
      <c r="H611" s="9"/>
      <c r="I611" s="9"/>
      <c r="J611" s="9"/>
      <c r="K611" s="9"/>
      <c r="M611" s="9"/>
      <c r="N611" s="9"/>
      <c r="O611" s="9"/>
      <c r="Q611" s="9"/>
      <c r="R611" s="9"/>
      <c r="S611" s="9"/>
    </row>
    <row r="612">
      <c r="A612" s="9"/>
      <c r="D612" s="9"/>
      <c r="E612" s="13"/>
      <c r="H612" s="9"/>
      <c r="I612" s="9"/>
      <c r="J612" s="9"/>
      <c r="K612" s="9"/>
      <c r="M612" s="9"/>
      <c r="N612" s="9"/>
      <c r="O612" s="9"/>
      <c r="Q612" s="9"/>
      <c r="R612" s="9"/>
      <c r="S612" s="9"/>
    </row>
    <row r="613">
      <c r="A613" s="9"/>
      <c r="D613" s="9"/>
      <c r="E613" s="13"/>
      <c r="H613" s="9"/>
      <c r="I613" s="9"/>
      <c r="J613" s="9"/>
      <c r="K613" s="9"/>
      <c r="M613" s="9"/>
      <c r="N613" s="9"/>
      <c r="O613" s="9"/>
      <c r="Q613" s="9"/>
      <c r="R613" s="9"/>
      <c r="S613" s="9"/>
    </row>
    <row r="614">
      <c r="A614" s="9"/>
      <c r="D614" s="9"/>
      <c r="E614" s="13"/>
      <c r="H614" s="9"/>
      <c r="I614" s="9"/>
      <c r="J614" s="9"/>
      <c r="K614" s="9"/>
      <c r="M614" s="9"/>
      <c r="N614" s="9"/>
      <c r="O614" s="9"/>
      <c r="Q614" s="9"/>
      <c r="R614" s="9"/>
      <c r="S614" s="9"/>
    </row>
    <row r="615">
      <c r="A615" s="9"/>
      <c r="D615" s="9"/>
      <c r="E615" s="13"/>
      <c r="H615" s="9"/>
      <c r="I615" s="9"/>
      <c r="J615" s="9"/>
      <c r="K615" s="9"/>
      <c r="M615" s="9"/>
      <c r="N615" s="9"/>
      <c r="O615" s="9"/>
      <c r="Q615" s="9"/>
      <c r="R615" s="9"/>
      <c r="S615" s="9"/>
    </row>
    <row r="616">
      <c r="A616" s="9"/>
      <c r="D616" s="9"/>
      <c r="E616" s="13"/>
      <c r="H616" s="9"/>
      <c r="I616" s="9"/>
      <c r="J616" s="9"/>
      <c r="K616" s="9"/>
      <c r="M616" s="9"/>
      <c r="N616" s="9"/>
      <c r="O616" s="9"/>
      <c r="Q616" s="9"/>
      <c r="R616" s="9"/>
      <c r="S616" s="9"/>
    </row>
    <row r="617">
      <c r="A617" s="9"/>
      <c r="D617" s="9"/>
      <c r="E617" s="13"/>
      <c r="H617" s="9"/>
      <c r="I617" s="9"/>
      <c r="J617" s="9"/>
      <c r="K617" s="9"/>
      <c r="M617" s="9"/>
      <c r="N617" s="9"/>
      <c r="O617" s="9"/>
      <c r="Q617" s="9"/>
      <c r="R617" s="9"/>
      <c r="S617" s="9"/>
    </row>
    <row r="618">
      <c r="A618" s="9"/>
      <c r="D618" s="9"/>
      <c r="E618" s="13"/>
      <c r="H618" s="9"/>
      <c r="I618" s="9"/>
      <c r="J618" s="9"/>
      <c r="K618" s="9"/>
      <c r="M618" s="9"/>
      <c r="N618" s="9"/>
      <c r="O618" s="9"/>
      <c r="Q618" s="9"/>
      <c r="R618" s="9"/>
      <c r="S618" s="9"/>
    </row>
    <row r="619">
      <c r="A619" s="9"/>
      <c r="D619" s="9"/>
      <c r="E619" s="13"/>
      <c r="H619" s="9"/>
      <c r="I619" s="9"/>
      <c r="J619" s="9"/>
      <c r="K619" s="9"/>
      <c r="M619" s="9"/>
      <c r="N619" s="9"/>
      <c r="O619" s="9"/>
      <c r="Q619" s="9"/>
      <c r="R619" s="9"/>
      <c r="S619" s="9"/>
    </row>
    <row r="620">
      <c r="A620" s="9"/>
      <c r="D620" s="9"/>
      <c r="E620" s="13"/>
      <c r="H620" s="9"/>
      <c r="I620" s="9"/>
      <c r="J620" s="9"/>
      <c r="K620" s="9"/>
      <c r="M620" s="9"/>
      <c r="N620" s="9"/>
      <c r="O620" s="9"/>
      <c r="Q620" s="9"/>
      <c r="R620" s="9"/>
      <c r="S620" s="9"/>
    </row>
    <row r="621">
      <c r="A621" s="9"/>
      <c r="D621" s="9"/>
      <c r="E621" s="13"/>
      <c r="H621" s="9"/>
      <c r="I621" s="9"/>
      <c r="J621" s="9"/>
      <c r="K621" s="9"/>
      <c r="M621" s="9"/>
      <c r="N621" s="9"/>
      <c r="O621" s="9"/>
      <c r="Q621" s="9"/>
      <c r="R621" s="9"/>
      <c r="S621" s="9"/>
    </row>
    <row r="622">
      <c r="A622" s="9"/>
      <c r="D622" s="9"/>
      <c r="E622" s="13"/>
      <c r="H622" s="9"/>
      <c r="I622" s="9"/>
      <c r="J622" s="9"/>
      <c r="K622" s="9"/>
      <c r="M622" s="9"/>
      <c r="N622" s="9"/>
      <c r="O622" s="9"/>
      <c r="Q622" s="9"/>
      <c r="R622" s="9"/>
      <c r="S622" s="9"/>
    </row>
    <row r="623">
      <c r="A623" s="9"/>
      <c r="D623" s="9"/>
      <c r="E623" s="13"/>
      <c r="H623" s="9"/>
      <c r="I623" s="9"/>
      <c r="J623" s="9"/>
      <c r="K623" s="9"/>
      <c r="M623" s="9"/>
      <c r="N623" s="9"/>
      <c r="O623" s="9"/>
      <c r="Q623" s="9"/>
      <c r="R623" s="9"/>
      <c r="S623" s="9"/>
    </row>
    <row r="624">
      <c r="A624" s="9"/>
      <c r="D624" s="9"/>
      <c r="E624" s="13"/>
      <c r="H624" s="9"/>
      <c r="I624" s="9"/>
      <c r="J624" s="9"/>
      <c r="K624" s="9"/>
      <c r="M624" s="9"/>
      <c r="N624" s="9"/>
      <c r="O624" s="9"/>
      <c r="Q624" s="9"/>
      <c r="R624" s="9"/>
      <c r="S624" s="9"/>
    </row>
    <row r="625">
      <c r="A625" s="9"/>
      <c r="D625" s="9"/>
      <c r="E625" s="13"/>
      <c r="H625" s="9"/>
      <c r="I625" s="9"/>
      <c r="J625" s="9"/>
      <c r="K625" s="9"/>
      <c r="M625" s="9"/>
      <c r="N625" s="9"/>
      <c r="O625" s="9"/>
      <c r="Q625" s="9"/>
      <c r="R625" s="9"/>
      <c r="S625" s="9"/>
    </row>
    <row r="626">
      <c r="A626" s="9"/>
      <c r="D626" s="9"/>
      <c r="E626" s="13"/>
      <c r="H626" s="9"/>
      <c r="I626" s="9"/>
      <c r="J626" s="9"/>
      <c r="K626" s="9"/>
      <c r="M626" s="9"/>
      <c r="N626" s="9"/>
      <c r="O626" s="9"/>
      <c r="Q626" s="9"/>
      <c r="R626" s="9"/>
      <c r="S626" s="9"/>
    </row>
    <row r="627">
      <c r="A627" s="9"/>
      <c r="D627" s="9"/>
      <c r="E627" s="13"/>
      <c r="H627" s="9"/>
      <c r="I627" s="9"/>
      <c r="J627" s="9"/>
      <c r="K627" s="9"/>
      <c r="M627" s="9"/>
      <c r="N627" s="9"/>
      <c r="O627" s="9"/>
      <c r="Q627" s="9"/>
      <c r="R627" s="9"/>
      <c r="S627" s="9"/>
    </row>
    <row r="628">
      <c r="A628" s="9"/>
      <c r="D628" s="9"/>
      <c r="E628" s="13"/>
      <c r="H628" s="9"/>
      <c r="I628" s="9"/>
      <c r="J628" s="9"/>
      <c r="K628" s="9"/>
      <c r="M628" s="9"/>
      <c r="N628" s="9"/>
      <c r="O628" s="9"/>
      <c r="Q628" s="9"/>
      <c r="R628" s="9"/>
      <c r="S628" s="9"/>
    </row>
    <row r="629">
      <c r="A629" s="9"/>
      <c r="D629" s="9"/>
      <c r="E629" s="13"/>
      <c r="H629" s="9"/>
      <c r="I629" s="9"/>
      <c r="J629" s="9"/>
      <c r="K629" s="9"/>
      <c r="M629" s="9"/>
      <c r="N629" s="9"/>
      <c r="O629" s="9"/>
      <c r="Q629" s="9"/>
      <c r="R629" s="9"/>
      <c r="S629" s="9"/>
    </row>
    <row r="630">
      <c r="A630" s="9"/>
      <c r="D630" s="9"/>
      <c r="E630" s="13"/>
      <c r="H630" s="9"/>
      <c r="I630" s="9"/>
      <c r="J630" s="9"/>
      <c r="K630" s="9"/>
      <c r="M630" s="9"/>
      <c r="N630" s="9"/>
      <c r="O630" s="9"/>
      <c r="Q630" s="9"/>
      <c r="R630" s="9"/>
      <c r="S630" s="9"/>
    </row>
    <row r="631">
      <c r="A631" s="9"/>
      <c r="D631" s="9"/>
      <c r="E631" s="13"/>
      <c r="H631" s="9"/>
      <c r="I631" s="9"/>
      <c r="J631" s="9"/>
      <c r="K631" s="9"/>
      <c r="M631" s="9"/>
      <c r="N631" s="9"/>
      <c r="O631" s="9"/>
      <c r="Q631" s="9"/>
      <c r="R631" s="9"/>
      <c r="S631" s="9"/>
    </row>
    <row r="632">
      <c r="A632" s="9"/>
      <c r="D632" s="9"/>
      <c r="E632" s="13"/>
      <c r="H632" s="9"/>
      <c r="I632" s="9"/>
      <c r="J632" s="9"/>
      <c r="K632" s="9"/>
      <c r="M632" s="9"/>
      <c r="N632" s="9"/>
      <c r="O632" s="9"/>
      <c r="Q632" s="9"/>
      <c r="R632" s="9"/>
      <c r="S632" s="9"/>
    </row>
    <row r="633">
      <c r="A633" s="9"/>
      <c r="D633" s="9"/>
      <c r="E633" s="13"/>
      <c r="H633" s="9"/>
      <c r="I633" s="9"/>
      <c r="J633" s="9"/>
      <c r="K633" s="9"/>
      <c r="M633" s="9"/>
      <c r="N633" s="9"/>
      <c r="O633" s="9"/>
      <c r="Q633" s="9"/>
      <c r="R633" s="9"/>
      <c r="S633" s="9"/>
    </row>
    <row r="634">
      <c r="A634" s="9"/>
      <c r="D634" s="9"/>
      <c r="E634" s="13"/>
      <c r="H634" s="9"/>
      <c r="I634" s="9"/>
      <c r="J634" s="9"/>
      <c r="K634" s="9"/>
      <c r="M634" s="9"/>
      <c r="N634" s="9"/>
      <c r="O634" s="9"/>
      <c r="Q634" s="9"/>
      <c r="R634" s="9"/>
      <c r="S634" s="9"/>
    </row>
    <row r="635">
      <c r="A635" s="9"/>
      <c r="D635" s="9"/>
      <c r="E635" s="13"/>
      <c r="H635" s="9"/>
      <c r="I635" s="9"/>
      <c r="J635" s="9"/>
      <c r="K635" s="9"/>
      <c r="M635" s="9"/>
      <c r="N635" s="9"/>
      <c r="O635" s="9"/>
      <c r="Q635" s="9"/>
      <c r="R635" s="9"/>
      <c r="S635" s="9"/>
    </row>
    <row r="636">
      <c r="A636" s="9"/>
      <c r="D636" s="9"/>
      <c r="E636" s="13"/>
      <c r="H636" s="9"/>
      <c r="I636" s="9"/>
      <c r="J636" s="9"/>
      <c r="K636" s="9"/>
      <c r="M636" s="9"/>
      <c r="N636" s="9"/>
      <c r="O636" s="9"/>
      <c r="Q636" s="9"/>
      <c r="R636" s="9"/>
      <c r="S636" s="9"/>
    </row>
    <row r="637">
      <c r="A637" s="9"/>
      <c r="D637" s="9"/>
      <c r="E637" s="13"/>
      <c r="H637" s="9"/>
      <c r="I637" s="9"/>
      <c r="J637" s="9"/>
      <c r="K637" s="9"/>
      <c r="M637" s="9"/>
      <c r="N637" s="9"/>
      <c r="O637" s="9"/>
      <c r="Q637" s="9"/>
      <c r="R637" s="9"/>
      <c r="S637" s="9"/>
    </row>
    <row r="638">
      <c r="A638" s="9"/>
      <c r="D638" s="9"/>
      <c r="E638" s="13"/>
      <c r="H638" s="9"/>
      <c r="I638" s="9"/>
      <c r="J638" s="9"/>
      <c r="K638" s="9"/>
      <c r="M638" s="9"/>
      <c r="N638" s="9"/>
      <c r="O638" s="9"/>
      <c r="Q638" s="9"/>
      <c r="R638" s="9"/>
      <c r="S638" s="9"/>
    </row>
    <row r="639">
      <c r="A639" s="9"/>
      <c r="D639" s="9"/>
      <c r="E639" s="13"/>
      <c r="H639" s="9"/>
      <c r="I639" s="9"/>
      <c r="J639" s="9"/>
      <c r="K639" s="9"/>
      <c r="M639" s="9"/>
      <c r="N639" s="9"/>
      <c r="O639" s="9"/>
      <c r="Q639" s="9"/>
      <c r="R639" s="9"/>
      <c r="S639" s="9"/>
    </row>
    <row r="640">
      <c r="A640" s="9"/>
      <c r="D640" s="9"/>
      <c r="E640" s="13"/>
      <c r="H640" s="9"/>
      <c r="I640" s="9"/>
      <c r="J640" s="9"/>
      <c r="K640" s="9"/>
      <c r="M640" s="9"/>
      <c r="N640" s="9"/>
      <c r="O640" s="9"/>
      <c r="Q640" s="9"/>
      <c r="R640" s="9"/>
      <c r="S640" s="9"/>
    </row>
    <row r="641">
      <c r="A641" s="9"/>
      <c r="D641" s="9"/>
      <c r="E641" s="13"/>
      <c r="H641" s="9"/>
      <c r="I641" s="9"/>
      <c r="J641" s="9"/>
      <c r="K641" s="9"/>
      <c r="M641" s="9"/>
      <c r="N641" s="9"/>
      <c r="O641" s="9"/>
      <c r="Q641" s="9"/>
      <c r="R641" s="9"/>
      <c r="S641" s="9"/>
    </row>
    <row r="642">
      <c r="A642" s="9"/>
      <c r="D642" s="9"/>
      <c r="E642" s="13"/>
      <c r="H642" s="9"/>
      <c r="I642" s="9"/>
      <c r="J642" s="9"/>
      <c r="K642" s="9"/>
      <c r="M642" s="9"/>
      <c r="N642" s="9"/>
      <c r="O642" s="9"/>
      <c r="Q642" s="9"/>
      <c r="R642" s="9"/>
      <c r="S642" s="9"/>
    </row>
    <row r="643">
      <c r="A643" s="9"/>
      <c r="D643" s="9"/>
      <c r="E643" s="13"/>
      <c r="H643" s="9"/>
      <c r="I643" s="9"/>
      <c r="J643" s="9"/>
      <c r="K643" s="9"/>
      <c r="M643" s="9"/>
      <c r="N643" s="9"/>
      <c r="O643" s="9"/>
      <c r="Q643" s="9"/>
      <c r="R643" s="9"/>
      <c r="S643" s="9"/>
    </row>
    <row r="644">
      <c r="A644" s="9"/>
      <c r="D644" s="9"/>
      <c r="E644" s="13"/>
      <c r="H644" s="9"/>
      <c r="I644" s="9"/>
      <c r="J644" s="9"/>
      <c r="K644" s="9"/>
      <c r="M644" s="9"/>
      <c r="N644" s="9"/>
      <c r="O644" s="9"/>
      <c r="Q644" s="9"/>
      <c r="R644" s="9"/>
      <c r="S644" s="9"/>
    </row>
    <row r="645">
      <c r="A645" s="9"/>
      <c r="D645" s="9"/>
      <c r="E645" s="13"/>
      <c r="H645" s="9"/>
      <c r="I645" s="9"/>
      <c r="J645" s="9"/>
      <c r="K645" s="9"/>
      <c r="M645" s="9"/>
      <c r="N645" s="9"/>
      <c r="O645" s="9"/>
      <c r="Q645" s="9"/>
      <c r="R645" s="9"/>
      <c r="S645" s="9"/>
    </row>
    <row r="646">
      <c r="A646" s="9"/>
      <c r="D646" s="9"/>
      <c r="E646" s="13"/>
      <c r="H646" s="9"/>
      <c r="I646" s="9"/>
      <c r="J646" s="9"/>
      <c r="K646" s="9"/>
      <c r="M646" s="9"/>
      <c r="N646" s="9"/>
      <c r="O646" s="9"/>
      <c r="Q646" s="9"/>
      <c r="R646" s="9"/>
      <c r="S646" s="9"/>
    </row>
    <row r="647">
      <c r="A647" s="9"/>
      <c r="D647" s="9"/>
      <c r="E647" s="13"/>
      <c r="H647" s="9"/>
      <c r="I647" s="9"/>
      <c r="J647" s="9"/>
      <c r="K647" s="9"/>
      <c r="M647" s="9"/>
      <c r="N647" s="9"/>
      <c r="O647" s="9"/>
      <c r="Q647" s="9"/>
      <c r="R647" s="9"/>
      <c r="S647" s="9"/>
    </row>
    <row r="648">
      <c r="A648" s="9"/>
      <c r="D648" s="9"/>
      <c r="E648" s="13"/>
      <c r="H648" s="9"/>
      <c r="I648" s="9"/>
      <c r="J648" s="9"/>
      <c r="K648" s="9"/>
      <c r="M648" s="9"/>
      <c r="N648" s="9"/>
      <c r="O648" s="9"/>
      <c r="Q648" s="9"/>
      <c r="R648" s="9"/>
      <c r="S648" s="9"/>
    </row>
    <row r="649">
      <c r="A649" s="9"/>
      <c r="D649" s="9"/>
      <c r="E649" s="13"/>
      <c r="H649" s="9"/>
      <c r="I649" s="9"/>
      <c r="J649" s="9"/>
      <c r="K649" s="9"/>
      <c r="M649" s="9"/>
      <c r="N649" s="9"/>
      <c r="O649" s="9"/>
      <c r="Q649" s="9"/>
      <c r="R649" s="9"/>
      <c r="S649" s="9"/>
    </row>
    <row r="650">
      <c r="A650" s="9"/>
      <c r="D650" s="9"/>
      <c r="E650" s="13"/>
      <c r="H650" s="9"/>
      <c r="I650" s="9"/>
      <c r="J650" s="9"/>
      <c r="K650" s="9"/>
      <c r="M650" s="9"/>
      <c r="N650" s="9"/>
      <c r="O650" s="9"/>
      <c r="Q650" s="9"/>
      <c r="R650" s="9"/>
      <c r="S650" s="9"/>
    </row>
    <row r="651">
      <c r="A651" s="9"/>
      <c r="D651" s="9"/>
      <c r="E651" s="13"/>
      <c r="H651" s="9"/>
      <c r="I651" s="9"/>
      <c r="J651" s="9"/>
      <c r="K651" s="9"/>
      <c r="M651" s="9"/>
      <c r="N651" s="9"/>
      <c r="O651" s="9"/>
      <c r="Q651" s="9"/>
      <c r="R651" s="9"/>
      <c r="S651" s="9"/>
    </row>
    <row r="652">
      <c r="A652" s="9"/>
      <c r="D652" s="9"/>
      <c r="E652" s="13"/>
      <c r="H652" s="9"/>
      <c r="I652" s="9"/>
      <c r="J652" s="9"/>
      <c r="K652" s="9"/>
      <c r="M652" s="9"/>
      <c r="N652" s="9"/>
      <c r="O652" s="9"/>
      <c r="Q652" s="9"/>
      <c r="R652" s="9"/>
      <c r="S652" s="9"/>
    </row>
    <row r="653">
      <c r="A653" s="9"/>
      <c r="D653" s="9"/>
      <c r="E653" s="13"/>
      <c r="H653" s="9"/>
      <c r="I653" s="9"/>
      <c r="J653" s="9"/>
      <c r="K653" s="9"/>
      <c r="M653" s="9"/>
      <c r="N653" s="9"/>
      <c r="O653" s="9"/>
      <c r="Q653" s="9"/>
      <c r="R653" s="9"/>
      <c r="S653" s="9"/>
    </row>
    <row r="654">
      <c r="A654" s="9"/>
      <c r="D654" s="9"/>
      <c r="E654" s="13"/>
      <c r="H654" s="9"/>
      <c r="I654" s="9"/>
      <c r="J654" s="9"/>
      <c r="K654" s="9"/>
      <c r="M654" s="9"/>
      <c r="N654" s="9"/>
      <c r="O654" s="9"/>
      <c r="Q654" s="9"/>
      <c r="R654" s="9"/>
      <c r="S654" s="9"/>
    </row>
    <row r="655">
      <c r="A655" s="9"/>
      <c r="D655" s="9"/>
      <c r="E655" s="13"/>
      <c r="H655" s="9"/>
      <c r="I655" s="9"/>
      <c r="J655" s="9"/>
      <c r="K655" s="9"/>
      <c r="M655" s="9"/>
      <c r="N655" s="9"/>
      <c r="O655" s="9"/>
      <c r="Q655" s="9"/>
      <c r="R655" s="9"/>
      <c r="S655" s="9"/>
    </row>
    <row r="656">
      <c r="A656" s="9"/>
      <c r="D656" s="9"/>
      <c r="E656" s="13"/>
      <c r="H656" s="9"/>
      <c r="I656" s="9"/>
      <c r="J656" s="9"/>
      <c r="K656" s="9"/>
      <c r="M656" s="9"/>
      <c r="N656" s="9"/>
      <c r="O656" s="9"/>
      <c r="Q656" s="9"/>
      <c r="R656" s="9"/>
      <c r="S656" s="9"/>
    </row>
    <row r="657">
      <c r="A657" s="9"/>
      <c r="D657" s="9"/>
      <c r="E657" s="13"/>
      <c r="H657" s="9"/>
      <c r="I657" s="9"/>
      <c r="J657" s="9"/>
      <c r="K657" s="9"/>
      <c r="M657" s="9"/>
      <c r="N657" s="9"/>
      <c r="O657" s="9"/>
      <c r="Q657" s="9"/>
      <c r="R657" s="9"/>
      <c r="S657" s="9"/>
    </row>
    <row r="658">
      <c r="A658" s="9"/>
      <c r="D658" s="9"/>
      <c r="E658" s="13"/>
      <c r="H658" s="9"/>
      <c r="I658" s="9"/>
      <c r="J658" s="9"/>
      <c r="K658" s="9"/>
      <c r="M658" s="9"/>
      <c r="N658" s="9"/>
      <c r="O658" s="9"/>
      <c r="Q658" s="9"/>
      <c r="R658" s="9"/>
      <c r="S658" s="9"/>
    </row>
    <row r="659">
      <c r="A659" s="9"/>
      <c r="D659" s="9"/>
      <c r="E659" s="13"/>
      <c r="H659" s="9"/>
      <c r="I659" s="9"/>
      <c r="J659" s="9"/>
      <c r="K659" s="9"/>
      <c r="M659" s="9"/>
      <c r="N659" s="9"/>
      <c r="O659" s="9"/>
      <c r="Q659" s="9"/>
      <c r="R659" s="9"/>
      <c r="S659" s="9"/>
    </row>
    <row r="660">
      <c r="A660" s="9"/>
      <c r="D660" s="9"/>
      <c r="E660" s="13"/>
      <c r="H660" s="9"/>
      <c r="I660" s="9"/>
      <c r="J660" s="9"/>
      <c r="K660" s="9"/>
      <c r="M660" s="9"/>
      <c r="N660" s="9"/>
      <c r="O660" s="9"/>
      <c r="Q660" s="9"/>
      <c r="R660" s="9"/>
      <c r="S660" s="9"/>
    </row>
    <row r="661">
      <c r="A661" s="9"/>
      <c r="D661" s="9"/>
      <c r="E661" s="13"/>
      <c r="H661" s="9"/>
      <c r="I661" s="9"/>
      <c r="J661" s="9"/>
      <c r="K661" s="9"/>
      <c r="M661" s="9"/>
      <c r="N661" s="9"/>
      <c r="O661" s="9"/>
      <c r="Q661" s="9"/>
      <c r="R661" s="9"/>
      <c r="S661" s="9"/>
    </row>
    <row r="662">
      <c r="A662" s="9"/>
      <c r="D662" s="9"/>
      <c r="E662" s="13"/>
      <c r="H662" s="9"/>
      <c r="I662" s="9"/>
      <c r="J662" s="9"/>
      <c r="K662" s="9"/>
      <c r="M662" s="9"/>
      <c r="N662" s="9"/>
      <c r="O662" s="9"/>
      <c r="Q662" s="9"/>
      <c r="R662" s="9"/>
      <c r="S662" s="9"/>
    </row>
    <row r="663">
      <c r="A663" s="9"/>
      <c r="D663" s="9"/>
      <c r="E663" s="13"/>
      <c r="H663" s="9"/>
      <c r="I663" s="9"/>
      <c r="J663" s="9"/>
      <c r="K663" s="9"/>
      <c r="M663" s="9"/>
      <c r="N663" s="9"/>
      <c r="O663" s="9"/>
      <c r="Q663" s="9"/>
      <c r="R663" s="9"/>
      <c r="S663" s="9"/>
    </row>
    <row r="664">
      <c r="A664" s="9"/>
      <c r="D664" s="9"/>
      <c r="E664" s="13"/>
      <c r="H664" s="9"/>
      <c r="I664" s="9"/>
      <c r="J664" s="9"/>
      <c r="K664" s="9"/>
      <c r="M664" s="9"/>
      <c r="N664" s="9"/>
      <c r="O664" s="9"/>
      <c r="Q664" s="9"/>
      <c r="R664" s="9"/>
      <c r="S664" s="9"/>
    </row>
    <row r="665">
      <c r="A665" s="9"/>
      <c r="D665" s="9"/>
      <c r="E665" s="13"/>
      <c r="H665" s="9"/>
      <c r="I665" s="9"/>
      <c r="J665" s="9"/>
      <c r="K665" s="9"/>
      <c r="M665" s="9"/>
      <c r="N665" s="9"/>
      <c r="O665" s="9"/>
      <c r="Q665" s="9"/>
      <c r="R665" s="9"/>
      <c r="S665" s="9"/>
    </row>
    <row r="666">
      <c r="A666" s="9"/>
      <c r="D666" s="9"/>
      <c r="E666" s="13"/>
      <c r="H666" s="9"/>
      <c r="I666" s="9"/>
      <c r="J666" s="9"/>
      <c r="K666" s="9"/>
      <c r="M666" s="9"/>
      <c r="N666" s="9"/>
      <c r="O666" s="9"/>
      <c r="Q666" s="9"/>
      <c r="R666" s="9"/>
      <c r="S666" s="9"/>
    </row>
    <row r="667">
      <c r="A667" s="9"/>
      <c r="D667" s="9"/>
      <c r="E667" s="13"/>
      <c r="H667" s="9"/>
      <c r="I667" s="9"/>
      <c r="J667" s="9"/>
      <c r="K667" s="9"/>
      <c r="M667" s="9"/>
      <c r="N667" s="9"/>
      <c r="O667" s="9"/>
      <c r="Q667" s="9"/>
      <c r="R667" s="9"/>
      <c r="S667" s="9"/>
    </row>
    <row r="668">
      <c r="A668" s="9"/>
      <c r="D668" s="9"/>
      <c r="E668" s="13"/>
      <c r="H668" s="9"/>
      <c r="I668" s="9"/>
      <c r="J668" s="9"/>
      <c r="K668" s="9"/>
      <c r="M668" s="9"/>
      <c r="N668" s="9"/>
      <c r="O668" s="9"/>
      <c r="Q668" s="9"/>
      <c r="R668" s="9"/>
      <c r="S668" s="9"/>
    </row>
    <row r="669">
      <c r="A669" s="9"/>
      <c r="D669" s="9"/>
      <c r="E669" s="13"/>
      <c r="H669" s="9"/>
      <c r="I669" s="9"/>
      <c r="J669" s="9"/>
      <c r="K669" s="9"/>
      <c r="M669" s="9"/>
      <c r="N669" s="9"/>
      <c r="O669" s="9"/>
      <c r="Q669" s="9"/>
      <c r="R669" s="9"/>
      <c r="S669" s="9"/>
    </row>
    <row r="670">
      <c r="A670" s="9"/>
      <c r="D670" s="9"/>
      <c r="E670" s="13"/>
      <c r="H670" s="9"/>
      <c r="I670" s="9"/>
      <c r="J670" s="9"/>
      <c r="K670" s="9"/>
      <c r="M670" s="9"/>
      <c r="N670" s="9"/>
      <c r="O670" s="9"/>
      <c r="Q670" s="9"/>
      <c r="R670" s="9"/>
      <c r="S670" s="9"/>
    </row>
    <row r="671">
      <c r="A671" s="9"/>
      <c r="D671" s="9"/>
      <c r="E671" s="13"/>
      <c r="H671" s="9"/>
      <c r="I671" s="9"/>
      <c r="J671" s="9"/>
      <c r="K671" s="9"/>
      <c r="M671" s="9"/>
      <c r="N671" s="9"/>
      <c r="O671" s="9"/>
      <c r="Q671" s="9"/>
      <c r="R671" s="9"/>
      <c r="S671" s="9"/>
    </row>
    <row r="672">
      <c r="A672" s="9"/>
      <c r="D672" s="9"/>
      <c r="E672" s="13"/>
      <c r="H672" s="9"/>
      <c r="I672" s="9"/>
      <c r="J672" s="9"/>
      <c r="K672" s="9"/>
      <c r="M672" s="9"/>
      <c r="N672" s="9"/>
      <c r="O672" s="9"/>
      <c r="Q672" s="9"/>
      <c r="R672" s="9"/>
      <c r="S672" s="9"/>
    </row>
    <row r="673">
      <c r="A673" s="9"/>
      <c r="D673" s="9"/>
      <c r="E673" s="13"/>
      <c r="H673" s="9"/>
      <c r="I673" s="9"/>
      <c r="J673" s="9"/>
      <c r="K673" s="9"/>
      <c r="M673" s="9"/>
      <c r="N673" s="9"/>
      <c r="O673" s="9"/>
      <c r="Q673" s="9"/>
      <c r="R673" s="9"/>
      <c r="S673" s="9"/>
    </row>
    <row r="674">
      <c r="A674" s="9"/>
      <c r="D674" s="9"/>
      <c r="E674" s="13"/>
      <c r="H674" s="9"/>
      <c r="I674" s="9"/>
      <c r="J674" s="9"/>
      <c r="K674" s="9"/>
      <c r="M674" s="9"/>
      <c r="N674" s="9"/>
      <c r="O674" s="9"/>
      <c r="Q674" s="9"/>
      <c r="R674" s="9"/>
      <c r="S674" s="9"/>
    </row>
    <row r="675">
      <c r="A675" s="9"/>
      <c r="D675" s="9"/>
      <c r="E675" s="13"/>
      <c r="H675" s="9"/>
      <c r="I675" s="9"/>
      <c r="J675" s="9"/>
      <c r="K675" s="9"/>
      <c r="M675" s="9"/>
      <c r="N675" s="9"/>
      <c r="O675" s="9"/>
      <c r="Q675" s="9"/>
      <c r="R675" s="9"/>
      <c r="S675" s="9"/>
    </row>
    <row r="676">
      <c r="A676" s="9"/>
      <c r="D676" s="9"/>
      <c r="E676" s="13"/>
      <c r="H676" s="9"/>
      <c r="I676" s="9"/>
      <c r="J676" s="9"/>
      <c r="K676" s="9"/>
      <c r="M676" s="9"/>
      <c r="N676" s="9"/>
      <c r="O676" s="9"/>
      <c r="Q676" s="9"/>
      <c r="R676" s="9"/>
      <c r="S676" s="9"/>
    </row>
    <row r="677">
      <c r="A677" s="9"/>
      <c r="D677" s="9"/>
      <c r="E677" s="13"/>
      <c r="H677" s="9"/>
      <c r="I677" s="9"/>
      <c r="J677" s="9"/>
      <c r="K677" s="9"/>
      <c r="M677" s="9"/>
      <c r="N677" s="9"/>
      <c r="O677" s="9"/>
      <c r="Q677" s="9"/>
      <c r="R677" s="9"/>
      <c r="S677" s="9"/>
    </row>
    <row r="678">
      <c r="A678" s="9"/>
      <c r="D678" s="9"/>
      <c r="E678" s="13"/>
      <c r="H678" s="9"/>
      <c r="I678" s="9"/>
      <c r="J678" s="9"/>
      <c r="K678" s="9"/>
      <c r="M678" s="9"/>
      <c r="N678" s="9"/>
      <c r="O678" s="9"/>
      <c r="Q678" s="9"/>
      <c r="R678" s="9"/>
      <c r="S678" s="9"/>
    </row>
    <row r="679">
      <c r="A679" s="9"/>
      <c r="D679" s="9"/>
      <c r="E679" s="13"/>
      <c r="H679" s="9"/>
      <c r="I679" s="9"/>
      <c r="J679" s="9"/>
      <c r="K679" s="9"/>
      <c r="M679" s="9"/>
      <c r="N679" s="9"/>
      <c r="O679" s="9"/>
      <c r="Q679" s="9"/>
      <c r="R679" s="9"/>
      <c r="S679" s="9"/>
    </row>
    <row r="680">
      <c r="A680" s="9"/>
      <c r="D680" s="9"/>
      <c r="E680" s="13"/>
      <c r="H680" s="9"/>
      <c r="I680" s="9"/>
      <c r="J680" s="9"/>
      <c r="K680" s="9"/>
      <c r="M680" s="9"/>
      <c r="N680" s="9"/>
      <c r="O680" s="9"/>
      <c r="Q680" s="9"/>
      <c r="R680" s="9"/>
      <c r="S680" s="9"/>
    </row>
    <row r="681">
      <c r="A681" s="9"/>
      <c r="D681" s="9"/>
      <c r="E681" s="13"/>
      <c r="H681" s="9"/>
      <c r="I681" s="9"/>
      <c r="J681" s="9"/>
      <c r="K681" s="9"/>
      <c r="M681" s="9"/>
      <c r="N681" s="9"/>
      <c r="O681" s="9"/>
      <c r="Q681" s="9"/>
      <c r="R681" s="9"/>
      <c r="S681" s="9"/>
    </row>
    <row r="682">
      <c r="A682" s="9"/>
      <c r="D682" s="9"/>
      <c r="E682" s="13"/>
      <c r="H682" s="9"/>
      <c r="I682" s="9"/>
      <c r="J682" s="9"/>
      <c r="K682" s="9"/>
      <c r="M682" s="9"/>
      <c r="N682" s="9"/>
      <c r="O682" s="9"/>
      <c r="Q682" s="9"/>
      <c r="R682" s="9"/>
      <c r="S682" s="9"/>
    </row>
    <row r="683">
      <c r="A683" s="9"/>
      <c r="D683" s="9"/>
      <c r="E683" s="13"/>
      <c r="H683" s="9"/>
      <c r="I683" s="9"/>
      <c r="J683" s="9"/>
      <c r="K683" s="9"/>
      <c r="M683" s="9"/>
      <c r="N683" s="9"/>
      <c r="O683" s="9"/>
      <c r="Q683" s="9"/>
      <c r="R683" s="9"/>
      <c r="S683" s="9"/>
    </row>
    <row r="684">
      <c r="A684" s="9"/>
      <c r="D684" s="9"/>
      <c r="E684" s="13"/>
      <c r="H684" s="9"/>
      <c r="I684" s="9"/>
      <c r="J684" s="9"/>
      <c r="K684" s="9"/>
      <c r="M684" s="9"/>
      <c r="N684" s="9"/>
      <c r="O684" s="9"/>
      <c r="Q684" s="9"/>
      <c r="R684" s="9"/>
      <c r="S684" s="9"/>
    </row>
    <row r="685">
      <c r="A685" s="9"/>
      <c r="D685" s="9"/>
      <c r="E685" s="13"/>
      <c r="H685" s="9"/>
      <c r="I685" s="9"/>
      <c r="J685" s="9"/>
      <c r="K685" s="9"/>
      <c r="M685" s="9"/>
      <c r="N685" s="9"/>
      <c r="O685" s="9"/>
      <c r="Q685" s="9"/>
      <c r="R685" s="9"/>
      <c r="S685" s="9"/>
    </row>
    <row r="686">
      <c r="A686" s="9"/>
      <c r="D686" s="9"/>
      <c r="E686" s="13"/>
      <c r="H686" s="9"/>
      <c r="I686" s="9"/>
      <c r="J686" s="9"/>
      <c r="K686" s="9"/>
      <c r="M686" s="9"/>
      <c r="N686" s="9"/>
      <c r="O686" s="9"/>
      <c r="Q686" s="9"/>
      <c r="R686" s="9"/>
      <c r="S686" s="9"/>
    </row>
    <row r="687">
      <c r="A687" s="9"/>
      <c r="D687" s="9"/>
      <c r="E687" s="13"/>
      <c r="H687" s="9"/>
      <c r="I687" s="9"/>
      <c r="J687" s="9"/>
      <c r="K687" s="9"/>
      <c r="M687" s="9"/>
      <c r="N687" s="9"/>
      <c r="O687" s="9"/>
      <c r="Q687" s="9"/>
      <c r="R687" s="9"/>
      <c r="S687" s="9"/>
    </row>
    <row r="688">
      <c r="A688" s="9"/>
      <c r="D688" s="9"/>
      <c r="E688" s="13"/>
      <c r="H688" s="9"/>
      <c r="I688" s="9"/>
      <c r="J688" s="9"/>
      <c r="K688" s="9"/>
      <c r="M688" s="9"/>
      <c r="N688" s="9"/>
      <c r="O688" s="9"/>
      <c r="Q688" s="9"/>
      <c r="R688" s="9"/>
      <c r="S688" s="9"/>
    </row>
    <row r="689">
      <c r="A689" s="9"/>
      <c r="D689" s="9"/>
      <c r="E689" s="13"/>
      <c r="H689" s="9"/>
      <c r="I689" s="9"/>
      <c r="J689" s="9"/>
      <c r="K689" s="9"/>
      <c r="M689" s="9"/>
      <c r="N689" s="9"/>
      <c r="O689" s="9"/>
      <c r="Q689" s="9"/>
      <c r="R689" s="9"/>
      <c r="S689" s="9"/>
    </row>
    <row r="690">
      <c r="A690" s="9"/>
      <c r="D690" s="9"/>
      <c r="E690" s="13"/>
      <c r="H690" s="9"/>
      <c r="I690" s="9"/>
      <c r="J690" s="9"/>
      <c r="K690" s="9"/>
      <c r="M690" s="9"/>
      <c r="N690" s="9"/>
      <c r="O690" s="9"/>
      <c r="Q690" s="9"/>
      <c r="R690" s="9"/>
      <c r="S690" s="9"/>
    </row>
    <row r="691">
      <c r="A691" s="9"/>
      <c r="D691" s="9"/>
      <c r="E691" s="13"/>
      <c r="H691" s="9"/>
      <c r="I691" s="9"/>
      <c r="J691" s="9"/>
      <c r="K691" s="9"/>
      <c r="M691" s="9"/>
      <c r="N691" s="9"/>
      <c r="O691" s="9"/>
      <c r="Q691" s="9"/>
      <c r="R691" s="9"/>
      <c r="S691" s="9"/>
    </row>
    <row r="692">
      <c r="A692" s="9"/>
      <c r="D692" s="9"/>
      <c r="E692" s="13"/>
      <c r="H692" s="9"/>
      <c r="I692" s="9"/>
      <c r="J692" s="9"/>
      <c r="K692" s="9"/>
      <c r="M692" s="9"/>
      <c r="N692" s="9"/>
      <c r="O692" s="9"/>
      <c r="Q692" s="9"/>
      <c r="R692" s="9"/>
      <c r="S692" s="9"/>
    </row>
    <row r="693">
      <c r="A693" s="9"/>
      <c r="D693" s="9"/>
      <c r="E693" s="13"/>
      <c r="H693" s="9"/>
      <c r="I693" s="9"/>
      <c r="J693" s="9"/>
      <c r="K693" s="9"/>
      <c r="M693" s="9"/>
      <c r="N693" s="9"/>
      <c r="O693" s="9"/>
      <c r="Q693" s="9"/>
      <c r="R693" s="9"/>
      <c r="S693" s="9"/>
    </row>
    <row r="694">
      <c r="A694" s="9"/>
      <c r="D694" s="9"/>
      <c r="E694" s="13"/>
      <c r="H694" s="9"/>
      <c r="I694" s="9"/>
      <c r="J694" s="9"/>
      <c r="K694" s="9"/>
      <c r="M694" s="9"/>
      <c r="N694" s="9"/>
      <c r="O694" s="9"/>
      <c r="Q694" s="9"/>
      <c r="R694" s="9"/>
      <c r="S694" s="9"/>
    </row>
    <row r="695">
      <c r="A695" s="9"/>
      <c r="D695" s="9"/>
      <c r="E695" s="13"/>
      <c r="H695" s="9"/>
      <c r="I695" s="9"/>
      <c r="J695" s="9"/>
      <c r="K695" s="9"/>
      <c r="M695" s="9"/>
      <c r="N695" s="9"/>
      <c r="O695" s="9"/>
      <c r="Q695" s="9"/>
      <c r="R695" s="9"/>
      <c r="S695" s="9"/>
    </row>
    <row r="696">
      <c r="A696" s="9"/>
      <c r="D696" s="9"/>
      <c r="E696" s="13"/>
      <c r="H696" s="9"/>
      <c r="I696" s="9"/>
      <c r="J696" s="9"/>
      <c r="K696" s="9"/>
      <c r="M696" s="9"/>
      <c r="N696" s="9"/>
      <c r="O696" s="9"/>
      <c r="Q696" s="9"/>
      <c r="R696" s="9"/>
      <c r="S696" s="9"/>
    </row>
    <row r="697">
      <c r="A697" s="9"/>
      <c r="D697" s="9"/>
      <c r="E697" s="13"/>
      <c r="H697" s="9"/>
      <c r="I697" s="9"/>
      <c r="J697" s="9"/>
      <c r="K697" s="9"/>
      <c r="M697" s="9"/>
      <c r="N697" s="9"/>
      <c r="O697" s="9"/>
      <c r="Q697" s="9"/>
      <c r="R697" s="9"/>
      <c r="S697" s="9"/>
    </row>
    <row r="698">
      <c r="A698" s="9"/>
      <c r="D698" s="9"/>
      <c r="E698" s="13"/>
      <c r="H698" s="9"/>
      <c r="I698" s="9"/>
      <c r="J698" s="9"/>
      <c r="K698" s="9"/>
      <c r="M698" s="9"/>
      <c r="N698" s="9"/>
      <c r="O698" s="9"/>
      <c r="Q698" s="9"/>
      <c r="R698" s="9"/>
      <c r="S698" s="9"/>
    </row>
    <row r="699">
      <c r="A699" s="9"/>
      <c r="D699" s="9"/>
      <c r="E699" s="13"/>
      <c r="H699" s="9"/>
      <c r="I699" s="9"/>
      <c r="J699" s="9"/>
      <c r="K699" s="9"/>
      <c r="M699" s="9"/>
      <c r="N699" s="9"/>
      <c r="O699" s="9"/>
      <c r="Q699" s="9"/>
      <c r="R699" s="9"/>
      <c r="S699" s="9"/>
    </row>
    <row r="700">
      <c r="A700" s="9"/>
      <c r="D700" s="9"/>
      <c r="E700" s="13"/>
      <c r="H700" s="9"/>
      <c r="I700" s="9"/>
      <c r="J700" s="9"/>
      <c r="K700" s="9"/>
      <c r="M700" s="9"/>
      <c r="N700" s="9"/>
      <c r="O700" s="9"/>
      <c r="Q700" s="9"/>
      <c r="R700" s="9"/>
      <c r="S700" s="9"/>
    </row>
    <row r="701">
      <c r="A701" s="9"/>
      <c r="D701" s="9"/>
      <c r="E701" s="13"/>
      <c r="H701" s="9"/>
      <c r="I701" s="9"/>
      <c r="J701" s="9"/>
      <c r="K701" s="9"/>
      <c r="M701" s="9"/>
      <c r="N701" s="9"/>
      <c r="O701" s="9"/>
      <c r="Q701" s="9"/>
      <c r="R701" s="9"/>
      <c r="S701" s="9"/>
    </row>
    <row r="702">
      <c r="A702" s="9"/>
      <c r="D702" s="9"/>
      <c r="E702" s="13"/>
      <c r="H702" s="9"/>
      <c r="I702" s="9"/>
      <c r="J702" s="9"/>
      <c r="K702" s="9"/>
      <c r="M702" s="9"/>
      <c r="N702" s="9"/>
      <c r="O702" s="9"/>
      <c r="Q702" s="9"/>
      <c r="R702" s="9"/>
      <c r="S702" s="9"/>
    </row>
    <row r="703">
      <c r="A703" s="9"/>
      <c r="D703" s="9"/>
      <c r="E703" s="13"/>
      <c r="H703" s="9"/>
      <c r="I703" s="9"/>
      <c r="J703" s="9"/>
      <c r="K703" s="9"/>
      <c r="M703" s="9"/>
      <c r="N703" s="9"/>
      <c r="O703" s="9"/>
      <c r="Q703" s="9"/>
      <c r="R703" s="9"/>
      <c r="S703" s="9"/>
    </row>
    <row r="704">
      <c r="A704" s="9"/>
      <c r="D704" s="9"/>
      <c r="E704" s="13"/>
      <c r="H704" s="9"/>
      <c r="I704" s="9"/>
      <c r="J704" s="9"/>
      <c r="K704" s="9"/>
      <c r="M704" s="9"/>
      <c r="N704" s="9"/>
      <c r="O704" s="9"/>
      <c r="Q704" s="9"/>
      <c r="R704" s="9"/>
      <c r="S704" s="9"/>
    </row>
    <row r="705">
      <c r="A705" s="9"/>
      <c r="D705" s="9"/>
      <c r="E705" s="13"/>
      <c r="H705" s="9"/>
      <c r="I705" s="9"/>
      <c r="J705" s="9"/>
      <c r="K705" s="9"/>
      <c r="M705" s="9"/>
      <c r="N705" s="9"/>
      <c r="O705" s="9"/>
      <c r="Q705" s="9"/>
      <c r="R705" s="9"/>
      <c r="S705" s="9"/>
    </row>
    <row r="706">
      <c r="A706" s="9"/>
      <c r="D706" s="9"/>
      <c r="E706" s="13"/>
      <c r="H706" s="9"/>
      <c r="I706" s="9"/>
      <c r="J706" s="9"/>
      <c r="K706" s="9"/>
      <c r="M706" s="9"/>
      <c r="N706" s="9"/>
      <c r="O706" s="9"/>
      <c r="Q706" s="9"/>
      <c r="R706" s="9"/>
      <c r="S706" s="9"/>
    </row>
    <row r="707">
      <c r="A707" s="9"/>
      <c r="D707" s="9"/>
      <c r="E707" s="13"/>
      <c r="H707" s="9"/>
      <c r="I707" s="9"/>
      <c r="J707" s="9"/>
      <c r="K707" s="9"/>
      <c r="M707" s="9"/>
      <c r="N707" s="9"/>
      <c r="O707" s="9"/>
      <c r="Q707" s="9"/>
      <c r="R707" s="9"/>
      <c r="S707" s="9"/>
    </row>
    <row r="708">
      <c r="A708" s="9"/>
      <c r="D708" s="9"/>
      <c r="E708" s="13"/>
      <c r="H708" s="9"/>
      <c r="I708" s="9"/>
      <c r="J708" s="9"/>
      <c r="K708" s="9"/>
      <c r="M708" s="9"/>
      <c r="N708" s="9"/>
      <c r="O708" s="9"/>
      <c r="Q708" s="9"/>
      <c r="R708" s="9"/>
      <c r="S708" s="9"/>
    </row>
    <row r="709">
      <c r="A709" s="9"/>
      <c r="D709" s="9"/>
      <c r="E709" s="13"/>
      <c r="H709" s="9"/>
      <c r="I709" s="9"/>
      <c r="J709" s="9"/>
      <c r="K709" s="9"/>
      <c r="M709" s="9"/>
      <c r="N709" s="9"/>
      <c r="O709" s="9"/>
      <c r="Q709" s="9"/>
      <c r="R709" s="9"/>
      <c r="S709" s="9"/>
    </row>
    <row r="710">
      <c r="A710" s="9"/>
      <c r="D710" s="9"/>
      <c r="E710" s="13"/>
      <c r="H710" s="9"/>
      <c r="I710" s="9"/>
      <c r="J710" s="9"/>
      <c r="K710" s="9"/>
      <c r="M710" s="9"/>
      <c r="N710" s="9"/>
      <c r="O710" s="9"/>
      <c r="Q710" s="9"/>
      <c r="R710" s="9"/>
      <c r="S710" s="9"/>
    </row>
    <row r="711">
      <c r="A711" s="9"/>
      <c r="D711" s="9"/>
      <c r="E711" s="13"/>
      <c r="H711" s="9"/>
      <c r="I711" s="9"/>
      <c r="J711" s="9"/>
      <c r="K711" s="9"/>
      <c r="M711" s="9"/>
      <c r="N711" s="9"/>
      <c r="O711" s="9"/>
      <c r="Q711" s="9"/>
      <c r="R711" s="9"/>
      <c r="S711" s="9"/>
    </row>
    <row r="712">
      <c r="A712" s="9"/>
      <c r="D712" s="9"/>
      <c r="E712" s="13"/>
      <c r="H712" s="9"/>
      <c r="I712" s="9"/>
      <c r="J712" s="9"/>
      <c r="K712" s="9"/>
      <c r="M712" s="9"/>
      <c r="N712" s="9"/>
      <c r="O712" s="9"/>
      <c r="Q712" s="9"/>
      <c r="R712" s="9"/>
      <c r="S712" s="9"/>
    </row>
    <row r="713">
      <c r="A713" s="9"/>
      <c r="D713" s="9"/>
      <c r="E713" s="13"/>
      <c r="H713" s="9"/>
      <c r="I713" s="9"/>
      <c r="J713" s="9"/>
      <c r="K713" s="9"/>
      <c r="M713" s="9"/>
      <c r="N713" s="9"/>
      <c r="O713" s="9"/>
      <c r="Q713" s="9"/>
      <c r="R713" s="9"/>
      <c r="S713" s="9"/>
    </row>
    <row r="714">
      <c r="A714" s="9"/>
      <c r="D714" s="9"/>
      <c r="E714" s="13"/>
      <c r="H714" s="9"/>
      <c r="I714" s="9"/>
      <c r="J714" s="9"/>
      <c r="K714" s="9"/>
      <c r="M714" s="9"/>
      <c r="N714" s="9"/>
      <c r="O714" s="9"/>
      <c r="Q714" s="9"/>
      <c r="R714" s="9"/>
      <c r="S714" s="9"/>
    </row>
    <row r="715">
      <c r="A715" s="9"/>
      <c r="D715" s="9"/>
      <c r="E715" s="13"/>
      <c r="H715" s="9"/>
      <c r="I715" s="9"/>
      <c r="J715" s="9"/>
      <c r="K715" s="9"/>
      <c r="M715" s="9"/>
      <c r="N715" s="9"/>
      <c r="O715" s="9"/>
      <c r="Q715" s="9"/>
      <c r="R715" s="9"/>
      <c r="S715" s="9"/>
    </row>
    <row r="716">
      <c r="A716" s="9"/>
      <c r="D716" s="9"/>
      <c r="E716" s="13"/>
      <c r="H716" s="9"/>
      <c r="I716" s="9"/>
      <c r="J716" s="9"/>
      <c r="K716" s="9"/>
      <c r="M716" s="9"/>
      <c r="N716" s="9"/>
      <c r="O716" s="9"/>
      <c r="Q716" s="9"/>
      <c r="R716" s="9"/>
      <c r="S716" s="9"/>
    </row>
    <row r="717">
      <c r="A717" s="9"/>
      <c r="D717" s="9"/>
      <c r="E717" s="13"/>
      <c r="H717" s="9"/>
      <c r="I717" s="9"/>
      <c r="J717" s="9"/>
      <c r="K717" s="9"/>
      <c r="M717" s="9"/>
      <c r="N717" s="9"/>
      <c r="O717" s="9"/>
      <c r="Q717" s="9"/>
      <c r="R717" s="9"/>
      <c r="S717" s="9"/>
    </row>
    <row r="718">
      <c r="A718" s="9"/>
      <c r="D718" s="9"/>
      <c r="E718" s="13"/>
      <c r="H718" s="9"/>
      <c r="I718" s="9"/>
      <c r="J718" s="9"/>
      <c r="K718" s="9"/>
      <c r="M718" s="9"/>
      <c r="N718" s="9"/>
      <c r="O718" s="9"/>
      <c r="Q718" s="9"/>
      <c r="R718" s="9"/>
      <c r="S718" s="9"/>
    </row>
    <row r="719">
      <c r="A719" s="9"/>
      <c r="D719" s="9"/>
      <c r="E719" s="13"/>
      <c r="H719" s="9"/>
      <c r="I719" s="9"/>
      <c r="J719" s="9"/>
      <c r="K719" s="9"/>
      <c r="M719" s="9"/>
      <c r="N719" s="9"/>
      <c r="O719" s="9"/>
      <c r="Q719" s="9"/>
      <c r="R719" s="9"/>
      <c r="S719" s="9"/>
    </row>
    <row r="720">
      <c r="A720" s="9"/>
      <c r="D720" s="9"/>
      <c r="E720" s="13"/>
      <c r="H720" s="9"/>
      <c r="I720" s="9"/>
      <c r="J720" s="9"/>
      <c r="K720" s="9"/>
      <c r="M720" s="9"/>
      <c r="N720" s="9"/>
      <c r="O720" s="9"/>
      <c r="Q720" s="9"/>
      <c r="R720" s="9"/>
      <c r="S720" s="9"/>
    </row>
    <row r="721">
      <c r="A721" s="9"/>
      <c r="D721" s="9"/>
      <c r="E721" s="13"/>
      <c r="H721" s="9"/>
      <c r="I721" s="9"/>
      <c r="J721" s="9"/>
      <c r="K721" s="9"/>
      <c r="M721" s="9"/>
      <c r="N721" s="9"/>
      <c r="O721" s="9"/>
      <c r="Q721" s="9"/>
      <c r="R721" s="9"/>
      <c r="S721" s="9"/>
    </row>
    <row r="722">
      <c r="A722" s="9"/>
      <c r="D722" s="9"/>
      <c r="E722" s="13"/>
      <c r="H722" s="9"/>
      <c r="I722" s="9"/>
      <c r="J722" s="9"/>
      <c r="K722" s="9"/>
      <c r="M722" s="9"/>
      <c r="N722" s="9"/>
      <c r="O722" s="9"/>
      <c r="Q722" s="9"/>
      <c r="R722" s="9"/>
      <c r="S722" s="9"/>
    </row>
    <row r="723">
      <c r="A723" s="9"/>
      <c r="D723" s="9"/>
      <c r="E723" s="13"/>
      <c r="H723" s="9"/>
      <c r="I723" s="9"/>
      <c r="J723" s="9"/>
      <c r="K723" s="9"/>
      <c r="M723" s="9"/>
      <c r="N723" s="9"/>
      <c r="O723" s="9"/>
      <c r="Q723" s="9"/>
      <c r="R723" s="9"/>
      <c r="S723" s="9"/>
    </row>
    <row r="724">
      <c r="A724" s="9"/>
      <c r="D724" s="9"/>
      <c r="E724" s="13"/>
      <c r="H724" s="9"/>
      <c r="I724" s="9"/>
      <c r="J724" s="9"/>
      <c r="K724" s="9"/>
      <c r="M724" s="9"/>
      <c r="N724" s="9"/>
      <c r="O724" s="9"/>
      <c r="Q724" s="9"/>
      <c r="R724" s="9"/>
      <c r="S724" s="9"/>
    </row>
    <row r="725">
      <c r="A725" s="9"/>
      <c r="D725" s="9"/>
      <c r="E725" s="13"/>
      <c r="H725" s="9"/>
      <c r="I725" s="9"/>
      <c r="J725" s="9"/>
      <c r="K725" s="9"/>
      <c r="M725" s="9"/>
      <c r="N725" s="9"/>
      <c r="O725" s="9"/>
      <c r="Q725" s="9"/>
      <c r="R725" s="9"/>
      <c r="S725" s="9"/>
    </row>
    <row r="726">
      <c r="A726" s="9"/>
      <c r="D726" s="9"/>
      <c r="E726" s="13"/>
      <c r="H726" s="9"/>
      <c r="I726" s="9"/>
      <c r="J726" s="9"/>
      <c r="K726" s="9"/>
      <c r="M726" s="9"/>
      <c r="N726" s="9"/>
      <c r="O726" s="9"/>
      <c r="Q726" s="9"/>
      <c r="R726" s="9"/>
      <c r="S726" s="9"/>
    </row>
    <row r="727">
      <c r="A727" s="9"/>
      <c r="D727" s="9"/>
      <c r="E727" s="13"/>
      <c r="H727" s="9"/>
      <c r="I727" s="9"/>
      <c r="J727" s="9"/>
      <c r="K727" s="9"/>
      <c r="M727" s="9"/>
      <c r="N727" s="9"/>
      <c r="O727" s="9"/>
      <c r="Q727" s="9"/>
      <c r="R727" s="9"/>
      <c r="S727" s="9"/>
    </row>
    <row r="728">
      <c r="A728" s="9"/>
      <c r="D728" s="9"/>
      <c r="E728" s="13"/>
      <c r="H728" s="9"/>
      <c r="I728" s="9"/>
      <c r="J728" s="9"/>
      <c r="K728" s="9"/>
      <c r="M728" s="9"/>
      <c r="N728" s="9"/>
      <c r="O728" s="9"/>
      <c r="Q728" s="9"/>
      <c r="R728" s="9"/>
      <c r="S728" s="9"/>
    </row>
    <row r="729">
      <c r="A729" s="9"/>
      <c r="D729" s="9"/>
      <c r="E729" s="13"/>
      <c r="H729" s="9"/>
      <c r="I729" s="9"/>
      <c r="J729" s="9"/>
      <c r="K729" s="9"/>
      <c r="M729" s="9"/>
      <c r="N729" s="9"/>
      <c r="O729" s="9"/>
      <c r="Q729" s="9"/>
      <c r="R729" s="9"/>
      <c r="S729" s="9"/>
    </row>
    <row r="730">
      <c r="A730" s="9"/>
      <c r="D730" s="9"/>
      <c r="E730" s="13"/>
      <c r="H730" s="9"/>
      <c r="I730" s="9"/>
      <c r="J730" s="9"/>
      <c r="K730" s="9"/>
      <c r="M730" s="9"/>
      <c r="N730" s="9"/>
      <c r="O730" s="9"/>
      <c r="Q730" s="9"/>
      <c r="R730" s="9"/>
      <c r="S730" s="9"/>
    </row>
    <row r="731">
      <c r="A731" s="9"/>
      <c r="D731" s="9"/>
      <c r="E731" s="13"/>
      <c r="H731" s="9"/>
      <c r="I731" s="9"/>
      <c r="J731" s="9"/>
      <c r="K731" s="9"/>
      <c r="M731" s="9"/>
      <c r="N731" s="9"/>
      <c r="O731" s="9"/>
      <c r="Q731" s="9"/>
      <c r="R731" s="9"/>
      <c r="S731" s="9"/>
    </row>
    <row r="732">
      <c r="A732" s="9"/>
      <c r="D732" s="9"/>
      <c r="E732" s="13"/>
      <c r="H732" s="9"/>
      <c r="I732" s="9"/>
      <c r="J732" s="9"/>
      <c r="K732" s="9"/>
      <c r="M732" s="9"/>
      <c r="N732" s="9"/>
      <c r="O732" s="9"/>
      <c r="Q732" s="9"/>
      <c r="R732" s="9"/>
      <c r="S732" s="9"/>
    </row>
    <row r="733">
      <c r="A733" s="9"/>
      <c r="D733" s="9"/>
      <c r="E733" s="13"/>
      <c r="H733" s="9"/>
      <c r="I733" s="9"/>
      <c r="J733" s="9"/>
      <c r="K733" s="9"/>
      <c r="M733" s="9"/>
      <c r="N733" s="9"/>
      <c r="O733" s="9"/>
      <c r="Q733" s="9"/>
      <c r="R733" s="9"/>
      <c r="S733" s="9"/>
    </row>
    <row r="734">
      <c r="A734" s="9"/>
      <c r="D734" s="9"/>
      <c r="E734" s="13"/>
      <c r="H734" s="9"/>
      <c r="I734" s="9"/>
      <c r="J734" s="9"/>
      <c r="K734" s="9"/>
      <c r="M734" s="9"/>
      <c r="N734" s="9"/>
      <c r="O734" s="9"/>
      <c r="Q734" s="9"/>
      <c r="R734" s="9"/>
      <c r="S734" s="9"/>
    </row>
    <row r="735">
      <c r="A735" s="9"/>
      <c r="D735" s="9"/>
      <c r="E735" s="13"/>
      <c r="H735" s="9"/>
      <c r="I735" s="9"/>
      <c r="J735" s="9"/>
      <c r="K735" s="9"/>
      <c r="M735" s="9"/>
      <c r="N735" s="9"/>
      <c r="O735" s="9"/>
      <c r="Q735" s="9"/>
      <c r="R735" s="9"/>
      <c r="S735" s="9"/>
    </row>
    <row r="736">
      <c r="A736" s="9"/>
      <c r="D736" s="9"/>
      <c r="E736" s="13"/>
      <c r="H736" s="9"/>
      <c r="I736" s="9"/>
      <c r="J736" s="9"/>
      <c r="K736" s="9"/>
      <c r="M736" s="9"/>
      <c r="N736" s="9"/>
      <c r="O736" s="9"/>
      <c r="Q736" s="9"/>
      <c r="R736" s="9"/>
      <c r="S736" s="9"/>
    </row>
    <row r="737">
      <c r="A737" s="9"/>
      <c r="D737" s="9"/>
      <c r="E737" s="13"/>
      <c r="H737" s="9"/>
      <c r="I737" s="9"/>
      <c r="J737" s="9"/>
      <c r="K737" s="9"/>
      <c r="M737" s="9"/>
      <c r="N737" s="9"/>
      <c r="O737" s="9"/>
      <c r="Q737" s="9"/>
      <c r="R737" s="9"/>
      <c r="S737" s="9"/>
    </row>
    <row r="738">
      <c r="A738" s="9"/>
      <c r="D738" s="9"/>
      <c r="E738" s="13"/>
      <c r="H738" s="9"/>
      <c r="I738" s="9"/>
      <c r="J738" s="9"/>
      <c r="K738" s="9"/>
      <c r="M738" s="9"/>
      <c r="N738" s="9"/>
      <c r="O738" s="9"/>
      <c r="Q738" s="9"/>
      <c r="R738" s="9"/>
      <c r="S738" s="9"/>
    </row>
    <row r="739">
      <c r="A739" s="9"/>
      <c r="D739" s="9"/>
      <c r="E739" s="13"/>
      <c r="H739" s="9"/>
      <c r="I739" s="9"/>
      <c r="J739" s="9"/>
      <c r="K739" s="9"/>
      <c r="M739" s="9"/>
      <c r="N739" s="9"/>
      <c r="O739" s="9"/>
      <c r="Q739" s="9"/>
      <c r="R739" s="9"/>
      <c r="S739" s="9"/>
    </row>
    <row r="740">
      <c r="A740" s="9"/>
      <c r="D740" s="9"/>
      <c r="E740" s="13"/>
      <c r="H740" s="9"/>
      <c r="I740" s="9"/>
      <c r="J740" s="9"/>
      <c r="K740" s="9"/>
      <c r="M740" s="9"/>
      <c r="N740" s="9"/>
      <c r="O740" s="9"/>
      <c r="Q740" s="9"/>
      <c r="R740" s="9"/>
      <c r="S740" s="9"/>
    </row>
    <row r="741">
      <c r="A741" s="9"/>
      <c r="D741" s="9"/>
      <c r="E741" s="13"/>
      <c r="H741" s="9"/>
      <c r="I741" s="9"/>
      <c r="J741" s="9"/>
      <c r="K741" s="9"/>
      <c r="M741" s="9"/>
      <c r="N741" s="9"/>
      <c r="O741" s="9"/>
      <c r="Q741" s="9"/>
      <c r="R741" s="9"/>
      <c r="S741" s="9"/>
    </row>
    <row r="742">
      <c r="A742" s="9"/>
      <c r="D742" s="9"/>
      <c r="E742" s="13"/>
      <c r="H742" s="9"/>
      <c r="I742" s="9"/>
      <c r="J742" s="9"/>
      <c r="K742" s="9"/>
      <c r="M742" s="9"/>
      <c r="N742" s="9"/>
      <c r="O742" s="9"/>
      <c r="Q742" s="9"/>
      <c r="R742" s="9"/>
      <c r="S742" s="9"/>
    </row>
    <row r="743">
      <c r="A743" s="9"/>
      <c r="D743" s="9"/>
      <c r="E743" s="13"/>
      <c r="H743" s="9"/>
      <c r="I743" s="9"/>
      <c r="J743" s="9"/>
      <c r="K743" s="9"/>
      <c r="M743" s="9"/>
      <c r="N743" s="9"/>
      <c r="O743" s="9"/>
      <c r="Q743" s="9"/>
      <c r="R743" s="9"/>
      <c r="S743" s="9"/>
    </row>
    <row r="744">
      <c r="A744" s="9"/>
      <c r="D744" s="9"/>
      <c r="E744" s="13"/>
      <c r="H744" s="9"/>
      <c r="I744" s="9"/>
      <c r="J744" s="9"/>
      <c r="K744" s="9"/>
      <c r="M744" s="9"/>
      <c r="N744" s="9"/>
      <c r="O744" s="9"/>
      <c r="Q744" s="9"/>
      <c r="R744" s="9"/>
      <c r="S744" s="9"/>
    </row>
    <row r="745">
      <c r="A745" s="9"/>
      <c r="D745" s="9"/>
      <c r="E745" s="13"/>
      <c r="H745" s="9"/>
      <c r="I745" s="9"/>
      <c r="J745" s="9"/>
      <c r="K745" s="9"/>
      <c r="M745" s="9"/>
      <c r="N745" s="9"/>
      <c r="O745" s="9"/>
      <c r="Q745" s="9"/>
      <c r="R745" s="9"/>
      <c r="S745" s="9"/>
    </row>
    <row r="746">
      <c r="A746" s="9"/>
      <c r="D746" s="9"/>
      <c r="E746" s="13"/>
      <c r="H746" s="9"/>
      <c r="I746" s="9"/>
      <c r="J746" s="9"/>
      <c r="K746" s="9"/>
      <c r="M746" s="9"/>
      <c r="N746" s="9"/>
      <c r="O746" s="9"/>
      <c r="Q746" s="9"/>
      <c r="R746" s="9"/>
      <c r="S746" s="9"/>
    </row>
    <row r="747">
      <c r="A747" s="9"/>
      <c r="D747" s="9"/>
      <c r="E747" s="13"/>
      <c r="H747" s="9"/>
      <c r="I747" s="9"/>
      <c r="J747" s="9"/>
      <c r="K747" s="9"/>
      <c r="M747" s="9"/>
      <c r="N747" s="9"/>
      <c r="O747" s="9"/>
      <c r="Q747" s="9"/>
      <c r="R747" s="9"/>
      <c r="S747" s="9"/>
    </row>
    <row r="748">
      <c r="A748" s="9"/>
      <c r="D748" s="9"/>
      <c r="E748" s="13"/>
      <c r="H748" s="9"/>
      <c r="I748" s="9"/>
      <c r="J748" s="9"/>
      <c r="K748" s="9"/>
      <c r="M748" s="9"/>
      <c r="N748" s="9"/>
      <c r="O748" s="9"/>
      <c r="Q748" s="9"/>
      <c r="R748" s="9"/>
      <c r="S748" s="9"/>
    </row>
    <row r="749">
      <c r="A749" s="9"/>
      <c r="D749" s="9"/>
      <c r="E749" s="13"/>
      <c r="H749" s="9"/>
      <c r="I749" s="9"/>
      <c r="J749" s="9"/>
      <c r="K749" s="9"/>
      <c r="M749" s="9"/>
      <c r="N749" s="9"/>
      <c r="O749" s="9"/>
      <c r="Q749" s="9"/>
      <c r="R749" s="9"/>
      <c r="S749" s="9"/>
    </row>
    <row r="750">
      <c r="A750" s="9"/>
      <c r="D750" s="9"/>
      <c r="E750" s="13"/>
      <c r="H750" s="9"/>
      <c r="I750" s="9"/>
      <c r="J750" s="9"/>
      <c r="K750" s="9"/>
      <c r="M750" s="9"/>
      <c r="N750" s="9"/>
      <c r="O750" s="9"/>
      <c r="Q750" s="9"/>
      <c r="R750" s="9"/>
      <c r="S750" s="9"/>
    </row>
    <row r="751">
      <c r="A751" s="9"/>
      <c r="D751" s="9"/>
      <c r="E751" s="13"/>
      <c r="H751" s="9"/>
      <c r="I751" s="9"/>
      <c r="J751" s="9"/>
      <c r="K751" s="9"/>
      <c r="M751" s="9"/>
      <c r="N751" s="9"/>
      <c r="O751" s="9"/>
      <c r="Q751" s="9"/>
      <c r="R751" s="9"/>
      <c r="S751" s="9"/>
    </row>
    <row r="752">
      <c r="A752" s="9"/>
      <c r="D752" s="9"/>
      <c r="E752" s="13"/>
      <c r="H752" s="9"/>
      <c r="I752" s="9"/>
      <c r="J752" s="9"/>
      <c r="K752" s="9"/>
      <c r="M752" s="9"/>
      <c r="N752" s="9"/>
      <c r="O752" s="9"/>
      <c r="Q752" s="9"/>
      <c r="R752" s="9"/>
      <c r="S752" s="9"/>
    </row>
    <row r="753">
      <c r="A753" s="9"/>
      <c r="D753" s="9"/>
      <c r="E753" s="13"/>
      <c r="H753" s="9"/>
      <c r="I753" s="9"/>
      <c r="J753" s="9"/>
      <c r="K753" s="9"/>
      <c r="M753" s="9"/>
      <c r="N753" s="9"/>
      <c r="O753" s="9"/>
      <c r="Q753" s="9"/>
      <c r="R753" s="9"/>
      <c r="S753" s="9"/>
    </row>
    <row r="754">
      <c r="A754" s="9"/>
      <c r="D754" s="9"/>
      <c r="E754" s="13"/>
      <c r="H754" s="9"/>
      <c r="I754" s="9"/>
      <c r="J754" s="9"/>
      <c r="K754" s="9"/>
      <c r="M754" s="9"/>
      <c r="N754" s="9"/>
      <c r="O754" s="9"/>
      <c r="Q754" s="9"/>
      <c r="R754" s="9"/>
      <c r="S754" s="9"/>
    </row>
    <row r="755">
      <c r="A755" s="9"/>
      <c r="D755" s="9"/>
      <c r="E755" s="13"/>
      <c r="H755" s="9"/>
      <c r="I755" s="9"/>
      <c r="J755" s="9"/>
      <c r="K755" s="9"/>
      <c r="M755" s="9"/>
      <c r="N755" s="9"/>
      <c r="O755" s="9"/>
      <c r="Q755" s="9"/>
      <c r="R755" s="9"/>
      <c r="S755" s="9"/>
    </row>
    <row r="756">
      <c r="A756" s="9"/>
      <c r="D756" s="9"/>
      <c r="E756" s="13"/>
      <c r="H756" s="9"/>
      <c r="I756" s="9"/>
      <c r="J756" s="9"/>
      <c r="K756" s="9"/>
      <c r="M756" s="9"/>
      <c r="N756" s="9"/>
      <c r="O756" s="9"/>
      <c r="Q756" s="9"/>
      <c r="R756" s="9"/>
      <c r="S756" s="9"/>
    </row>
    <row r="757">
      <c r="A757" s="9"/>
      <c r="D757" s="9"/>
      <c r="E757" s="13"/>
      <c r="H757" s="9"/>
      <c r="I757" s="9"/>
      <c r="J757" s="9"/>
      <c r="K757" s="9"/>
      <c r="M757" s="9"/>
      <c r="N757" s="9"/>
      <c r="O757" s="9"/>
      <c r="Q757" s="9"/>
      <c r="R757" s="9"/>
      <c r="S757" s="9"/>
    </row>
    <row r="758">
      <c r="A758" s="9"/>
      <c r="D758" s="9"/>
      <c r="E758" s="13"/>
      <c r="H758" s="9"/>
      <c r="I758" s="9"/>
      <c r="J758" s="9"/>
      <c r="K758" s="9"/>
      <c r="M758" s="9"/>
      <c r="N758" s="9"/>
      <c r="O758" s="9"/>
      <c r="Q758" s="9"/>
      <c r="R758" s="9"/>
      <c r="S758" s="9"/>
    </row>
    <row r="759">
      <c r="A759" s="9"/>
      <c r="D759" s="9"/>
      <c r="E759" s="13"/>
      <c r="H759" s="9"/>
      <c r="I759" s="9"/>
      <c r="J759" s="9"/>
      <c r="K759" s="9"/>
      <c r="M759" s="9"/>
      <c r="N759" s="9"/>
      <c r="O759" s="9"/>
      <c r="Q759" s="9"/>
      <c r="R759" s="9"/>
      <c r="S759" s="9"/>
    </row>
    <row r="760">
      <c r="A760" s="9"/>
      <c r="D760" s="9"/>
      <c r="E760" s="13"/>
      <c r="H760" s="9"/>
      <c r="I760" s="9"/>
      <c r="J760" s="9"/>
      <c r="K760" s="9"/>
      <c r="M760" s="9"/>
      <c r="N760" s="9"/>
      <c r="O760" s="9"/>
      <c r="Q760" s="9"/>
      <c r="R760" s="9"/>
      <c r="S760" s="9"/>
    </row>
    <row r="761">
      <c r="A761" s="9"/>
      <c r="D761" s="9"/>
      <c r="E761" s="13"/>
      <c r="H761" s="9"/>
      <c r="I761" s="9"/>
      <c r="J761" s="9"/>
      <c r="K761" s="9"/>
      <c r="M761" s="9"/>
      <c r="N761" s="9"/>
      <c r="O761" s="9"/>
      <c r="Q761" s="9"/>
      <c r="R761" s="9"/>
      <c r="S761" s="9"/>
    </row>
    <row r="762">
      <c r="A762" s="9"/>
      <c r="D762" s="9"/>
      <c r="E762" s="13"/>
      <c r="H762" s="9"/>
      <c r="I762" s="9"/>
      <c r="J762" s="9"/>
      <c r="K762" s="9"/>
      <c r="M762" s="9"/>
      <c r="N762" s="9"/>
      <c r="O762" s="9"/>
      <c r="Q762" s="9"/>
      <c r="R762" s="9"/>
      <c r="S762" s="9"/>
    </row>
    <row r="763">
      <c r="A763" s="9"/>
      <c r="D763" s="9"/>
      <c r="E763" s="13"/>
      <c r="H763" s="9"/>
      <c r="I763" s="9"/>
      <c r="J763" s="9"/>
      <c r="K763" s="9"/>
      <c r="M763" s="9"/>
      <c r="N763" s="9"/>
      <c r="O763" s="9"/>
      <c r="Q763" s="9"/>
      <c r="R763" s="9"/>
      <c r="S763" s="9"/>
    </row>
    <row r="764">
      <c r="A764" s="9"/>
      <c r="D764" s="9"/>
      <c r="E764" s="13"/>
      <c r="H764" s="9"/>
      <c r="I764" s="9"/>
      <c r="J764" s="9"/>
      <c r="K764" s="9"/>
      <c r="M764" s="9"/>
      <c r="N764" s="9"/>
      <c r="O764" s="9"/>
      <c r="Q764" s="9"/>
      <c r="R764" s="9"/>
      <c r="S764" s="9"/>
    </row>
    <row r="765">
      <c r="A765" s="9"/>
      <c r="D765" s="9"/>
      <c r="E765" s="13"/>
      <c r="H765" s="9"/>
      <c r="I765" s="9"/>
      <c r="J765" s="9"/>
      <c r="K765" s="9"/>
      <c r="M765" s="9"/>
      <c r="N765" s="9"/>
      <c r="O765" s="9"/>
      <c r="Q765" s="9"/>
      <c r="R765" s="9"/>
      <c r="S765" s="9"/>
    </row>
    <row r="766">
      <c r="A766" s="9"/>
      <c r="D766" s="9"/>
      <c r="E766" s="13"/>
      <c r="H766" s="9"/>
      <c r="I766" s="9"/>
      <c r="J766" s="9"/>
      <c r="K766" s="9"/>
      <c r="M766" s="9"/>
      <c r="N766" s="9"/>
      <c r="O766" s="9"/>
      <c r="Q766" s="9"/>
      <c r="R766" s="9"/>
      <c r="S766" s="9"/>
    </row>
    <row r="767">
      <c r="A767" s="9"/>
      <c r="D767" s="9"/>
      <c r="E767" s="13"/>
      <c r="H767" s="9"/>
      <c r="I767" s="9"/>
      <c r="J767" s="9"/>
      <c r="K767" s="9"/>
      <c r="M767" s="9"/>
      <c r="N767" s="9"/>
      <c r="O767" s="9"/>
      <c r="Q767" s="9"/>
      <c r="R767" s="9"/>
      <c r="S767" s="9"/>
    </row>
    <row r="768">
      <c r="A768" s="9"/>
      <c r="D768" s="9"/>
      <c r="E768" s="13"/>
      <c r="H768" s="9"/>
      <c r="I768" s="9"/>
      <c r="J768" s="9"/>
      <c r="K768" s="9"/>
      <c r="M768" s="9"/>
      <c r="N768" s="9"/>
      <c r="O768" s="9"/>
      <c r="Q768" s="9"/>
      <c r="R768" s="9"/>
      <c r="S768" s="9"/>
    </row>
    <row r="769">
      <c r="A769" s="9"/>
      <c r="D769" s="9"/>
      <c r="E769" s="13"/>
      <c r="H769" s="9"/>
      <c r="I769" s="9"/>
      <c r="J769" s="9"/>
      <c r="K769" s="9"/>
      <c r="M769" s="9"/>
      <c r="N769" s="9"/>
      <c r="O769" s="9"/>
      <c r="Q769" s="9"/>
      <c r="R769" s="9"/>
      <c r="S769" s="9"/>
    </row>
    <row r="770">
      <c r="A770" s="9"/>
      <c r="D770" s="9"/>
      <c r="E770" s="13"/>
      <c r="H770" s="9"/>
      <c r="I770" s="9"/>
      <c r="J770" s="9"/>
      <c r="K770" s="9"/>
      <c r="M770" s="9"/>
      <c r="N770" s="9"/>
      <c r="O770" s="9"/>
      <c r="Q770" s="9"/>
      <c r="R770" s="9"/>
      <c r="S770" s="9"/>
    </row>
    <row r="771">
      <c r="A771" s="9"/>
      <c r="D771" s="9"/>
      <c r="E771" s="13"/>
      <c r="H771" s="9"/>
      <c r="I771" s="9"/>
      <c r="J771" s="9"/>
      <c r="K771" s="9"/>
      <c r="M771" s="9"/>
      <c r="N771" s="9"/>
      <c r="O771" s="9"/>
      <c r="Q771" s="9"/>
      <c r="R771" s="9"/>
      <c r="S771" s="9"/>
    </row>
    <row r="772">
      <c r="A772" s="9"/>
      <c r="D772" s="9"/>
      <c r="E772" s="13"/>
      <c r="H772" s="9"/>
      <c r="I772" s="9"/>
      <c r="J772" s="9"/>
      <c r="K772" s="9"/>
      <c r="M772" s="9"/>
      <c r="N772" s="9"/>
      <c r="O772" s="9"/>
      <c r="Q772" s="9"/>
      <c r="R772" s="9"/>
      <c r="S772" s="9"/>
    </row>
    <row r="773">
      <c r="A773" s="9"/>
      <c r="D773" s="9"/>
      <c r="E773" s="13"/>
      <c r="H773" s="9"/>
      <c r="I773" s="9"/>
      <c r="J773" s="9"/>
      <c r="K773" s="9"/>
      <c r="M773" s="9"/>
      <c r="N773" s="9"/>
      <c r="O773" s="9"/>
      <c r="Q773" s="9"/>
      <c r="R773" s="9"/>
      <c r="S773" s="9"/>
    </row>
    <row r="774">
      <c r="A774" s="9"/>
      <c r="D774" s="9"/>
      <c r="E774" s="13"/>
      <c r="H774" s="9"/>
      <c r="I774" s="9"/>
      <c r="J774" s="9"/>
      <c r="K774" s="9"/>
      <c r="M774" s="9"/>
      <c r="N774" s="9"/>
      <c r="O774" s="9"/>
      <c r="Q774" s="9"/>
      <c r="R774" s="9"/>
      <c r="S774" s="9"/>
    </row>
    <row r="775">
      <c r="A775" s="9"/>
      <c r="D775" s="9"/>
      <c r="E775" s="13"/>
      <c r="H775" s="9"/>
      <c r="I775" s="9"/>
      <c r="J775" s="9"/>
      <c r="K775" s="9"/>
      <c r="M775" s="9"/>
      <c r="N775" s="9"/>
      <c r="O775" s="9"/>
      <c r="Q775" s="9"/>
      <c r="R775" s="9"/>
      <c r="S775" s="9"/>
    </row>
    <row r="776">
      <c r="A776" s="9"/>
      <c r="D776" s="9"/>
      <c r="E776" s="13"/>
      <c r="H776" s="9"/>
      <c r="I776" s="9"/>
      <c r="J776" s="9"/>
      <c r="K776" s="9"/>
      <c r="M776" s="9"/>
      <c r="N776" s="9"/>
      <c r="O776" s="9"/>
      <c r="Q776" s="9"/>
      <c r="R776" s="9"/>
      <c r="S776" s="9"/>
    </row>
    <row r="777">
      <c r="A777" s="9"/>
      <c r="D777" s="9"/>
      <c r="E777" s="13"/>
      <c r="H777" s="9"/>
      <c r="I777" s="9"/>
      <c r="J777" s="9"/>
      <c r="K777" s="9"/>
      <c r="M777" s="9"/>
      <c r="N777" s="9"/>
      <c r="O777" s="9"/>
      <c r="Q777" s="9"/>
      <c r="R777" s="9"/>
      <c r="S777" s="9"/>
    </row>
    <row r="778">
      <c r="A778" s="9"/>
      <c r="D778" s="9"/>
      <c r="E778" s="13"/>
      <c r="H778" s="9"/>
      <c r="I778" s="9"/>
      <c r="J778" s="9"/>
      <c r="K778" s="9"/>
      <c r="M778" s="9"/>
      <c r="N778" s="9"/>
      <c r="O778" s="9"/>
      <c r="Q778" s="9"/>
      <c r="R778" s="9"/>
      <c r="S778" s="9"/>
    </row>
    <row r="779">
      <c r="A779" s="9"/>
      <c r="D779" s="9"/>
      <c r="E779" s="13"/>
      <c r="H779" s="9"/>
      <c r="I779" s="9"/>
      <c r="J779" s="9"/>
      <c r="K779" s="9"/>
      <c r="M779" s="9"/>
      <c r="N779" s="9"/>
      <c r="O779" s="9"/>
      <c r="Q779" s="9"/>
      <c r="R779" s="9"/>
      <c r="S779" s="9"/>
    </row>
    <row r="780">
      <c r="A780" s="9"/>
      <c r="D780" s="9"/>
      <c r="E780" s="13"/>
      <c r="H780" s="9"/>
      <c r="I780" s="9"/>
      <c r="J780" s="9"/>
      <c r="K780" s="9"/>
      <c r="M780" s="9"/>
      <c r="N780" s="9"/>
      <c r="O780" s="9"/>
      <c r="Q780" s="9"/>
      <c r="R780" s="9"/>
      <c r="S780" s="9"/>
    </row>
    <row r="781">
      <c r="A781" s="9"/>
      <c r="D781" s="9"/>
      <c r="E781" s="13"/>
      <c r="H781" s="9"/>
      <c r="I781" s="9"/>
      <c r="J781" s="9"/>
      <c r="K781" s="9"/>
      <c r="M781" s="9"/>
      <c r="N781" s="9"/>
      <c r="O781" s="9"/>
      <c r="Q781" s="9"/>
      <c r="R781" s="9"/>
      <c r="S781" s="9"/>
    </row>
    <row r="782">
      <c r="A782" s="9"/>
      <c r="D782" s="9"/>
      <c r="E782" s="13"/>
      <c r="H782" s="9"/>
      <c r="I782" s="9"/>
      <c r="J782" s="9"/>
      <c r="K782" s="9"/>
      <c r="M782" s="9"/>
      <c r="N782" s="9"/>
      <c r="O782" s="9"/>
      <c r="Q782" s="9"/>
      <c r="R782" s="9"/>
      <c r="S782" s="9"/>
    </row>
    <row r="783">
      <c r="A783" s="9"/>
      <c r="D783" s="9"/>
      <c r="E783" s="13"/>
      <c r="H783" s="9"/>
      <c r="I783" s="9"/>
      <c r="J783" s="9"/>
      <c r="K783" s="9"/>
      <c r="M783" s="9"/>
      <c r="N783" s="9"/>
      <c r="O783" s="9"/>
      <c r="Q783" s="9"/>
      <c r="R783" s="9"/>
      <c r="S783" s="9"/>
    </row>
    <row r="784">
      <c r="A784" s="9"/>
      <c r="D784" s="9"/>
      <c r="E784" s="13"/>
      <c r="H784" s="9"/>
      <c r="I784" s="9"/>
      <c r="J784" s="9"/>
      <c r="K784" s="9"/>
      <c r="M784" s="9"/>
      <c r="N784" s="9"/>
      <c r="O784" s="9"/>
      <c r="Q784" s="9"/>
      <c r="R784" s="9"/>
      <c r="S784" s="9"/>
    </row>
    <row r="785">
      <c r="A785" s="9"/>
      <c r="D785" s="9"/>
      <c r="E785" s="13"/>
      <c r="H785" s="9"/>
      <c r="I785" s="9"/>
      <c r="J785" s="9"/>
      <c r="K785" s="9"/>
      <c r="M785" s="9"/>
      <c r="N785" s="9"/>
      <c r="O785" s="9"/>
      <c r="Q785" s="9"/>
      <c r="R785" s="9"/>
      <c r="S785" s="9"/>
    </row>
    <row r="786">
      <c r="A786" s="9"/>
      <c r="D786" s="9"/>
      <c r="E786" s="13"/>
      <c r="H786" s="9"/>
      <c r="I786" s="9"/>
      <c r="J786" s="9"/>
      <c r="K786" s="9"/>
      <c r="M786" s="9"/>
      <c r="N786" s="9"/>
      <c r="O786" s="9"/>
      <c r="Q786" s="9"/>
      <c r="R786" s="9"/>
      <c r="S786" s="9"/>
    </row>
    <row r="787">
      <c r="A787" s="9"/>
      <c r="D787" s="9"/>
      <c r="E787" s="13"/>
      <c r="H787" s="9"/>
      <c r="I787" s="9"/>
      <c r="J787" s="9"/>
      <c r="K787" s="9"/>
      <c r="M787" s="9"/>
      <c r="N787" s="9"/>
      <c r="O787" s="9"/>
      <c r="Q787" s="9"/>
      <c r="R787" s="9"/>
      <c r="S787" s="9"/>
    </row>
    <row r="788">
      <c r="A788" s="9"/>
      <c r="D788" s="9"/>
      <c r="E788" s="13"/>
      <c r="H788" s="9"/>
      <c r="I788" s="9"/>
      <c r="J788" s="9"/>
      <c r="K788" s="9"/>
      <c r="M788" s="9"/>
      <c r="N788" s="9"/>
      <c r="O788" s="9"/>
      <c r="Q788" s="9"/>
      <c r="R788" s="9"/>
      <c r="S788" s="9"/>
    </row>
    <row r="789">
      <c r="A789" s="9"/>
      <c r="D789" s="9"/>
      <c r="E789" s="13"/>
      <c r="H789" s="9"/>
      <c r="I789" s="9"/>
      <c r="J789" s="9"/>
      <c r="K789" s="9"/>
      <c r="M789" s="9"/>
      <c r="N789" s="9"/>
      <c r="O789" s="9"/>
      <c r="Q789" s="9"/>
      <c r="R789" s="9"/>
      <c r="S789" s="9"/>
    </row>
    <row r="790">
      <c r="A790" s="9"/>
      <c r="D790" s="9"/>
      <c r="E790" s="13"/>
      <c r="H790" s="9"/>
      <c r="I790" s="9"/>
      <c r="J790" s="9"/>
      <c r="K790" s="9"/>
      <c r="M790" s="9"/>
      <c r="N790" s="9"/>
      <c r="O790" s="9"/>
      <c r="Q790" s="9"/>
      <c r="R790" s="9"/>
      <c r="S790" s="9"/>
    </row>
    <row r="791">
      <c r="A791" s="9"/>
      <c r="D791" s="9"/>
      <c r="E791" s="13"/>
      <c r="H791" s="9"/>
      <c r="I791" s="9"/>
      <c r="J791" s="9"/>
      <c r="K791" s="9"/>
      <c r="M791" s="9"/>
      <c r="N791" s="9"/>
      <c r="O791" s="9"/>
      <c r="Q791" s="9"/>
      <c r="R791" s="9"/>
      <c r="S791" s="9"/>
    </row>
    <row r="792">
      <c r="A792" s="9"/>
      <c r="D792" s="9"/>
      <c r="E792" s="13"/>
      <c r="H792" s="9"/>
      <c r="I792" s="9"/>
      <c r="J792" s="9"/>
      <c r="K792" s="9"/>
      <c r="M792" s="9"/>
      <c r="N792" s="9"/>
      <c r="O792" s="9"/>
      <c r="Q792" s="9"/>
      <c r="R792" s="9"/>
      <c r="S792" s="9"/>
    </row>
    <row r="793">
      <c r="A793" s="9"/>
      <c r="D793" s="9"/>
      <c r="E793" s="13"/>
      <c r="H793" s="9"/>
      <c r="I793" s="9"/>
      <c r="J793" s="9"/>
      <c r="K793" s="9"/>
      <c r="M793" s="9"/>
      <c r="N793" s="9"/>
      <c r="O793" s="9"/>
      <c r="Q793" s="9"/>
      <c r="R793" s="9"/>
      <c r="S793" s="9"/>
    </row>
    <row r="794">
      <c r="A794" s="9"/>
      <c r="D794" s="9"/>
      <c r="E794" s="13"/>
      <c r="H794" s="9"/>
      <c r="I794" s="9"/>
      <c r="J794" s="9"/>
      <c r="K794" s="9"/>
      <c r="M794" s="9"/>
      <c r="N794" s="9"/>
      <c r="O794" s="9"/>
      <c r="Q794" s="9"/>
      <c r="R794" s="9"/>
      <c r="S794" s="9"/>
    </row>
    <row r="795">
      <c r="A795" s="9"/>
      <c r="D795" s="9"/>
      <c r="E795" s="13"/>
      <c r="H795" s="9"/>
      <c r="I795" s="9"/>
      <c r="J795" s="9"/>
      <c r="K795" s="9"/>
      <c r="M795" s="9"/>
      <c r="N795" s="9"/>
      <c r="O795" s="9"/>
      <c r="Q795" s="9"/>
      <c r="R795" s="9"/>
      <c r="S795" s="9"/>
    </row>
    <row r="796">
      <c r="A796" s="9"/>
      <c r="D796" s="9"/>
      <c r="E796" s="13"/>
      <c r="H796" s="9"/>
      <c r="I796" s="9"/>
      <c r="J796" s="9"/>
      <c r="K796" s="9"/>
      <c r="M796" s="9"/>
      <c r="N796" s="9"/>
      <c r="O796" s="9"/>
      <c r="Q796" s="9"/>
      <c r="R796" s="9"/>
      <c r="S796" s="9"/>
    </row>
    <row r="797">
      <c r="A797" s="9"/>
      <c r="D797" s="9"/>
      <c r="E797" s="13"/>
      <c r="H797" s="9"/>
      <c r="I797" s="9"/>
      <c r="J797" s="9"/>
      <c r="K797" s="9"/>
      <c r="M797" s="9"/>
      <c r="N797" s="9"/>
      <c r="O797" s="9"/>
      <c r="Q797" s="9"/>
      <c r="R797" s="9"/>
      <c r="S797" s="9"/>
    </row>
    <row r="798">
      <c r="A798" s="9"/>
      <c r="D798" s="9"/>
      <c r="E798" s="13"/>
      <c r="H798" s="9"/>
      <c r="I798" s="9"/>
      <c r="J798" s="9"/>
      <c r="K798" s="9"/>
      <c r="M798" s="9"/>
      <c r="N798" s="9"/>
      <c r="O798" s="9"/>
      <c r="Q798" s="9"/>
      <c r="R798" s="9"/>
      <c r="S798" s="9"/>
    </row>
    <row r="799">
      <c r="A799" s="9"/>
      <c r="D799" s="9"/>
      <c r="E799" s="13"/>
      <c r="H799" s="9"/>
      <c r="I799" s="9"/>
      <c r="J799" s="9"/>
      <c r="K799" s="9"/>
      <c r="M799" s="9"/>
      <c r="N799" s="9"/>
      <c r="O799" s="9"/>
      <c r="Q799" s="9"/>
      <c r="R799" s="9"/>
      <c r="S799" s="9"/>
    </row>
    <row r="800">
      <c r="A800" s="9"/>
      <c r="D800" s="9"/>
      <c r="E800" s="13"/>
      <c r="H800" s="9"/>
      <c r="I800" s="9"/>
      <c r="J800" s="9"/>
      <c r="K800" s="9"/>
      <c r="M800" s="9"/>
      <c r="N800" s="9"/>
      <c r="O800" s="9"/>
      <c r="Q800" s="9"/>
      <c r="R800" s="9"/>
      <c r="S800" s="9"/>
    </row>
    <row r="801">
      <c r="A801" s="9"/>
      <c r="D801" s="9"/>
      <c r="E801" s="13"/>
      <c r="H801" s="9"/>
      <c r="I801" s="9"/>
      <c r="J801" s="9"/>
      <c r="K801" s="9"/>
      <c r="M801" s="9"/>
      <c r="N801" s="9"/>
      <c r="O801" s="9"/>
      <c r="Q801" s="9"/>
      <c r="R801" s="9"/>
      <c r="S801" s="9"/>
    </row>
    <row r="802">
      <c r="A802" s="9"/>
      <c r="D802" s="9"/>
      <c r="E802" s="13"/>
      <c r="H802" s="9"/>
      <c r="I802" s="9"/>
      <c r="J802" s="9"/>
      <c r="K802" s="9"/>
      <c r="M802" s="9"/>
      <c r="N802" s="9"/>
      <c r="O802" s="9"/>
      <c r="Q802" s="9"/>
      <c r="R802" s="9"/>
      <c r="S802" s="9"/>
    </row>
    <row r="803">
      <c r="A803" s="9"/>
      <c r="D803" s="9"/>
      <c r="E803" s="13"/>
      <c r="H803" s="9"/>
      <c r="I803" s="9"/>
      <c r="J803" s="9"/>
      <c r="K803" s="9"/>
      <c r="M803" s="9"/>
      <c r="N803" s="9"/>
      <c r="O803" s="9"/>
      <c r="Q803" s="9"/>
      <c r="R803" s="9"/>
      <c r="S803" s="9"/>
    </row>
    <row r="804">
      <c r="A804" s="9"/>
      <c r="D804" s="9"/>
      <c r="E804" s="13"/>
      <c r="H804" s="9"/>
      <c r="I804" s="9"/>
      <c r="J804" s="9"/>
      <c r="K804" s="9"/>
      <c r="M804" s="9"/>
      <c r="N804" s="9"/>
      <c r="O804" s="9"/>
      <c r="Q804" s="9"/>
      <c r="R804" s="9"/>
      <c r="S804" s="9"/>
    </row>
    <row r="805">
      <c r="A805" s="9"/>
      <c r="D805" s="9"/>
      <c r="E805" s="13"/>
      <c r="H805" s="9"/>
      <c r="I805" s="9"/>
      <c r="J805" s="9"/>
      <c r="K805" s="9"/>
      <c r="M805" s="9"/>
      <c r="N805" s="9"/>
      <c r="O805" s="9"/>
      <c r="Q805" s="9"/>
      <c r="R805" s="9"/>
      <c r="S805" s="9"/>
    </row>
    <row r="806">
      <c r="A806" s="9"/>
      <c r="D806" s="9"/>
      <c r="E806" s="13"/>
      <c r="H806" s="9"/>
      <c r="I806" s="9"/>
      <c r="J806" s="9"/>
      <c r="K806" s="9"/>
      <c r="M806" s="9"/>
      <c r="N806" s="9"/>
      <c r="O806" s="9"/>
      <c r="Q806" s="9"/>
      <c r="R806" s="9"/>
      <c r="S806" s="9"/>
    </row>
    <row r="807">
      <c r="A807" s="9"/>
      <c r="D807" s="9"/>
      <c r="E807" s="13"/>
      <c r="H807" s="9"/>
      <c r="I807" s="9"/>
      <c r="J807" s="9"/>
      <c r="K807" s="9"/>
      <c r="M807" s="9"/>
      <c r="N807" s="9"/>
      <c r="O807" s="9"/>
      <c r="Q807" s="9"/>
      <c r="R807" s="9"/>
      <c r="S807" s="9"/>
    </row>
    <row r="808">
      <c r="A808" s="9"/>
      <c r="D808" s="9"/>
      <c r="E808" s="13"/>
      <c r="H808" s="9"/>
      <c r="I808" s="9"/>
      <c r="J808" s="9"/>
      <c r="K808" s="9"/>
      <c r="M808" s="9"/>
      <c r="N808" s="9"/>
      <c r="O808" s="9"/>
      <c r="Q808" s="9"/>
      <c r="R808" s="9"/>
      <c r="S808" s="9"/>
    </row>
    <row r="809">
      <c r="A809" s="9"/>
      <c r="D809" s="9"/>
      <c r="E809" s="13"/>
      <c r="H809" s="9"/>
      <c r="I809" s="9"/>
      <c r="J809" s="9"/>
      <c r="K809" s="9"/>
      <c r="M809" s="9"/>
      <c r="N809" s="9"/>
      <c r="O809" s="9"/>
      <c r="Q809" s="9"/>
      <c r="R809" s="9"/>
      <c r="S809" s="9"/>
    </row>
    <row r="810">
      <c r="A810" s="9"/>
      <c r="D810" s="9"/>
      <c r="E810" s="13"/>
      <c r="H810" s="9"/>
      <c r="I810" s="9"/>
      <c r="J810" s="9"/>
      <c r="K810" s="9"/>
      <c r="M810" s="9"/>
      <c r="N810" s="9"/>
      <c r="O810" s="9"/>
      <c r="Q810" s="9"/>
      <c r="R810" s="9"/>
      <c r="S810" s="9"/>
    </row>
    <row r="811">
      <c r="A811" s="9"/>
      <c r="D811" s="9"/>
      <c r="E811" s="13"/>
      <c r="H811" s="9"/>
      <c r="I811" s="9"/>
      <c r="J811" s="9"/>
      <c r="K811" s="9"/>
      <c r="M811" s="9"/>
      <c r="N811" s="9"/>
      <c r="O811" s="9"/>
      <c r="Q811" s="9"/>
      <c r="R811" s="9"/>
      <c r="S811" s="9"/>
    </row>
    <row r="812">
      <c r="A812" s="9"/>
      <c r="D812" s="9"/>
      <c r="E812" s="13"/>
      <c r="H812" s="9"/>
      <c r="I812" s="9"/>
      <c r="J812" s="9"/>
      <c r="K812" s="9"/>
      <c r="M812" s="9"/>
      <c r="N812" s="9"/>
      <c r="O812" s="9"/>
      <c r="Q812" s="9"/>
      <c r="R812" s="9"/>
      <c r="S812" s="9"/>
    </row>
    <row r="813">
      <c r="A813" s="9"/>
      <c r="D813" s="9"/>
      <c r="E813" s="13"/>
      <c r="H813" s="9"/>
      <c r="I813" s="9"/>
      <c r="J813" s="9"/>
      <c r="K813" s="9"/>
      <c r="M813" s="9"/>
      <c r="N813" s="9"/>
      <c r="O813" s="9"/>
      <c r="Q813" s="9"/>
      <c r="R813" s="9"/>
      <c r="S813" s="9"/>
    </row>
    <row r="814">
      <c r="A814" s="9"/>
      <c r="D814" s="9"/>
      <c r="E814" s="13"/>
      <c r="H814" s="9"/>
      <c r="I814" s="9"/>
      <c r="J814" s="9"/>
      <c r="K814" s="9"/>
      <c r="M814" s="9"/>
      <c r="N814" s="9"/>
      <c r="O814" s="9"/>
      <c r="Q814" s="9"/>
      <c r="R814" s="9"/>
      <c r="S814" s="9"/>
    </row>
    <row r="815">
      <c r="A815" s="9"/>
      <c r="D815" s="9"/>
      <c r="E815" s="13"/>
      <c r="H815" s="9"/>
      <c r="I815" s="9"/>
      <c r="J815" s="9"/>
      <c r="K815" s="9"/>
      <c r="M815" s="9"/>
      <c r="N815" s="9"/>
      <c r="O815" s="9"/>
      <c r="Q815" s="9"/>
      <c r="R815" s="9"/>
      <c r="S815" s="9"/>
    </row>
    <row r="816">
      <c r="A816" s="9"/>
      <c r="D816" s="9"/>
      <c r="E816" s="13"/>
      <c r="H816" s="9"/>
      <c r="I816" s="9"/>
      <c r="J816" s="9"/>
      <c r="K816" s="9"/>
      <c r="M816" s="9"/>
      <c r="N816" s="9"/>
      <c r="O816" s="9"/>
      <c r="Q816" s="9"/>
      <c r="R816" s="9"/>
      <c r="S816" s="9"/>
    </row>
    <row r="817">
      <c r="A817" s="9"/>
      <c r="D817" s="9"/>
      <c r="E817" s="13"/>
      <c r="H817" s="9"/>
      <c r="I817" s="9"/>
      <c r="J817" s="9"/>
      <c r="K817" s="9"/>
      <c r="M817" s="9"/>
      <c r="N817" s="9"/>
      <c r="O817" s="9"/>
      <c r="Q817" s="9"/>
      <c r="R817" s="9"/>
      <c r="S817" s="9"/>
    </row>
    <row r="818">
      <c r="A818" s="9"/>
      <c r="D818" s="9"/>
      <c r="E818" s="13"/>
      <c r="H818" s="9"/>
      <c r="I818" s="9"/>
      <c r="J818" s="9"/>
      <c r="K818" s="9"/>
      <c r="M818" s="9"/>
      <c r="N818" s="9"/>
      <c r="O818" s="9"/>
      <c r="Q818" s="9"/>
      <c r="R818" s="9"/>
      <c r="S818" s="9"/>
    </row>
    <row r="819">
      <c r="A819" s="9"/>
      <c r="D819" s="9"/>
      <c r="E819" s="13"/>
      <c r="H819" s="9"/>
      <c r="I819" s="9"/>
      <c r="J819" s="9"/>
      <c r="K819" s="9"/>
      <c r="M819" s="9"/>
      <c r="N819" s="9"/>
      <c r="O819" s="9"/>
      <c r="Q819" s="9"/>
      <c r="R819" s="9"/>
      <c r="S819" s="9"/>
    </row>
    <row r="820">
      <c r="A820" s="9"/>
      <c r="D820" s="9"/>
      <c r="E820" s="13"/>
      <c r="H820" s="9"/>
      <c r="I820" s="9"/>
      <c r="J820" s="9"/>
      <c r="K820" s="9"/>
      <c r="M820" s="9"/>
      <c r="N820" s="9"/>
      <c r="O820" s="9"/>
      <c r="Q820" s="9"/>
      <c r="R820" s="9"/>
      <c r="S820" s="9"/>
    </row>
    <row r="821">
      <c r="A821" s="9"/>
      <c r="D821" s="9"/>
      <c r="E821" s="13"/>
      <c r="H821" s="9"/>
      <c r="I821" s="9"/>
      <c r="J821" s="9"/>
      <c r="K821" s="9"/>
      <c r="M821" s="9"/>
      <c r="N821" s="9"/>
      <c r="O821" s="9"/>
      <c r="Q821" s="9"/>
      <c r="R821" s="9"/>
      <c r="S821" s="9"/>
    </row>
    <row r="822">
      <c r="A822" s="9"/>
      <c r="D822" s="9"/>
      <c r="E822" s="13"/>
      <c r="H822" s="9"/>
      <c r="I822" s="9"/>
      <c r="J822" s="9"/>
      <c r="K822" s="9"/>
      <c r="M822" s="9"/>
      <c r="N822" s="9"/>
      <c r="O822" s="9"/>
      <c r="Q822" s="9"/>
      <c r="R822" s="9"/>
      <c r="S822" s="9"/>
    </row>
    <row r="823">
      <c r="A823" s="9"/>
      <c r="D823" s="9"/>
      <c r="E823" s="13"/>
      <c r="H823" s="9"/>
      <c r="I823" s="9"/>
      <c r="J823" s="9"/>
      <c r="K823" s="9"/>
      <c r="M823" s="9"/>
      <c r="N823" s="9"/>
      <c r="O823" s="9"/>
      <c r="Q823" s="9"/>
      <c r="R823" s="9"/>
      <c r="S823" s="9"/>
    </row>
    <row r="824">
      <c r="A824" s="9"/>
      <c r="D824" s="9"/>
      <c r="E824" s="13"/>
      <c r="H824" s="9"/>
      <c r="I824" s="9"/>
      <c r="J824" s="9"/>
      <c r="K824" s="9"/>
      <c r="M824" s="9"/>
      <c r="N824" s="9"/>
      <c r="O824" s="9"/>
      <c r="Q824" s="9"/>
      <c r="R824" s="9"/>
      <c r="S824" s="9"/>
    </row>
    <row r="825">
      <c r="A825" s="9"/>
      <c r="D825" s="9"/>
      <c r="E825" s="13"/>
      <c r="H825" s="9"/>
      <c r="I825" s="9"/>
      <c r="J825" s="9"/>
      <c r="K825" s="9"/>
      <c r="M825" s="9"/>
      <c r="N825" s="9"/>
      <c r="O825" s="9"/>
      <c r="Q825" s="9"/>
      <c r="R825" s="9"/>
      <c r="S825" s="9"/>
    </row>
    <row r="826">
      <c r="A826" s="9"/>
      <c r="D826" s="9"/>
      <c r="E826" s="13"/>
      <c r="H826" s="9"/>
      <c r="I826" s="9"/>
      <c r="J826" s="9"/>
      <c r="K826" s="9"/>
      <c r="M826" s="9"/>
      <c r="N826" s="9"/>
      <c r="O826" s="9"/>
      <c r="Q826" s="9"/>
      <c r="R826" s="9"/>
      <c r="S826" s="9"/>
    </row>
    <row r="827">
      <c r="A827" s="9"/>
      <c r="D827" s="9"/>
      <c r="E827" s="13"/>
      <c r="H827" s="9"/>
      <c r="I827" s="9"/>
      <c r="J827" s="9"/>
      <c r="K827" s="9"/>
      <c r="M827" s="9"/>
      <c r="N827" s="9"/>
      <c r="O827" s="9"/>
      <c r="Q827" s="9"/>
      <c r="R827" s="9"/>
      <c r="S827" s="9"/>
    </row>
    <row r="828">
      <c r="A828" s="9"/>
      <c r="D828" s="9"/>
      <c r="E828" s="13"/>
      <c r="H828" s="9"/>
      <c r="I828" s="9"/>
      <c r="J828" s="9"/>
      <c r="K828" s="9"/>
      <c r="M828" s="9"/>
      <c r="N828" s="9"/>
      <c r="O828" s="9"/>
      <c r="Q828" s="9"/>
      <c r="R828" s="9"/>
      <c r="S828" s="9"/>
    </row>
    <row r="829">
      <c r="A829" s="9"/>
      <c r="D829" s="9"/>
      <c r="E829" s="13"/>
      <c r="H829" s="9"/>
      <c r="I829" s="9"/>
      <c r="J829" s="9"/>
      <c r="K829" s="9"/>
      <c r="M829" s="9"/>
      <c r="N829" s="9"/>
      <c r="O829" s="9"/>
      <c r="Q829" s="9"/>
      <c r="R829" s="9"/>
      <c r="S829" s="9"/>
    </row>
    <row r="830">
      <c r="A830" s="9"/>
      <c r="D830" s="9"/>
      <c r="E830" s="13"/>
      <c r="H830" s="9"/>
      <c r="I830" s="9"/>
      <c r="J830" s="9"/>
      <c r="K830" s="9"/>
      <c r="M830" s="9"/>
      <c r="N830" s="9"/>
      <c r="O830" s="9"/>
      <c r="Q830" s="9"/>
      <c r="R830" s="9"/>
      <c r="S830" s="9"/>
    </row>
    <row r="831">
      <c r="A831" s="9"/>
      <c r="D831" s="9"/>
      <c r="E831" s="13"/>
      <c r="H831" s="9"/>
      <c r="I831" s="9"/>
      <c r="J831" s="9"/>
      <c r="K831" s="9"/>
      <c r="M831" s="9"/>
      <c r="N831" s="9"/>
      <c r="O831" s="9"/>
      <c r="Q831" s="9"/>
      <c r="R831" s="9"/>
      <c r="S831" s="9"/>
    </row>
    <row r="832">
      <c r="A832" s="9"/>
      <c r="D832" s="9"/>
      <c r="E832" s="13"/>
      <c r="H832" s="9"/>
      <c r="I832" s="9"/>
      <c r="J832" s="9"/>
      <c r="K832" s="9"/>
      <c r="M832" s="9"/>
      <c r="N832" s="9"/>
      <c r="O832" s="9"/>
      <c r="Q832" s="9"/>
      <c r="R832" s="9"/>
      <c r="S832" s="9"/>
    </row>
    <row r="833">
      <c r="A833" s="9"/>
      <c r="D833" s="9"/>
      <c r="E833" s="13"/>
      <c r="H833" s="9"/>
      <c r="I833" s="9"/>
      <c r="J833" s="9"/>
      <c r="K833" s="9"/>
      <c r="M833" s="9"/>
      <c r="N833" s="9"/>
      <c r="O833" s="9"/>
      <c r="Q833" s="9"/>
      <c r="R833" s="9"/>
      <c r="S833" s="9"/>
    </row>
    <row r="834">
      <c r="A834" s="9"/>
      <c r="D834" s="9"/>
      <c r="E834" s="13"/>
      <c r="H834" s="9"/>
      <c r="I834" s="9"/>
      <c r="J834" s="9"/>
      <c r="K834" s="9"/>
      <c r="M834" s="9"/>
      <c r="N834" s="9"/>
      <c r="O834" s="9"/>
      <c r="Q834" s="9"/>
      <c r="R834" s="9"/>
      <c r="S834" s="9"/>
    </row>
    <row r="835">
      <c r="A835" s="9"/>
      <c r="D835" s="9"/>
      <c r="E835" s="13"/>
      <c r="H835" s="9"/>
      <c r="I835" s="9"/>
      <c r="J835" s="9"/>
      <c r="K835" s="9"/>
      <c r="M835" s="9"/>
      <c r="N835" s="9"/>
      <c r="O835" s="9"/>
      <c r="Q835" s="9"/>
      <c r="R835" s="9"/>
      <c r="S835" s="9"/>
    </row>
    <row r="836">
      <c r="A836" s="9"/>
      <c r="D836" s="9"/>
      <c r="E836" s="13"/>
      <c r="H836" s="9"/>
      <c r="I836" s="9"/>
      <c r="J836" s="9"/>
      <c r="K836" s="9"/>
      <c r="M836" s="9"/>
      <c r="N836" s="9"/>
      <c r="O836" s="9"/>
      <c r="Q836" s="9"/>
      <c r="R836" s="9"/>
      <c r="S836" s="9"/>
    </row>
    <row r="837">
      <c r="A837" s="9"/>
      <c r="D837" s="9"/>
      <c r="E837" s="13"/>
      <c r="H837" s="9"/>
      <c r="I837" s="9"/>
      <c r="J837" s="9"/>
      <c r="K837" s="9"/>
      <c r="M837" s="9"/>
      <c r="N837" s="9"/>
      <c r="O837" s="9"/>
      <c r="Q837" s="9"/>
      <c r="R837" s="9"/>
      <c r="S837" s="9"/>
    </row>
    <row r="838">
      <c r="A838" s="9"/>
      <c r="D838" s="9"/>
      <c r="E838" s="13"/>
      <c r="H838" s="9"/>
      <c r="I838" s="9"/>
      <c r="J838" s="9"/>
      <c r="K838" s="9"/>
      <c r="M838" s="9"/>
      <c r="N838" s="9"/>
      <c r="O838" s="9"/>
      <c r="Q838" s="9"/>
      <c r="R838" s="9"/>
      <c r="S838" s="9"/>
    </row>
    <row r="839">
      <c r="A839" s="9"/>
      <c r="D839" s="9"/>
      <c r="E839" s="13"/>
      <c r="H839" s="9"/>
      <c r="I839" s="9"/>
      <c r="J839" s="9"/>
      <c r="K839" s="9"/>
      <c r="M839" s="9"/>
      <c r="N839" s="9"/>
      <c r="O839" s="9"/>
      <c r="Q839" s="9"/>
      <c r="R839" s="9"/>
      <c r="S839" s="9"/>
    </row>
    <row r="840">
      <c r="A840" s="9"/>
      <c r="D840" s="9"/>
      <c r="E840" s="13"/>
      <c r="H840" s="9"/>
      <c r="I840" s="9"/>
      <c r="J840" s="9"/>
      <c r="K840" s="9"/>
      <c r="M840" s="9"/>
      <c r="N840" s="9"/>
      <c r="O840" s="9"/>
      <c r="Q840" s="9"/>
      <c r="R840" s="9"/>
      <c r="S840" s="9"/>
    </row>
    <row r="841">
      <c r="A841" s="9"/>
      <c r="D841" s="9"/>
      <c r="E841" s="13"/>
      <c r="H841" s="9"/>
      <c r="I841" s="9"/>
      <c r="J841" s="9"/>
      <c r="K841" s="9"/>
      <c r="M841" s="9"/>
      <c r="N841" s="9"/>
      <c r="O841" s="9"/>
      <c r="Q841" s="9"/>
      <c r="R841" s="9"/>
      <c r="S841" s="9"/>
    </row>
    <row r="842">
      <c r="A842" s="9"/>
      <c r="D842" s="9"/>
      <c r="E842" s="13"/>
      <c r="H842" s="9"/>
      <c r="I842" s="9"/>
      <c r="J842" s="9"/>
      <c r="K842" s="9"/>
      <c r="M842" s="9"/>
      <c r="N842" s="9"/>
      <c r="O842" s="9"/>
      <c r="Q842" s="9"/>
      <c r="R842" s="9"/>
      <c r="S842" s="9"/>
    </row>
    <row r="843">
      <c r="A843" s="9"/>
      <c r="D843" s="9"/>
      <c r="E843" s="13"/>
      <c r="H843" s="9"/>
      <c r="I843" s="9"/>
      <c r="J843" s="9"/>
      <c r="K843" s="9"/>
      <c r="M843" s="9"/>
      <c r="N843" s="9"/>
      <c r="O843" s="9"/>
      <c r="Q843" s="9"/>
      <c r="R843" s="9"/>
      <c r="S843" s="9"/>
    </row>
    <row r="844">
      <c r="A844" s="9"/>
      <c r="D844" s="9"/>
      <c r="E844" s="13"/>
      <c r="H844" s="9"/>
      <c r="I844" s="9"/>
      <c r="J844" s="9"/>
      <c r="K844" s="9"/>
      <c r="M844" s="9"/>
      <c r="N844" s="9"/>
      <c r="O844" s="9"/>
      <c r="Q844" s="9"/>
      <c r="R844" s="9"/>
      <c r="S844" s="9"/>
    </row>
    <row r="845">
      <c r="A845" s="9"/>
      <c r="D845" s="9"/>
      <c r="E845" s="13"/>
      <c r="H845" s="9"/>
      <c r="I845" s="9"/>
      <c r="J845" s="9"/>
      <c r="K845" s="9"/>
      <c r="M845" s="9"/>
      <c r="N845" s="9"/>
      <c r="O845" s="9"/>
      <c r="Q845" s="9"/>
      <c r="R845" s="9"/>
      <c r="S845" s="9"/>
    </row>
    <row r="846">
      <c r="A846" s="9"/>
      <c r="D846" s="9"/>
      <c r="E846" s="13"/>
      <c r="H846" s="9"/>
      <c r="I846" s="9"/>
      <c r="J846" s="9"/>
      <c r="K846" s="9"/>
      <c r="M846" s="9"/>
      <c r="N846" s="9"/>
      <c r="O846" s="9"/>
      <c r="Q846" s="9"/>
      <c r="R846" s="9"/>
      <c r="S846" s="9"/>
    </row>
    <row r="847">
      <c r="A847" s="9"/>
      <c r="D847" s="9"/>
      <c r="E847" s="13"/>
      <c r="H847" s="9"/>
      <c r="I847" s="9"/>
      <c r="J847" s="9"/>
      <c r="K847" s="9"/>
      <c r="M847" s="9"/>
      <c r="N847" s="9"/>
      <c r="O847" s="9"/>
      <c r="Q847" s="9"/>
      <c r="R847" s="9"/>
      <c r="S847" s="9"/>
    </row>
    <row r="848">
      <c r="A848" s="9"/>
      <c r="D848" s="9"/>
      <c r="E848" s="13"/>
      <c r="H848" s="9"/>
      <c r="I848" s="9"/>
      <c r="J848" s="9"/>
      <c r="K848" s="9"/>
      <c r="M848" s="9"/>
      <c r="N848" s="9"/>
      <c r="O848" s="9"/>
      <c r="Q848" s="9"/>
      <c r="R848" s="9"/>
      <c r="S848" s="9"/>
    </row>
    <row r="849">
      <c r="A849" s="9"/>
      <c r="D849" s="9"/>
      <c r="E849" s="13"/>
      <c r="H849" s="9"/>
      <c r="I849" s="9"/>
      <c r="J849" s="9"/>
      <c r="K849" s="9"/>
      <c r="M849" s="9"/>
      <c r="N849" s="9"/>
      <c r="O849" s="9"/>
      <c r="Q849" s="9"/>
      <c r="R849" s="9"/>
      <c r="S849" s="9"/>
    </row>
    <row r="850">
      <c r="A850" s="9"/>
      <c r="D850" s="9"/>
      <c r="E850" s="13"/>
      <c r="H850" s="9"/>
      <c r="I850" s="9"/>
      <c r="J850" s="9"/>
      <c r="K850" s="9"/>
      <c r="M850" s="9"/>
      <c r="N850" s="9"/>
      <c r="O850" s="9"/>
      <c r="Q850" s="9"/>
      <c r="R850" s="9"/>
      <c r="S850" s="9"/>
    </row>
    <row r="851">
      <c r="A851" s="9"/>
      <c r="D851" s="9"/>
      <c r="E851" s="13"/>
      <c r="H851" s="9"/>
      <c r="I851" s="9"/>
      <c r="J851" s="9"/>
      <c r="K851" s="9"/>
      <c r="M851" s="9"/>
      <c r="N851" s="9"/>
      <c r="O851" s="9"/>
      <c r="Q851" s="9"/>
      <c r="R851" s="9"/>
      <c r="S851" s="9"/>
    </row>
    <row r="852">
      <c r="A852" s="9"/>
      <c r="D852" s="9"/>
      <c r="E852" s="13"/>
      <c r="H852" s="9"/>
      <c r="I852" s="9"/>
      <c r="J852" s="9"/>
      <c r="K852" s="9"/>
      <c r="M852" s="9"/>
      <c r="N852" s="9"/>
      <c r="O852" s="9"/>
      <c r="Q852" s="9"/>
      <c r="R852" s="9"/>
      <c r="S852" s="9"/>
    </row>
    <row r="853">
      <c r="A853" s="9"/>
      <c r="D853" s="9"/>
      <c r="E853" s="13"/>
      <c r="H853" s="9"/>
      <c r="I853" s="9"/>
      <c r="J853" s="9"/>
      <c r="K853" s="9"/>
      <c r="M853" s="9"/>
      <c r="N853" s="9"/>
      <c r="O853" s="9"/>
      <c r="Q853" s="9"/>
      <c r="R853" s="9"/>
      <c r="S853" s="9"/>
    </row>
    <row r="854">
      <c r="A854" s="9"/>
      <c r="D854" s="9"/>
      <c r="E854" s="13"/>
      <c r="H854" s="9"/>
      <c r="I854" s="9"/>
      <c r="J854" s="9"/>
      <c r="K854" s="9"/>
      <c r="M854" s="9"/>
      <c r="N854" s="9"/>
      <c r="O854" s="9"/>
      <c r="Q854" s="9"/>
      <c r="R854" s="9"/>
      <c r="S854" s="9"/>
    </row>
    <row r="855">
      <c r="A855" s="9"/>
      <c r="D855" s="9"/>
      <c r="E855" s="13"/>
      <c r="H855" s="9"/>
      <c r="I855" s="9"/>
      <c r="J855" s="9"/>
      <c r="K855" s="9"/>
      <c r="M855" s="9"/>
      <c r="N855" s="9"/>
      <c r="O855" s="9"/>
      <c r="Q855" s="9"/>
      <c r="R855" s="9"/>
      <c r="S855" s="9"/>
    </row>
    <row r="856">
      <c r="A856" s="9"/>
      <c r="D856" s="9"/>
      <c r="E856" s="13"/>
      <c r="H856" s="9"/>
      <c r="I856" s="9"/>
      <c r="J856" s="9"/>
      <c r="K856" s="9"/>
      <c r="M856" s="9"/>
      <c r="N856" s="9"/>
      <c r="O856" s="9"/>
      <c r="Q856" s="9"/>
      <c r="R856" s="9"/>
      <c r="S856" s="9"/>
    </row>
    <row r="857">
      <c r="A857" s="9"/>
      <c r="D857" s="9"/>
      <c r="E857" s="13"/>
      <c r="H857" s="9"/>
      <c r="I857" s="9"/>
      <c r="J857" s="9"/>
      <c r="K857" s="9"/>
      <c r="M857" s="9"/>
      <c r="N857" s="9"/>
      <c r="O857" s="9"/>
      <c r="Q857" s="9"/>
      <c r="R857" s="9"/>
      <c r="S857" s="9"/>
    </row>
    <row r="858">
      <c r="A858" s="9"/>
      <c r="D858" s="9"/>
      <c r="E858" s="13"/>
      <c r="H858" s="9"/>
      <c r="I858" s="9"/>
      <c r="J858" s="9"/>
      <c r="K858" s="9"/>
      <c r="M858" s="9"/>
      <c r="N858" s="9"/>
      <c r="O858" s="9"/>
      <c r="Q858" s="9"/>
      <c r="R858" s="9"/>
      <c r="S858" s="9"/>
    </row>
    <row r="859">
      <c r="A859" s="9"/>
      <c r="D859" s="9"/>
      <c r="E859" s="13"/>
      <c r="H859" s="9"/>
      <c r="I859" s="9"/>
      <c r="J859" s="9"/>
      <c r="K859" s="9"/>
      <c r="M859" s="9"/>
      <c r="N859" s="9"/>
      <c r="O859" s="9"/>
      <c r="Q859" s="9"/>
      <c r="R859" s="9"/>
      <c r="S859" s="9"/>
    </row>
    <row r="860">
      <c r="A860" s="9"/>
      <c r="D860" s="9"/>
      <c r="E860" s="13"/>
      <c r="H860" s="9"/>
      <c r="I860" s="9"/>
      <c r="J860" s="9"/>
      <c r="K860" s="9"/>
      <c r="M860" s="9"/>
      <c r="N860" s="9"/>
      <c r="O860" s="9"/>
      <c r="Q860" s="9"/>
      <c r="R860" s="9"/>
      <c r="S860" s="9"/>
    </row>
    <row r="861">
      <c r="A861" s="9"/>
      <c r="D861" s="9"/>
      <c r="E861" s="13"/>
      <c r="H861" s="9"/>
      <c r="I861" s="9"/>
      <c r="J861" s="9"/>
      <c r="K861" s="9"/>
      <c r="M861" s="9"/>
      <c r="N861" s="9"/>
      <c r="O861" s="9"/>
      <c r="Q861" s="9"/>
      <c r="R861" s="9"/>
      <c r="S861" s="9"/>
    </row>
    <row r="862">
      <c r="A862" s="9"/>
      <c r="D862" s="9"/>
      <c r="E862" s="13"/>
      <c r="H862" s="9"/>
      <c r="I862" s="9"/>
      <c r="J862" s="9"/>
      <c r="K862" s="9"/>
      <c r="M862" s="9"/>
      <c r="N862" s="9"/>
      <c r="O862" s="9"/>
      <c r="Q862" s="9"/>
      <c r="R862" s="9"/>
      <c r="S862" s="9"/>
    </row>
    <row r="863">
      <c r="A863" s="9"/>
      <c r="D863" s="9"/>
      <c r="E863" s="13"/>
      <c r="H863" s="9"/>
      <c r="I863" s="9"/>
      <c r="J863" s="9"/>
      <c r="K863" s="9"/>
      <c r="M863" s="9"/>
      <c r="N863" s="9"/>
      <c r="O863" s="9"/>
      <c r="Q863" s="9"/>
      <c r="R863" s="9"/>
      <c r="S863" s="9"/>
    </row>
    <row r="864">
      <c r="A864" s="9"/>
      <c r="D864" s="9"/>
      <c r="E864" s="13"/>
      <c r="H864" s="9"/>
      <c r="I864" s="9"/>
      <c r="J864" s="9"/>
      <c r="K864" s="9"/>
      <c r="M864" s="9"/>
      <c r="N864" s="9"/>
      <c r="O864" s="9"/>
      <c r="Q864" s="9"/>
      <c r="R864" s="9"/>
      <c r="S864" s="9"/>
    </row>
    <row r="865">
      <c r="A865" s="9"/>
      <c r="D865" s="9"/>
      <c r="E865" s="13"/>
      <c r="H865" s="9"/>
      <c r="I865" s="9"/>
      <c r="J865" s="9"/>
      <c r="K865" s="9"/>
      <c r="M865" s="9"/>
      <c r="N865" s="9"/>
      <c r="O865" s="9"/>
      <c r="Q865" s="9"/>
      <c r="R865" s="9"/>
      <c r="S865" s="9"/>
    </row>
    <row r="866">
      <c r="A866" s="9"/>
      <c r="D866" s="9"/>
      <c r="E866" s="13"/>
      <c r="H866" s="9"/>
      <c r="I866" s="9"/>
      <c r="J866" s="9"/>
      <c r="K866" s="9"/>
      <c r="M866" s="9"/>
      <c r="N866" s="9"/>
      <c r="O866" s="9"/>
      <c r="Q866" s="9"/>
      <c r="R866" s="9"/>
      <c r="S866" s="9"/>
    </row>
    <row r="867">
      <c r="A867" s="9"/>
      <c r="D867" s="9"/>
      <c r="E867" s="13"/>
      <c r="H867" s="9"/>
      <c r="I867" s="9"/>
      <c r="J867" s="9"/>
      <c r="K867" s="9"/>
      <c r="M867" s="9"/>
      <c r="N867" s="9"/>
      <c r="O867" s="9"/>
      <c r="Q867" s="9"/>
      <c r="R867" s="9"/>
      <c r="S867" s="9"/>
    </row>
    <row r="868">
      <c r="A868" s="9"/>
      <c r="D868" s="9"/>
      <c r="E868" s="13"/>
      <c r="H868" s="9"/>
      <c r="I868" s="9"/>
      <c r="J868" s="9"/>
      <c r="K868" s="9"/>
      <c r="M868" s="9"/>
      <c r="N868" s="9"/>
      <c r="O868" s="9"/>
      <c r="Q868" s="9"/>
      <c r="R868" s="9"/>
      <c r="S868" s="9"/>
    </row>
    <row r="869">
      <c r="A869" s="9"/>
      <c r="D869" s="9"/>
      <c r="E869" s="13"/>
      <c r="H869" s="9"/>
      <c r="I869" s="9"/>
      <c r="J869" s="9"/>
      <c r="K869" s="9"/>
      <c r="M869" s="9"/>
      <c r="N869" s="9"/>
      <c r="O869" s="9"/>
      <c r="Q869" s="9"/>
      <c r="R869" s="9"/>
      <c r="S869" s="9"/>
    </row>
    <row r="870">
      <c r="A870" s="9"/>
      <c r="D870" s="9"/>
      <c r="E870" s="13"/>
      <c r="H870" s="9"/>
      <c r="I870" s="9"/>
      <c r="J870" s="9"/>
      <c r="K870" s="9"/>
      <c r="M870" s="9"/>
      <c r="N870" s="9"/>
      <c r="O870" s="9"/>
      <c r="Q870" s="9"/>
      <c r="R870" s="9"/>
      <c r="S870" s="9"/>
    </row>
    <row r="871">
      <c r="A871" s="9"/>
      <c r="D871" s="9"/>
      <c r="E871" s="13"/>
      <c r="H871" s="9"/>
      <c r="I871" s="9"/>
      <c r="J871" s="9"/>
      <c r="K871" s="9"/>
      <c r="M871" s="9"/>
      <c r="N871" s="9"/>
      <c r="O871" s="9"/>
      <c r="Q871" s="9"/>
      <c r="R871" s="9"/>
      <c r="S871" s="9"/>
    </row>
    <row r="872">
      <c r="A872" s="9"/>
      <c r="D872" s="9"/>
      <c r="E872" s="13"/>
      <c r="H872" s="9"/>
      <c r="I872" s="9"/>
      <c r="J872" s="9"/>
      <c r="K872" s="9"/>
      <c r="M872" s="9"/>
      <c r="N872" s="9"/>
      <c r="O872" s="9"/>
      <c r="Q872" s="9"/>
      <c r="R872" s="9"/>
      <c r="S872" s="9"/>
    </row>
    <row r="873">
      <c r="A873" s="9"/>
      <c r="D873" s="9"/>
      <c r="E873" s="13"/>
      <c r="H873" s="9"/>
      <c r="I873" s="9"/>
      <c r="J873" s="9"/>
      <c r="K873" s="9"/>
      <c r="M873" s="9"/>
      <c r="N873" s="9"/>
      <c r="O873" s="9"/>
      <c r="Q873" s="9"/>
      <c r="R873" s="9"/>
      <c r="S873" s="9"/>
    </row>
    <row r="874">
      <c r="A874" s="9"/>
      <c r="D874" s="9"/>
      <c r="E874" s="13"/>
      <c r="H874" s="9"/>
      <c r="I874" s="9"/>
      <c r="J874" s="9"/>
      <c r="K874" s="9"/>
      <c r="M874" s="9"/>
      <c r="N874" s="9"/>
      <c r="O874" s="9"/>
      <c r="Q874" s="9"/>
      <c r="R874" s="9"/>
      <c r="S874" s="9"/>
    </row>
    <row r="875">
      <c r="A875" s="9"/>
      <c r="D875" s="9"/>
      <c r="E875" s="13"/>
      <c r="H875" s="9"/>
      <c r="I875" s="9"/>
      <c r="J875" s="9"/>
      <c r="K875" s="9"/>
      <c r="M875" s="9"/>
      <c r="N875" s="9"/>
      <c r="O875" s="9"/>
      <c r="Q875" s="9"/>
      <c r="R875" s="9"/>
      <c r="S875" s="9"/>
    </row>
    <row r="876">
      <c r="A876" s="9"/>
      <c r="D876" s="9"/>
      <c r="E876" s="13"/>
      <c r="H876" s="9"/>
      <c r="I876" s="9"/>
      <c r="J876" s="9"/>
      <c r="K876" s="9"/>
      <c r="M876" s="9"/>
      <c r="N876" s="9"/>
      <c r="O876" s="9"/>
      <c r="Q876" s="9"/>
      <c r="R876" s="9"/>
      <c r="S876" s="9"/>
    </row>
    <row r="877">
      <c r="A877" s="9"/>
      <c r="D877" s="9"/>
      <c r="E877" s="13"/>
      <c r="H877" s="9"/>
      <c r="I877" s="9"/>
      <c r="J877" s="9"/>
      <c r="K877" s="9"/>
      <c r="M877" s="9"/>
      <c r="N877" s="9"/>
      <c r="O877" s="9"/>
      <c r="Q877" s="9"/>
      <c r="R877" s="9"/>
      <c r="S877" s="9"/>
    </row>
    <row r="878">
      <c r="A878" s="9"/>
      <c r="D878" s="9"/>
      <c r="E878" s="13"/>
      <c r="H878" s="9"/>
      <c r="I878" s="9"/>
      <c r="J878" s="9"/>
      <c r="K878" s="9"/>
      <c r="M878" s="9"/>
      <c r="N878" s="9"/>
      <c r="O878" s="9"/>
      <c r="Q878" s="9"/>
      <c r="R878" s="9"/>
      <c r="S878" s="9"/>
    </row>
    <row r="879">
      <c r="A879" s="9"/>
      <c r="D879" s="9"/>
      <c r="E879" s="13"/>
      <c r="H879" s="9"/>
      <c r="I879" s="9"/>
      <c r="J879" s="9"/>
      <c r="K879" s="9"/>
      <c r="M879" s="9"/>
      <c r="N879" s="9"/>
      <c r="O879" s="9"/>
      <c r="Q879" s="9"/>
      <c r="R879" s="9"/>
      <c r="S879" s="9"/>
    </row>
    <row r="880">
      <c r="A880" s="9"/>
      <c r="D880" s="9"/>
      <c r="E880" s="13"/>
      <c r="H880" s="9"/>
      <c r="I880" s="9"/>
      <c r="J880" s="9"/>
      <c r="K880" s="9"/>
      <c r="M880" s="9"/>
      <c r="N880" s="9"/>
      <c r="O880" s="9"/>
      <c r="Q880" s="9"/>
      <c r="R880" s="9"/>
      <c r="S880" s="9"/>
    </row>
    <row r="881">
      <c r="A881" s="9"/>
      <c r="D881" s="9"/>
      <c r="E881" s="13"/>
      <c r="H881" s="9"/>
      <c r="I881" s="9"/>
      <c r="J881" s="9"/>
      <c r="K881" s="9"/>
      <c r="M881" s="9"/>
      <c r="N881" s="9"/>
      <c r="O881" s="9"/>
      <c r="Q881" s="9"/>
      <c r="R881" s="9"/>
      <c r="S881" s="9"/>
    </row>
    <row r="882">
      <c r="A882" s="9"/>
      <c r="D882" s="9"/>
      <c r="E882" s="13"/>
      <c r="H882" s="9"/>
      <c r="I882" s="9"/>
      <c r="J882" s="9"/>
      <c r="K882" s="9"/>
      <c r="M882" s="9"/>
      <c r="N882" s="9"/>
      <c r="O882" s="9"/>
      <c r="Q882" s="9"/>
      <c r="R882" s="9"/>
      <c r="S882" s="9"/>
    </row>
    <row r="883">
      <c r="A883" s="9"/>
      <c r="D883" s="9"/>
      <c r="E883" s="13"/>
      <c r="H883" s="9"/>
      <c r="I883" s="9"/>
      <c r="J883" s="9"/>
      <c r="K883" s="9"/>
      <c r="M883" s="9"/>
      <c r="N883" s="9"/>
      <c r="O883" s="9"/>
      <c r="Q883" s="9"/>
      <c r="R883" s="9"/>
      <c r="S883" s="9"/>
    </row>
    <row r="884">
      <c r="A884" s="9"/>
      <c r="D884" s="9"/>
      <c r="E884" s="13"/>
      <c r="H884" s="9"/>
      <c r="I884" s="9"/>
      <c r="J884" s="9"/>
      <c r="K884" s="9"/>
      <c r="M884" s="9"/>
      <c r="N884" s="9"/>
      <c r="O884" s="9"/>
      <c r="Q884" s="9"/>
      <c r="R884" s="9"/>
      <c r="S884" s="9"/>
    </row>
    <row r="885">
      <c r="A885" s="9"/>
      <c r="D885" s="9"/>
      <c r="E885" s="13"/>
      <c r="H885" s="9"/>
      <c r="I885" s="9"/>
      <c r="J885" s="9"/>
      <c r="K885" s="9"/>
      <c r="M885" s="9"/>
      <c r="N885" s="9"/>
      <c r="O885" s="9"/>
      <c r="Q885" s="9"/>
      <c r="R885" s="9"/>
      <c r="S885" s="9"/>
    </row>
    <row r="886">
      <c r="A886" s="9"/>
      <c r="D886" s="9"/>
      <c r="E886" s="13"/>
      <c r="H886" s="9"/>
      <c r="I886" s="9"/>
      <c r="J886" s="9"/>
      <c r="K886" s="9"/>
      <c r="M886" s="9"/>
      <c r="N886" s="9"/>
      <c r="O886" s="9"/>
      <c r="Q886" s="9"/>
      <c r="R886" s="9"/>
      <c r="S886" s="9"/>
    </row>
    <row r="887">
      <c r="A887" s="9"/>
      <c r="D887" s="9"/>
      <c r="E887" s="13"/>
      <c r="H887" s="9"/>
      <c r="I887" s="9"/>
      <c r="J887" s="9"/>
      <c r="K887" s="9"/>
      <c r="M887" s="9"/>
      <c r="N887" s="9"/>
      <c r="O887" s="9"/>
      <c r="Q887" s="9"/>
      <c r="R887" s="9"/>
      <c r="S887" s="9"/>
    </row>
    <row r="888">
      <c r="A888" s="9"/>
      <c r="D888" s="9"/>
      <c r="E888" s="13"/>
      <c r="H888" s="9"/>
      <c r="I888" s="9"/>
      <c r="J888" s="9"/>
      <c r="K888" s="9"/>
      <c r="M888" s="9"/>
      <c r="N888" s="9"/>
      <c r="O888" s="9"/>
      <c r="Q888" s="9"/>
      <c r="R888" s="9"/>
      <c r="S888" s="9"/>
    </row>
    <row r="889">
      <c r="A889" s="9"/>
      <c r="D889" s="9"/>
      <c r="E889" s="13"/>
      <c r="H889" s="9"/>
      <c r="I889" s="9"/>
      <c r="J889" s="9"/>
      <c r="K889" s="9"/>
      <c r="M889" s="9"/>
      <c r="N889" s="9"/>
      <c r="O889" s="9"/>
      <c r="Q889" s="9"/>
      <c r="R889" s="9"/>
      <c r="S889" s="9"/>
    </row>
    <row r="890">
      <c r="A890" s="9"/>
      <c r="D890" s="9"/>
      <c r="E890" s="13"/>
      <c r="H890" s="9"/>
      <c r="I890" s="9"/>
      <c r="J890" s="9"/>
      <c r="K890" s="9"/>
      <c r="M890" s="9"/>
      <c r="N890" s="9"/>
      <c r="O890" s="9"/>
      <c r="Q890" s="9"/>
      <c r="R890" s="9"/>
      <c r="S890" s="9"/>
    </row>
    <row r="891">
      <c r="A891" s="9"/>
      <c r="D891" s="9"/>
      <c r="E891" s="13"/>
      <c r="H891" s="9"/>
      <c r="I891" s="9"/>
      <c r="J891" s="9"/>
      <c r="K891" s="9"/>
      <c r="M891" s="9"/>
      <c r="N891" s="9"/>
      <c r="O891" s="9"/>
      <c r="Q891" s="9"/>
      <c r="R891" s="9"/>
      <c r="S891" s="9"/>
    </row>
    <row r="892">
      <c r="A892" s="9"/>
      <c r="D892" s="9"/>
      <c r="E892" s="13"/>
      <c r="H892" s="9"/>
      <c r="I892" s="9"/>
      <c r="J892" s="9"/>
      <c r="K892" s="9"/>
      <c r="M892" s="9"/>
      <c r="N892" s="9"/>
      <c r="O892" s="9"/>
      <c r="Q892" s="9"/>
      <c r="R892" s="9"/>
      <c r="S892" s="9"/>
    </row>
    <row r="893">
      <c r="A893" s="9"/>
      <c r="D893" s="9"/>
      <c r="E893" s="13"/>
      <c r="H893" s="9"/>
      <c r="I893" s="9"/>
      <c r="J893" s="9"/>
      <c r="K893" s="9"/>
      <c r="M893" s="9"/>
      <c r="N893" s="9"/>
      <c r="O893" s="9"/>
      <c r="Q893" s="9"/>
      <c r="R893" s="9"/>
      <c r="S893" s="9"/>
    </row>
    <row r="894">
      <c r="A894" s="9"/>
      <c r="D894" s="9"/>
      <c r="E894" s="13"/>
      <c r="H894" s="9"/>
      <c r="I894" s="9"/>
      <c r="J894" s="9"/>
      <c r="K894" s="9"/>
      <c r="M894" s="9"/>
      <c r="N894" s="9"/>
      <c r="O894" s="9"/>
      <c r="Q894" s="9"/>
      <c r="R894" s="9"/>
      <c r="S894" s="9"/>
    </row>
    <row r="895">
      <c r="A895" s="9"/>
      <c r="D895" s="9"/>
      <c r="E895" s="13"/>
      <c r="H895" s="9"/>
      <c r="I895" s="9"/>
      <c r="J895" s="9"/>
      <c r="K895" s="9"/>
      <c r="M895" s="9"/>
      <c r="N895" s="9"/>
      <c r="O895" s="9"/>
      <c r="Q895" s="9"/>
      <c r="R895" s="9"/>
      <c r="S895" s="9"/>
    </row>
    <row r="896">
      <c r="A896" s="9"/>
      <c r="D896" s="9"/>
      <c r="E896" s="13"/>
      <c r="H896" s="9"/>
      <c r="I896" s="9"/>
      <c r="J896" s="9"/>
      <c r="K896" s="9"/>
      <c r="M896" s="9"/>
      <c r="N896" s="9"/>
      <c r="O896" s="9"/>
      <c r="Q896" s="9"/>
      <c r="R896" s="9"/>
      <c r="S896" s="9"/>
    </row>
    <row r="897">
      <c r="A897" s="9"/>
      <c r="D897" s="9"/>
      <c r="E897" s="13"/>
      <c r="H897" s="9"/>
      <c r="I897" s="9"/>
      <c r="J897" s="9"/>
      <c r="K897" s="9"/>
      <c r="M897" s="9"/>
      <c r="N897" s="9"/>
      <c r="O897" s="9"/>
      <c r="Q897" s="9"/>
      <c r="R897" s="9"/>
      <c r="S897" s="9"/>
    </row>
    <row r="898">
      <c r="A898" s="9"/>
      <c r="D898" s="9"/>
      <c r="E898" s="13"/>
      <c r="H898" s="9"/>
      <c r="I898" s="9"/>
      <c r="J898" s="9"/>
      <c r="K898" s="9"/>
      <c r="M898" s="9"/>
      <c r="N898" s="9"/>
      <c r="O898" s="9"/>
      <c r="Q898" s="9"/>
      <c r="R898" s="9"/>
      <c r="S898" s="9"/>
    </row>
    <row r="899">
      <c r="A899" s="9"/>
      <c r="D899" s="9"/>
      <c r="E899" s="13"/>
      <c r="H899" s="9"/>
      <c r="I899" s="9"/>
      <c r="J899" s="9"/>
      <c r="K899" s="9"/>
      <c r="M899" s="9"/>
      <c r="N899" s="9"/>
      <c r="O899" s="9"/>
      <c r="Q899" s="9"/>
      <c r="R899" s="9"/>
      <c r="S899" s="9"/>
    </row>
    <row r="900">
      <c r="A900" s="9"/>
      <c r="D900" s="9"/>
      <c r="E900" s="13"/>
      <c r="H900" s="9"/>
      <c r="I900" s="9"/>
      <c r="J900" s="9"/>
      <c r="K900" s="9"/>
      <c r="M900" s="9"/>
      <c r="N900" s="9"/>
      <c r="O900" s="9"/>
      <c r="Q900" s="9"/>
      <c r="R900" s="9"/>
      <c r="S900" s="9"/>
    </row>
    <row r="901">
      <c r="A901" s="9"/>
      <c r="D901" s="9"/>
      <c r="E901" s="13"/>
      <c r="H901" s="9"/>
      <c r="I901" s="9"/>
      <c r="J901" s="9"/>
      <c r="K901" s="9"/>
      <c r="M901" s="9"/>
      <c r="N901" s="9"/>
      <c r="O901" s="9"/>
      <c r="Q901" s="9"/>
      <c r="R901" s="9"/>
      <c r="S901" s="9"/>
    </row>
    <row r="902">
      <c r="A902" s="9"/>
      <c r="D902" s="9"/>
      <c r="E902" s="13"/>
      <c r="H902" s="9"/>
      <c r="I902" s="9"/>
      <c r="J902" s="9"/>
      <c r="K902" s="9"/>
      <c r="M902" s="9"/>
      <c r="N902" s="9"/>
      <c r="O902" s="9"/>
      <c r="Q902" s="9"/>
      <c r="R902" s="9"/>
      <c r="S902" s="9"/>
    </row>
    <row r="903">
      <c r="A903" s="9"/>
      <c r="D903" s="9"/>
      <c r="E903" s="13"/>
      <c r="H903" s="9"/>
      <c r="I903" s="9"/>
      <c r="J903" s="9"/>
      <c r="K903" s="9"/>
      <c r="M903" s="9"/>
      <c r="N903" s="9"/>
      <c r="O903" s="9"/>
      <c r="Q903" s="9"/>
      <c r="R903" s="9"/>
      <c r="S903" s="9"/>
    </row>
    <row r="904">
      <c r="A904" s="9"/>
      <c r="D904" s="9"/>
      <c r="E904" s="13"/>
      <c r="H904" s="9"/>
      <c r="I904" s="9"/>
      <c r="J904" s="9"/>
      <c r="K904" s="9"/>
      <c r="M904" s="9"/>
      <c r="N904" s="9"/>
      <c r="O904" s="9"/>
      <c r="Q904" s="9"/>
      <c r="R904" s="9"/>
      <c r="S904" s="9"/>
    </row>
    <row r="905">
      <c r="A905" s="9"/>
      <c r="D905" s="9"/>
      <c r="E905" s="13"/>
      <c r="H905" s="9"/>
      <c r="I905" s="9"/>
      <c r="J905" s="9"/>
      <c r="K905" s="9"/>
      <c r="M905" s="9"/>
      <c r="N905" s="9"/>
      <c r="O905" s="9"/>
      <c r="Q905" s="9"/>
      <c r="R905" s="9"/>
      <c r="S905" s="9"/>
    </row>
    <row r="906">
      <c r="A906" s="9"/>
      <c r="D906" s="9"/>
      <c r="E906" s="13"/>
      <c r="H906" s="9"/>
      <c r="I906" s="9"/>
      <c r="J906" s="9"/>
      <c r="K906" s="9"/>
      <c r="M906" s="9"/>
      <c r="N906" s="9"/>
      <c r="O906" s="9"/>
      <c r="Q906" s="9"/>
      <c r="R906" s="9"/>
      <c r="S906" s="9"/>
    </row>
    <row r="907">
      <c r="A907" s="9"/>
      <c r="D907" s="9"/>
      <c r="E907" s="13"/>
      <c r="H907" s="9"/>
      <c r="I907" s="9"/>
      <c r="J907" s="9"/>
      <c r="K907" s="9"/>
      <c r="M907" s="9"/>
      <c r="N907" s="9"/>
      <c r="O907" s="9"/>
      <c r="Q907" s="9"/>
      <c r="R907" s="9"/>
      <c r="S907" s="9"/>
    </row>
    <row r="908">
      <c r="A908" s="9"/>
      <c r="D908" s="9"/>
      <c r="E908" s="13"/>
      <c r="H908" s="9"/>
      <c r="I908" s="9"/>
      <c r="J908" s="9"/>
      <c r="K908" s="9"/>
      <c r="M908" s="9"/>
      <c r="N908" s="9"/>
      <c r="O908" s="9"/>
      <c r="Q908" s="9"/>
      <c r="R908" s="9"/>
      <c r="S908" s="9"/>
    </row>
    <row r="909">
      <c r="A909" s="9"/>
      <c r="D909" s="9"/>
      <c r="E909" s="13"/>
      <c r="H909" s="9"/>
      <c r="I909" s="9"/>
      <c r="J909" s="9"/>
      <c r="K909" s="9"/>
      <c r="M909" s="9"/>
      <c r="N909" s="9"/>
      <c r="O909" s="9"/>
      <c r="Q909" s="9"/>
      <c r="R909" s="9"/>
      <c r="S909" s="9"/>
    </row>
    <row r="910">
      <c r="A910" s="9"/>
      <c r="D910" s="9"/>
      <c r="E910" s="13"/>
      <c r="H910" s="9"/>
      <c r="I910" s="9"/>
      <c r="J910" s="9"/>
      <c r="K910" s="9"/>
      <c r="M910" s="9"/>
      <c r="N910" s="9"/>
      <c r="O910" s="9"/>
      <c r="Q910" s="9"/>
      <c r="R910" s="9"/>
      <c r="S910" s="9"/>
    </row>
    <row r="911">
      <c r="A911" s="9"/>
      <c r="D911" s="9"/>
      <c r="E911" s="13"/>
      <c r="H911" s="9"/>
      <c r="I911" s="9"/>
      <c r="J911" s="9"/>
      <c r="K911" s="9"/>
      <c r="M911" s="9"/>
      <c r="N911" s="9"/>
      <c r="O911" s="9"/>
      <c r="Q911" s="9"/>
      <c r="R911" s="9"/>
      <c r="S911" s="9"/>
    </row>
    <row r="912">
      <c r="A912" s="9"/>
      <c r="D912" s="9"/>
      <c r="E912" s="13"/>
      <c r="H912" s="9"/>
      <c r="I912" s="9"/>
      <c r="J912" s="9"/>
      <c r="K912" s="9"/>
      <c r="M912" s="9"/>
      <c r="N912" s="9"/>
      <c r="O912" s="9"/>
      <c r="Q912" s="9"/>
      <c r="R912" s="9"/>
      <c r="S912" s="9"/>
    </row>
    <row r="913">
      <c r="A913" s="9"/>
      <c r="D913" s="9"/>
      <c r="E913" s="13"/>
      <c r="H913" s="9"/>
      <c r="I913" s="9"/>
      <c r="J913" s="9"/>
      <c r="K913" s="9"/>
      <c r="M913" s="9"/>
      <c r="N913" s="9"/>
      <c r="O913" s="9"/>
      <c r="Q913" s="9"/>
      <c r="R913" s="9"/>
      <c r="S913" s="9"/>
    </row>
    <row r="914">
      <c r="A914" s="9"/>
      <c r="D914" s="9"/>
      <c r="E914" s="13"/>
      <c r="H914" s="9"/>
      <c r="I914" s="9"/>
      <c r="J914" s="9"/>
      <c r="K914" s="9"/>
      <c r="M914" s="9"/>
      <c r="N914" s="9"/>
      <c r="O914" s="9"/>
      <c r="Q914" s="9"/>
      <c r="R914" s="9"/>
      <c r="S914" s="9"/>
    </row>
    <row r="915">
      <c r="A915" s="9"/>
      <c r="D915" s="9"/>
      <c r="E915" s="13"/>
      <c r="H915" s="9"/>
      <c r="I915" s="9"/>
      <c r="J915" s="9"/>
      <c r="K915" s="9"/>
      <c r="M915" s="9"/>
      <c r="N915" s="9"/>
      <c r="O915" s="9"/>
      <c r="Q915" s="9"/>
      <c r="R915" s="9"/>
      <c r="S915" s="9"/>
    </row>
    <row r="916">
      <c r="A916" s="9"/>
      <c r="D916" s="9"/>
      <c r="E916" s="13"/>
      <c r="H916" s="9"/>
      <c r="I916" s="9"/>
      <c r="J916" s="9"/>
      <c r="K916" s="9"/>
      <c r="M916" s="9"/>
      <c r="N916" s="9"/>
      <c r="O916" s="9"/>
      <c r="Q916" s="9"/>
      <c r="R916" s="9"/>
      <c r="S916" s="9"/>
    </row>
    <row r="917">
      <c r="A917" s="9"/>
      <c r="D917" s="9"/>
      <c r="E917" s="13"/>
      <c r="H917" s="9"/>
      <c r="I917" s="9"/>
      <c r="J917" s="9"/>
      <c r="K917" s="9"/>
      <c r="M917" s="9"/>
      <c r="N917" s="9"/>
      <c r="O917" s="9"/>
      <c r="Q917" s="9"/>
      <c r="R917" s="9"/>
      <c r="S917" s="9"/>
    </row>
    <row r="918">
      <c r="A918" s="9"/>
      <c r="D918" s="9"/>
      <c r="E918" s="13"/>
      <c r="H918" s="9"/>
      <c r="I918" s="9"/>
      <c r="J918" s="9"/>
      <c r="K918" s="9"/>
      <c r="M918" s="9"/>
      <c r="N918" s="9"/>
      <c r="O918" s="9"/>
      <c r="Q918" s="9"/>
      <c r="R918" s="9"/>
      <c r="S918" s="9"/>
    </row>
    <row r="919">
      <c r="A919" s="9"/>
      <c r="D919" s="9"/>
      <c r="E919" s="13"/>
      <c r="H919" s="9"/>
      <c r="I919" s="9"/>
      <c r="J919" s="9"/>
      <c r="K919" s="9"/>
      <c r="M919" s="9"/>
      <c r="N919" s="9"/>
      <c r="O919" s="9"/>
      <c r="Q919" s="9"/>
      <c r="R919" s="9"/>
      <c r="S919" s="9"/>
    </row>
    <row r="920">
      <c r="A920" s="9"/>
      <c r="D920" s="9"/>
      <c r="E920" s="13"/>
      <c r="H920" s="9"/>
      <c r="I920" s="9"/>
      <c r="J920" s="9"/>
      <c r="K920" s="9"/>
      <c r="M920" s="9"/>
      <c r="N920" s="9"/>
      <c r="O920" s="9"/>
      <c r="Q920" s="9"/>
      <c r="R920" s="9"/>
      <c r="S920" s="9"/>
    </row>
    <row r="921">
      <c r="A921" s="9"/>
      <c r="D921" s="9"/>
      <c r="E921" s="13"/>
      <c r="H921" s="9"/>
      <c r="I921" s="9"/>
      <c r="J921" s="9"/>
      <c r="K921" s="9"/>
      <c r="M921" s="9"/>
      <c r="N921" s="9"/>
      <c r="O921" s="9"/>
      <c r="Q921" s="9"/>
      <c r="R921" s="9"/>
      <c r="S921" s="9"/>
    </row>
    <row r="922">
      <c r="A922" s="9"/>
      <c r="D922" s="9"/>
      <c r="E922" s="13"/>
      <c r="H922" s="9"/>
      <c r="I922" s="9"/>
      <c r="J922" s="9"/>
      <c r="K922" s="9"/>
      <c r="M922" s="9"/>
      <c r="N922" s="9"/>
      <c r="O922" s="9"/>
      <c r="Q922" s="9"/>
      <c r="R922" s="9"/>
      <c r="S922" s="9"/>
    </row>
    <row r="923">
      <c r="A923" s="9"/>
      <c r="D923" s="9"/>
      <c r="E923" s="13"/>
      <c r="H923" s="9"/>
      <c r="I923" s="9"/>
      <c r="J923" s="9"/>
      <c r="K923" s="9"/>
      <c r="M923" s="9"/>
      <c r="N923" s="9"/>
      <c r="O923" s="9"/>
      <c r="Q923" s="9"/>
      <c r="R923" s="9"/>
      <c r="S923" s="9"/>
    </row>
    <row r="924">
      <c r="A924" s="9"/>
      <c r="D924" s="9"/>
      <c r="E924" s="13"/>
      <c r="H924" s="9"/>
      <c r="I924" s="9"/>
      <c r="J924" s="9"/>
      <c r="K924" s="9"/>
      <c r="M924" s="9"/>
      <c r="N924" s="9"/>
      <c r="O924" s="9"/>
      <c r="Q924" s="9"/>
      <c r="R924" s="9"/>
      <c r="S924" s="9"/>
    </row>
    <row r="925">
      <c r="A925" s="9"/>
      <c r="D925" s="9"/>
      <c r="E925" s="13"/>
      <c r="H925" s="9"/>
      <c r="I925" s="9"/>
      <c r="J925" s="9"/>
      <c r="K925" s="9"/>
      <c r="M925" s="9"/>
      <c r="N925" s="9"/>
      <c r="O925" s="9"/>
      <c r="Q925" s="9"/>
      <c r="R925" s="9"/>
      <c r="S925" s="9"/>
    </row>
    <row r="926">
      <c r="A926" s="9"/>
      <c r="D926" s="9"/>
      <c r="E926" s="13"/>
      <c r="H926" s="9"/>
      <c r="I926" s="9"/>
      <c r="J926" s="9"/>
      <c r="K926" s="9"/>
      <c r="M926" s="9"/>
      <c r="N926" s="9"/>
      <c r="O926" s="9"/>
      <c r="Q926" s="9"/>
      <c r="R926" s="9"/>
      <c r="S926" s="9"/>
    </row>
    <row r="927">
      <c r="A927" s="9"/>
      <c r="D927" s="9"/>
      <c r="E927" s="13"/>
      <c r="H927" s="9"/>
      <c r="I927" s="9"/>
      <c r="J927" s="9"/>
      <c r="K927" s="9"/>
      <c r="M927" s="9"/>
      <c r="N927" s="9"/>
      <c r="O927" s="9"/>
      <c r="Q927" s="9"/>
      <c r="R927" s="9"/>
      <c r="S927" s="9"/>
    </row>
    <row r="928">
      <c r="A928" s="9"/>
      <c r="D928" s="9"/>
      <c r="E928" s="13"/>
      <c r="H928" s="9"/>
      <c r="I928" s="9"/>
      <c r="J928" s="9"/>
      <c r="K928" s="9"/>
      <c r="M928" s="9"/>
      <c r="N928" s="9"/>
      <c r="O928" s="9"/>
      <c r="Q928" s="9"/>
      <c r="R928" s="9"/>
      <c r="S928" s="9"/>
    </row>
    <row r="929">
      <c r="A929" s="9"/>
      <c r="D929" s="9"/>
      <c r="E929" s="13"/>
      <c r="H929" s="9"/>
      <c r="I929" s="9"/>
      <c r="J929" s="9"/>
      <c r="K929" s="9"/>
      <c r="M929" s="9"/>
      <c r="N929" s="9"/>
      <c r="O929" s="9"/>
      <c r="Q929" s="9"/>
      <c r="R929" s="9"/>
      <c r="S929" s="9"/>
    </row>
    <row r="930">
      <c r="A930" s="9"/>
      <c r="D930" s="9"/>
      <c r="E930" s="13"/>
      <c r="H930" s="9"/>
      <c r="I930" s="9"/>
      <c r="J930" s="9"/>
      <c r="K930" s="9"/>
      <c r="M930" s="9"/>
      <c r="N930" s="9"/>
      <c r="O930" s="9"/>
      <c r="Q930" s="9"/>
      <c r="R930" s="9"/>
      <c r="S930" s="9"/>
    </row>
    <row r="931">
      <c r="A931" s="9"/>
      <c r="D931" s="9"/>
      <c r="E931" s="13"/>
      <c r="H931" s="9"/>
      <c r="I931" s="9"/>
      <c r="J931" s="9"/>
      <c r="K931" s="9"/>
      <c r="M931" s="9"/>
      <c r="N931" s="9"/>
      <c r="O931" s="9"/>
      <c r="Q931" s="9"/>
      <c r="R931" s="9"/>
      <c r="S931" s="9"/>
    </row>
    <row r="932">
      <c r="A932" s="9"/>
      <c r="D932" s="9"/>
      <c r="E932" s="13"/>
      <c r="H932" s="9"/>
      <c r="I932" s="9"/>
      <c r="J932" s="9"/>
      <c r="K932" s="9"/>
      <c r="M932" s="9"/>
      <c r="N932" s="9"/>
      <c r="O932" s="9"/>
      <c r="Q932" s="9"/>
      <c r="R932" s="9"/>
      <c r="S932" s="9"/>
    </row>
    <row r="933">
      <c r="A933" s="9"/>
      <c r="D933" s="9"/>
      <c r="E933" s="13"/>
      <c r="H933" s="9"/>
      <c r="I933" s="9"/>
      <c r="J933" s="9"/>
      <c r="K933" s="9"/>
      <c r="M933" s="9"/>
      <c r="N933" s="9"/>
      <c r="O933" s="9"/>
      <c r="Q933" s="9"/>
      <c r="R933" s="9"/>
      <c r="S933" s="9"/>
    </row>
    <row r="934">
      <c r="A934" s="9"/>
      <c r="D934" s="9"/>
      <c r="E934" s="13"/>
      <c r="H934" s="9"/>
      <c r="I934" s="9"/>
      <c r="J934" s="9"/>
      <c r="K934" s="9"/>
      <c r="M934" s="9"/>
      <c r="N934" s="9"/>
      <c r="O934" s="9"/>
      <c r="Q934" s="9"/>
      <c r="R934" s="9"/>
      <c r="S934" s="9"/>
    </row>
    <row r="935">
      <c r="A935" s="9"/>
      <c r="D935" s="9"/>
      <c r="E935" s="13"/>
      <c r="H935" s="9"/>
      <c r="I935" s="9"/>
      <c r="J935" s="9"/>
      <c r="K935" s="9"/>
      <c r="M935" s="9"/>
      <c r="N935" s="9"/>
      <c r="O935" s="9"/>
      <c r="Q935" s="9"/>
      <c r="R935" s="9"/>
      <c r="S935" s="9"/>
    </row>
    <row r="936">
      <c r="A936" s="9"/>
      <c r="D936" s="9"/>
      <c r="E936" s="13"/>
      <c r="H936" s="9"/>
      <c r="I936" s="9"/>
      <c r="J936" s="9"/>
      <c r="K936" s="9"/>
      <c r="M936" s="9"/>
      <c r="N936" s="9"/>
      <c r="O936" s="9"/>
      <c r="Q936" s="9"/>
      <c r="R936" s="9"/>
      <c r="S936" s="9"/>
    </row>
    <row r="937">
      <c r="A937" s="9"/>
      <c r="D937" s="9"/>
      <c r="E937" s="13"/>
      <c r="H937" s="9"/>
      <c r="I937" s="9"/>
      <c r="J937" s="9"/>
      <c r="K937" s="9"/>
      <c r="M937" s="9"/>
      <c r="N937" s="9"/>
      <c r="O937" s="9"/>
      <c r="Q937" s="9"/>
      <c r="R937" s="9"/>
      <c r="S937" s="9"/>
    </row>
    <row r="938">
      <c r="A938" s="9"/>
      <c r="D938" s="9"/>
      <c r="E938" s="13"/>
      <c r="H938" s="9"/>
      <c r="I938" s="9"/>
      <c r="J938" s="9"/>
      <c r="K938" s="9"/>
      <c r="M938" s="9"/>
      <c r="N938" s="9"/>
      <c r="O938" s="9"/>
      <c r="Q938" s="9"/>
      <c r="R938" s="9"/>
      <c r="S938" s="9"/>
    </row>
    <row r="939">
      <c r="A939" s="9"/>
      <c r="D939" s="9"/>
      <c r="E939" s="13"/>
      <c r="H939" s="9"/>
      <c r="I939" s="9"/>
      <c r="J939" s="9"/>
      <c r="K939" s="9"/>
      <c r="M939" s="9"/>
      <c r="N939" s="9"/>
      <c r="O939" s="9"/>
      <c r="Q939" s="9"/>
      <c r="R939" s="9"/>
      <c r="S939" s="9"/>
    </row>
    <row r="940">
      <c r="A940" s="9"/>
      <c r="D940" s="9"/>
      <c r="E940" s="13"/>
      <c r="H940" s="9"/>
      <c r="I940" s="9"/>
      <c r="J940" s="9"/>
      <c r="K940" s="9"/>
      <c r="M940" s="9"/>
      <c r="N940" s="9"/>
      <c r="O940" s="9"/>
      <c r="Q940" s="9"/>
      <c r="R940" s="9"/>
      <c r="S940" s="9"/>
    </row>
    <row r="941">
      <c r="A941" s="9"/>
      <c r="D941" s="9"/>
      <c r="E941" s="13"/>
      <c r="H941" s="9"/>
      <c r="I941" s="9"/>
      <c r="J941" s="9"/>
      <c r="K941" s="9"/>
      <c r="M941" s="9"/>
      <c r="N941" s="9"/>
      <c r="O941" s="9"/>
      <c r="Q941" s="9"/>
      <c r="R941" s="9"/>
      <c r="S941" s="9"/>
    </row>
    <row r="942">
      <c r="A942" s="9"/>
      <c r="D942" s="9"/>
      <c r="E942" s="13"/>
      <c r="H942" s="9"/>
      <c r="I942" s="9"/>
      <c r="J942" s="9"/>
      <c r="K942" s="9"/>
      <c r="M942" s="9"/>
      <c r="N942" s="9"/>
      <c r="O942" s="9"/>
      <c r="Q942" s="9"/>
      <c r="R942" s="9"/>
      <c r="S942" s="9"/>
    </row>
    <row r="943">
      <c r="A943" s="9"/>
      <c r="D943" s="9"/>
      <c r="E943" s="13"/>
      <c r="H943" s="9"/>
      <c r="I943" s="9"/>
      <c r="J943" s="9"/>
      <c r="K943" s="9"/>
      <c r="M943" s="9"/>
      <c r="N943" s="9"/>
      <c r="O943" s="9"/>
      <c r="Q943" s="9"/>
      <c r="R943" s="9"/>
      <c r="S943" s="9"/>
    </row>
    <row r="944">
      <c r="A944" s="9"/>
      <c r="D944" s="9"/>
      <c r="E944" s="13"/>
      <c r="H944" s="9"/>
      <c r="I944" s="9"/>
      <c r="J944" s="9"/>
      <c r="K944" s="9"/>
      <c r="M944" s="9"/>
      <c r="N944" s="9"/>
      <c r="O944" s="9"/>
      <c r="Q944" s="9"/>
      <c r="R944" s="9"/>
      <c r="S944" s="9"/>
    </row>
    <row r="945">
      <c r="A945" s="9"/>
      <c r="D945" s="9"/>
      <c r="E945" s="13"/>
      <c r="H945" s="9"/>
      <c r="I945" s="9"/>
      <c r="J945" s="9"/>
      <c r="K945" s="9"/>
      <c r="M945" s="9"/>
      <c r="N945" s="9"/>
      <c r="O945" s="9"/>
      <c r="Q945" s="9"/>
      <c r="R945" s="9"/>
      <c r="S945" s="9"/>
    </row>
    <row r="946">
      <c r="A946" s="9"/>
      <c r="D946" s="9"/>
      <c r="E946" s="13"/>
      <c r="H946" s="9"/>
      <c r="I946" s="9"/>
      <c r="J946" s="9"/>
      <c r="K946" s="9"/>
      <c r="M946" s="9"/>
      <c r="N946" s="9"/>
      <c r="O946" s="9"/>
      <c r="Q946" s="9"/>
      <c r="R946" s="9"/>
      <c r="S946" s="9"/>
    </row>
    <row r="947">
      <c r="A947" s="9"/>
      <c r="D947" s="9"/>
      <c r="E947" s="13"/>
      <c r="H947" s="9"/>
      <c r="I947" s="9"/>
      <c r="J947" s="9"/>
      <c r="K947" s="9"/>
      <c r="M947" s="9"/>
      <c r="N947" s="9"/>
      <c r="O947" s="9"/>
      <c r="Q947" s="9"/>
      <c r="R947" s="9"/>
      <c r="S947" s="9"/>
    </row>
    <row r="948">
      <c r="A948" s="9"/>
      <c r="D948" s="9"/>
      <c r="E948" s="13"/>
      <c r="H948" s="9"/>
      <c r="I948" s="9"/>
      <c r="J948" s="9"/>
      <c r="K948" s="9"/>
      <c r="M948" s="9"/>
      <c r="N948" s="9"/>
      <c r="O948" s="9"/>
      <c r="Q948" s="9"/>
      <c r="R948" s="9"/>
      <c r="S948" s="9"/>
    </row>
    <row r="949">
      <c r="A949" s="9"/>
      <c r="D949" s="9"/>
      <c r="E949" s="13"/>
      <c r="H949" s="9"/>
      <c r="I949" s="9"/>
      <c r="J949" s="9"/>
      <c r="K949" s="9"/>
      <c r="M949" s="9"/>
      <c r="N949" s="9"/>
      <c r="O949" s="9"/>
      <c r="Q949" s="9"/>
      <c r="R949" s="9"/>
      <c r="S949" s="9"/>
    </row>
    <row r="950">
      <c r="A950" s="9"/>
      <c r="D950" s="9"/>
      <c r="E950" s="13"/>
      <c r="H950" s="9"/>
      <c r="I950" s="9"/>
      <c r="J950" s="9"/>
      <c r="K950" s="9"/>
      <c r="M950" s="9"/>
      <c r="N950" s="9"/>
      <c r="O950" s="9"/>
      <c r="Q950" s="9"/>
      <c r="R950" s="9"/>
      <c r="S950" s="9"/>
    </row>
    <row r="951">
      <c r="A951" s="9"/>
      <c r="D951" s="9"/>
      <c r="E951" s="13"/>
      <c r="H951" s="9"/>
      <c r="I951" s="9"/>
      <c r="J951" s="9"/>
      <c r="K951" s="9"/>
      <c r="M951" s="9"/>
      <c r="N951" s="9"/>
      <c r="O951" s="9"/>
      <c r="Q951" s="9"/>
      <c r="R951" s="9"/>
      <c r="S951" s="9"/>
    </row>
    <row r="952">
      <c r="A952" s="9"/>
      <c r="D952" s="9"/>
      <c r="E952" s="13"/>
      <c r="H952" s="9"/>
      <c r="I952" s="9"/>
      <c r="J952" s="9"/>
      <c r="K952" s="9"/>
      <c r="M952" s="9"/>
      <c r="N952" s="9"/>
      <c r="O952" s="9"/>
      <c r="Q952" s="9"/>
      <c r="R952" s="9"/>
      <c r="S952" s="9"/>
    </row>
    <row r="953">
      <c r="A953" s="9"/>
      <c r="D953" s="9"/>
      <c r="E953" s="13"/>
      <c r="H953" s="9"/>
      <c r="I953" s="9"/>
      <c r="J953" s="9"/>
      <c r="K953" s="9"/>
      <c r="M953" s="9"/>
      <c r="N953" s="9"/>
      <c r="O953" s="9"/>
      <c r="Q953" s="9"/>
      <c r="R953" s="9"/>
      <c r="S953" s="9"/>
    </row>
    <row r="954">
      <c r="A954" s="9"/>
      <c r="D954" s="9"/>
      <c r="E954" s="13"/>
      <c r="H954" s="9"/>
      <c r="I954" s="9"/>
      <c r="J954" s="9"/>
      <c r="K954" s="9"/>
      <c r="M954" s="9"/>
      <c r="N954" s="9"/>
      <c r="O954" s="9"/>
      <c r="Q954" s="9"/>
      <c r="R954" s="9"/>
      <c r="S954" s="9"/>
    </row>
    <row r="955">
      <c r="A955" s="9"/>
      <c r="D955" s="9"/>
      <c r="E955" s="13"/>
      <c r="H955" s="9"/>
      <c r="I955" s="9"/>
      <c r="J955" s="9"/>
      <c r="K955" s="9"/>
      <c r="M955" s="9"/>
      <c r="N955" s="9"/>
      <c r="O955" s="9"/>
      <c r="Q955" s="9"/>
      <c r="R955" s="9"/>
      <c r="S955" s="9"/>
    </row>
    <row r="956">
      <c r="A956" s="9"/>
      <c r="D956" s="9"/>
      <c r="E956" s="13"/>
      <c r="H956" s="9"/>
      <c r="I956" s="9"/>
      <c r="J956" s="9"/>
      <c r="K956" s="9"/>
      <c r="M956" s="9"/>
      <c r="N956" s="9"/>
      <c r="O956" s="9"/>
      <c r="Q956" s="9"/>
      <c r="R956" s="9"/>
      <c r="S956" s="9"/>
    </row>
    <row r="957">
      <c r="A957" s="9"/>
      <c r="D957" s="9"/>
      <c r="E957" s="13"/>
      <c r="H957" s="9"/>
      <c r="I957" s="9"/>
      <c r="J957" s="9"/>
      <c r="K957" s="9"/>
      <c r="M957" s="9"/>
      <c r="N957" s="9"/>
      <c r="O957" s="9"/>
      <c r="Q957" s="9"/>
      <c r="R957" s="9"/>
      <c r="S957" s="9"/>
    </row>
    <row r="958">
      <c r="A958" s="9"/>
      <c r="D958" s="9"/>
      <c r="E958" s="13"/>
      <c r="H958" s="9"/>
      <c r="I958" s="9"/>
      <c r="J958" s="9"/>
      <c r="K958" s="9"/>
      <c r="M958" s="9"/>
      <c r="N958" s="9"/>
      <c r="O958" s="9"/>
      <c r="Q958" s="9"/>
      <c r="R958" s="9"/>
      <c r="S958" s="9"/>
    </row>
    <row r="959">
      <c r="A959" s="9"/>
      <c r="D959" s="9"/>
      <c r="E959" s="13"/>
      <c r="H959" s="9"/>
      <c r="I959" s="9"/>
      <c r="J959" s="9"/>
      <c r="K959" s="9"/>
      <c r="M959" s="9"/>
      <c r="N959" s="9"/>
      <c r="O959" s="9"/>
      <c r="Q959" s="9"/>
      <c r="R959" s="9"/>
      <c r="S959" s="9"/>
    </row>
    <row r="960">
      <c r="A960" s="9"/>
      <c r="D960" s="9"/>
      <c r="E960" s="13"/>
      <c r="H960" s="9"/>
      <c r="I960" s="9"/>
      <c r="J960" s="9"/>
      <c r="K960" s="9"/>
      <c r="M960" s="9"/>
      <c r="N960" s="9"/>
      <c r="O960" s="9"/>
      <c r="Q960" s="9"/>
      <c r="R960" s="9"/>
      <c r="S960" s="9"/>
    </row>
    <row r="961">
      <c r="A961" s="9"/>
      <c r="D961" s="9"/>
      <c r="E961" s="13"/>
      <c r="H961" s="9"/>
      <c r="I961" s="9"/>
      <c r="J961" s="9"/>
      <c r="K961" s="9"/>
      <c r="M961" s="9"/>
      <c r="N961" s="9"/>
      <c r="O961" s="9"/>
      <c r="Q961" s="9"/>
      <c r="R961" s="9"/>
      <c r="S961" s="9"/>
    </row>
    <row r="962">
      <c r="A962" s="9"/>
      <c r="D962" s="9"/>
      <c r="E962" s="13"/>
      <c r="H962" s="9"/>
      <c r="I962" s="9"/>
      <c r="J962" s="9"/>
      <c r="K962" s="9"/>
      <c r="M962" s="9"/>
      <c r="N962" s="9"/>
      <c r="O962" s="9"/>
      <c r="Q962" s="9"/>
      <c r="R962" s="9"/>
      <c r="S962" s="9"/>
    </row>
    <row r="963">
      <c r="A963" s="9"/>
      <c r="D963" s="9"/>
      <c r="E963" s="13"/>
      <c r="H963" s="9"/>
      <c r="I963" s="9"/>
      <c r="J963" s="9"/>
      <c r="K963" s="9"/>
      <c r="M963" s="9"/>
      <c r="N963" s="9"/>
      <c r="O963" s="9"/>
      <c r="Q963" s="9"/>
      <c r="R963" s="9"/>
      <c r="S963" s="9"/>
    </row>
    <row r="964">
      <c r="A964" s="9"/>
      <c r="D964" s="9"/>
      <c r="E964" s="13"/>
      <c r="H964" s="9"/>
      <c r="I964" s="9"/>
      <c r="J964" s="9"/>
      <c r="K964" s="9"/>
      <c r="M964" s="9"/>
      <c r="N964" s="9"/>
      <c r="O964" s="9"/>
      <c r="Q964" s="9"/>
      <c r="R964" s="9"/>
      <c r="S964" s="9"/>
    </row>
    <row r="965">
      <c r="A965" s="9"/>
      <c r="D965" s="9"/>
      <c r="E965" s="13"/>
      <c r="H965" s="9"/>
      <c r="I965" s="9"/>
      <c r="J965" s="9"/>
      <c r="K965" s="9"/>
      <c r="M965" s="9"/>
      <c r="N965" s="9"/>
      <c r="O965" s="9"/>
      <c r="Q965" s="9"/>
      <c r="R965" s="9"/>
      <c r="S965" s="9"/>
    </row>
    <row r="966">
      <c r="A966" s="9"/>
      <c r="D966" s="9"/>
      <c r="E966" s="13"/>
      <c r="H966" s="9"/>
      <c r="I966" s="9"/>
      <c r="J966" s="9"/>
      <c r="K966" s="9"/>
      <c r="M966" s="9"/>
      <c r="N966" s="9"/>
      <c r="O966" s="9"/>
      <c r="Q966" s="9"/>
      <c r="R966" s="9"/>
      <c r="S966" s="9"/>
    </row>
    <row r="967">
      <c r="A967" s="9"/>
      <c r="D967" s="9"/>
      <c r="E967" s="13"/>
      <c r="H967" s="9"/>
      <c r="I967" s="9"/>
      <c r="J967" s="9"/>
      <c r="K967" s="9"/>
      <c r="M967" s="9"/>
      <c r="N967" s="9"/>
      <c r="O967" s="9"/>
      <c r="Q967" s="9"/>
      <c r="R967" s="9"/>
      <c r="S967" s="9"/>
    </row>
    <row r="968">
      <c r="A968" s="9"/>
      <c r="D968" s="9"/>
      <c r="E968" s="13"/>
      <c r="H968" s="9"/>
      <c r="I968" s="9"/>
      <c r="J968" s="9"/>
      <c r="K968" s="9"/>
      <c r="M968" s="9"/>
      <c r="N968" s="9"/>
      <c r="O968" s="9"/>
      <c r="Q968" s="9"/>
      <c r="R968" s="9"/>
      <c r="S968" s="9"/>
    </row>
    <row r="969">
      <c r="A969" s="9"/>
      <c r="D969" s="9"/>
      <c r="E969" s="13"/>
      <c r="H969" s="9"/>
      <c r="I969" s="9"/>
      <c r="J969" s="9"/>
      <c r="K969" s="9"/>
      <c r="M969" s="9"/>
      <c r="N969" s="9"/>
      <c r="O969" s="9"/>
      <c r="Q969" s="9"/>
      <c r="R969" s="9"/>
      <c r="S969" s="9"/>
    </row>
    <row r="970">
      <c r="A970" s="9"/>
      <c r="D970" s="9"/>
      <c r="E970" s="13"/>
      <c r="H970" s="9"/>
      <c r="I970" s="9"/>
      <c r="J970" s="9"/>
      <c r="K970" s="9"/>
      <c r="M970" s="9"/>
      <c r="N970" s="9"/>
      <c r="O970" s="9"/>
      <c r="Q970" s="9"/>
      <c r="R970" s="9"/>
      <c r="S970" s="9"/>
    </row>
    <row r="971">
      <c r="A971" s="9"/>
      <c r="D971" s="9"/>
      <c r="E971" s="13"/>
      <c r="H971" s="9"/>
      <c r="I971" s="9"/>
      <c r="J971" s="9"/>
      <c r="K971" s="9"/>
      <c r="M971" s="9"/>
      <c r="N971" s="9"/>
      <c r="O971" s="9"/>
      <c r="Q971" s="9"/>
      <c r="R971" s="9"/>
      <c r="S971" s="9"/>
    </row>
    <row r="972">
      <c r="A972" s="9"/>
      <c r="D972" s="9"/>
      <c r="E972" s="13"/>
      <c r="H972" s="9"/>
      <c r="I972" s="9"/>
      <c r="J972" s="9"/>
      <c r="K972" s="9"/>
      <c r="M972" s="9"/>
      <c r="N972" s="9"/>
      <c r="O972" s="9"/>
      <c r="Q972" s="9"/>
      <c r="R972" s="9"/>
      <c r="S972" s="9"/>
    </row>
    <row r="973">
      <c r="A973" s="9"/>
      <c r="D973" s="9"/>
      <c r="E973" s="13"/>
      <c r="H973" s="9"/>
      <c r="I973" s="9"/>
      <c r="J973" s="9"/>
      <c r="K973" s="9"/>
      <c r="M973" s="9"/>
      <c r="N973" s="9"/>
      <c r="O973" s="9"/>
      <c r="Q973" s="9"/>
      <c r="R973" s="9"/>
      <c r="S973" s="9"/>
    </row>
    <row r="974">
      <c r="A974" s="9"/>
      <c r="D974" s="9"/>
      <c r="E974" s="13"/>
      <c r="H974" s="9"/>
      <c r="I974" s="9"/>
      <c r="J974" s="9"/>
      <c r="K974" s="9"/>
      <c r="M974" s="9"/>
      <c r="N974" s="9"/>
      <c r="O974" s="9"/>
      <c r="Q974" s="9"/>
      <c r="R974" s="9"/>
      <c r="S974" s="9"/>
    </row>
    <row r="975">
      <c r="A975" s="9"/>
      <c r="D975" s="9"/>
      <c r="E975" s="13"/>
      <c r="H975" s="9"/>
      <c r="I975" s="9"/>
      <c r="J975" s="9"/>
      <c r="K975" s="9"/>
      <c r="M975" s="9"/>
      <c r="N975" s="9"/>
      <c r="O975" s="9"/>
      <c r="Q975" s="9"/>
      <c r="R975" s="9"/>
      <c r="S975" s="9"/>
    </row>
    <row r="976">
      <c r="A976" s="9"/>
      <c r="D976" s="9"/>
      <c r="E976" s="13"/>
      <c r="H976" s="9"/>
      <c r="I976" s="9"/>
      <c r="J976" s="9"/>
      <c r="K976" s="9"/>
      <c r="M976" s="9"/>
      <c r="N976" s="9"/>
      <c r="O976" s="9"/>
      <c r="Q976" s="9"/>
      <c r="R976" s="9"/>
      <c r="S976" s="9"/>
    </row>
    <row r="977">
      <c r="A977" s="9"/>
      <c r="D977" s="9"/>
      <c r="E977" s="13"/>
      <c r="H977" s="9"/>
      <c r="I977" s="9"/>
      <c r="J977" s="9"/>
      <c r="K977" s="9"/>
      <c r="M977" s="9"/>
      <c r="N977" s="9"/>
      <c r="O977" s="9"/>
      <c r="Q977" s="9"/>
      <c r="R977" s="9"/>
      <c r="S977" s="9"/>
    </row>
    <row r="978">
      <c r="A978" s="9"/>
      <c r="D978" s="9"/>
      <c r="E978" s="13"/>
      <c r="H978" s="9"/>
      <c r="I978" s="9"/>
      <c r="J978" s="9"/>
      <c r="K978" s="9"/>
      <c r="M978" s="9"/>
      <c r="N978" s="9"/>
      <c r="O978" s="9"/>
      <c r="Q978" s="9"/>
      <c r="R978" s="9"/>
      <c r="S978" s="9"/>
    </row>
    <row r="979">
      <c r="A979" s="9"/>
      <c r="D979" s="9"/>
      <c r="E979" s="13"/>
      <c r="H979" s="9"/>
      <c r="I979" s="9"/>
      <c r="J979" s="9"/>
      <c r="K979" s="9"/>
      <c r="M979" s="9"/>
      <c r="N979" s="9"/>
      <c r="O979" s="9"/>
      <c r="Q979" s="9"/>
      <c r="R979" s="9"/>
      <c r="S979" s="9"/>
    </row>
  </sheetData>
  <mergeCells count="1">
    <mergeCell ref="A1:S1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75"/>
    <col customWidth="1" min="2" max="2" width="22.88"/>
    <col customWidth="1" min="3" max="3" width="26.0"/>
    <col customWidth="1" min="4" max="4" width="12.5"/>
    <col customWidth="1" min="5" max="5" width="11.38"/>
    <col customWidth="1" min="6" max="6" width="17.63"/>
    <col customWidth="1" min="7" max="7" width="10.25"/>
    <col customWidth="1" min="8" max="10" width="5.63"/>
    <col customWidth="1" min="11" max="11" width="8.25"/>
    <col customWidth="1" min="12" max="12" width="5.63"/>
    <col customWidth="1" min="13" max="13" width="10.5"/>
    <col customWidth="1" min="14" max="14" width="8.38"/>
    <col customWidth="1" min="15" max="15" width="5.63"/>
    <col customWidth="1" min="16" max="16" width="13.0"/>
    <col customWidth="1" min="17" max="17" width="5.88"/>
    <col customWidth="1" min="18" max="18" width="4.75"/>
    <col customWidth="1" min="19" max="19" width="7.5"/>
    <col customWidth="1" min="20" max="20" width="5.88"/>
    <col customWidth="1" min="21" max="21" width="4.63"/>
    <col customWidth="1" min="22" max="22" width="9.38"/>
    <col customWidth="1" min="23" max="23" width="5.88"/>
    <col customWidth="1" min="24" max="24" width="4.75"/>
    <col customWidth="1" min="25" max="25" width="7.5"/>
    <col customWidth="1" min="26" max="29" width="5.38"/>
  </cols>
  <sheetData>
    <row r="1">
      <c r="A1" s="76" t="s">
        <v>247</v>
      </c>
      <c r="B1" s="39"/>
      <c r="C1" s="39"/>
      <c r="D1" s="39"/>
      <c r="E1" s="39"/>
      <c r="F1" s="39"/>
      <c r="G1" s="40"/>
      <c r="H1" s="77"/>
      <c r="I1" s="77"/>
      <c r="J1" s="78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4"/>
      <c r="AA1" s="4"/>
      <c r="AB1" s="4"/>
      <c r="AC1" s="4"/>
    </row>
    <row r="2">
      <c r="A2" s="79" t="s">
        <v>8</v>
      </c>
      <c r="B2" s="80" t="s">
        <v>9</v>
      </c>
      <c r="C2" s="80" t="s">
        <v>10</v>
      </c>
      <c r="D2" s="80" t="s">
        <v>11</v>
      </c>
      <c r="E2" s="81" t="s">
        <v>12</v>
      </c>
      <c r="F2" s="80" t="s">
        <v>13</v>
      </c>
      <c r="G2" s="80" t="s">
        <v>14</v>
      </c>
      <c r="H2" s="80" t="s">
        <v>248</v>
      </c>
      <c r="I2" s="80" t="s">
        <v>16</v>
      </c>
      <c r="J2" s="82" t="s">
        <v>17</v>
      </c>
      <c r="K2" s="80" t="s">
        <v>18</v>
      </c>
      <c r="L2" s="79" t="s">
        <v>19</v>
      </c>
      <c r="M2" s="79" t="s">
        <v>20</v>
      </c>
      <c r="N2" s="79" t="s">
        <v>249</v>
      </c>
      <c r="O2" s="79" t="s">
        <v>250</v>
      </c>
      <c r="P2" s="80" t="s">
        <v>23</v>
      </c>
      <c r="Q2" s="80" t="s">
        <v>251</v>
      </c>
      <c r="R2" s="80" t="s">
        <v>252</v>
      </c>
      <c r="S2" s="80" t="s">
        <v>253</v>
      </c>
      <c r="T2" s="80" t="s">
        <v>251</v>
      </c>
      <c r="U2" s="80" t="s">
        <v>252</v>
      </c>
      <c r="V2" s="80" t="s">
        <v>253</v>
      </c>
      <c r="W2" s="80" t="s">
        <v>251</v>
      </c>
      <c r="X2" s="80" t="s">
        <v>252</v>
      </c>
      <c r="Y2" s="80" t="s">
        <v>253</v>
      </c>
      <c r="Z2" s="31"/>
      <c r="AA2" s="31"/>
      <c r="AB2" s="31"/>
      <c r="AC2" s="31"/>
    </row>
    <row r="3">
      <c r="A3" s="83">
        <v>1.0</v>
      </c>
      <c r="B3" s="84" t="s">
        <v>254</v>
      </c>
      <c r="C3" s="84" t="s">
        <v>255</v>
      </c>
      <c r="D3" s="84" t="s">
        <v>256</v>
      </c>
      <c r="E3" s="85"/>
      <c r="F3" s="84" t="s">
        <v>257</v>
      </c>
      <c r="G3" s="86"/>
      <c r="H3" s="86"/>
      <c r="I3" s="84">
        <v>14000.0</v>
      </c>
      <c r="J3" s="87">
        <v>9500.0</v>
      </c>
      <c r="K3" s="86"/>
      <c r="L3" s="88"/>
      <c r="M3" s="88"/>
      <c r="N3" s="88"/>
      <c r="O3" s="88"/>
      <c r="P3" s="86"/>
      <c r="Q3" s="86"/>
      <c r="R3" s="86"/>
      <c r="S3" s="86"/>
      <c r="T3" s="86"/>
      <c r="U3" s="86"/>
      <c r="V3" s="86"/>
      <c r="W3" s="86"/>
      <c r="X3" s="86"/>
      <c r="Y3" s="86"/>
    </row>
    <row r="4">
      <c r="A4" s="83">
        <v>2.0</v>
      </c>
      <c r="B4" s="84" t="s">
        <v>258</v>
      </c>
      <c r="C4" s="84" t="s">
        <v>259</v>
      </c>
      <c r="D4" s="84" t="s">
        <v>260</v>
      </c>
      <c r="E4" s="89">
        <v>1751.0</v>
      </c>
      <c r="F4" s="90" t="s">
        <v>223</v>
      </c>
      <c r="G4" s="91">
        <v>8.094106026E9</v>
      </c>
      <c r="H4" s="91">
        <v>0.0</v>
      </c>
      <c r="I4" s="84">
        <v>14000.0</v>
      </c>
      <c r="J4" s="92">
        <v>7000.0</v>
      </c>
      <c r="K4" s="90"/>
      <c r="L4" s="91">
        <v>2000.0</v>
      </c>
      <c r="M4" s="88">
        <f t="shared" ref="M4:M69" si="1">(H4+I4+J4+K4-L4)</f>
        <v>19000</v>
      </c>
      <c r="N4" s="88">
        <f t="shared" ref="N4:N69" si="2">SUM(Q4,T4,W4)</f>
        <v>14000</v>
      </c>
      <c r="O4" s="88">
        <f t="shared" ref="O4:O69" si="3">(M4-N4)</f>
        <v>5000</v>
      </c>
      <c r="P4" s="90" t="s">
        <v>44</v>
      </c>
      <c r="Q4" s="92">
        <v>8000.0</v>
      </c>
      <c r="R4" s="92">
        <v>3204.0</v>
      </c>
      <c r="S4" s="93">
        <v>45969.0</v>
      </c>
      <c r="T4" s="84">
        <v>6000.0</v>
      </c>
      <c r="U4" s="84">
        <v>4041.0</v>
      </c>
      <c r="V4" s="84" t="s">
        <v>261</v>
      </c>
      <c r="W4" s="86"/>
      <c r="X4" s="86"/>
      <c r="Y4" s="86"/>
    </row>
    <row r="5">
      <c r="A5" s="83">
        <v>3.0</v>
      </c>
      <c r="B5" s="84" t="s">
        <v>262</v>
      </c>
      <c r="C5" s="84" t="s">
        <v>263</v>
      </c>
      <c r="D5" s="84" t="s">
        <v>256</v>
      </c>
      <c r="E5" s="89">
        <v>1660.0</v>
      </c>
      <c r="F5" s="84" t="s">
        <v>264</v>
      </c>
      <c r="G5" s="84">
        <v>9.680047829E9</v>
      </c>
      <c r="H5" s="86"/>
      <c r="I5" s="84">
        <v>14000.0</v>
      </c>
      <c r="J5" s="87">
        <v>6500.0</v>
      </c>
      <c r="K5" s="86"/>
      <c r="L5" s="88"/>
      <c r="M5" s="88">
        <f t="shared" si="1"/>
        <v>20500</v>
      </c>
      <c r="N5" s="88">
        <f t="shared" si="2"/>
        <v>8000</v>
      </c>
      <c r="O5" s="88">
        <f t="shared" si="3"/>
        <v>12500</v>
      </c>
      <c r="P5" s="86"/>
      <c r="Q5" s="84">
        <v>8000.0</v>
      </c>
      <c r="R5" s="84">
        <v>3563.0</v>
      </c>
      <c r="S5" s="94">
        <v>45848.0</v>
      </c>
      <c r="T5" s="86"/>
      <c r="U5" s="86"/>
      <c r="V5" s="86"/>
      <c r="W5" s="86"/>
      <c r="X5" s="86"/>
      <c r="Y5" s="86"/>
    </row>
    <row r="6">
      <c r="A6" s="83">
        <v>4.0</v>
      </c>
      <c r="B6" s="84" t="s">
        <v>265</v>
      </c>
      <c r="C6" s="84" t="s">
        <v>266</v>
      </c>
      <c r="D6" s="84" t="s">
        <v>256</v>
      </c>
      <c r="E6" s="89">
        <v>1686.0</v>
      </c>
      <c r="F6" s="84" t="s">
        <v>30</v>
      </c>
      <c r="G6" s="84">
        <v>6.3675771132E10</v>
      </c>
      <c r="H6" s="86"/>
      <c r="I6" s="84">
        <v>14000.0</v>
      </c>
      <c r="J6" s="87">
        <v>9500.0</v>
      </c>
      <c r="K6" s="86"/>
      <c r="L6" s="88"/>
      <c r="M6" s="88">
        <f t="shared" si="1"/>
        <v>23500</v>
      </c>
      <c r="N6" s="88">
        <f t="shared" si="2"/>
        <v>0</v>
      </c>
      <c r="O6" s="88">
        <f t="shared" si="3"/>
        <v>23500</v>
      </c>
      <c r="P6" s="86"/>
      <c r="Q6" s="86"/>
      <c r="R6" s="86"/>
      <c r="S6" s="86"/>
      <c r="T6" s="86"/>
      <c r="U6" s="86"/>
      <c r="V6" s="86"/>
      <c r="W6" s="86"/>
      <c r="X6" s="86"/>
      <c r="Y6" s="86"/>
    </row>
    <row r="7">
      <c r="A7" s="83">
        <v>5.0</v>
      </c>
      <c r="B7" s="84" t="s">
        <v>267</v>
      </c>
      <c r="C7" s="84" t="s">
        <v>268</v>
      </c>
      <c r="D7" s="84" t="s">
        <v>269</v>
      </c>
      <c r="E7" s="89">
        <v>1699.0</v>
      </c>
      <c r="F7" s="84" t="s">
        <v>270</v>
      </c>
      <c r="G7" s="84">
        <v>9.928415416E9</v>
      </c>
      <c r="H7" s="86"/>
      <c r="I7" s="84">
        <v>14000.0</v>
      </c>
      <c r="J7" s="87">
        <v>7000.0</v>
      </c>
      <c r="K7" s="86"/>
      <c r="L7" s="88"/>
      <c r="M7" s="88">
        <f t="shared" si="1"/>
        <v>21000</v>
      </c>
      <c r="N7" s="88">
        <f t="shared" si="2"/>
        <v>19000</v>
      </c>
      <c r="O7" s="88">
        <f t="shared" si="3"/>
        <v>2000</v>
      </c>
      <c r="P7" s="86"/>
      <c r="Q7" s="84">
        <v>19000.0</v>
      </c>
      <c r="R7" s="84">
        <v>3508.0</v>
      </c>
      <c r="S7" s="94">
        <v>45757.0</v>
      </c>
      <c r="T7" s="86"/>
      <c r="U7" s="86"/>
      <c r="V7" s="86"/>
      <c r="W7" s="86"/>
      <c r="X7" s="86"/>
      <c r="Y7" s="86"/>
    </row>
    <row r="8">
      <c r="A8" s="83">
        <v>6.0</v>
      </c>
      <c r="B8" s="84" t="s">
        <v>271</v>
      </c>
      <c r="C8" s="84" t="s">
        <v>272</v>
      </c>
      <c r="D8" s="84" t="s">
        <v>273</v>
      </c>
      <c r="E8" s="89">
        <v>1632.0</v>
      </c>
      <c r="F8" s="95" t="s">
        <v>274</v>
      </c>
      <c r="G8" s="91">
        <v>8.890800437E9</v>
      </c>
      <c r="H8" s="91">
        <v>0.0</v>
      </c>
      <c r="I8" s="84">
        <v>14000.0</v>
      </c>
      <c r="J8" s="92">
        <v>5000.0</v>
      </c>
      <c r="K8" s="90"/>
      <c r="L8" s="91">
        <v>4000.0</v>
      </c>
      <c r="M8" s="88">
        <f t="shared" si="1"/>
        <v>15000</v>
      </c>
      <c r="N8" s="88">
        <f t="shared" si="2"/>
        <v>7000</v>
      </c>
      <c r="O8" s="88">
        <f t="shared" si="3"/>
        <v>8000</v>
      </c>
      <c r="P8" s="90" t="s">
        <v>44</v>
      </c>
      <c r="Q8" s="92">
        <v>3000.0</v>
      </c>
      <c r="R8" s="92">
        <v>3056.0</v>
      </c>
      <c r="S8" s="90" t="s">
        <v>275</v>
      </c>
      <c r="T8" s="84">
        <v>4000.0</v>
      </c>
      <c r="U8" s="84">
        <v>3973.0</v>
      </c>
      <c r="V8" s="84" t="s">
        <v>132</v>
      </c>
      <c r="W8" s="86"/>
      <c r="X8" s="86"/>
      <c r="Y8" s="86"/>
    </row>
    <row r="9">
      <c r="A9" s="83">
        <v>7.0</v>
      </c>
      <c r="B9" s="84" t="s">
        <v>276</v>
      </c>
      <c r="C9" s="84" t="s">
        <v>277</v>
      </c>
      <c r="D9" s="84" t="s">
        <v>278</v>
      </c>
      <c r="E9" s="89">
        <v>1109.0</v>
      </c>
      <c r="F9" s="84" t="s">
        <v>126</v>
      </c>
      <c r="G9" s="84">
        <v>9.660163916E9</v>
      </c>
      <c r="H9" s="86"/>
      <c r="I9" s="84">
        <v>14000.0</v>
      </c>
      <c r="J9" s="87">
        <v>5000.0</v>
      </c>
      <c r="K9" s="86"/>
      <c r="L9" s="83">
        <v>4000.0</v>
      </c>
      <c r="M9" s="88">
        <f t="shared" si="1"/>
        <v>15000</v>
      </c>
      <c r="N9" s="88">
        <f t="shared" si="2"/>
        <v>9000</v>
      </c>
      <c r="O9" s="88">
        <f t="shared" si="3"/>
        <v>6000</v>
      </c>
      <c r="P9" s="84" t="s">
        <v>131</v>
      </c>
      <c r="Q9" s="84">
        <v>9000.0</v>
      </c>
      <c r="R9" s="84">
        <v>4102.0</v>
      </c>
      <c r="S9" s="84" t="s">
        <v>279</v>
      </c>
      <c r="T9" s="86"/>
      <c r="U9" s="86"/>
      <c r="V9" s="86"/>
      <c r="W9" s="86"/>
      <c r="X9" s="86"/>
      <c r="Y9" s="86"/>
    </row>
    <row r="10">
      <c r="A10" s="83">
        <v>8.0</v>
      </c>
      <c r="B10" s="84" t="s">
        <v>280</v>
      </c>
      <c r="C10" s="84" t="s">
        <v>281</v>
      </c>
      <c r="D10" s="84" t="s">
        <v>278</v>
      </c>
      <c r="E10" s="96">
        <v>2035.0</v>
      </c>
      <c r="F10" s="84" t="s">
        <v>282</v>
      </c>
      <c r="G10" s="84">
        <v>8.290648471E9</v>
      </c>
      <c r="H10" s="83">
        <v>1000.0</v>
      </c>
      <c r="I10" s="84">
        <v>14000.0</v>
      </c>
      <c r="J10" s="87">
        <v>10000.0</v>
      </c>
      <c r="K10" s="88"/>
      <c r="L10" s="84">
        <v>6000.0</v>
      </c>
      <c r="M10" s="88">
        <f t="shared" si="1"/>
        <v>19000</v>
      </c>
      <c r="N10" s="88">
        <f t="shared" si="2"/>
        <v>11000</v>
      </c>
      <c r="O10" s="88">
        <f t="shared" si="3"/>
        <v>8000</v>
      </c>
      <c r="P10" s="84" t="s">
        <v>44</v>
      </c>
      <c r="Q10" s="84">
        <v>3000.0</v>
      </c>
      <c r="R10" s="86"/>
      <c r="S10" s="94">
        <v>45845.0</v>
      </c>
      <c r="T10" s="84">
        <v>3000.0</v>
      </c>
      <c r="U10" s="84">
        <v>3245.0</v>
      </c>
      <c r="V10" s="84" t="s">
        <v>220</v>
      </c>
      <c r="W10" s="84">
        <v>5000.0</v>
      </c>
      <c r="X10" s="84">
        <v>3675.0</v>
      </c>
      <c r="Y10" s="94">
        <v>45910.0</v>
      </c>
    </row>
    <row r="11">
      <c r="A11" s="83">
        <v>9.0</v>
      </c>
      <c r="B11" s="90" t="s">
        <v>283</v>
      </c>
      <c r="C11" s="90" t="s">
        <v>284</v>
      </c>
      <c r="D11" s="95" t="s">
        <v>285</v>
      </c>
      <c r="E11" s="86"/>
      <c r="F11" s="90" t="s">
        <v>286</v>
      </c>
      <c r="G11" s="91">
        <v>7.426812017E9</v>
      </c>
      <c r="H11" s="91">
        <v>0.0</v>
      </c>
      <c r="I11" s="84">
        <v>14000.0</v>
      </c>
      <c r="J11" s="92">
        <v>0.0</v>
      </c>
      <c r="K11" s="90"/>
      <c r="L11" s="91">
        <v>3500.0</v>
      </c>
      <c r="M11" s="88">
        <f t="shared" si="1"/>
        <v>10500</v>
      </c>
      <c r="N11" s="88">
        <f t="shared" si="2"/>
        <v>2000</v>
      </c>
      <c r="O11" s="88">
        <f t="shared" si="3"/>
        <v>8500</v>
      </c>
      <c r="P11" s="90" t="s">
        <v>44</v>
      </c>
      <c r="Q11" s="92">
        <v>2000.0</v>
      </c>
      <c r="R11" s="92">
        <v>2961.0</v>
      </c>
      <c r="S11" s="93">
        <v>45937.0</v>
      </c>
      <c r="T11" s="90"/>
      <c r="U11" s="90"/>
      <c r="V11" s="90"/>
      <c r="W11" s="90"/>
      <c r="X11" s="90"/>
      <c r="Y11" s="90"/>
      <c r="Z11" s="10"/>
      <c r="AA11" s="10"/>
      <c r="AB11" s="10"/>
      <c r="AC11" s="10"/>
    </row>
    <row r="12">
      <c r="A12" s="83">
        <v>10.0</v>
      </c>
      <c r="B12" s="84" t="s">
        <v>287</v>
      </c>
      <c r="C12" s="84" t="s">
        <v>288</v>
      </c>
      <c r="D12" s="84" t="s">
        <v>285</v>
      </c>
      <c r="E12" s="89">
        <v>1654.0</v>
      </c>
      <c r="F12" s="90" t="s">
        <v>289</v>
      </c>
      <c r="G12" s="91">
        <v>8.955149956E9</v>
      </c>
      <c r="H12" s="91">
        <v>0.0</v>
      </c>
      <c r="I12" s="84">
        <v>14000.0</v>
      </c>
      <c r="J12" s="92">
        <v>9000.0</v>
      </c>
      <c r="K12" s="90"/>
      <c r="L12" s="91">
        <v>4000.0</v>
      </c>
      <c r="M12" s="88">
        <f t="shared" si="1"/>
        <v>19000</v>
      </c>
      <c r="N12" s="88">
        <f t="shared" si="2"/>
        <v>6000</v>
      </c>
      <c r="O12" s="88">
        <f t="shared" si="3"/>
        <v>13000</v>
      </c>
      <c r="P12" s="90" t="s">
        <v>44</v>
      </c>
      <c r="Q12" s="92">
        <v>2000.0</v>
      </c>
      <c r="R12" s="92">
        <v>3026.0</v>
      </c>
      <c r="S12" s="90" t="s">
        <v>290</v>
      </c>
      <c r="T12" s="84">
        <v>4000.0</v>
      </c>
      <c r="U12" s="84">
        <v>3749.0</v>
      </c>
      <c r="V12" s="84" t="s">
        <v>291</v>
      </c>
      <c r="W12" s="86"/>
      <c r="X12" s="86"/>
      <c r="Y12" s="86"/>
    </row>
    <row r="13">
      <c r="A13" s="83">
        <v>11.0</v>
      </c>
      <c r="B13" s="84" t="s">
        <v>292</v>
      </c>
      <c r="C13" s="84" t="s">
        <v>293</v>
      </c>
      <c r="D13" s="84" t="s">
        <v>285</v>
      </c>
      <c r="E13" s="89">
        <v>2.0220001E7</v>
      </c>
      <c r="F13" s="84" t="s">
        <v>188</v>
      </c>
      <c r="G13" s="84">
        <v>9.928842938E9</v>
      </c>
      <c r="H13" s="86"/>
      <c r="I13" s="84">
        <v>14000.0</v>
      </c>
      <c r="J13" s="87">
        <v>5000.0</v>
      </c>
      <c r="K13" s="86"/>
      <c r="L13" s="88"/>
      <c r="M13" s="88">
        <f t="shared" si="1"/>
        <v>19000</v>
      </c>
      <c r="N13" s="88">
        <f t="shared" si="2"/>
        <v>0</v>
      </c>
      <c r="O13" s="88">
        <f t="shared" si="3"/>
        <v>19000</v>
      </c>
      <c r="P13" s="86"/>
      <c r="Q13" s="86"/>
      <c r="R13" s="86"/>
      <c r="S13" s="86"/>
      <c r="T13" s="86"/>
      <c r="U13" s="86"/>
      <c r="V13" s="86"/>
      <c r="W13" s="86"/>
      <c r="X13" s="86"/>
      <c r="Y13" s="86"/>
    </row>
    <row r="14">
      <c r="A14" s="83">
        <v>12.0</v>
      </c>
      <c r="B14" s="84" t="s">
        <v>294</v>
      </c>
      <c r="C14" s="84" t="s">
        <v>295</v>
      </c>
      <c r="D14" s="84" t="s">
        <v>256</v>
      </c>
      <c r="E14" s="89">
        <v>1756.0</v>
      </c>
      <c r="F14" s="84" t="s">
        <v>286</v>
      </c>
      <c r="G14" s="84">
        <v>9.0011489E9</v>
      </c>
      <c r="H14" s="86"/>
      <c r="I14" s="84">
        <v>14000.0</v>
      </c>
      <c r="J14" s="87">
        <v>0.0</v>
      </c>
      <c r="K14" s="86"/>
      <c r="L14" s="88"/>
      <c r="M14" s="88">
        <f t="shared" si="1"/>
        <v>14000</v>
      </c>
      <c r="N14" s="88">
        <f t="shared" si="2"/>
        <v>0</v>
      </c>
      <c r="O14" s="88">
        <f t="shared" si="3"/>
        <v>14000</v>
      </c>
      <c r="P14" s="86"/>
      <c r="Q14" s="86"/>
      <c r="R14" s="86"/>
      <c r="S14" s="86"/>
      <c r="T14" s="86"/>
      <c r="U14" s="86"/>
      <c r="V14" s="86"/>
      <c r="W14" s="86"/>
      <c r="X14" s="86"/>
      <c r="Y14" s="86"/>
    </row>
    <row r="15">
      <c r="A15" s="83">
        <v>13.0</v>
      </c>
      <c r="B15" s="84" t="s">
        <v>296</v>
      </c>
      <c r="C15" s="84" t="s">
        <v>297</v>
      </c>
      <c r="D15" s="84" t="s">
        <v>260</v>
      </c>
      <c r="E15" s="89">
        <v>1657.0</v>
      </c>
      <c r="F15" s="84" t="s">
        <v>298</v>
      </c>
      <c r="G15" s="84">
        <v>8.824359901E9</v>
      </c>
      <c r="H15" s="86"/>
      <c r="I15" s="84">
        <v>14000.0</v>
      </c>
      <c r="J15" s="87">
        <v>7500.0</v>
      </c>
      <c r="K15" s="86"/>
      <c r="L15" s="88"/>
      <c r="M15" s="88">
        <f t="shared" si="1"/>
        <v>21500</v>
      </c>
      <c r="N15" s="88">
        <f t="shared" si="2"/>
        <v>0</v>
      </c>
      <c r="O15" s="88">
        <f t="shared" si="3"/>
        <v>21500</v>
      </c>
      <c r="P15" s="86"/>
      <c r="Q15" s="86"/>
      <c r="R15" s="86"/>
      <c r="S15" s="86"/>
      <c r="T15" s="86"/>
      <c r="U15" s="86"/>
      <c r="V15" s="86"/>
      <c r="W15" s="86"/>
      <c r="X15" s="86"/>
      <c r="Y15" s="86"/>
    </row>
    <row r="16">
      <c r="A16" s="83">
        <v>14.0</v>
      </c>
      <c r="B16" s="84" t="s">
        <v>299</v>
      </c>
      <c r="C16" s="84" t="s">
        <v>300</v>
      </c>
      <c r="D16" s="84" t="s">
        <v>269</v>
      </c>
      <c r="E16" s="89">
        <v>1777.0</v>
      </c>
      <c r="F16" s="84" t="s">
        <v>301</v>
      </c>
      <c r="G16" s="84">
        <v>8.302346358E9</v>
      </c>
      <c r="H16" s="86"/>
      <c r="I16" s="84">
        <v>14000.0</v>
      </c>
      <c r="J16" s="87">
        <v>5000.0</v>
      </c>
      <c r="K16" s="86"/>
      <c r="L16" s="88"/>
      <c r="M16" s="88">
        <f t="shared" si="1"/>
        <v>19000</v>
      </c>
      <c r="N16" s="88">
        <f t="shared" si="2"/>
        <v>8000</v>
      </c>
      <c r="O16" s="88">
        <f t="shared" si="3"/>
        <v>11000</v>
      </c>
      <c r="P16" s="86"/>
      <c r="Q16" s="84">
        <v>8000.0</v>
      </c>
      <c r="R16" s="84">
        <v>3895.0</v>
      </c>
      <c r="S16" s="84" t="s">
        <v>302</v>
      </c>
      <c r="T16" s="86"/>
      <c r="U16" s="86"/>
      <c r="V16" s="86"/>
      <c r="W16" s="86"/>
      <c r="X16" s="86"/>
      <c r="Y16" s="86"/>
    </row>
    <row r="17">
      <c r="A17" s="83">
        <v>15.0</v>
      </c>
      <c r="B17" s="84" t="s">
        <v>303</v>
      </c>
      <c r="C17" s="84" t="s">
        <v>304</v>
      </c>
      <c r="D17" s="84" t="s">
        <v>269</v>
      </c>
      <c r="E17" s="89">
        <v>1211.0</v>
      </c>
      <c r="F17" s="84" t="s">
        <v>305</v>
      </c>
      <c r="G17" s="84">
        <v>7.852824369E9</v>
      </c>
      <c r="H17" s="86"/>
      <c r="I17" s="84">
        <v>14000.0</v>
      </c>
      <c r="J17" s="87">
        <v>6500.0</v>
      </c>
      <c r="K17" s="86"/>
      <c r="L17" s="88"/>
      <c r="M17" s="88">
        <f t="shared" si="1"/>
        <v>20500</v>
      </c>
      <c r="N17" s="88">
        <f t="shared" si="2"/>
        <v>0</v>
      </c>
      <c r="O17" s="88">
        <f t="shared" si="3"/>
        <v>20500</v>
      </c>
      <c r="P17" s="86"/>
      <c r="Q17" s="86"/>
      <c r="R17" s="86"/>
      <c r="S17" s="86"/>
      <c r="T17" s="86"/>
      <c r="U17" s="86"/>
      <c r="V17" s="86"/>
      <c r="W17" s="86"/>
      <c r="X17" s="86"/>
      <c r="Y17" s="86"/>
    </row>
    <row r="18">
      <c r="A18" s="83">
        <v>16.0</v>
      </c>
      <c r="B18" s="84" t="s">
        <v>306</v>
      </c>
      <c r="C18" s="84" t="s">
        <v>307</v>
      </c>
      <c r="D18" s="84" t="s">
        <v>256</v>
      </c>
      <c r="E18" s="89">
        <v>1659.0</v>
      </c>
      <c r="F18" s="84" t="s">
        <v>188</v>
      </c>
      <c r="G18" s="84">
        <v>9.950575004E9</v>
      </c>
      <c r="H18" s="86"/>
      <c r="I18" s="84">
        <v>14000.0</v>
      </c>
      <c r="J18" s="87">
        <v>5000.0</v>
      </c>
      <c r="K18" s="86"/>
      <c r="L18" s="88"/>
      <c r="M18" s="88">
        <f t="shared" si="1"/>
        <v>19000</v>
      </c>
      <c r="N18" s="88">
        <f t="shared" si="2"/>
        <v>0</v>
      </c>
      <c r="O18" s="88">
        <f t="shared" si="3"/>
        <v>19000</v>
      </c>
      <c r="P18" s="86"/>
      <c r="Q18" s="86"/>
      <c r="R18" s="86"/>
      <c r="S18" s="86"/>
      <c r="T18" s="86"/>
      <c r="U18" s="86"/>
      <c r="V18" s="86"/>
      <c r="W18" s="86"/>
      <c r="X18" s="86"/>
      <c r="Y18" s="86"/>
    </row>
    <row r="19">
      <c r="A19" s="83">
        <v>17.0</v>
      </c>
      <c r="B19" s="84" t="s">
        <v>308</v>
      </c>
      <c r="C19" s="84" t="s">
        <v>142</v>
      </c>
      <c r="D19" s="84" t="s">
        <v>260</v>
      </c>
      <c r="E19" s="89">
        <v>2.0220009E7</v>
      </c>
      <c r="F19" s="84" t="s">
        <v>126</v>
      </c>
      <c r="G19" s="84">
        <v>9.676528992E9</v>
      </c>
      <c r="H19" s="86"/>
      <c r="I19" s="84">
        <v>14000.0</v>
      </c>
      <c r="J19" s="87">
        <v>5000.0</v>
      </c>
      <c r="K19" s="86"/>
      <c r="L19" s="88"/>
      <c r="M19" s="88">
        <f t="shared" si="1"/>
        <v>19000</v>
      </c>
      <c r="N19" s="88">
        <f t="shared" si="2"/>
        <v>0</v>
      </c>
      <c r="O19" s="88">
        <f t="shared" si="3"/>
        <v>19000</v>
      </c>
      <c r="P19" s="86"/>
      <c r="Q19" s="86"/>
      <c r="R19" s="86"/>
      <c r="S19" s="86"/>
      <c r="T19" s="86"/>
      <c r="U19" s="86"/>
      <c r="V19" s="86"/>
      <c r="W19" s="86"/>
      <c r="X19" s="86"/>
      <c r="Y19" s="86"/>
    </row>
    <row r="20">
      <c r="A20" s="83">
        <v>18.0</v>
      </c>
      <c r="B20" s="84" t="s">
        <v>309</v>
      </c>
      <c r="C20" s="84" t="s">
        <v>310</v>
      </c>
      <c r="D20" s="84" t="s">
        <v>260</v>
      </c>
      <c r="E20" s="89">
        <v>1755.0</v>
      </c>
      <c r="F20" s="84" t="s">
        <v>311</v>
      </c>
      <c r="G20" s="84">
        <v>9.216736264E9</v>
      </c>
      <c r="H20" s="86"/>
      <c r="I20" s="84">
        <v>14000.0</v>
      </c>
      <c r="J20" s="87">
        <v>8500.0</v>
      </c>
      <c r="K20" s="86"/>
      <c r="L20" s="88"/>
      <c r="M20" s="88">
        <f t="shared" si="1"/>
        <v>22500</v>
      </c>
      <c r="N20" s="88">
        <f t="shared" si="2"/>
        <v>5000</v>
      </c>
      <c r="O20" s="88">
        <f t="shared" si="3"/>
        <v>17500</v>
      </c>
      <c r="P20" s="86"/>
      <c r="Q20" s="84">
        <v>5000.0</v>
      </c>
      <c r="R20" s="84">
        <v>3998.0</v>
      </c>
      <c r="S20" s="84" t="s">
        <v>312</v>
      </c>
      <c r="T20" s="86"/>
      <c r="U20" s="86"/>
      <c r="V20" s="86"/>
      <c r="W20" s="86"/>
      <c r="X20" s="86"/>
      <c r="Y20" s="86"/>
    </row>
    <row r="21">
      <c r="A21" s="83">
        <v>19.0</v>
      </c>
      <c r="B21" s="84" t="s">
        <v>313</v>
      </c>
      <c r="C21" s="84" t="s">
        <v>314</v>
      </c>
      <c r="D21" s="84" t="s">
        <v>256</v>
      </c>
      <c r="E21" s="89">
        <v>1098.0</v>
      </c>
      <c r="F21" s="84" t="s">
        <v>286</v>
      </c>
      <c r="G21" s="84">
        <v>7.073847503E9</v>
      </c>
      <c r="H21" s="86"/>
      <c r="I21" s="84">
        <v>14000.0</v>
      </c>
      <c r="J21" s="87">
        <v>0.0</v>
      </c>
      <c r="K21" s="86"/>
      <c r="L21" s="88"/>
      <c r="M21" s="88">
        <f t="shared" si="1"/>
        <v>14000</v>
      </c>
      <c r="N21" s="88">
        <f t="shared" si="2"/>
        <v>4000</v>
      </c>
      <c r="O21" s="88">
        <f t="shared" si="3"/>
        <v>10000</v>
      </c>
      <c r="P21" s="86"/>
      <c r="Q21" s="84">
        <v>4000.0</v>
      </c>
      <c r="R21" s="84">
        <v>3950.0</v>
      </c>
      <c r="S21" s="84" t="s">
        <v>132</v>
      </c>
      <c r="T21" s="86"/>
      <c r="U21" s="86"/>
      <c r="V21" s="86"/>
      <c r="W21" s="86"/>
      <c r="X21" s="86"/>
      <c r="Y21" s="86"/>
    </row>
    <row r="22">
      <c r="A22" s="83">
        <v>20.0</v>
      </c>
      <c r="B22" s="84" t="s">
        <v>315</v>
      </c>
      <c r="C22" s="84" t="s">
        <v>316</v>
      </c>
      <c r="D22" s="84" t="s">
        <v>278</v>
      </c>
      <c r="E22" s="89">
        <v>1075.0</v>
      </c>
      <c r="F22" s="90" t="s">
        <v>30</v>
      </c>
      <c r="G22" s="91">
        <v>7.987244394E9</v>
      </c>
      <c r="H22" s="91">
        <v>0.0</v>
      </c>
      <c r="I22" s="84">
        <v>14000.0</v>
      </c>
      <c r="J22" s="92">
        <v>9500.0</v>
      </c>
      <c r="K22" s="90"/>
      <c r="L22" s="91">
        <v>6000.0</v>
      </c>
      <c r="M22" s="88">
        <f t="shared" si="1"/>
        <v>17500</v>
      </c>
      <c r="N22" s="88">
        <f t="shared" si="2"/>
        <v>15000</v>
      </c>
      <c r="O22" s="88">
        <f t="shared" si="3"/>
        <v>2500</v>
      </c>
      <c r="P22" s="90" t="s">
        <v>44</v>
      </c>
      <c r="Q22" s="92">
        <v>5000.0</v>
      </c>
      <c r="R22" s="92">
        <v>3070.0</v>
      </c>
      <c r="S22" s="90" t="s">
        <v>170</v>
      </c>
      <c r="T22" s="84">
        <v>10000.0</v>
      </c>
      <c r="U22" s="84">
        <v>3850.0</v>
      </c>
      <c r="V22" s="97">
        <v>45941.0</v>
      </c>
      <c r="W22" s="86"/>
      <c r="X22" s="86"/>
      <c r="Y22" s="86"/>
    </row>
    <row r="23">
      <c r="A23" s="83">
        <v>21.0</v>
      </c>
      <c r="B23" s="84" t="s">
        <v>317</v>
      </c>
      <c r="C23" s="84" t="s">
        <v>318</v>
      </c>
      <c r="D23" s="84" t="s">
        <v>256</v>
      </c>
      <c r="E23" s="85"/>
      <c r="F23" s="84" t="s">
        <v>130</v>
      </c>
      <c r="G23" s="84">
        <v>9.928554327E9</v>
      </c>
      <c r="H23" s="84">
        <v>1000.0</v>
      </c>
      <c r="I23" s="84">
        <v>14000.0</v>
      </c>
      <c r="J23" s="87">
        <v>7000.0</v>
      </c>
      <c r="K23" s="86"/>
      <c r="L23" s="83">
        <v>2000.0</v>
      </c>
      <c r="M23" s="88">
        <f t="shared" si="1"/>
        <v>20000</v>
      </c>
      <c r="N23" s="88">
        <f t="shared" si="2"/>
        <v>0</v>
      </c>
      <c r="O23" s="88">
        <f t="shared" si="3"/>
        <v>20000</v>
      </c>
      <c r="P23" s="86"/>
      <c r="Q23" s="86"/>
      <c r="R23" s="86"/>
      <c r="S23" s="86"/>
      <c r="T23" s="86"/>
      <c r="U23" s="86"/>
      <c r="V23" s="86"/>
      <c r="W23" s="86"/>
      <c r="X23" s="86"/>
      <c r="Y23" s="86"/>
    </row>
    <row r="24">
      <c r="A24" s="83">
        <v>22.0</v>
      </c>
      <c r="B24" s="84" t="s">
        <v>319</v>
      </c>
      <c r="C24" s="84" t="s">
        <v>320</v>
      </c>
      <c r="D24" s="84" t="s">
        <v>256</v>
      </c>
      <c r="E24" s="89">
        <v>1828.0</v>
      </c>
      <c r="F24" s="90" t="s">
        <v>43</v>
      </c>
      <c r="G24" s="91">
        <v>6.367089257E9</v>
      </c>
      <c r="H24" s="91">
        <v>1000.0</v>
      </c>
      <c r="I24" s="84">
        <v>14000.0</v>
      </c>
      <c r="J24" s="92">
        <v>9000.0</v>
      </c>
      <c r="K24" s="90"/>
      <c r="L24" s="91">
        <v>4000.0</v>
      </c>
      <c r="M24" s="88">
        <f t="shared" si="1"/>
        <v>20000</v>
      </c>
      <c r="N24" s="88">
        <f t="shared" si="2"/>
        <v>13000</v>
      </c>
      <c r="O24" s="88">
        <f t="shared" si="3"/>
        <v>7000</v>
      </c>
      <c r="P24" s="90" t="s">
        <v>44</v>
      </c>
      <c r="Q24" s="92">
        <v>3000.0</v>
      </c>
      <c r="R24" s="92">
        <v>2940.0</v>
      </c>
      <c r="S24" s="93">
        <v>45876.0</v>
      </c>
      <c r="T24" s="98">
        <v>5000.0</v>
      </c>
      <c r="U24" s="98">
        <v>3323.0</v>
      </c>
      <c r="V24" s="98" t="s">
        <v>321</v>
      </c>
      <c r="W24" s="98">
        <v>5000.0</v>
      </c>
      <c r="X24" s="98">
        <v>3662.0</v>
      </c>
      <c r="Y24" s="99">
        <v>45910.0</v>
      </c>
      <c r="Z24" s="17"/>
      <c r="AA24" s="17"/>
      <c r="AB24" s="17"/>
      <c r="AC24" s="17"/>
    </row>
    <row r="25">
      <c r="A25" s="83">
        <v>23.0</v>
      </c>
      <c r="B25" s="84" t="s">
        <v>322</v>
      </c>
      <c r="C25" s="84" t="s">
        <v>323</v>
      </c>
      <c r="D25" s="84" t="s">
        <v>273</v>
      </c>
      <c r="E25" s="89">
        <v>1781.0</v>
      </c>
      <c r="F25" s="84" t="s">
        <v>244</v>
      </c>
      <c r="G25" s="84">
        <v>9.602649499E9</v>
      </c>
      <c r="H25" s="86"/>
      <c r="I25" s="84">
        <v>14000.0</v>
      </c>
      <c r="J25" s="87">
        <v>5000.0</v>
      </c>
      <c r="K25" s="86"/>
      <c r="L25" s="88"/>
      <c r="M25" s="88">
        <f t="shared" si="1"/>
        <v>19000</v>
      </c>
      <c r="N25" s="88">
        <f t="shared" si="2"/>
        <v>0</v>
      </c>
      <c r="O25" s="88">
        <f t="shared" si="3"/>
        <v>19000</v>
      </c>
      <c r="P25" s="86"/>
      <c r="Q25" s="86"/>
      <c r="R25" s="86"/>
      <c r="S25" s="86"/>
      <c r="T25" s="86"/>
      <c r="U25" s="86"/>
      <c r="V25" s="86"/>
      <c r="W25" s="86"/>
      <c r="X25" s="86"/>
      <c r="Y25" s="86"/>
    </row>
    <row r="26">
      <c r="A26" s="83">
        <v>24.0</v>
      </c>
      <c r="B26" s="84" t="s">
        <v>324</v>
      </c>
      <c r="C26" s="84" t="s">
        <v>204</v>
      </c>
      <c r="D26" s="84" t="s">
        <v>273</v>
      </c>
      <c r="E26" s="89">
        <v>1101.0</v>
      </c>
      <c r="F26" s="84" t="s">
        <v>274</v>
      </c>
      <c r="G26" s="84">
        <v>7.728864612E9</v>
      </c>
      <c r="H26" s="86"/>
      <c r="I26" s="84">
        <v>14000.0</v>
      </c>
      <c r="J26" s="87">
        <v>9500.0</v>
      </c>
      <c r="K26" s="86"/>
      <c r="L26" s="88"/>
      <c r="M26" s="88">
        <f t="shared" si="1"/>
        <v>23500</v>
      </c>
      <c r="N26" s="88">
        <f t="shared" si="2"/>
        <v>5000</v>
      </c>
      <c r="O26" s="88">
        <f t="shared" si="3"/>
        <v>18500</v>
      </c>
      <c r="P26" s="86"/>
      <c r="Q26" s="84">
        <v>5000.0</v>
      </c>
      <c r="R26" s="84">
        <v>3879.0</v>
      </c>
      <c r="S26" s="97">
        <v>46002.0</v>
      </c>
      <c r="T26" s="86"/>
      <c r="U26" s="86"/>
      <c r="V26" s="86"/>
      <c r="W26" s="86"/>
      <c r="X26" s="86"/>
      <c r="Y26" s="86"/>
    </row>
    <row r="27">
      <c r="A27" s="83">
        <v>25.0</v>
      </c>
      <c r="B27" s="84" t="s">
        <v>325</v>
      </c>
      <c r="C27" s="84" t="s">
        <v>326</v>
      </c>
      <c r="D27" s="84" t="s">
        <v>285</v>
      </c>
      <c r="E27" s="89"/>
      <c r="F27" s="84" t="s">
        <v>30</v>
      </c>
      <c r="G27" s="84">
        <v>9.460716437E9</v>
      </c>
      <c r="H27" s="84">
        <v>1000.0</v>
      </c>
      <c r="I27" s="84">
        <v>14000.0</v>
      </c>
      <c r="J27" s="87">
        <v>9500.0</v>
      </c>
      <c r="K27" s="86"/>
      <c r="L27" s="83">
        <v>3500.0</v>
      </c>
      <c r="M27" s="88">
        <f t="shared" si="1"/>
        <v>21000</v>
      </c>
      <c r="N27" s="88">
        <f t="shared" si="2"/>
        <v>15000</v>
      </c>
      <c r="O27" s="88">
        <f t="shared" si="3"/>
        <v>6000</v>
      </c>
      <c r="P27" s="84" t="s">
        <v>44</v>
      </c>
      <c r="Q27" s="84">
        <v>10000.0</v>
      </c>
      <c r="R27" s="84">
        <v>3405.0</v>
      </c>
      <c r="S27" s="94">
        <v>45970.0</v>
      </c>
      <c r="T27" s="84">
        <v>5000.0</v>
      </c>
      <c r="U27" s="84">
        <v>3557.0</v>
      </c>
      <c r="V27" s="94">
        <v>45848.0</v>
      </c>
    </row>
    <row r="28">
      <c r="A28" s="83">
        <v>26.0</v>
      </c>
      <c r="B28" s="84" t="s">
        <v>327</v>
      </c>
      <c r="C28" s="84" t="s">
        <v>328</v>
      </c>
      <c r="D28" s="84" t="s">
        <v>256</v>
      </c>
      <c r="E28" s="89">
        <v>2.0220002E7</v>
      </c>
      <c r="F28" s="84" t="s">
        <v>286</v>
      </c>
      <c r="G28" s="84">
        <v>9.644453165E9</v>
      </c>
      <c r="H28" s="86"/>
      <c r="I28" s="84">
        <v>14000.0</v>
      </c>
      <c r="J28" s="87">
        <v>0.0</v>
      </c>
      <c r="K28" s="86"/>
      <c r="L28" s="88"/>
      <c r="M28" s="88">
        <f t="shared" si="1"/>
        <v>14000</v>
      </c>
      <c r="N28" s="88">
        <f t="shared" si="2"/>
        <v>0</v>
      </c>
      <c r="O28" s="88">
        <f t="shared" si="3"/>
        <v>14000</v>
      </c>
      <c r="P28" s="86"/>
      <c r="Q28" s="86"/>
      <c r="R28" s="86"/>
      <c r="S28" s="86"/>
      <c r="T28" s="86"/>
      <c r="U28" s="86"/>
      <c r="V28" s="86"/>
      <c r="W28" s="86"/>
      <c r="X28" s="86"/>
      <c r="Y28" s="86"/>
    </row>
    <row r="29">
      <c r="A29" s="83">
        <v>27.0</v>
      </c>
      <c r="B29" s="84" t="s">
        <v>329</v>
      </c>
      <c r="C29" s="84" t="s">
        <v>330</v>
      </c>
      <c r="D29" s="84" t="s">
        <v>278</v>
      </c>
      <c r="E29" s="89">
        <v>1218.0</v>
      </c>
      <c r="F29" s="84" t="s">
        <v>30</v>
      </c>
      <c r="G29" s="84">
        <v>9.983026769E9</v>
      </c>
      <c r="H29" s="86"/>
      <c r="I29" s="84">
        <v>14000.0</v>
      </c>
      <c r="J29" s="100">
        <v>9500.0</v>
      </c>
      <c r="K29" s="101"/>
      <c r="L29" s="102"/>
      <c r="M29" s="88">
        <f t="shared" si="1"/>
        <v>23500</v>
      </c>
      <c r="N29" s="88">
        <f t="shared" si="2"/>
        <v>5000</v>
      </c>
      <c r="O29" s="88">
        <f t="shared" si="3"/>
        <v>18500</v>
      </c>
      <c r="P29" s="86"/>
      <c r="Q29" s="84">
        <v>5000.0</v>
      </c>
      <c r="R29" s="84">
        <v>3424.0</v>
      </c>
      <c r="S29" s="84" t="s">
        <v>331</v>
      </c>
      <c r="T29" s="86"/>
      <c r="U29" s="86"/>
      <c r="V29" s="86"/>
      <c r="W29" s="86"/>
      <c r="X29" s="86"/>
      <c r="Y29" s="86"/>
    </row>
    <row r="30">
      <c r="A30" s="83">
        <v>28.0</v>
      </c>
      <c r="B30" s="84" t="s">
        <v>332</v>
      </c>
      <c r="C30" s="84" t="s">
        <v>333</v>
      </c>
      <c r="D30" s="84" t="s">
        <v>260</v>
      </c>
      <c r="E30" s="85"/>
      <c r="F30" s="84" t="s">
        <v>334</v>
      </c>
      <c r="G30" s="84">
        <v>7.424845655E9</v>
      </c>
      <c r="H30" s="86"/>
      <c r="I30" s="84">
        <v>14000.0</v>
      </c>
      <c r="J30" s="87">
        <v>9000.0</v>
      </c>
      <c r="K30" s="86"/>
      <c r="L30" s="88"/>
      <c r="M30" s="88">
        <f t="shared" si="1"/>
        <v>23000</v>
      </c>
      <c r="N30" s="88">
        <f t="shared" si="2"/>
        <v>5000</v>
      </c>
      <c r="O30" s="88">
        <f t="shared" si="3"/>
        <v>18000</v>
      </c>
      <c r="P30" s="86"/>
      <c r="Q30" s="84">
        <v>5000.0</v>
      </c>
      <c r="R30" s="84">
        <v>3820.0</v>
      </c>
      <c r="S30" s="97">
        <v>45941.0</v>
      </c>
      <c r="T30" s="86"/>
      <c r="U30" s="86"/>
      <c r="V30" s="86"/>
      <c r="W30" s="86"/>
      <c r="X30" s="86"/>
      <c r="Y30" s="86"/>
    </row>
    <row r="31">
      <c r="A31" s="83">
        <v>29.0</v>
      </c>
      <c r="B31" s="84" t="s">
        <v>335</v>
      </c>
      <c r="C31" s="84" t="s">
        <v>336</v>
      </c>
      <c r="D31" s="84" t="s">
        <v>337</v>
      </c>
      <c r="E31" s="89"/>
      <c r="F31" s="84" t="s">
        <v>30</v>
      </c>
      <c r="G31" s="84">
        <v>7.300300172E9</v>
      </c>
      <c r="H31" s="84">
        <v>1000.0</v>
      </c>
      <c r="I31" s="84">
        <v>14000.0</v>
      </c>
      <c r="J31" s="87">
        <v>9500.0</v>
      </c>
      <c r="K31" s="86"/>
      <c r="L31" s="83">
        <v>7500.0</v>
      </c>
      <c r="M31" s="88">
        <f t="shared" si="1"/>
        <v>17000</v>
      </c>
      <c r="N31" s="88">
        <f t="shared" si="2"/>
        <v>7000</v>
      </c>
      <c r="O31" s="88">
        <f t="shared" si="3"/>
        <v>10000</v>
      </c>
      <c r="P31" s="84" t="s">
        <v>131</v>
      </c>
      <c r="Q31" s="84">
        <v>3500.0</v>
      </c>
      <c r="R31" s="84">
        <v>3393.0</v>
      </c>
      <c r="S31" s="94">
        <v>45909.0</v>
      </c>
      <c r="T31" s="84">
        <v>1500.0</v>
      </c>
      <c r="U31" s="84">
        <v>3489.0</v>
      </c>
      <c r="V31" s="103">
        <v>45757.0</v>
      </c>
      <c r="W31" s="84">
        <v>2000.0</v>
      </c>
      <c r="X31" s="84">
        <v>3838.0</v>
      </c>
      <c r="Y31" s="97">
        <v>45941.0</v>
      </c>
    </row>
    <row r="32">
      <c r="A32" s="83">
        <v>30.0</v>
      </c>
      <c r="B32" s="84" t="s">
        <v>338</v>
      </c>
      <c r="C32" s="84" t="s">
        <v>339</v>
      </c>
      <c r="D32" s="84" t="s">
        <v>273</v>
      </c>
      <c r="E32" s="89">
        <v>1295.0</v>
      </c>
      <c r="F32" s="84" t="s">
        <v>340</v>
      </c>
      <c r="G32" s="84">
        <v>9.92961375E9</v>
      </c>
      <c r="H32" s="86"/>
      <c r="I32" s="84">
        <v>14000.0</v>
      </c>
      <c r="J32" s="87">
        <v>8000.0</v>
      </c>
      <c r="K32" s="86"/>
      <c r="L32" s="88"/>
      <c r="M32" s="88">
        <f t="shared" si="1"/>
        <v>22000</v>
      </c>
      <c r="N32" s="88">
        <f t="shared" si="2"/>
        <v>4000</v>
      </c>
      <c r="O32" s="88">
        <f t="shared" si="3"/>
        <v>18000</v>
      </c>
      <c r="P32" s="86"/>
      <c r="Q32" s="84">
        <v>4000.0</v>
      </c>
      <c r="R32" s="84">
        <v>3799.0</v>
      </c>
      <c r="S32" s="94">
        <v>45880.0</v>
      </c>
      <c r="T32" s="86"/>
      <c r="U32" s="86"/>
      <c r="V32" s="86"/>
      <c r="W32" s="86"/>
      <c r="X32" s="86"/>
      <c r="Y32" s="86"/>
    </row>
    <row r="33">
      <c r="A33" s="83">
        <v>31.0</v>
      </c>
      <c r="B33" s="84" t="s">
        <v>341</v>
      </c>
      <c r="C33" s="84" t="s">
        <v>342</v>
      </c>
      <c r="D33" s="84" t="s">
        <v>273</v>
      </c>
      <c r="E33" s="89">
        <v>1650.0</v>
      </c>
      <c r="F33" s="90" t="s">
        <v>343</v>
      </c>
      <c r="G33" s="91">
        <v>9.799272586E9</v>
      </c>
      <c r="H33" s="91">
        <v>0.0</v>
      </c>
      <c r="I33" s="84">
        <v>14000.0</v>
      </c>
      <c r="J33" s="92">
        <v>10000.0</v>
      </c>
      <c r="K33" s="90"/>
      <c r="L33" s="91">
        <v>4500.0</v>
      </c>
      <c r="M33" s="88">
        <f t="shared" si="1"/>
        <v>19500</v>
      </c>
      <c r="N33" s="88">
        <f t="shared" si="2"/>
        <v>5000</v>
      </c>
      <c r="O33" s="88">
        <f t="shared" si="3"/>
        <v>14500</v>
      </c>
      <c r="P33" s="90" t="s">
        <v>344</v>
      </c>
      <c r="Q33" s="84">
        <v>5000.0</v>
      </c>
      <c r="R33" s="84">
        <v>3523.0</v>
      </c>
      <c r="S33" s="94">
        <v>45818.0</v>
      </c>
      <c r="T33" s="86"/>
      <c r="U33" s="86"/>
      <c r="V33" s="86"/>
      <c r="W33" s="86"/>
      <c r="X33" s="86"/>
      <c r="Y33" s="86"/>
    </row>
    <row r="34">
      <c r="A34" s="83">
        <v>32.0</v>
      </c>
      <c r="B34" s="84" t="s">
        <v>345</v>
      </c>
      <c r="C34" s="84" t="s">
        <v>346</v>
      </c>
      <c r="D34" s="84" t="s">
        <v>256</v>
      </c>
      <c r="E34" s="89">
        <v>1683.0</v>
      </c>
      <c r="F34" s="84" t="s">
        <v>30</v>
      </c>
      <c r="G34" s="84">
        <v>9.672639235E9</v>
      </c>
      <c r="H34" s="86"/>
      <c r="I34" s="84">
        <v>14000.0</v>
      </c>
      <c r="J34" s="87">
        <v>9500.0</v>
      </c>
      <c r="K34" s="86"/>
      <c r="L34" s="83">
        <v>4000.0</v>
      </c>
      <c r="M34" s="88">
        <f t="shared" si="1"/>
        <v>19500</v>
      </c>
      <c r="N34" s="88">
        <f t="shared" si="2"/>
        <v>2500</v>
      </c>
      <c r="O34" s="88">
        <f t="shared" si="3"/>
        <v>17000</v>
      </c>
      <c r="P34" s="84" t="s">
        <v>131</v>
      </c>
      <c r="Q34" s="84">
        <v>2500.0</v>
      </c>
      <c r="R34" s="84">
        <v>3805.0</v>
      </c>
      <c r="S34" s="94">
        <v>45880.0</v>
      </c>
      <c r="T34" s="86"/>
      <c r="U34" s="86"/>
      <c r="V34" s="86"/>
      <c r="W34" s="86"/>
      <c r="X34" s="86"/>
      <c r="Y34" s="86"/>
    </row>
    <row r="35">
      <c r="A35" s="83">
        <v>33.0</v>
      </c>
      <c r="B35" s="95" t="s">
        <v>347</v>
      </c>
      <c r="C35" s="90" t="s">
        <v>348</v>
      </c>
      <c r="D35" s="95" t="s">
        <v>285</v>
      </c>
      <c r="E35" s="86"/>
      <c r="F35" s="90" t="s">
        <v>264</v>
      </c>
      <c r="G35" s="95">
        <v>9.929071754E9</v>
      </c>
      <c r="H35" s="95">
        <v>1000.0</v>
      </c>
      <c r="I35" s="84">
        <v>14000.0</v>
      </c>
      <c r="J35" s="98">
        <v>6500.0</v>
      </c>
      <c r="K35" s="90"/>
      <c r="L35" s="104">
        <v>5000.0</v>
      </c>
      <c r="M35" s="88">
        <f t="shared" si="1"/>
        <v>16500</v>
      </c>
      <c r="N35" s="88">
        <f t="shared" si="2"/>
        <v>11000</v>
      </c>
      <c r="O35" s="88">
        <f t="shared" si="3"/>
        <v>5500</v>
      </c>
      <c r="P35" s="90"/>
      <c r="Q35" s="92">
        <v>6000.0</v>
      </c>
      <c r="R35" s="92">
        <v>3142.0</v>
      </c>
      <c r="S35" s="93">
        <v>45755.0</v>
      </c>
      <c r="T35" s="95">
        <v>5000.0</v>
      </c>
      <c r="U35" s="95">
        <v>3923.0</v>
      </c>
      <c r="V35" s="95" t="s">
        <v>349</v>
      </c>
      <c r="W35" s="90"/>
      <c r="X35" s="90"/>
      <c r="Y35" s="90"/>
      <c r="Z35" s="10"/>
      <c r="AA35" s="10"/>
      <c r="AB35" s="10"/>
      <c r="AC35" s="10"/>
    </row>
    <row r="36">
      <c r="A36" s="83">
        <v>34.0</v>
      </c>
      <c r="B36" s="84" t="s">
        <v>350</v>
      </c>
      <c r="C36" s="84" t="s">
        <v>351</v>
      </c>
      <c r="D36" s="84" t="s">
        <v>269</v>
      </c>
      <c r="E36" s="89">
        <v>1294.0</v>
      </c>
      <c r="F36" s="84" t="s">
        <v>340</v>
      </c>
      <c r="G36" s="84">
        <v>9.92961375E9</v>
      </c>
      <c r="H36" s="86"/>
      <c r="I36" s="84">
        <v>14000.0</v>
      </c>
      <c r="J36" s="87">
        <v>8000.0</v>
      </c>
      <c r="K36" s="86"/>
      <c r="L36" s="88"/>
      <c r="M36" s="88">
        <f t="shared" si="1"/>
        <v>22000</v>
      </c>
      <c r="N36" s="88">
        <f t="shared" si="2"/>
        <v>4000</v>
      </c>
      <c r="O36" s="88">
        <f t="shared" si="3"/>
        <v>18000</v>
      </c>
      <c r="P36" s="86"/>
      <c r="Q36" s="84">
        <v>4000.0</v>
      </c>
      <c r="R36" s="84">
        <v>3798.0</v>
      </c>
      <c r="S36" s="94">
        <v>45880.0</v>
      </c>
      <c r="T36" s="86"/>
      <c r="U36" s="86"/>
      <c r="V36" s="86"/>
      <c r="W36" s="86"/>
      <c r="X36" s="86"/>
      <c r="Y36" s="86"/>
    </row>
    <row r="37">
      <c r="A37" s="83">
        <v>35.0</v>
      </c>
      <c r="B37" s="84" t="s">
        <v>352</v>
      </c>
      <c r="C37" s="84" t="s">
        <v>353</v>
      </c>
      <c r="D37" s="84" t="s">
        <v>278</v>
      </c>
      <c r="E37" s="89">
        <v>1860.0</v>
      </c>
      <c r="F37" s="90" t="s">
        <v>354</v>
      </c>
      <c r="G37" s="91">
        <v>9.001261248E9</v>
      </c>
      <c r="H37" s="91">
        <v>1000.0</v>
      </c>
      <c r="I37" s="84">
        <v>14000.0</v>
      </c>
      <c r="J37" s="92">
        <v>8000.0</v>
      </c>
      <c r="K37" s="90"/>
      <c r="L37" s="91">
        <v>3000.0</v>
      </c>
      <c r="M37" s="88">
        <f t="shared" si="1"/>
        <v>20000</v>
      </c>
      <c r="N37" s="88">
        <f t="shared" si="2"/>
        <v>15000</v>
      </c>
      <c r="O37" s="88">
        <f t="shared" si="3"/>
        <v>5000</v>
      </c>
      <c r="P37" s="90" t="s">
        <v>44</v>
      </c>
      <c r="Q37" s="92">
        <v>7000.0</v>
      </c>
      <c r="R37" s="92">
        <v>2983.0</v>
      </c>
      <c r="S37" s="93">
        <v>45968.0</v>
      </c>
      <c r="T37" s="98">
        <v>8000.0</v>
      </c>
      <c r="U37" s="98">
        <v>3505.0</v>
      </c>
      <c r="V37" s="99">
        <v>45757.0</v>
      </c>
      <c r="W37" s="93"/>
      <c r="X37" s="93"/>
      <c r="Y37" s="93"/>
      <c r="Z37" s="17"/>
      <c r="AA37" s="17"/>
      <c r="AB37" s="17"/>
      <c r="AC37" s="17"/>
    </row>
    <row r="38">
      <c r="A38" s="83">
        <v>36.0</v>
      </c>
      <c r="B38" s="84" t="s">
        <v>355</v>
      </c>
      <c r="C38" s="84" t="s">
        <v>356</v>
      </c>
      <c r="D38" s="84" t="s">
        <v>278</v>
      </c>
      <c r="E38" s="89">
        <v>1096.0</v>
      </c>
      <c r="F38" s="84" t="s">
        <v>30</v>
      </c>
      <c r="G38" s="84">
        <v>8.824579027E9</v>
      </c>
      <c r="H38" s="86"/>
      <c r="I38" s="84">
        <v>14000.0</v>
      </c>
      <c r="J38" s="87">
        <v>9500.0</v>
      </c>
      <c r="K38" s="86"/>
      <c r="L38" s="88"/>
      <c r="M38" s="88">
        <f t="shared" si="1"/>
        <v>23500</v>
      </c>
      <c r="N38" s="88">
        <f t="shared" si="2"/>
        <v>2500</v>
      </c>
      <c r="O38" s="88">
        <f t="shared" si="3"/>
        <v>21000</v>
      </c>
      <c r="P38" s="86"/>
      <c r="Q38" s="84">
        <v>2500.0</v>
      </c>
      <c r="R38" s="84">
        <v>3992.0</v>
      </c>
      <c r="S38" s="84" t="s">
        <v>312</v>
      </c>
      <c r="T38" s="86"/>
      <c r="U38" s="86"/>
      <c r="V38" s="86"/>
      <c r="W38" s="86"/>
      <c r="X38" s="86"/>
      <c r="Y38" s="86"/>
    </row>
    <row r="39">
      <c r="A39" s="83">
        <v>37.0</v>
      </c>
      <c r="B39" s="84" t="s">
        <v>357</v>
      </c>
      <c r="C39" s="84" t="s">
        <v>358</v>
      </c>
      <c r="D39" s="84" t="s">
        <v>278</v>
      </c>
      <c r="E39" s="89">
        <v>1589.0</v>
      </c>
      <c r="F39" s="84" t="s">
        <v>270</v>
      </c>
      <c r="G39" s="84">
        <v>7.062077147E9</v>
      </c>
      <c r="H39" s="84">
        <v>0.0</v>
      </c>
      <c r="I39" s="84">
        <v>14000.0</v>
      </c>
      <c r="J39" s="87">
        <v>7000.0</v>
      </c>
      <c r="K39" s="86"/>
      <c r="L39" s="83">
        <v>4000.0</v>
      </c>
      <c r="M39" s="88">
        <f t="shared" si="1"/>
        <v>17000</v>
      </c>
      <c r="N39" s="88">
        <f t="shared" si="2"/>
        <v>17000</v>
      </c>
      <c r="O39" s="88">
        <f t="shared" si="3"/>
        <v>0</v>
      </c>
      <c r="P39" s="84" t="s">
        <v>44</v>
      </c>
      <c r="Q39" s="84">
        <v>10000.0</v>
      </c>
      <c r="R39" s="84">
        <v>3335.0</v>
      </c>
      <c r="S39" s="84" t="s">
        <v>241</v>
      </c>
      <c r="T39" s="84">
        <v>7000.0</v>
      </c>
      <c r="U39" s="84">
        <v>3830.0</v>
      </c>
      <c r="V39" s="97">
        <v>45941.0</v>
      </c>
      <c r="W39" s="86"/>
      <c r="X39" s="86"/>
      <c r="Y39" s="86"/>
    </row>
    <row r="40">
      <c r="A40" s="83">
        <v>38.0</v>
      </c>
      <c r="B40" s="84" t="s">
        <v>359</v>
      </c>
      <c r="C40" s="84" t="s">
        <v>360</v>
      </c>
      <c r="D40" s="84" t="s">
        <v>278</v>
      </c>
      <c r="E40" s="89">
        <v>2.0220007E7</v>
      </c>
      <c r="F40" s="84" t="s">
        <v>361</v>
      </c>
      <c r="G40" s="84">
        <v>9.680047626E9</v>
      </c>
      <c r="H40" s="86"/>
      <c r="I40" s="84">
        <v>14000.0</v>
      </c>
      <c r="J40" s="87">
        <v>5000.0</v>
      </c>
      <c r="K40" s="86"/>
      <c r="L40" s="88"/>
      <c r="M40" s="88">
        <f t="shared" si="1"/>
        <v>19000</v>
      </c>
      <c r="N40" s="88">
        <f t="shared" si="2"/>
        <v>0</v>
      </c>
      <c r="O40" s="88">
        <f t="shared" si="3"/>
        <v>19000</v>
      </c>
      <c r="P40" s="86"/>
      <c r="Q40" s="86"/>
      <c r="R40" s="86"/>
      <c r="S40" s="86"/>
      <c r="T40" s="86"/>
      <c r="U40" s="86"/>
      <c r="V40" s="86"/>
      <c r="W40" s="86"/>
      <c r="X40" s="86"/>
      <c r="Y40" s="86"/>
    </row>
    <row r="41">
      <c r="A41" s="83">
        <v>39.0</v>
      </c>
      <c r="B41" s="84" t="s">
        <v>362</v>
      </c>
      <c r="C41" s="84" t="s">
        <v>363</v>
      </c>
      <c r="D41" s="84" t="s">
        <v>278</v>
      </c>
      <c r="E41" s="89">
        <v>1676.0</v>
      </c>
      <c r="F41" s="84" t="s">
        <v>364</v>
      </c>
      <c r="G41" s="84">
        <v>9.828033593E9</v>
      </c>
      <c r="H41" s="86"/>
      <c r="I41" s="84">
        <v>14000.0</v>
      </c>
      <c r="J41" s="87">
        <v>7000.0</v>
      </c>
      <c r="K41" s="86"/>
      <c r="L41" s="88"/>
      <c r="M41" s="88">
        <f t="shared" si="1"/>
        <v>21000</v>
      </c>
      <c r="N41" s="88">
        <f t="shared" si="2"/>
        <v>10000</v>
      </c>
      <c r="O41" s="88">
        <f t="shared" si="3"/>
        <v>11000</v>
      </c>
      <c r="P41" s="86"/>
      <c r="Q41" s="84">
        <v>10000.0</v>
      </c>
      <c r="R41" s="84">
        <v>3500.0</v>
      </c>
      <c r="S41" s="94">
        <v>45757.0</v>
      </c>
      <c r="T41" s="86"/>
      <c r="U41" s="86"/>
      <c r="V41" s="86"/>
      <c r="W41" s="86"/>
      <c r="X41" s="86"/>
      <c r="Y41" s="86"/>
    </row>
    <row r="42">
      <c r="A42" s="83">
        <v>40.0</v>
      </c>
      <c r="B42" s="84" t="s">
        <v>365</v>
      </c>
      <c r="C42" s="84" t="s">
        <v>366</v>
      </c>
      <c r="D42" s="84" t="s">
        <v>278</v>
      </c>
      <c r="E42" s="89">
        <v>1577.0</v>
      </c>
      <c r="F42" s="84" t="s">
        <v>361</v>
      </c>
      <c r="G42" s="84">
        <v>8.890293005E9</v>
      </c>
      <c r="H42" s="86"/>
      <c r="I42" s="84">
        <v>14000.0</v>
      </c>
      <c r="J42" s="87">
        <v>5000.0</v>
      </c>
      <c r="K42" s="86"/>
      <c r="L42" s="88"/>
      <c r="M42" s="88">
        <f t="shared" si="1"/>
        <v>19000</v>
      </c>
      <c r="N42" s="88">
        <f t="shared" si="2"/>
        <v>2000</v>
      </c>
      <c r="O42" s="88">
        <f t="shared" si="3"/>
        <v>17000</v>
      </c>
      <c r="P42" s="86"/>
      <c r="Q42" s="84">
        <v>2000.0</v>
      </c>
      <c r="R42" s="84">
        <v>3575.0</v>
      </c>
      <c r="S42" s="94">
        <v>45848.0</v>
      </c>
      <c r="T42" s="86"/>
      <c r="U42" s="86"/>
      <c r="V42" s="86"/>
      <c r="W42" s="86"/>
      <c r="X42" s="86"/>
      <c r="Y42" s="86"/>
    </row>
    <row r="43">
      <c r="A43" s="83">
        <v>41.0</v>
      </c>
      <c r="B43" s="105" t="s">
        <v>367</v>
      </c>
      <c r="C43" s="105" t="s">
        <v>368</v>
      </c>
      <c r="D43" s="105" t="s">
        <v>256</v>
      </c>
      <c r="E43" s="105">
        <v>1658.0</v>
      </c>
      <c r="F43" s="106" t="s">
        <v>301</v>
      </c>
      <c r="G43" s="107" t="s">
        <v>369</v>
      </c>
      <c r="H43" s="106"/>
      <c r="I43" s="84">
        <v>14000.0</v>
      </c>
      <c r="J43" s="108">
        <v>5000.0</v>
      </c>
      <c r="K43" s="106"/>
      <c r="L43" s="106"/>
      <c r="M43" s="88">
        <f t="shared" si="1"/>
        <v>19000</v>
      </c>
      <c r="N43" s="88">
        <f t="shared" si="2"/>
        <v>10000</v>
      </c>
      <c r="O43" s="88">
        <f t="shared" si="3"/>
        <v>9000</v>
      </c>
      <c r="P43" s="106"/>
      <c r="Q43" s="106">
        <v>5000.0</v>
      </c>
      <c r="R43" s="106">
        <v>3013.0</v>
      </c>
      <c r="S43" s="106" t="s">
        <v>370</v>
      </c>
      <c r="T43" s="105">
        <v>5000.0</v>
      </c>
      <c r="U43" s="105">
        <v>3701.0</v>
      </c>
      <c r="V43" s="109">
        <v>45940.0</v>
      </c>
      <c r="W43" s="110"/>
      <c r="X43" s="110"/>
      <c r="Y43" s="110"/>
      <c r="Z43" s="111"/>
      <c r="AA43" s="111"/>
      <c r="AB43" s="111"/>
      <c r="AC43" s="111"/>
    </row>
    <row r="44">
      <c r="A44" s="83">
        <v>42.0</v>
      </c>
      <c r="B44" s="84" t="s">
        <v>371</v>
      </c>
      <c r="C44" s="84" t="s">
        <v>356</v>
      </c>
      <c r="D44" s="84" t="s">
        <v>273</v>
      </c>
      <c r="E44" s="89">
        <v>1081.0</v>
      </c>
      <c r="F44" s="84" t="s">
        <v>30</v>
      </c>
      <c r="G44" s="84">
        <v>8.824579027E9</v>
      </c>
      <c r="H44" s="86"/>
      <c r="I44" s="84">
        <v>14000.0</v>
      </c>
      <c r="J44" s="87">
        <v>9500.0</v>
      </c>
      <c r="K44" s="86"/>
      <c r="L44" s="88"/>
      <c r="M44" s="88">
        <f t="shared" si="1"/>
        <v>23500</v>
      </c>
      <c r="N44" s="88">
        <f t="shared" si="2"/>
        <v>7500</v>
      </c>
      <c r="O44" s="88">
        <f t="shared" si="3"/>
        <v>16000</v>
      </c>
      <c r="P44" s="86"/>
      <c r="Q44" s="84">
        <v>5000.0</v>
      </c>
      <c r="R44" s="84">
        <v>3478.0</v>
      </c>
      <c r="S44" s="94">
        <v>45757.0</v>
      </c>
      <c r="T44" s="84">
        <v>2500.0</v>
      </c>
      <c r="U44" s="84">
        <v>3991.0</v>
      </c>
      <c r="V44" s="84" t="s">
        <v>312</v>
      </c>
      <c r="W44" s="86"/>
      <c r="X44" s="86"/>
      <c r="Y44" s="86"/>
    </row>
    <row r="45">
      <c r="A45" s="83">
        <v>43.0</v>
      </c>
      <c r="B45" s="84" t="s">
        <v>372</v>
      </c>
      <c r="C45" s="84" t="s">
        <v>373</v>
      </c>
      <c r="D45" s="84" t="s">
        <v>256</v>
      </c>
      <c r="E45" s="89">
        <v>1791.0</v>
      </c>
      <c r="F45" s="84" t="s">
        <v>30</v>
      </c>
      <c r="G45" s="84">
        <v>7.665971636E9</v>
      </c>
      <c r="H45" s="86"/>
      <c r="I45" s="84">
        <v>14000.0</v>
      </c>
      <c r="J45" s="87">
        <v>9500.0</v>
      </c>
      <c r="K45" s="86"/>
      <c r="L45" s="88"/>
      <c r="M45" s="88">
        <f t="shared" si="1"/>
        <v>23500</v>
      </c>
      <c r="N45" s="88">
        <f t="shared" si="2"/>
        <v>8000</v>
      </c>
      <c r="O45" s="88">
        <f t="shared" si="3"/>
        <v>15500</v>
      </c>
      <c r="P45" s="86"/>
      <c r="Q45" s="84">
        <v>8000.0</v>
      </c>
      <c r="R45" s="84">
        <v>3883.0</v>
      </c>
      <c r="S45" s="84" t="s">
        <v>374</v>
      </c>
      <c r="T45" s="86"/>
      <c r="U45" s="86"/>
      <c r="V45" s="86"/>
      <c r="W45" s="86"/>
      <c r="X45" s="86"/>
      <c r="Y45" s="86"/>
    </row>
    <row r="46">
      <c r="A46" s="83">
        <v>44.0</v>
      </c>
      <c r="B46" s="84" t="s">
        <v>375</v>
      </c>
      <c r="C46" s="84" t="s">
        <v>376</v>
      </c>
      <c r="D46" s="84" t="s">
        <v>278</v>
      </c>
      <c r="E46" s="85"/>
      <c r="F46" s="84" t="s">
        <v>364</v>
      </c>
      <c r="G46" s="84">
        <v>9.001208248E9</v>
      </c>
      <c r="H46" s="86"/>
      <c r="I46" s="84">
        <v>14000.0</v>
      </c>
      <c r="J46" s="87">
        <v>7000.0</v>
      </c>
      <c r="K46" s="86"/>
      <c r="L46" s="83">
        <v>2000.0</v>
      </c>
      <c r="M46" s="88">
        <f t="shared" si="1"/>
        <v>19000</v>
      </c>
      <c r="N46" s="88">
        <f t="shared" si="2"/>
        <v>0</v>
      </c>
      <c r="O46" s="88">
        <f t="shared" si="3"/>
        <v>19000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</row>
    <row r="47">
      <c r="A47" s="83">
        <v>45.0</v>
      </c>
      <c r="B47" s="84" t="s">
        <v>377</v>
      </c>
      <c r="C47" s="84" t="s">
        <v>378</v>
      </c>
      <c r="D47" s="84" t="s">
        <v>273</v>
      </c>
      <c r="E47" s="89">
        <v>2.0220004E7</v>
      </c>
      <c r="F47" s="84" t="s">
        <v>298</v>
      </c>
      <c r="G47" s="84">
        <v>9.660892689E9</v>
      </c>
      <c r="H47" s="86"/>
      <c r="I47" s="84">
        <v>14000.0</v>
      </c>
      <c r="J47" s="87">
        <v>7500.0</v>
      </c>
      <c r="K47" s="86"/>
      <c r="L47" s="88"/>
      <c r="M47" s="88">
        <f t="shared" si="1"/>
        <v>21500</v>
      </c>
      <c r="N47" s="88">
        <f t="shared" si="2"/>
        <v>0</v>
      </c>
      <c r="O47" s="88">
        <f t="shared" si="3"/>
        <v>21500</v>
      </c>
      <c r="P47" s="86"/>
      <c r="Q47" s="86"/>
      <c r="R47" s="86"/>
      <c r="S47" s="86"/>
      <c r="T47" s="86"/>
      <c r="U47" s="86"/>
      <c r="V47" s="86"/>
      <c r="W47" s="86"/>
      <c r="X47" s="86"/>
      <c r="Y47" s="86"/>
    </row>
    <row r="48">
      <c r="A48" s="83">
        <v>46.0</v>
      </c>
      <c r="B48" s="112" t="s">
        <v>379</v>
      </c>
      <c r="C48" s="112" t="s">
        <v>380</v>
      </c>
      <c r="D48" s="84" t="s">
        <v>273</v>
      </c>
      <c r="E48" s="113"/>
      <c r="F48" s="112" t="s">
        <v>381</v>
      </c>
      <c r="G48" s="114" t="s">
        <v>382</v>
      </c>
      <c r="H48" s="115">
        <v>0.0</v>
      </c>
      <c r="I48" s="84">
        <v>14000.0</v>
      </c>
      <c r="J48" s="116">
        <v>6500.0</v>
      </c>
      <c r="K48" s="112"/>
      <c r="L48" s="115">
        <v>2500.0</v>
      </c>
      <c r="M48" s="88">
        <f t="shared" si="1"/>
        <v>18000</v>
      </c>
      <c r="N48" s="88">
        <f t="shared" si="2"/>
        <v>12000</v>
      </c>
      <c r="O48" s="88">
        <f t="shared" si="3"/>
        <v>6000</v>
      </c>
      <c r="P48" s="112" t="s">
        <v>44</v>
      </c>
      <c r="Q48" s="116">
        <v>2000.0</v>
      </c>
      <c r="R48" s="116">
        <v>3158.0</v>
      </c>
      <c r="S48" s="117">
        <v>45785.0</v>
      </c>
      <c r="T48" s="118">
        <v>4000.0</v>
      </c>
      <c r="U48" s="118">
        <v>3522.0</v>
      </c>
      <c r="V48" s="119">
        <v>45818.0</v>
      </c>
      <c r="W48" s="118">
        <v>6000.0</v>
      </c>
      <c r="X48" s="118">
        <v>4015.0</v>
      </c>
      <c r="Y48" s="118" t="s">
        <v>132</v>
      </c>
      <c r="Z48" s="18"/>
      <c r="AA48" s="18"/>
      <c r="AB48" s="18"/>
      <c r="AC48" s="18"/>
    </row>
    <row r="49">
      <c r="A49" s="83">
        <v>47.0</v>
      </c>
      <c r="B49" s="84" t="s">
        <v>383</v>
      </c>
      <c r="C49" s="84" t="s">
        <v>384</v>
      </c>
      <c r="D49" s="84" t="s">
        <v>256</v>
      </c>
      <c r="E49" s="85"/>
      <c r="F49" s="84" t="s">
        <v>305</v>
      </c>
      <c r="G49" s="84">
        <v>8.233293536E9</v>
      </c>
      <c r="H49" s="86"/>
      <c r="I49" s="84">
        <v>14000.0</v>
      </c>
      <c r="J49" s="87">
        <v>7000.0</v>
      </c>
      <c r="K49" s="86"/>
      <c r="L49" s="88"/>
      <c r="M49" s="88">
        <f t="shared" si="1"/>
        <v>21000</v>
      </c>
      <c r="N49" s="88">
        <f t="shared" si="2"/>
        <v>18000</v>
      </c>
      <c r="O49" s="88">
        <f t="shared" si="3"/>
        <v>3000</v>
      </c>
      <c r="P49" s="86"/>
      <c r="Q49" s="84">
        <v>10000.0</v>
      </c>
      <c r="R49" s="84">
        <v>3595.0</v>
      </c>
      <c r="S49" s="94">
        <v>45848.0</v>
      </c>
      <c r="T49" s="84">
        <v>8000.0</v>
      </c>
      <c r="U49" s="84">
        <v>3602.0</v>
      </c>
      <c r="V49" s="94">
        <v>45848.0</v>
      </c>
      <c r="W49" s="86"/>
      <c r="X49" s="86"/>
      <c r="Y49" s="86"/>
    </row>
    <row r="50">
      <c r="A50" s="83">
        <v>48.0</v>
      </c>
      <c r="B50" s="84" t="s">
        <v>385</v>
      </c>
      <c r="C50" s="84" t="s">
        <v>386</v>
      </c>
      <c r="D50" s="84" t="s">
        <v>260</v>
      </c>
      <c r="E50" s="85"/>
      <c r="F50" s="84" t="s">
        <v>387</v>
      </c>
      <c r="G50" s="84">
        <v>8.302433498E9</v>
      </c>
      <c r="H50" s="86"/>
      <c r="I50" s="84">
        <v>14000.0</v>
      </c>
      <c r="J50" s="87">
        <v>9000.0</v>
      </c>
      <c r="K50" s="86"/>
      <c r="L50" s="88"/>
      <c r="M50" s="88">
        <f t="shared" si="1"/>
        <v>23000</v>
      </c>
      <c r="N50" s="88">
        <f t="shared" si="2"/>
        <v>2000</v>
      </c>
      <c r="O50" s="88">
        <f t="shared" si="3"/>
        <v>21000</v>
      </c>
      <c r="P50" s="86"/>
      <c r="Q50" s="84">
        <v>2000.0</v>
      </c>
      <c r="R50" s="84">
        <v>3999.0</v>
      </c>
      <c r="S50" s="84" t="s">
        <v>312</v>
      </c>
      <c r="T50" s="86"/>
      <c r="U50" s="86"/>
      <c r="V50" s="86"/>
      <c r="W50" s="86"/>
      <c r="X50" s="86"/>
      <c r="Y50" s="86"/>
    </row>
    <row r="51">
      <c r="A51" s="83">
        <v>49.0</v>
      </c>
      <c r="B51" s="84" t="s">
        <v>107</v>
      </c>
      <c r="C51" s="84" t="s">
        <v>108</v>
      </c>
      <c r="D51" s="84" t="s">
        <v>273</v>
      </c>
      <c r="E51" s="85"/>
      <c r="F51" s="84" t="s">
        <v>270</v>
      </c>
      <c r="G51" s="84">
        <v>9.680973275E9</v>
      </c>
      <c r="H51" s="86"/>
      <c r="I51" s="84">
        <v>14000.0</v>
      </c>
      <c r="J51" s="100">
        <v>7000.0</v>
      </c>
      <c r="K51" s="101"/>
      <c r="L51" s="102"/>
      <c r="M51" s="88">
        <f t="shared" si="1"/>
        <v>21000</v>
      </c>
      <c r="N51" s="88">
        <f t="shared" si="2"/>
        <v>8300</v>
      </c>
      <c r="O51" s="88">
        <f t="shared" si="3"/>
        <v>12700</v>
      </c>
      <c r="P51" s="86"/>
      <c r="Q51" s="84">
        <v>8300.0</v>
      </c>
      <c r="R51" s="84">
        <v>3368.0</v>
      </c>
      <c r="S51" s="94">
        <v>45817.0</v>
      </c>
      <c r="T51" s="86"/>
      <c r="U51" s="86"/>
      <c r="V51" s="86"/>
      <c r="W51" s="86"/>
      <c r="X51" s="86"/>
      <c r="Y51" s="86"/>
    </row>
    <row r="52">
      <c r="A52" s="83">
        <v>50.0</v>
      </c>
      <c r="B52" s="84" t="s">
        <v>388</v>
      </c>
      <c r="C52" s="84" t="s">
        <v>389</v>
      </c>
      <c r="D52" s="84" t="s">
        <v>269</v>
      </c>
      <c r="E52" s="89">
        <v>1110.0</v>
      </c>
      <c r="F52" s="84" t="s">
        <v>361</v>
      </c>
      <c r="G52" s="84">
        <v>8.82459821E9</v>
      </c>
      <c r="H52" s="86"/>
      <c r="I52" s="84">
        <v>14000.0</v>
      </c>
      <c r="J52" s="87">
        <v>5000.0</v>
      </c>
      <c r="K52" s="86"/>
      <c r="L52" s="83">
        <v>4000.0</v>
      </c>
      <c r="M52" s="88">
        <f t="shared" si="1"/>
        <v>15000</v>
      </c>
      <c r="N52" s="88">
        <f t="shared" si="2"/>
        <v>0</v>
      </c>
      <c r="O52" s="88">
        <f t="shared" si="3"/>
        <v>15000</v>
      </c>
      <c r="P52" s="84" t="s">
        <v>131</v>
      </c>
      <c r="Q52" s="86"/>
      <c r="R52" s="86"/>
      <c r="S52" s="86"/>
      <c r="T52" s="86"/>
      <c r="U52" s="86"/>
      <c r="V52" s="86"/>
      <c r="W52" s="86"/>
      <c r="X52" s="86"/>
      <c r="Y52" s="86"/>
    </row>
    <row r="53">
      <c r="A53" s="83">
        <v>51.0</v>
      </c>
      <c r="B53" s="84" t="s">
        <v>390</v>
      </c>
      <c r="C53" s="84" t="s">
        <v>391</v>
      </c>
      <c r="D53" s="84" t="s">
        <v>256</v>
      </c>
      <c r="E53" s="85"/>
      <c r="F53" s="84" t="s">
        <v>305</v>
      </c>
      <c r="G53" s="84">
        <v>6.264837005E9</v>
      </c>
      <c r="H53" s="84">
        <v>1000.0</v>
      </c>
      <c r="I53" s="84">
        <v>14000.0</v>
      </c>
      <c r="J53" s="87">
        <v>7000.0</v>
      </c>
      <c r="K53" s="86"/>
      <c r="L53" s="83">
        <v>2500.0</v>
      </c>
      <c r="M53" s="88">
        <f t="shared" si="1"/>
        <v>19500</v>
      </c>
      <c r="N53" s="88">
        <f t="shared" si="2"/>
        <v>0</v>
      </c>
      <c r="O53" s="88">
        <f t="shared" si="3"/>
        <v>19500</v>
      </c>
      <c r="P53" s="86"/>
      <c r="Q53" s="86"/>
      <c r="R53" s="86"/>
      <c r="S53" s="86"/>
      <c r="T53" s="86"/>
      <c r="U53" s="86"/>
      <c r="V53" s="86"/>
      <c r="W53" s="86"/>
      <c r="X53" s="86"/>
      <c r="Y53" s="86"/>
    </row>
    <row r="54">
      <c r="A54" s="83">
        <v>52.0</v>
      </c>
      <c r="B54" s="84" t="s">
        <v>392</v>
      </c>
      <c r="C54" s="84" t="s">
        <v>393</v>
      </c>
      <c r="D54" s="84" t="s">
        <v>278</v>
      </c>
      <c r="E54" s="89">
        <v>1672.0</v>
      </c>
      <c r="F54" s="90" t="s">
        <v>361</v>
      </c>
      <c r="G54" s="91">
        <v>9.610114687E9</v>
      </c>
      <c r="H54" s="91">
        <v>0.0</v>
      </c>
      <c r="I54" s="84">
        <v>14000.0</v>
      </c>
      <c r="J54" s="92">
        <v>5000.0</v>
      </c>
      <c r="K54" s="90"/>
      <c r="L54" s="104">
        <v>4000.0</v>
      </c>
      <c r="M54" s="88">
        <f t="shared" si="1"/>
        <v>15000</v>
      </c>
      <c r="N54" s="88">
        <f t="shared" si="2"/>
        <v>5000</v>
      </c>
      <c r="O54" s="88">
        <f t="shared" si="3"/>
        <v>10000</v>
      </c>
      <c r="P54" s="90" t="s">
        <v>44</v>
      </c>
      <c r="Q54" s="92">
        <v>5000.0</v>
      </c>
      <c r="R54" s="92">
        <v>2965.0</v>
      </c>
      <c r="S54" s="93">
        <v>45937.0</v>
      </c>
      <c r="T54" s="93"/>
      <c r="U54" s="93"/>
      <c r="V54" s="93"/>
      <c r="W54" s="93"/>
      <c r="X54" s="93"/>
      <c r="Y54" s="93"/>
      <c r="Z54" s="17"/>
      <c r="AA54" s="17"/>
      <c r="AB54" s="17"/>
      <c r="AC54" s="17"/>
    </row>
    <row r="55">
      <c r="A55" s="83">
        <v>53.0</v>
      </c>
      <c r="B55" s="84" t="s">
        <v>394</v>
      </c>
      <c r="C55" s="84" t="s">
        <v>110</v>
      </c>
      <c r="D55" s="84" t="s">
        <v>256</v>
      </c>
      <c r="E55" s="89">
        <v>1434.0</v>
      </c>
      <c r="F55" s="84" t="s">
        <v>48</v>
      </c>
      <c r="G55" s="84">
        <v>7.74022455E9</v>
      </c>
      <c r="H55" s="86"/>
      <c r="I55" s="84">
        <v>14000.0</v>
      </c>
      <c r="J55" s="87">
        <v>9000.0</v>
      </c>
      <c r="K55" s="86"/>
      <c r="L55" s="83">
        <v>23000.0</v>
      </c>
      <c r="M55" s="88">
        <f t="shared" si="1"/>
        <v>0</v>
      </c>
      <c r="N55" s="88">
        <f t="shared" si="2"/>
        <v>0</v>
      </c>
      <c r="O55" s="88">
        <f t="shared" si="3"/>
        <v>0</v>
      </c>
      <c r="P55" s="83" t="s">
        <v>395</v>
      </c>
      <c r="Q55" s="86"/>
      <c r="R55" s="86"/>
      <c r="S55" s="86"/>
      <c r="T55" s="86"/>
      <c r="U55" s="86"/>
      <c r="V55" s="86"/>
      <c r="W55" s="86"/>
      <c r="X55" s="86"/>
      <c r="Y55" s="86"/>
    </row>
    <row r="56">
      <c r="A56" s="83">
        <v>54.0</v>
      </c>
      <c r="B56" s="84" t="s">
        <v>396</v>
      </c>
      <c r="C56" s="84" t="s">
        <v>397</v>
      </c>
      <c r="D56" s="84" t="s">
        <v>273</v>
      </c>
      <c r="E56" s="89">
        <v>1108.0</v>
      </c>
      <c r="F56" s="84" t="s">
        <v>298</v>
      </c>
      <c r="G56" s="84">
        <v>9.5212719E9</v>
      </c>
      <c r="H56" s="86"/>
      <c r="I56" s="84">
        <v>14000.0</v>
      </c>
      <c r="J56" s="87">
        <v>7500.0</v>
      </c>
      <c r="K56" s="86"/>
      <c r="L56" s="88"/>
      <c r="M56" s="88">
        <f t="shared" si="1"/>
        <v>21500</v>
      </c>
      <c r="N56" s="88">
        <f t="shared" si="2"/>
        <v>3000</v>
      </c>
      <c r="O56" s="88">
        <f t="shared" si="3"/>
        <v>18500</v>
      </c>
      <c r="P56" s="86"/>
      <c r="Q56" s="84">
        <v>3000.0</v>
      </c>
      <c r="R56" s="84">
        <v>3840.0</v>
      </c>
      <c r="S56" s="97">
        <v>45941.0</v>
      </c>
      <c r="T56" s="86"/>
      <c r="U56" s="86"/>
      <c r="V56" s="86"/>
      <c r="W56" s="86"/>
      <c r="X56" s="86"/>
      <c r="Y56" s="86"/>
    </row>
    <row r="57">
      <c r="A57" s="83">
        <v>55.0</v>
      </c>
      <c r="B57" s="84" t="s">
        <v>398</v>
      </c>
      <c r="C57" s="84" t="s">
        <v>399</v>
      </c>
      <c r="D57" s="84" t="s">
        <v>269</v>
      </c>
      <c r="E57" s="89">
        <v>1439.0</v>
      </c>
      <c r="F57" s="90" t="s">
        <v>400</v>
      </c>
      <c r="G57" s="91">
        <v>9.928486427E9</v>
      </c>
      <c r="H57" s="91">
        <v>0.0</v>
      </c>
      <c r="I57" s="84">
        <v>14000.0</v>
      </c>
      <c r="J57" s="92">
        <v>6500.0</v>
      </c>
      <c r="K57" s="90"/>
      <c r="L57" s="104">
        <v>20500.0</v>
      </c>
      <c r="M57" s="88">
        <f t="shared" si="1"/>
        <v>0</v>
      </c>
      <c r="N57" s="88">
        <f t="shared" si="2"/>
        <v>0</v>
      </c>
      <c r="O57" s="88">
        <f t="shared" si="3"/>
        <v>0</v>
      </c>
      <c r="P57" s="95" t="s">
        <v>401</v>
      </c>
      <c r="Q57" s="90"/>
      <c r="R57" s="90"/>
      <c r="S57" s="90"/>
      <c r="T57" s="86"/>
      <c r="U57" s="86"/>
      <c r="V57" s="86"/>
      <c r="W57" s="86"/>
      <c r="X57" s="86"/>
      <c r="Y57" s="86"/>
    </row>
    <row r="58">
      <c r="A58" s="83">
        <v>56.0</v>
      </c>
      <c r="B58" s="84" t="s">
        <v>402</v>
      </c>
      <c r="C58" s="84" t="s">
        <v>403</v>
      </c>
      <c r="D58" s="84" t="s">
        <v>273</v>
      </c>
      <c r="E58" s="89">
        <v>1578.0</v>
      </c>
      <c r="F58" s="84" t="s">
        <v>274</v>
      </c>
      <c r="G58" s="84">
        <v>7.976880482E9</v>
      </c>
      <c r="H58" s="86"/>
      <c r="I58" s="84">
        <v>14000.0</v>
      </c>
      <c r="J58" s="87">
        <v>9500.0</v>
      </c>
      <c r="K58" s="86"/>
      <c r="L58" s="88"/>
      <c r="M58" s="88">
        <f t="shared" si="1"/>
        <v>23500</v>
      </c>
      <c r="N58" s="88">
        <f t="shared" si="2"/>
        <v>0</v>
      </c>
      <c r="O58" s="88">
        <f t="shared" si="3"/>
        <v>23500</v>
      </c>
      <c r="P58" s="86"/>
      <c r="Q58" s="86"/>
      <c r="R58" s="86"/>
      <c r="S58" s="86"/>
      <c r="T58" s="86"/>
      <c r="U58" s="86"/>
      <c r="V58" s="86"/>
      <c r="W58" s="86"/>
      <c r="X58" s="86"/>
      <c r="Y58" s="86"/>
    </row>
    <row r="59">
      <c r="A59" s="83">
        <v>57.0</v>
      </c>
      <c r="B59" s="84" t="s">
        <v>404</v>
      </c>
      <c r="C59" s="84" t="s">
        <v>405</v>
      </c>
      <c r="D59" s="84" t="s">
        <v>273</v>
      </c>
      <c r="E59" s="89">
        <v>1438.0</v>
      </c>
      <c r="F59" s="90" t="s">
        <v>406</v>
      </c>
      <c r="G59" s="91">
        <v>9.571731981E9</v>
      </c>
      <c r="H59" s="90"/>
      <c r="I59" s="84">
        <v>14000.0</v>
      </c>
      <c r="J59" s="98">
        <v>8000.0</v>
      </c>
      <c r="K59" s="90"/>
      <c r="L59" s="91"/>
      <c r="M59" s="88">
        <f t="shared" si="1"/>
        <v>22000</v>
      </c>
      <c r="N59" s="88">
        <f t="shared" si="2"/>
        <v>10000</v>
      </c>
      <c r="O59" s="88">
        <f t="shared" si="3"/>
        <v>12000</v>
      </c>
      <c r="P59" s="90"/>
      <c r="Q59" s="92">
        <v>10000.0</v>
      </c>
      <c r="R59" s="92">
        <v>3067.0</v>
      </c>
      <c r="S59" s="90" t="s">
        <v>170</v>
      </c>
      <c r="T59" s="86"/>
      <c r="U59" s="86"/>
      <c r="V59" s="86"/>
      <c r="W59" s="86"/>
      <c r="X59" s="86"/>
      <c r="Y59" s="86"/>
    </row>
    <row r="60">
      <c r="A60" s="83">
        <v>58.0</v>
      </c>
      <c r="B60" s="90" t="s">
        <v>407</v>
      </c>
      <c r="C60" s="90" t="s">
        <v>408</v>
      </c>
      <c r="D60" s="95" t="s">
        <v>269</v>
      </c>
      <c r="E60" s="90" t="s">
        <v>409</v>
      </c>
      <c r="F60" s="95" t="s">
        <v>410</v>
      </c>
      <c r="G60" s="95">
        <v>9.983146944E9</v>
      </c>
      <c r="H60" s="90"/>
      <c r="I60" s="84">
        <v>14000.0</v>
      </c>
      <c r="J60" s="98">
        <v>11000.0</v>
      </c>
      <c r="K60" s="90"/>
      <c r="L60" s="91"/>
      <c r="M60" s="88">
        <f t="shared" si="1"/>
        <v>25000</v>
      </c>
      <c r="N60" s="88">
        <f t="shared" si="2"/>
        <v>8000</v>
      </c>
      <c r="O60" s="88">
        <f t="shared" si="3"/>
        <v>17000</v>
      </c>
      <c r="P60" s="90"/>
      <c r="Q60" s="92">
        <v>5000.0</v>
      </c>
      <c r="R60" s="92">
        <v>3224.0</v>
      </c>
      <c r="S60" s="90" t="s">
        <v>160</v>
      </c>
      <c r="T60" s="95">
        <v>3000.0</v>
      </c>
      <c r="U60" s="95">
        <v>4031.0</v>
      </c>
      <c r="V60" s="84" t="s">
        <v>261</v>
      </c>
      <c r="W60" s="90"/>
      <c r="X60" s="90"/>
      <c r="Y60" s="90"/>
      <c r="Z60" s="10"/>
      <c r="AA60" s="10"/>
      <c r="AB60" s="10"/>
      <c r="AC60" s="10"/>
    </row>
    <row r="61">
      <c r="A61" s="83">
        <v>59.0</v>
      </c>
      <c r="B61" s="112" t="s">
        <v>61</v>
      </c>
      <c r="C61" s="112" t="s">
        <v>62</v>
      </c>
      <c r="D61" s="118" t="s">
        <v>278</v>
      </c>
      <c r="E61" s="113"/>
      <c r="F61" s="112" t="s">
        <v>3</v>
      </c>
      <c r="G61" s="114" t="s">
        <v>411</v>
      </c>
      <c r="H61" s="112"/>
      <c r="I61" s="84">
        <v>14000.0</v>
      </c>
      <c r="J61" s="108">
        <v>6500.0</v>
      </c>
      <c r="K61" s="112"/>
      <c r="L61" s="115"/>
      <c r="M61" s="88">
        <f t="shared" si="1"/>
        <v>20500</v>
      </c>
      <c r="N61" s="88">
        <f t="shared" si="2"/>
        <v>12000</v>
      </c>
      <c r="O61" s="88">
        <f t="shared" si="3"/>
        <v>8500</v>
      </c>
      <c r="P61" s="112"/>
      <c r="Q61" s="116">
        <v>7000.0</v>
      </c>
      <c r="R61" s="116">
        <v>3066.0</v>
      </c>
      <c r="S61" s="112" t="s">
        <v>170</v>
      </c>
      <c r="T61" s="118">
        <v>5000.0</v>
      </c>
      <c r="U61" s="118">
        <v>3537.0</v>
      </c>
      <c r="V61" s="119">
        <v>45818.0</v>
      </c>
      <c r="W61" s="112"/>
      <c r="X61" s="112"/>
      <c r="Y61" s="112"/>
      <c r="Z61" s="18"/>
      <c r="AA61" s="18"/>
      <c r="AB61" s="18"/>
      <c r="AC61" s="18"/>
    </row>
    <row r="62">
      <c r="A62" s="83">
        <v>60.0</v>
      </c>
      <c r="B62" s="84" t="s">
        <v>412</v>
      </c>
      <c r="C62" s="84" t="s">
        <v>413</v>
      </c>
      <c r="D62" s="84" t="s">
        <v>278</v>
      </c>
      <c r="E62" s="89">
        <v>1893.0</v>
      </c>
      <c r="F62" s="84" t="s">
        <v>414</v>
      </c>
      <c r="G62" s="84">
        <v>9.549224979E9</v>
      </c>
      <c r="H62" s="84">
        <v>1000.0</v>
      </c>
      <c r="I62" s="84">
        <v>14000.0</v>
      </c>
      <c r="J62" s="87">
        <v>9000.0</v>
      </c>
      <c r="K62" s="86"/>
      <c r="L62" s="88"/>
      <c r="M62" s="88">
        <f t="shared" si="1"/>
        <v>24000</v>
      </c>
      <c r="N62" s="88">
        <f t="shared" si="2"/>
        <v>10000</v>
      </c>
      <c r="O62" s="88">
        <f t="shared" si="3"/>
        <v>14000</v>
      </c>
      <c r="P62" s="84" t="s">
        <v>177</v>
      </c>
      <c r="Q62" s="91">
        <v>4000.0</v>
      </c>
      <c r="R62" s="91">
        <v>2871.0</v>
      </c>
      <c r="S62" s="120">
        <v>45695.0</v>
      </c>
      <c r="T62" s="84">
        <v>3000.0</v>
      </c>
      <c r="U62" s="84">
        <v>3332.0</v>
      </c>
      <c r="V62" s="84" t="s">
        <v>241</v>
      </c>
      <c r="W62" s="84">
        <v>3000.0</v>
      </c>
      <c r="X62" s="84">
        <v>3681.0</v>
      </c>
      <c r="Y62" s="94">
        <v>45910.0</v>
      </c>
      <c r="Z62" s="6">
        <v>4000.0</v>
      </c>
      <c r="AA62" s="6">
        <v>4056.0</v>
      </c>
      <c r="AB62" s="6" t="s">
        <v>415</v>
      </c>
    </row>
    <row r="63">
      <c r="A63" s="83">
        <v>61.0</v>
      </c>
      <c r="B63" s="84" t="s">
        <v>416</v>
      </c>
      <c r="C63" s="84" t="s">
        <v>417</v>
      </c>
      <c r="D63" s="84" t="s">
        <v>273</v>
      </c>
      <c r="E63" s="89">
        <v>1651.0</v>
      </c>
      <c r="F63" s="90" t="s">
        <v>343</v>
      </c>
      <c r="G63" s="104" t="s">
        <v>418</v>
      </c>
      <c r="H63" s="91">
        <v>0.0</v>
      </c>
      <c r="I63" s="84">
        <v>14000.0</v>
      </c>
      <c r="J63" s="92">
        <v>10000.0</v>
      </c>
      <c r="K63" s="90"/>
      <c r="L63" s="91">
        <v>4500.0</v>
      </c>
      <c r="M63" s="88">
        <f t="shared" si="1"/>
        <v>19500</v>
      </c>
      <c r="N63" s="88">
        <f t="shared" si="2"/>
        <v>9500</v>
      </c>
      <c r="O63" s="88">
        <f t="shared" si="3"/>
        <v>10000</v>
      </c>
      <c r="P63" s="90" t="s">
        <v>159</v>
      </c>
      <c r="Q63" s="92">
        <v>5000.0</v>
      </c>
      <c r="R63" s="92">
        <v>3202.0</v>
      </c>
      <c r="S63" s="93">
        <v>45969.0</v>
      </c>
      <c r="T63" s="84">
        <v>4500.0</v>
      </c>
      <c r="U63" s="84">
        <v>3928.0</v>
      </c>
      <c r="V63" s="84" t="s">
        <v>349</v>
      </c>
      <c r="W63" s="86"/>
      <c r="X63" s="86"/>
      <c r="Y63" s="86"/>
    </row>
    <row r="64">
      <c r="A64" s="83">
        <v>62.0</v>
      </c>
      <c r="B64" s="84" t="s">
        <v>419</v>
      </c>
      <c r="C64" s="84" t="s">
        <v>420</v>
      </c>
      <c r="D64" s="84" t="s">
        <v>269</v>
      </c>
      <c r="E64" s="89">
        <v>1590.0</v>
      </c>
      <c r="F64" s="90" t="s">
        <v>421</v>
      </c>
      <c r="G64" s="91">
        <v>9.928797331E9</v>
      </c>
      <c r="H64" s="91">
        <v>0.0</v>
      </c>
      <c r="I64" s="84">
        <v>14000.0</v>
      </c>
      <c r="J64" s="92">
        <v>7000.0</v>
      </c>
      <c r="K64" s="90"/>
      <c r="L64" s="91">
        <v>3500.0</v>
      </c>
      <c r="M64" s="88">
        <f t="shared" si="1"/>
        <v>17500</v>
      </c>
      <c r="N64" s="88">
        <f t="shared" si="2"/>
        <v>6000</v>
      </c>
      <c r="O64" s="88">
        <f t="shared" si="3"/>
        <v>11500</v>
      </c>
      <c r="P64" s="90" t="s">
        <v>44</v>
      </c>
      <c r="Q64" s="92">
        <v>1000.0</v>
      </c>
      <c r="R64" s="92">
        <v>3044.0</v>
      </c>
      <c r="S64" s="90" t="s">
        <v>422</v>
      </c>
      <c r="T64" s="84">
        <v>5000.0</v>
      </c>
      <c r="U64" s="84">
        <v>3724.0</v>
      </c>
      <c r="V64" s="84" t="s">
        <v>423</v>
      </c>
      <c r="W64" s="86"/>
      <c r="X64" s="86"/>
      <c r="Y64" s="86"/>
    </row>
    <row r="65">
      <c r="A65" s="83">
        <v>63.0</v>
      </c>
      <c r="B65" s="84" t="s">
        <v>424</v>
      </c>
      <c r="C65" s="84" t="s">
        <v>425</v>
      </c>
      <c r="D65" s="84" t="s">
        <v>65</v>
      </c>
      <c r="E65" s="85"/>
      <c r="F65" s="84" t="s">
        <v>426</v>
      </c>
      <c r="G65" s="84">
        <v>9.983806845E9</v>
      </c>
      <c r="H65" s="86"/>
      <c r="I65" s="84">
        <v>14000.0</v>
      </c>
      <c r="J65" s="87">
        <v>5000.0</v>
      </c>
      <c r="K65" s="86"/>
      <c r="L65" s="88"/>
      <c r="M65" s="88">
        <f t="shared" si="1"/>
        <v>19000</v>
      </c>
      <c r="N65" s="88">
        <f t="shared" si="2"/>
        <v>0</v>
      </c>
      <c r="O65" s="88">
        <f t="shared" si="3"/>
        <v>19000</v>
      </c>
      <c r="P65" s="86"/>
      <c r="Q65" s="86"/>
      <c r="R65" s="86"/>
      <c r="S65" s="86"/>
      <c r="T65" s="86"/>
      <c r="U65" s="86"/>
      <c r="V65" s="86"/>
      <c r="W65" s="86"/>
      <c r="X65" s="86"/>
      <c r="Y65" s="86"/>
    </row>
    <row r="66">
      <c r="A66" s="83">
        <v>64.0</v>
      </c>
      <c r="B66" s="84" t="s">
        <v>427</v>
      </c>
      <c r="C66" s="84" t="s">
        <v>428</v>
      </c>
      <c r="D66" s="84" t="s">
        <v>337</v>
      </c>
      <c r="E66" s="85"/>
      <c r="F66" s="84" t="s">
        <v>426</v>
      </c>
      <c r="G66" s="84">
        <v>8.003354341E9</v>
      </c>
      <c r="H66" s="84">
        <v>1000.0</v>
      </c>
      <c r="I66" s="84">
        <v>14000.0</v>
      </c>
      <c r="J66" s="87">
        <v>5000.0</v>
      </c>
      <c r="K66" s="86"/>
      <c r="L66" s="83">
        <v>2000.0</v>
      </c>
      <c r="M66" s="88">
        <f t="shared" si="1"/>
        <v>18000</v>
      </c>
      <c r="N66" s="88">
        <f t="shared" si="2"/>
        <v>0</v>
      </c>
      <c r="O66" s="88">
        <f t="shared" si="3"/>
        <v>18000</v>
      </c>
      <c r="P66" s="86"/>
      <c r="Q66" s="86"/>
      <c r="R66" s="86"/>
      <c r="S66" s="86"/>
      <c r="T66" s="86"/>
      <c r="U66" s="86"/>
      <c r="V66" s="86"/>
      <c r="W66" s="86"/>
      <c r="X66" s="86"/>
      <c r="Y66" s="86"/>
    </row>
    <row r="67">
      <c r="A67" s="83">
        <v>65.0</v>
      </c>
      <c r="B67" s="84" t="s">
        <v>429</v>
      </c>
      <c r="C67" s="84" t="s">
        <v>430</v>
      </c>
      <c r="D67" s="84" t="s">
        <v>337</v>
      </c>
      <c r="E67" s="85"/>
      <c r="F67" s="84" t="s">
        <v>270</v>
      </c>
      <c r="G67" s="84">
        <v>7.737813772E9</v>
      </c>
      <c r="H67" s="86"/>
      <c r="I67" s="84">
        <v>14000.0</v>
      </c>
      <c r="J67" s="87">
        <v>7000.0</v>
      </c>
      <c r="K67" s="86"/>
      <c r="L67" s="83">
        <v>3000.0</v>
      </c>
      <c r="M67" s="88">
        <f t="shared" si="1"/>
        <v>18000</v>
      </c>
      <c r="N67" s="88">
        <f t="shared" si="2"/>
        <v>0</v>
      </c>
      <c r="O67" s="88">
        <f t="shared" si="3"/>
        <v>18000</v>
      </c>
      <c r="P67" s="84" t="s">
        <v>431</v>
      </c>
      <c r="Q67" s="86"/>
      <c r="R67" s="86"/>
      <c r="S67" s="86"/>
      <c r="T67" s="86"/>
      <c r="U67" s="86"/>
      <c r="V67" s="86"/>
      <c r="W67" s="86"/>
      <c r="X67" s="86"/>
      <c r="Y67" s="86"/>
    </row>
    <row r="68">
      <c r="A68" s="83">
        <v>66.0</v>
      </c>
      <c r="B68" s="84" t="s">
        <v>119</v>
      </c>
      <c r="C68" s="84" t="s">
        <v>432</v>
      </c>
      <c r="D68" s="84" t="s">
        <v>337</v>
      </c>
      <c r="E68" s="85"/>
      <c r="F68" s="84" t="s">
        <v>433</v>
      </c>
      <c r="G68" s="84">
        <v>9.680958884E9</v>
      </c>
      <c r="H68" s="86"/>
      <c r="I68" s="84">
        <v>14000.0</v>
      </c>
      <c r="J68" s="87">
        <v>7000.0</v>
      </c>
      <c r="K68" s="86"/>
      <c r="L68" s="83">
        <v>4000.0</v>
      </c>
      <c r="M68" s="88">
        <f t="shared" si="1"/>
        <v>17000</v>
      </c>
      <c r="N68" s="88">
        <f t="shared" si="2"/>
        <v>0</v>
      </c>
      <c r="O68" s="88">
        <f t="shared" si="3"/>
        <v>17000</v>
      </c>
      <c r="P68" s="86"/>
      <c r="Q68" s="86"/>
      <c r="R68" s="86"/>
      <c r="S68" s="86"/>
      <c r="T68" s="86"/>
      <c r="U68" s="86"/>
      <c r="V68" s="86"/>
      <c r="W68" s="86"/>
      <c r="X68" s="86"/>
      <c r="Y68" s="86"/>
    </row>
    <row r="69">
      <c r="A69" s="83">
        <v>67.0</v>
      </c>
      <c r="B69" s="84" t="s">
        <v>434</v>
      </c>
      <c r="C69" s="84" t="s">
        <v>435</v>
      </c>
      <c r="D69" s="84" t="s">
        <v>278</v>
      </c>
      <c r="E69" s="89">
        <v>1816.0</v>
      </c>
      <c r="F69" s="86" t="s">
        <v>436</v>
      </c>
      <c r="G69" s="86">
        <v>8.306627046E9</v>
      </c>
      <c r="H69" s="84">
        <v>1000.0</v>
      </c>
      <c r="I69" s="84">
        <v>14000.0</v>
      </c>
      <c r="J69" s="87">
        <v>10000.0</v>
      </c>
      <c r="K69" s="86"/>
      <c r="L69" s="83">
        <v>2000.0</v>
      </c>
      <c r="M69" s="88">
        <f t="shared" si="1"/>
        <v>23000</v>
      </c>
      <c r="N69" s="88">
        <f t="shared" si="2"/>
        <v>13000</v>
      </c>
      <c r="O69" s="88">
        <f t="shared" si="3"/>
        <v>10000</v>
      </c>
      <c r="P69" s="84" t="s">
        <v>44</v>
      </c>
      <c r="Q69" s="84">
        <v>3000.0</v>
      </c>
      <c r="R69" s="84">
        <v>2954.0</v>
      </c>
      <c r="S69" s="94">
        <v>45907.0</v>
      </c>
      <c r="T69" s="84">
        <v>5000.0</v>
      </c>
      <c r="U69" s="84">
        <v>3552.0</v>
      </c>
      <c r="V69" s="94">
        <v>45818.0</v>
      </c>
      <c r="W69" s="84">
        <v>5000.0</v>
      </c>
      <c r="X69" s="84">
        <v>4076.0</v>
      </c>
      <c r="Y69" s="94">
        <v>45759.0</v>
      </c>
    </row>
    <row r="70">
      <c r="A70" s="9"/>
      <c r="E70" s="13"/>
      <c r="J70" s="121"/>
      <c r="L70" s="9"/>
      <c r="M70" s="9"/>
      <c r="N70" s="9"/>
      <c r="O70" s="9"/>
    </row>
    <row r="71">
      <c r="A71" s="9"/>
      <c r="E71" s="13"/>
      <c r="J71" s="121"/>
      <c r="L71" s="9"/>
      <c r="M71" s="9"/>
      <c r="N71" s="9"/>
      <c r="O71" s="9"/>
    </row>
    <row r="72">
      <c r="A72" s="9"/>
      <c r="E72" s="13"/>
      <c r="J72" s="121"/>
      <c r="L72" s="9"/>
      <c r="M72" s="9"/>
      <c r="N72" s="9"/>
      <c r="O72" s="9"/>
    </row>
    <row r="73">
      <c r="A73" s="9"/>
      <c r="E73" s="13"/>
      <c r="J73" s="121"/>
      <c r="L73" s="9"/>
      <c r="M73" s="9"/>
      <c r="N73" s="9"/>
      <c r="O73" s="9"/>
    </row>
    <row r="74">
      <c r="A74" s="9"/>
      <c r="E74" s="13"/>
      <c r="J74" s="121"/>
      <c r="L74" s="9"/>
      <c r="M74" s="9"/>
      <c r="N74" s="9"/>
      <c r="O74" s="9"/>
    </row>
    <row r="75">
      <c r="A75" s="9"/>
      <c r="E75" s="13"/>
      <c r="J75" s="121"/>
      <c r="L75" s="9"/>
      <c r="M75" s="9"/>
      <c r="N75" s="9"/>
      <c r="O75" s="9"/>
    </row>
    <row r="76">
      <c r="A76" s="9"/>
      <c r="E76" s="13"/>
      <c r="J76" s="121"/>
      <c r="L76" s="9"/>
      <c r="M76" s="9"/>
      <c r="N76" s="9"/>
      <c r="O76" s="9"/>
    </row>
    <row r="77">
      <c r="A77" s="9"/>
      <c r="E77" s="13"/>
      <c r="J77" s="121"/>
      <c r="L77" s="9"/>
      <c r="M77" s="9"/>
      <c r="N77" s="9"/>
      <c r="O77" s="9"/>
    </row>
    <row r="78">
      <c r="A78" s="9"/>
      <c r="E78" s="13"/>
      <c r="J78" s="121"/>
      <c r="L78" s="9"/>
      <c r="M78" s="9"/>
      <c r="N78" s="9"/>
      <c r="O78" s="9"/>
    </row>
    <row r="79">
      <c r="A79" s="9"/>
      <c r="E79" s="13"/>
      <c r="J79" s="121"/>
      <c r="L79" s="9"/>
      <c r="M79" s="9"/>
      <c r="N79" s="9"/>
      <c r="O79" s="9"/>
    </row>
    <row r="80">
      <c r="A80" s="9"/>
      <c r="E80" s="13"/>
      <c r="J80" s="121"/>
      <c r="L80" s="9"/>
      <c r="M80" s="9"/>
      <c r="N80" s="9"/>
      <c r="O80" s="9"/>
    </row>
    <row r="81">
      <c r="A81" s="9"/>
      <c r="E81" s="13"/>
      <c r="J81" s="121"/>
      <c r="L81" s="9"/>
      <c r="M81" s="9"/>
      <c r="N81" s="9"/>
      <c r="O81" s="9"/>
    </row>
    <row r="82">
      <c r="A82" s="9"/>
      <c r="E82" s="13"/>
      <c r="J82" s="121"/>
      <c r="L82" s="9"/>
      <c r="M82" s="9"/>
      <c r="N82" s="9"/>
      <c r="O82" s="9"/>
    </row>
    <row r="83">
      <c r="A83" s="9"/>
      <c r="E83" s="13"/>
      <c r="J83" s="121"/>
      <c r="L83" s="9"/>
      <c r="M83" s="9"/>
      <c r="N83" s="9"/>
      <c r="O83" s="9"/>
    </row>
    <row r="84">
      <c r="A84" s="9"/>
      <c r="E84" s="13"/>
      <c r="J84" s="121"/>
      <c r="L84" s="9"/>
      <c r="M84" s="9"/>
      <c r="N84" s="9"/>
      <c r="O84" s="9"/>
    </row>
    <row r="85">
      <c r="A85" s="9"/>
      <c r="E85" s="13"/>
      <c r="J85" s="121"/>
      <c r="L85" s="9"/>
      <c r="M85" s="9"/>
      <c r="N85" s="9"/>
      <c r="O85" s="9"/>
    </row>
    <row r="86">
      <c r="A86" s="9"/>
      <c r="E86" s="13"/>
      <c r="J86" s="121"/>
      <c r="L86" s="9"/>
      <c r="M86" s="9"/>
      <c r="N86" s="9"/>
      <c r="O86" s="9"/>
    </row>
    <row r="87">
      <c r="A87" s="9"/>
      <c r="E87" s="13"/>
      <c r="J87" s="121"/>
      <c r="L87" s="9"/>
      <c r="M87" s="9"/>
      <c r="N87" s="9"/>
      <c r="O87" s="9"/>
    </row>
    <row r="88">
      <c r="A88" s="9"/>
      <c r="E88" s="13"/>
      <c r="J88" s="121"/>
      <c r="L88" s="9"/>
      <c r="M88" s="9"/>
      <c r="N88" s="9"/>
      <c r="O88" s="9"/>
    </row>
    <row r="89">
      <c r="A89" s="9"/>
      <c r="E89" s="13"/>
      <c r="J89" s="121"/>
      <c r="L89" s="9"/>
      <c r="M89" s="9"/>
      <c r="N89" s="9"/>
      <c r="O89" s="9"/>
    </row>
    <row r="90">
      <c r="A90" s="9"/>
      <c r="E90" s="13"/>
      <c r="J90" s="121"/>
      <c r="L90" s="9"/>
      <c r="M90" s="9"/>
      <c r="N90" s="9"/>
      <c r="O90" s="9"/>
    </row>
    <row r="91">
      <c r="A91" s="9"/>
      <c r="E91" s="13"/>
      <c r="J91" s="121"/>
      <c r="L91" s="9"/>
      <c r="M91" s="9"/>
      <c r="N91" s="9"/>
      <c r="O91" s="9"/>
    </row>
    <row r="92">
      <c r="A92" s="9"/>
      <c r="E92" s="13"/>
      <c r="J92" s="121"/>
      <c r="L92" s="9"/>
      <c r="M92" s="9"/>
      <c r="N92" s="9"/>
      <c r="O92" s="9"/>
    </row>
    <row r="93">
      <c r="A93" s="9"/>
      <c r="E93" s="13"/>
      <c r="J93" s="121"/>
      <c r="L93" s="9"/>
      <c r="M93" s="9"/>
      <c r="N93" s="9"/>
      <c r="O93" s="9"/>
    </row>
    <row r="94">
      <c r="A94" s="9"/>
      <c r="E94" s="13"/>
      <c r="J94" s="121"/>
      <c r="L94" s="9"/>
      <c r="M94" s="9"/>
      <c r="N94" s="9"/>
      <c r="O94" s="9"/>
    </row>
    <row r="95">
      <c r="A95" s="9"/>
      <c r="E95" s="13"/>
      <c r="J95" s="121"/>
      <c r="L95" s="9"/>
      <c r="M95" s="9"/>
      <c r="N95" s="9"/>
      <c r="O95" s="9"/>
    </row>
    <row r="96">
      <c r="A96" s="9"/>
      <c r="E96" s="13"/>
      <c r="J96" s="121"/>
      <c r="L96" s="9"/>
      <c r="M96" s="9"/>
      <c r="N96" s="9"/>
      <c r="O96" s="9"/>
    </row>
    <row r="97">
      <c r="A97" s="9"/>
      <c r="E97" s="13"/>
      <c r="J97" s="121"/>
      <c r="L97" s="9"/>
      <c r="M97" s="9"/>
      <c r="N97" s="9"/>
      <c r="O97" s="9"/>
    </row>
    <row r="98">
      <c r="A98" s="9"/>
      <c r="E98" s="13"/>
      <c r="J98" s="121"/>
      <c r="L98" s="9"/>
      <c r="M98" s="9"/>
      <c r="N98" s="9"/>
      <c r="O98" s="9"/>
    </row>
    <row r="99">
      <c r="A99" s="9"/>
      <c r="E99" s="13"/>
      <c r="J99" s="121"/>
      <c r="L99" s="9"/>
      <c r="M99" s="9"/>
      <c r="N99" s="9"/>
      <c r="O99" s="9"/>
    </row>
    <row r="100">
      <c r="A100" s="9"/>
      <c r="E100" s="13"/>
      <c r="J100" s="121"/>
      <c r="L100" s="9"/>
      <c r="M100" s="9"/>
      <c r="N100" s="9"/>
      <c r="O100" s="9"/>
    </row>
    <row r="101">
      <c r="A101" s="9"/>
      <c r="E101" s="13"/>
      <c r="J101" s="121"/>
      <c r="L101" s="9"/>
      <c r="M101" s="9"/>
      <c r="N101" s="9"/>
      <c r="O101" s="9"/>
    </row>
    <row r="102">
      <c r="A102" s="9"/>
      <c r="E102" s="13"/>
      <c r="J102" s="121"/>
      <c r="L102" s="9"/>
      <c r="M102" s="9"/>
      <c r="N102" s="9"/>
      <c r="O102" s="9"/>
    </row>
    <row r="103">
      <c r="A103" s="9"/>
      <c r="E103" s="13"/>
      <c r="J103" s="121"/>
      <c r="L103" s="9"/>
      <c r="M103" s="9"/>
      <c r="N103" s="9"/>
      <c r="O103" s="9"/>
    </row>
    <row r="104">
      <c r="A104" s="9"/>
      <c r="E104" s="13"/>
      <c r="J104" s="121"/>
      <c r="L104" s="9"/>
      <c r="M104" s="9"/>
      <c r="N104" s="9"/>
      <c r="O104" s="9"/>
    </row>
    <row r="105">
      <c r="A105" s="9"/>
      <c r="E105" s="13"/>
      <c r="J105" s="121"/>
      <c r="L105" s="9"/>
      <c r="M105" s="9"/>
      <c r="N105" s="9"/>
      <c r="O105" s="9"/>
    </row>
    <row r="106">
      <c r="A106" s="9"/>
      <c r="E106" s="13"/>
      <c r="J106" s="121"/>
      <c r="L106" s="9"/>
      <c r="M106" s="9"/>
      <c r="N106" s="9"/>
      <c r="O106" s="9"/>
    </row>
    <row r="107">
      <c r="A107" s="9"/>
      <c r="E107" s="13"/>
      <c r="J107" s="121"/>
      <c r="L107" s="9"/>
      <c r="M107" s="9"/>
      <c r="N107" s="9"/>
      <c r="O107" s="9"/>
    </row>
    <row r="108">
      <c r="A108" s="9"/>
      <c r="E108" s="13"/>
      <c r="J108" s="121"/>
      <c r="L108" s="9"/>
      <c r="M108" s="9"/>
      <c r="N108" s="9"/>
      <c r="O108" s="9"/>
    </row>
    <row r="109">
      <c r="A109" s="9"/>
      <c r="E109" s="13"/>
      <c r="J109" s="121"/>
      <c r="L109" s="9"/>
      <c r="M109" s="9"/>
      <c r="N109" s="9"/>
      <c r="O109" s="9"/>
    </row>
    <row r="110">
      <c r="A110" s="9"/>
      <c r="E110" s="13"/>
      <c r="J110" s="121"/>
      <c r="L110" s="9"/>
      <c r="M110" s="9"/>
      <c r="N110" s="9"/>
      <c r="O110" s="9"/>
    </row>
    <row r="111">
      <c r="A111" s="9"/>
      <c r="E111" s="13"/>
      <c r="J111" s="121"/>
      <c r="L111" s="9"/>
      <c r="M111" s="9"/>
      <c r="N111" s="9"/>
      <c r="O111" s="9"/>
    </row>
    <row r="112">
      <c r="A112" s="9"/>
      <c r="E112" s="13"/>
      <c r="J112" s="121"/>
      <c r="L112" s="9"/>
      <c r="M112" s="9"/>
      <c r="N112" s="9"/>
      <c r="O112" s="9"/>
    </row>
    <row r="113">
      <c r="A113" s="9"/>
      <c r="E113" s="13"/>
      <c r="J113" s="121"/>
      <c r="L113" s="9"/>
      <c r="M113" s="9"/>
      <c r="N113" s="9"/>
      <c r="O113" s="9"/>
    </row>
    <row r="114">
      <c r="A114" s="9"/>
      <c r="E114" s="13"/>
      <c r="J114" s="121"/>
      <c r="L114" s="9"/>
      <c r="M114" s="9"/>
      <c r="N114" s="9"/>
      <c r="O114" s="9"/>
    </row>
    <row r="115">
      <c r="A115" s="9"/>
      <c r="E115" s="13"/>
      <c r="J115" s="121"/>
      <c r="L115" s="9"/>
      <c r="M115" s="9"/>
      <c r="N115" s="9"/>
      <c r="O115" s="9"/>
    </row>
    <row r="116">
      <c r="A116" s="9"/>
      <c r="E116" s="13"/>
      <c r="J116" s="121"/>
      <c r="L116" s="9"/>
      <c r="M116" s="9"/>
      <c r="N116" s="9"/>
      <c r="O116" s="9"/>
    </row>
    <row r="117">
      <c r="A117" s="9"/>
      <c r="E117" s="13"/>
      <c r="J117" s="121"/>
      <c r="L117" s="9"/>
      <c r="M117" s="9"/>
      <c r="N117" s="9"/>
      <c r="O117" s="9"/>
    </row>
    <row r="118">
      <c r="A118" s="9"/>
      <c r="E118" s="13"/>
      <c r="J118" s="121"/>
      <c r="L118" s="9"/>
      <c r="M118" s="9"/>
      <c r="N118" s="9"/>
      <c r="O118" s="9"/>
    </row>
    <row r="119">
      <c r="A119" s="9"/>
      <c r="E119" s="13"/>
      <c r="J119" s="121"/>
      <c r="L119" s="9"/>
      <c r="M119" s="9"/>
      <c r="N119" s="9"/>
      <c r="O119" s="9"/>
    </row>
    <row r="120">
      <c r="A120" s="9"/>
      <c r="E120" s="13"/>
      <c r="J120" s="121"/>
      <c r="L120" s="9"/>
      <c r="M120" s="9"/>
      <c r="N120" s="9"/>
      <c r="O120" s="9"/>
    </row>
    <row r="121">
      <c r="A121" s="9"/>
      <c r="E121" s="13"/>
      <c r="J121" s="121"/>
      <c r="L121" s="9"/>
      <c r="M121" s="9"/>
      <c r="N121" s="9"/>
      <c r="O121" s="9"/>
    </row>
    <row r="122">
      <c r="A122" s="9"/>
      <c r="E122" s="13"/>
      <c r="J122" s="121"/>
      <c r="L122" s="9"/>
      <c r="M122" s="9"/>
      <c r="N122" s="9"/>
      <c r="O122" s="9"/>
    </row>
    <row r="123">
      <c r="A123" s="9"/>
      <c r="E123" s="13"/>
      <c r="J123" s="121"/>
      <c r="L123" s="9"/>
      <c r="M123" s="9"/>
      <c r="N123" s="9"/>
      <c r="O123" s="9"/>
    </row>
    <row r="124">
      <c r="A124" s="9"/>
      <c r="E124" s="13"/>
      <c r="J124" s="121"/>
      <c r="L124" s="9"/>
      <c r="M124" s="9"/>
      <c r="N124" s="9"/>
      <c r="O124" s="9"/>
    </row>
    <row r="125">
      <c r="A125" s="9"/>
      <c r="E125" s="13"/>
      <c r="J125" s="121"/>
      <c r="L125" s="9"/>
      <c r="M125" s="9"/>
      <c r="N125" s="9"/>
      <c r="O125" s="9"/>
    </row>
    <row r="126">
      <c r="A126" s="9"/>
      <c r="E126" s="13"/>
      <c r="J126" s="121"/>
      <c r="L126" s="9"/>
      <c r="M126" s="9"/>
      <c r="N126" s="9"/>
      <c r="O126" s="9"/>
    </row>
    <row r="127">
      <c r="A127" s="9"/>
      <c r="E127" s="13"/>
      <c r="J127" s="121"/>
      <c r="L127" s="9"/>
      <c r="M127" s="9"/>
      <c r="N127" s="9"/>
      <c r="O127" s="9"/>
    </row>
    <row r="128">
      <c r="A128" s="9"/>
      <c r="E128" s="13"/>
      <c r="J128" s="121"/>
      <c r="L128" s="9"/>
      <c r="M128" s="9"/>
      <c r="N128" s="9"/>
      <c r="O128" s="9"/>
    </row>
    <row r="129">
      <c r="A129" s="9"/>
      <c r="E129" s="13"/>
      <c r="J129" s="121"/>
      <c r="L129" s="9"/>
      <c r="M129" s="9"/>
      <c r="N129" s="9"/>
      <c r="O129" s="9"/>
    </row>
    <row r="130">
      <c r="A130" s="9"/>
      <c r="E130" s="13"/>
      <c r="J130" s="121"/>
      <c r="L130" s="9"/>
      <c r="M130" s="9"/>
      <c r="N130" s="9"/>
      <c r="O130" s="9"/>
    </row>
    <row r="131">
      <c r="A131" s="9"/>
      <c r="E131" s="13"/>
      <c r="J131" s="121"/>
      <c r="L131" s="9"/>
      <c r="M131" s="9"/>
      <c r="N131" s="9"/>
      <c r="O131" s="9"/>
    </row>
    <row r="132">
      <c r="A132" s="9"/>
      <c r="E132" s="13"/>
      <c r="J132" s="121"/>
      <c r="L132" s="9"/>
      <c r="M132" s="9"/>
      <c r="N132" s="9"/>
      <c r="O132" s="9"/>
    </row>
    <row r="133">
      <c r="A133" s="9"/>
      <c r="E133" s="13"/>
      <c r="J133" s="121"/>
      <c r="L133" s="9"/>
      <c r="M133" s="9"/>
      <c r="N133" s="9"/>
      <c r="O133" s="9"/>
    </row>
    <row r="134">
      <c r="A134" s="9"/>
      <c r="E134" s="13"/>
      <c r="J134" s="121"/>
      <c r="L134" s="9"/>
      <c r="M134" s="9"/>
      <c r="N134" s="9"/>
      <c r="O134" s="9"/>
    </row>
    <row r="135">
      <c r="A135" s="9"/>
      <c r="E135" s="13"/>
      <c r="J135" s="121"/>
      <c r="L135" s="9"/>
      <c r="M135" s="9"/>
      <c r="N135" s="9"/>
      <c r="O135" s="9"/>
    </row>
    <row r="136">
      <c r="A136" s="9"/>
      <c r="E136" s="13"/>
      <c r="J136" s="121"/>
      <c r="L136" s="9"/>
      <c r="M136" s="9"/>
      <c r="N136" s="9"/>
      <c r="O136" s="9"/>
    </row>
    <row r="137">
      <c r="A137" s="9"/>
      <c r="E137" s="13"/>
      <c r="J137" s="121"/>
      <c r="L137" s="9"/>
      <c r="M137" s="9"/>
      <c r="N137" s="9"/>
      <c r="O137" s="9"/>
    </row>
    <row r="138">
      <c r="A138" s="9"/>
      <c r="E138" s="13"/>
      <c r="J138" s="121"/>
      <c r="L138" s="9"/>
      <c r="M138" s="9"/>
      <c r="N138" s="9"/>
      <c r="O138" s="9"/>
    </row>
    <row r="139">
      <c r="A139" s="9"/>
      <c r="E139" s="13"/>
      <c r="J139" s="121"/>
      <c r="L139" s="9"/>
      <c r="M139" s="9"/>
      <c r="N139" s="9"/>
      <c r="O139" s="9"/>
    </row>
    <row r="140">
      <c r="A140" s="9"/>
      <c r="E140" s="13"/>
      <c r="J140" s="121"/>
      <c r="L140" s="9"/>
      <c r="M140" s="9"/>
      <c r="N140" s="9"/>
      <c r="O140" s="9"/>
    </row>
    <row r="141">
      <c r="A141" s="9"/>
      <c r="E141" s="13"/>
      <c r="J141" s="121"/>
      <c r="L141" s="9"/>
      <c r="M141" s="9"/>
      <c r="N141" s="9"/>
      <c r="O141" s="9"/>
    </row>
    <row r="142">
      <c r="A142" s="9"/>
      <c r="E142" s="13"/>
      <c r="J142" s="121"/>
      <c r="L142" s="9"/>
      <c r="M142" s="9"/>
      <c r="N142" s="9"/>
      <c r="O142" s="9"/>
    </row>
    <row r="143">
      <c r="A143" s="9"/>
      <c r="E143" s="13"/>
      <c r="J143" s="121"/>
      <c r="L143" s="9"/>
      <c r="M143" s="9"/>
      <c r="N143" s="9"/>
      <c r="O143" s="9"/>
    </row>
    <row r="144">
      <c r="A144" s="9"/>
      <c r="E144" s="13"/>
      <c r="J144" s="121"/>
      <c r="L144" s="9"/>
      <c r="M144" s="9"/>
      <c r="N144" s="9"/>
      <c r="O144" s="9"/>
    </row>
    <row r="145">
      <c r="A145" s="9"/>
      <c r="E145" s="13"/>
      <c r="J145" s="121"/>
      <c r="L145" s="9"/>
      <c r="M145" s="9"/>
      <c r="N145" s="9"/>
      <c r="O145" s="9"/>
    </row>
    <row r="146">
      <c r="A146" s="9"/>
      <c r="E146" s="13"/>
      <c r="J146" s="121"/>
      <c r="L146" s="9"/>
      <c r="M146" s="9"/>
      <c r="N146" s="9"/>
      <c r="O146" s="9"/>
    </row>
    <row r="147">
      <c r="A147" s="9"/>
      <c r="E147" s="13"/>
      <c r="J147" s="121"/>
      <c r="L147" s="9"/>
      <c r="M147" s="9"/>
      <c r="N147" s="9"/>
      <c r="O147" s="9"/>
    </row>
    <row r="148">
      <c r="A148" s="9"/>
      <c r="E148" s="13"/>
      <c r="J148" s="121"/>
      <c r="L148" s="9"/>
      <c r="M148" s="9"/>
      <c r="N148" s="9"/>
      <c r="O148" s="9"/>
    </row>
    <row r="149">
      <c r="A149" s="9"/>
      <c r="E149" s="13"/>
      <c r="J149" s="121"/>
      <c r="L149" s="9"/>
      <c r="M149" s="9"/>
      <c r="N149" s="9"/>
      <c r="O149" s="9"/>
    </row>
    <row r="150">
      <c r="A150" s="9"/>
      <c r="E150" s="13"/>
      <c r="J150" s="121"/>
      <c r="L150" s="9"/>
      <c r="M150" s="9"/>
      <c r="N150" s="9"/>
      <c r="O150" s="9"/>
    </row>
    <row r="151">
      <c r="A151" s="9"/>
      <c r="E151" s="13"/>
      <c r="J151" s="121"/>
      <c r="L151" s="9"/>
      <c r="M151" s="9"/>
      <c r="N151" s="9"/>
      <c r="O151" s="9"/>
    </row>
    <row r="152">
      <c r="A152" s="9"/>
      <c r="E152" s="13"/>
      <c r="J152" s="121"/>
      <c r="L152" s="9"/>
      <c r="M152" s="9"/>
      <c r="N152" s="9"/>
      <c r="O152" s="9"/>
    </row>
    <row r="153">
      <c r="A153" s="9"/>
      <c r="E153" s="13"/>
      <c r="J153" s="121"/>
      <c r="L153" s="9"/>
      <c r="M153" s="9"/>
      <c r="N153" s="9"/>
      <c r="O153" s="9"/>
    </row>
    <row r="154">
      <c r="A154" s="9"/>
      <c r="E154" s="13"/>
      <c r="J154" s="121"/>
      <c r="L154" s="9"/>
      <c r="M154" s="9"/>
      <c r="N154" s="9"/>
      <c r="O154" s="9"/>
    </row>
    <row r="155">
      <c r="A155" s="9"/>
      <c r="E155" s="13"/>
      <c r="J155" s="121"/>
      <c r="L155" s="9"/>
      <c r="M155" s="9"/>
      <c r="N155" s="9"/>
      <c r="O155" s="9"/>
    </row>
    <row r="156">
      <c r="A156" s="9"/>
      <c r="E156" s="13"/>
      <c r="J156" s="121"/>
      <c r="L156" s="9"/>
      <c r="M156" s="9"/>
      <c r="N156" s="9"/>
      <c r="O156" s="9"/>
    </row>
    <row r="157">
      <c r="A157" s="9"/>
      <c r="E157" s="13"/>
      <c r="J157" s="121"/>
      <c r="L157" s="9"/>
      <c r="M157" s="9"/>
      <c r="N157" s="9"/>
      <c r="O157" s="9"/>
    </row>
    <row r="158">
      <c r="A158" s="9"/>
      <c r="E158" s="13"/>
      <c r="J158" s="121"/>
      <c r="L158" s="9"/>
      <c r="M158" s="9"/>
      <c r="N158" s="9"/>
      <c r="O158" s="9"/>
    </row>
    <row r="159">
      <c r="A159" s="9"/>
      <c r="E159" s="13"/>
      <c r="J159" s="121"/>
      <c r="L159" s="9"/>
      <c r="M159" s="9"/>
      <c r="N159" s="9"/>
      <c r="O159" s="9"/>
    </row>
    <row r="160">
      <c r="A160" s="9"/>
      <c r="E160" s="13"/>
      <c r="J160" s="121"/>
      <c r="L160" s="9"/>
      <c r="M160" s="9"/>
      <c r="N160" s="9"/>
      <c r="O160" s="9"/>
    </row>
    <row r="161">
      <c r="A161" s="9"/>
      <c r="E161" s="13"/>
      <c r="J161" s="121"/>
      <c r="L161" s="9"/>
      <c r="M161" s="9"/>
      <c r="N161" s="9"/>
      <c r="O161" s="9"/>
    </row>
    <row r="162">
      <c r="A162" s="9"/>
      <c r="E162" s="13"/>
      <c r="J162" s="121"/>
      <c r="L162" s="9"/>
      <c r="M162" s="9"/>
      <c r="N162" s="9"/>
      <c r="O162" s="9"/>
    </row>
    <row r="163">
      <c r="A163" s="9"/>
      <c r="E163" s="13"/>
      <c r="J163" s="121"/>
      <c r="L163" s="9"/>
      <c r="M163" s="9"/>
      <c r="N163" s="9"/>
      <c r="O163" s="9"/>
    </row>
    <row r="164">
      <c r="A164" s="9"/>
      <c r="E164" s="13"/>
      <c r="J164" s="121"/>
      <c r="L164" s="9"/>
      <c r="M164" s="9"/>
      <c r="N164" s="9"/>
      <c r="O164" s="9"/>
    </row>
    <row r="165">
      <c r="A165" s="9"/>
      <c r="E165" s="13"/>
      <c r="J165" s="121"/>
      <c r="L165" s="9"/>
      <c r="M165" s="9"/>
      <c r="N165" s="9"/>
      <c r="O165" s="9"/>
    </row>
    <row r="166">
      <c r="A166" s="9"/>
      <c r="E166" s="13"/>
      <c r="J166" s="121"/>
      <c r="L166" s="9"/>
      <c r="M166" s="9"/>
      <c r="N166" s="9"/>
      <c r="O166" s="9"/>
    </row>
    <row r="167">
      <c r="A167" s="9"/>
      <c r="E167" s="13"/>
      <c r="J167" s="121"/>
      <c r="L167" s="9"/>
      <c r="M167" s="9"/>
      <c r="N167" s="9"/>
      <c r="O167" s="9"/>
    </row>
    <row r="168">
      <c r="A168" s="9"/>
      <c r="E168" s="13"/>
      <c r="J168" s="121"/>
      <c r="L168" s="9"/>
      <c r="M168" s="9"/>
      <c r="N168" s="9"/>
      <c r="O168" s="9"/>
    </row>
    <row r="169">
      <c r="A169" s="9"/>
      <c r="E169" s="13"/>
      <c r="J169" s="121"/>
      <c r="L169" s="9"/>
      <c r="M169" s="9"/>
      <c r="N169" s="9"/>
      <c r="O169" s="9"/>
    </row>
    <row r="170">
      <c r="A170" s="9"/>
      <c r="E170" s="13"/>
      <c r="J170" s="121"/>
      <c r="L170" s="9"/>
      <c r="M170" s="9"/>
      <c r="N170" s="9"/>
      <c r="O170" s="9"/>
    </row>
    <row r="171">
      <c r="A171" s="9"/>
      <c r="E171" s="13"/>
      <c r="J171" s="121"/>
      <c r="L171" s="9"/>
      <c r="M171" s="9"/>
      <c r="N171" s="9"/>
      <c r="O171" s="9"/>
    </row>
    <row r="172">
      <c r="A172" s="9"/>
      <c r="E172" s="13"/>
      <c r="J172" s="121"/>
      <c r="L172" s="9"/>
      <c r="M172" s="9"/>
      <c r="N172" s="9"/>
      <c r="O172" s="9"/>
    </row>
    <row r="173">
      <c r="A173" s="9"/>
      <c r="E173" s="13"/>
      <c r="J173" s="121"/>
      <c r="L173" s="9"/>
      <c r="M173" s="9"/>
      <c r="N173" s="9"/>
      <c r="O173" s="9"/>
    </row>
    <row r="174">
      <c r="A174" s="9"/>
      <c r="E174" s="13"/>
      <c r="J174" s="121"/>
      <c r="L174" s="9"/>
      <c r="M174" s="9"/>
      <c r="N174" s="9"/>
      <c r="O174" s="9"/>
    </row>
    <row r="175">
      <c r="A175" s="9"/>
      <c r="E175" s="13"/>
      <c r="J175" s="121"/>
      <c r="L175" s="9"/>
      <c r="M175" s="9"/>
      <c r="N175" s="9"/>
      <c r="O175" s="9"/>
    </row>
    <row r="176">
      <c r="A176" s="9"/>
      <c r="E176" s="13"/>
      <c r="J176" s="121"/>
      <c r="L176" s="9"/>
      <c r="M176" s="9"/>
      <c r="N176" s="9"/>
      <c r="O176" s="9"/>
    </row>
    <row r="177">
      <c r="A177" s="9"/>
      <c r="E177" s="13"/>
      <c r="J177" s="121"/>
      <c r="L177" s="9"/>
      <c r="M177" s="9"/>
      <c r="N177" s="9"/>
      <c r="O177" s="9"/>
    </row>
    <row r="178">
      <c r="A178" s="9"/>
      <c r="E178" s="13"/>
      <c r="J178" s="121"/>
      <c r="L178" s="9"/>
      <c r="M178" s="9"/>
      <c r="N178" s="9"/>
      <c r="O178" s="9"/>
    </row>
    <row r="179">
      <c r="A179" s="9"/>
      <c r="E179" s="13"/>
      <c r="J179" s="121"/>
      <c r="L179" s="9"/>
      <c r="M179" s="9"/>
      <c r="N179" s="9"/>
      <c r="O179" s="9"/>
    </row>
    <row r="180">
      <c r="A180" s="9"/>
      <c r="E180" s="13"/>
      <c r="J180" s="121"/>
      <c r="L180" s="9"/>
      <c r="M180" s="9"/>
      <c r="N180" s="9"/>
      <c r="O180" s="9"/>
    </row>
    <row r="181">
      <c r="A181" s="9"/>
      <c r="E181" s="13"/>
      <c r="J181" s="121"/>
      <c r="L181" s="9"/>
      <c r="M181" s="9"/>
      <c r="N181" s="9"/>
      <c r="O181" s="9"/>
    </row>
    <row r="182">
      <c r="A182" s="9"/>
      <c r="E182" s="13"/>
      <c r="J182" s="121"/>
      <c r="L182" s="9"/>
      <c r="M182" s="9"/>
      <c r="N182" s="9"/>
      <c r="O182" s="9"/>
    </row>
    <row r="183">
      <c r="A183" s="9"/>
      <c r="E183" s="13"/>
      <c r="J183" s="121"/>
      <c r="L183" s="9"/>
      <c r="M183" s="9"/>
      <c r="N183" s="9"/>
      <c r="O183" s="9"/>
    </row>
    <row r="184">
      <c r="A184" s="9"/>
      <c r="E184" s="13"/>
      <c r="J184" s="121"/>
      <c r="L184" s="9"/>
      <c r="M184" s="9"/>
      <c r="N184" s="9"/>
      <c r="O184" s="9"/>
    </row>
    <row r="185">
      <c r="A185" s="9"/>
      <c r="E185" s="13"/>
      <c r="J185" s="121"/>
      <c r="L185" s="9"/>
      <c r="M185" s="9"/>
      <c r="N185" s="9"/>
      <c r="O185" s="9"/>
    </row>
    <row r="186">
      <c r="A186" s="9"/>
      <c r="E186" s="13"/>
      <c r="J186" s="121"/>
      <c r="L186" s="9"/>
      <c r="M186" s="9"/>
      <c r="N186" s="9"/>
      <c r="O186" s="9"/>
    </row>
    <row r="187">
      <c r="A187" s="9"/>
      <c r="E187" s="13"/>
      <c r="J187" s="121"/>
      <c r="L187" s="9"/>
      <c r="M187" s="9"/>
      <c r="N187" s="9"/>
      <c r="O187" s="9"/>
    </row>
    <row r="188">
      <c r="A188" s="9"/>
      <c r="E188" s="13"/>
      <c r="J188" s="121"/>
      <c r="L188" s="9"/>
      <c r="M188" s="9"/>
      <c r="N188" s="9"/>
      <c r="O188" s="9"/>
    </row>
    <row r="189">
      <c r="A189" s="9"/>
      <c r="E189" s="13"/>
      <c r="J189" s="121"/>
      <c r="L189" s="9"/>
      <c r="M189" s="9"/>
      <c r="N189" s="9"/>
      <c r="O189" s="9"/>
    </row>
    <row r="190">
      <c r="A190" s="9"/>
      <c r="E190" s="13"/>
      <c r="J190" s="121"/>
      <c r="L190" s="9"/>
      <c r="M190" s="9"/>
      <c r="N190" s="9"/>
      <c r="O190" s="9"/>
    </row>
    <row r="191">
      <c r="A191" s="9"/>
      <c r="E191" s="13"/>
      <c r="J191" s="121"/>
      <c r="L191" s="9"/>
      <c r="M191" s="9"/>
      <c r="N191" s="9"/>
      <c r="O191" s="9"/>
    </row>
    <row r="192">
      <c r="A192" s="9"/>
      <c r="E192" s="13"/>
      <c r="J192" s="121"/>
      <c r="L192" s="9"/>
      <c r="M192" s="9"/>
      <c r="N192" s="9"/>
      <c r="O192" s="9"/>
    </row>
    <row r="193">
      <c r="A193" s="9"/>
      <c r="E193" s="13"/>
      <c r="J193" s="121"/>
      <c r="L193" s="9"/>
      <c r="M193" s="9"/>
      <c r="N193" s="9"/>
      <c r="O193" s="9"/>
    </row>
    <row r="194">
      <c r="A194" s="9"/>
      <c r="E194" s="13"/>
      <c r="J194" s="121"/>
      <c r="L194" s="9"/>
      <c r="M194" s="9"/>
      <c r="N194" s="9"/>
      <c r="O194" s="9"/>
    </row>
    <row r="195">
      <c r="A195" s="9"/>
      <c r="E195" s="13"/>
      <c r="J195" s="121"/>
      <c r="L195" s="9"/>
      <c r="M195" s="9"/>
      <c r="N195" s="9"/>
      <c r="O195" s="9"/>
    </row>
    <row r="196">
      <c r="A196" s="9"/>
      <c r="E196" s="13"/>
      <c r="J196" s="121"/>
      <c r="L196" s="9"/>
      <c r="M196" s="9"/>
      <c r="N196" s="9"/>
      <c r="O196" s="9"/>
    </row>
    <row r="197">
      <c r="A197" s="9"/>
      <c r="E197" s="13"/>
      <c r="J197" s="121"/>
      <c r="L197" s="9"/>
      <c r="M197" s="9"/>
      <c r="N197" s="9"/>
      <c r="O197" s="9"/>
    </row>
    <row r="198">
      <c r="A198" s="9"/>
      <c r="E198" s="13"/>
      <c r="J198" s="121"/>
      <c r="L198" s="9"/>
      <c r="M198" s="9"/>
      <c r="N198" s="9"/>
      <c r="O198" s="9"/>
    </row>
    <row r="199">
      <c r="A199" s="9"/>
      <c r="E199" s="13"/>
      <c r="J199" s="121"/>
      <c r="L199" s="9"/>
      <c r="M199" s="9"/>
      <c r="N199" s="9"/>
      <c r="O199" s="9"/>
    </row>
    <row r="200">
      <c r="A200" s="9"/>
      <c r="E200" s="13"/>
      <c r="J200" s="121"/>
      <c r="L200" s="9"/>
      <c r="M200" s="9"/>
      <c r="N200" s="9"/>
      <c r="O200" s="9"/>
    </row>
    <row r="201">
      <c r="A201" s="9"/>
      <c r="E201" s="13"/>
      <c r="J201" s="121"/>
      <c r="L201" s="9"/>
      <c r="M201" s="9"/>
      <c r="N201" s="9"/>
      <c r="O201" s="9"/>
    </row>
    <row r="202">
      <c r="A202" s="9"/>
      <c r="E202" s="13"/>
      <c r="J202" s="121"/>
      <c r="L202" s="9"/>
      <c r="M202" s="9"/>
      <c r="N202" s="9"/>
      <c r="O202" s="9"/>
    </row>
    <row r="203">
      <c r="A203" s="9"/>
      <c r="E203" s="13"/>
      <c r="J203" s="121"/>
      <c r="L203" s="9"/>
      <c r="M203" s="9"/>
      <c r="N203" s="9"/>
      <c r="O203" s="9"/>
    </row>
    <row r="204">
      <c r="A204" s="9"/>
      <c r="E204" s="13"/>
      <c r="J204" s="121"/>
      <c r="L204" s="9"/>
      <c r="M204" s="9"/>
      <c r="N204" s="9"/>
      <c r="O204" s="9"/>
    </row>
    <row r="205">
      <c r="A205" s="9"/>
      <c r="E205" s="13"/>
      <c r="J205" s="121"/>
      <c r="L205" s="9"/>
      <c r="M205" s="9"/>
      <c r="N205" s="9"/>
      <c r="O205" s="9"/>
    </row>
    <row r="206">
      <c r="A206" s="9"/>
      <c r="E206" s="13"/>
      <c r="J206" s="121"/>
      <c r="L206" s="9"/>
      <c r="M206" s="9"/>
      <c r="N206" s="9"/>
      <c r="O206" s="9"/>
    </row>
    <row r="207">
      <c r="A207" s="9"/>
      <c r="E207" s="13"/>
      <c r="J207" s="121"/>
      <c r="L207" s="9"/>
      <c r="M207" s="9"/>
      <c r="N207" s="9"/>
      <c r="O207" s="9"/>
    </row>
    <row r="208">
      <c r="A208" s="9"/>
      <c r="E208" s="13"/>
      <c r="J208" s="121"/>
      <c r="L208" s="9"/>
      <c r="M208" s="9"/>
      <c r="N208" s="9"/>
      <c r="O208" s="9"/>
    </row>
    <row r="209">
      <c r="A209" s="9"/>
      <c r="E209" s="13"/>
      <c r="J209" s="121"/>
      <c r="L209" s="9"/>
      <c r="M209" s="9"/>
      <c r="N209" s="9"/>
      <c r="O209" s="9"/>
    </row>
    <row r="210">
      <c r="A210" s="9"/>
      <c r="E210" s="13"/>
      <c r="J210" s="121"/>
      <c r="L210" s="9"/>
      <c r="M210" s="9"/>
      <c r="N210" s="9"/>
      <c r="O210" s="9"/>
    </row>
    <row r="211">
      <c r="A211" s="9"/>
      <c r="E211" s="13"/>
      <c r="J211" s="121"/>
      <c r="L211" s="9"/>
      <c r="M211" s="9"/>
      <c r="N211" s="9"/>
      <c r="O211" s="9"/>
    </row>
    <row r="212">
      <c r="A212" s="9"/>
      <c r="E212" s="13"/>
      <c r="J212" s="121"/>
      <c r="L212" s="9"/>
      <c r="M212" s="9"/>
      <c r="N212" s="9"/>
      <c r="O212" s="9"/>
    </row>
    <row r="213">
      <c r="A213" s="9"/>
      <c r="E213" s="13"/>
      <c r="J213" s="121"/>
      <c r="L213" s="9"/>
      <c r="M213" s="9"/>
      <c r="N213" s="9"/>
      <c r="O213" s="9"/>
    </row>
    <row r="214">
      <c r="A214" s="9"/>
      <c r="E214" s="13"/>
      <c r="J214" s="121"/>
      <c r="L214" s="9"/>
      <c r="M214" s="9"/>
      <c r="N214" s="9"/>
      <c r="O214" s="9"/>
    </row>
    <row r="215">
      <c r="A215" s="9"/>
      <c r="E215" s="13"/>
      <c r="J215" s="121"/>
      <c r="L215" s="9"/>
      <c r="M215" s="9"/>
      <c r="N215" s="9"/>
      <c r="O215" s="9"/>
    </row>
    <row r="216">
      <c r="A216" s="9"/>
      <c r="E216" s="13"/>
      <c r="J216" s="121"/>
      <c r="L216" s="9"/>
      <c r="M216" s="9"/>
      <c r="N216" s="9"/>
      <c r="O216" s="9"/>
    </row>
    <row r="217">
      <c r="A217" s="9"/>
      <c r="E217" s="13"/>
      <c r="J217" s="121"/>
      <c r="L217" s="9"/>
      <c r="M217" s="9"/>
      <c r="N217" s="9"/>
      <c r="O217" s="9"/>
    </row>
    <row r="218">
      <c r="A218" s="9"/>
      <c r="E218" s="13"/>
      <c r="J218" s="121"/>
      <c r="L218" s="9"/>
      <c r="M218" s="9"/>
      <c r="N218" s="9"/>
      <c r="O218" s="9"/>
    </row>
    <row r="219">
      <c r="A219" s="9"/>
      <c r="E219" s="13"/>
      <c r="J219" s="121"/>
      <c r="L219" s="9"/>
      <c r="M219" s="9"/>
      <c r="N219" s="9"/>
      <c r="O219" s="9"/>
    </row>
    <row r="220">
      <c r="A220" s="9"/>
      <c r="E220" s="13"/>
      <c r="J220" s="121"/>
      <c r="L220" s="9"/>
      <c r="M220" s="9"/>
      <c r="N220" s="9"/>
      <c r="O220" s="9"/>
    </row>
    <row r="221">
      <c r="A221" s="9"/>
      <c r="E221" s="13"/>
      <c r="J221" s="121"/>
      <c r="L221" s="9"/>
      <c r="M221" s="9"/>
      <c r="N221" s="9"/>
      <c r="O221" s="9"/>
    </row>
    <row r="222">
      <c r="A222" s="9"/>
      <c r="E222" s="13"/>
      <c r="J222" s="121"/>
      <c r="L222" s="9"/>
      <c r="M222" s="9"/>
      <c r="N222" s="9"/>
      <c r="O222" s="9"/>
    </row>
    <row r="223">
      <c r="A223" s="9"/>
      <c r="E223" s="13"/>
      <c r="J223" s="121"/>
      <c r="L223" s="9"/>
      <c r="M223" s="9"/>
      <c r="N223" s="9"/>
      <c r="O223" s="9"/>
    </row>
    <row r="224">
      <c r="A224" s="9"/>
      <c r="E224" s="13"/>
      <c r="J224" s="121"/>
      <c r="L224" s="9"/>
      <c r="M224" s="9"/>
      <c r="N224" s="9"/>
      <c r="O224" s="9"/>
    </row>
    <row r="225">
      <c r="A225" s="9"/>
      <c r="E225" s="13"/>
      <c r="J225" s="121"/>
      <c r="L225" s="9"/>
      <c r="M225" s="9"/>
      <c r="N225" s="9"/>
      <c r="O225" s="9"/>
    </row>
    <row r="226">
      <c r="A226" s="9"/>
      <c r="E226" s="13"/>
      <c r="J226" s="121"/>
      <c r="L226" s="9"/>
      <c r="M226" s="9"/>
      <c r="N226" s="9"/>
      <c r="O226" s="9"/>
    </row>
    <row r="227">
      <c r="A227" s="9"/>
      <c r="E227" s="13"/>
      <c r="J227" s="121"/>
      <c r="L227" s="9"/>
      <c r="M227" s="9"/>
      <c r="N227" s="9"/>
      <c r="O227" s="9"/>
    </row>
    <row r="228">
      <c r="A228" s="9"/>
      <c r="E228" s="13"/>
      <c r="J228" s="121"/>
      <c r="L228" s="9"/>
      <c r="M228" s="9"/>
      <c r="N228" s="9"/>
      <c r="O228" s="9"/>
    </row>
    <row r="229">
      <c r="A229" s="9"/>
      <c r="E229" s="13"/>
      <c r="J229" s="121"/>
      <c r="L229" s="9"/>
      <c r="M229" s="9"/>
      <c r="N229" s="9"/>
      <c r="O229" s="9"/>
    </row>
    <row r="230">
      <c r="A230" s="9"/>
      <c r="E230" s="13"/>
      <c r="J230" s="121"/>
      <c r="L230" s="9"/>
      <c r="M230" s="9"/>
      <c r="N230" s="9"/>
      <c r="O230" s="9"/>
    </row>
    <row r="231">
      <c r="A231" s="9"/>
      <c r="E231" s="13"/>
      <c r="J231" s="121"/>
      <c r="L231" s="9"/>
      <c r="M231" s="9"/>
      <c r="N231" s="9"/>
      <c r="O231" s="9"/>
    </row>
    <row r="232">
      <c r="A232" s="9"/>
      <c r="E232" s="13"/>
      <c r="J232" s="121"/>
      <c r="L232" s="9"/>
      <c r="M232" s="9"/>
      <c r="N232" s="9"/>
      <c r="O232" s="9"/>
    </row>
    <row r="233">
      <c r="A233" s="9"/>
      <c r="E233" s="13"/>
      <c r="J233" s="121"/>
      <c r="L233" s="9"/>
      <c r="M233" s="9"/>
      <c r="N233" s="9"/>
      <c r="O233" s="9"/>
    </row>
    <row r="234">
      <c r="A234" s="9"/>
      <c r="E234" s="13"/>
      <c r="J234" s="121"/>
      <c r="L234" s="9"/>
      <c r="M234" s="9"/>
      <c r="N234" s="9"/>
      <c r="O234" s="9"/>
    </row>
    <row r="235">
      <c r="A235" s="9"/>
      <c r="E235" s="13"/>
      <c r="J235" s="121"/>
      <c r="L235" s="9"/>
      <c r="M235" s="9"/>
      <c r="N235" s="9"/>
      <c r="O235" s="9"/>
    </row>
    <row r="236">
      <c r="A236" s="9"/>
      <c r="E236" s="13"/>
      <c r="J236" s="121"/>
      <c r="L236" s="9"/>
      <c r="M236" s="9"/>
      <c r="N236" s="9"/>
      <c r="O236" s="9"/>
    </row>
    <row r="237">
      <c r="A237" s="9"/>
      <c r="E237" s="13"/>
      <c r="J237" s="121"/>
      <c r="L237" s="9"/>
      <c r="M237" s="9"/>
      <c r="N237" s="9"/>
      <c r="O237" s="9"/>
    </row>
    <row r="238">
      <c r="A238" s="9"/>
      <c r="E238" s="13"/>
      <c r="J238" s="121"/>
      <c r="L238" s="9"/>
      <c r="M238" s="9"/>
      <c r="N238" s="9"/>
      <c r="O238" s="9"/>
    </row>
    <row r="239">
      <c r="A239" s="9"/>
      <c r="E239" s="13"/>
      <c r="J239" s="121"/>
      <c r="L239" s="9"/>
      <c r="M239" s="9"/>
      <c r="N239" s="9"/>
      <c r="O239" s="9"/>
    </row>
    <row r="240">
      <c r="A240" s="9"/>
      <c r="E240" s="13"/>
      <c r="J240" s="121"/>
      <c r="L240" s="9"/>
      <c r="M240" s="9"/>
      <c r="N240" s="9"/>
      <c r="O240" s="9"/>
    </row>
    <row r="241">
      <c r="A241" s="9"/>
      <c r="E241" s="13"/>
      <c r="J241" s="121"/>
      <c r="L241" s="9"/>
      <c r="M241" s="9"/>
      <c r="N241" s="9"/>
      <c r="O241" s="9"/>
    </row>
    <row r="242">
      <c r="A242" s="9"/>
      <c r="E242" s="13"/>
      <c r="J242" s="121"/>
      <c r="L242" s="9"/>
      <c r="M242" s="9"/>
      <c r="N242" s="9"/>
      <c r="O242" s="9"/>
    </row>
    <row r="243">
      <c r="A243" s="9"/>
      <c r="E243" s="13"/>
      <c r="J243" s="121"/>
      <c r="L243" s="9"/>
      <c r="M243" s="9"/>
      <c r="N243" s="9"/>
      <c r="O243" s="9"/>
    </row>
    <row r="244">
      <c r="A244" s="9"/>
      <c r="E244" s="13"/>
      <c r="J244" s="121"/>
      <c r="L244" s="9"/>
      <c r="M244" s="9"/>
      <c r="N244" s="9"/>
      <c r="O244" s="9"/>
    </row>
    <row r="245">
      <c r="A245" s="9"/>
      <c r="E245" s="13"/>
      <c r="J245" s="121"/>
      <c r="L245" s="9"/>
      <c r="M245" s="9"/>
      <c r="N245" s="9"/>
      <c r="O245" s="9"/>
    </row>
    <row r="246">
      <c r="A246" s="9"/>
      <c r="E246" s="13"/>
      <c r="J246" s="121"/>
      <c r="L246" s="9"/>
      <c r="M246" s="9"/>
      <c r="N246" s="9"/>
      <c r="O246" s="9"/>
    </row>
    <row r="247">
      <c r="A247" s="9"/>
      <c r="E247" s="13"/>
      <c r="J247" s="121"/>
      <c r="L247" s="9"/>
      <c r="M247" s="9"/>
      <c r="N247" s="9"/>
      <c r="O247" s="9"/>
    </row>
    <row r="248">
      <c r="A248" s="9"/>
      <c r="E248" s="13"/>
      <c r="J248" s="121"/>
      <c r="L248" s="9"/>
      <c r="M248" s="9"/>
      <c r="N248" s="9"/>
      <c r="O248" s="9"/>
    </row>
    <row r="249">
      <c r="A249" s="9"/>
      <c r="E249" s="13"/>
      <c r="J249" s="121"/>
      <c r="L249" s="9"/>
      <c r="M249" s="9"/>
      <c r="N249" s="9"/>
      <c r="O249" s="9"/>
    </row>
    <row r="250">
      <c r="A250" s="9"/>
      <c r="E250" s="13"/>
      <c r="J250" s="121"/>
      <c r="L250" s="9"/>
      <c r="M250" s="9"/>
      <c r="N250" s="9"/>
      <c r="O250" s="9"/>
    </row>
    <row r="251">
      <c r="A251" s="9"/>
      <c r="E251" s="13"/>
      <c r="J251" s="121"/>
      <c r="L251" s="9"/>
      <c r="M251" s="9"/>
      <c r="N251" s="9"/>
      <c r="O251" s="9"/>
    </row>
    <row r="252">
      <c r="A252" s="9"/>
      <c r="E252" s="13"/>
      <c r="J252" s="121"/>
      <c r="L252" s="9"/>
      <c r="M252" s="9"/>
      <c r="N252" s="9"/>
      <c r="O252" s="9"/>
    </row>
    <row r="253">
      <c r="A253" s="9"/>
      <c r="E253" s="13"/>
      <c r="J253" s="121"/>
      <c r="L253" s="9"/>
      <c r="M253" s="9"/>
      <c r="N253" s="9"/>
      <c r="O253" s="9"/>
    </row>
    <row r="254">
      <c r="A254" s="9"/>
      <c r="E254" s="13"/>
      <c r="J254" s="121"/>
      <c r="L254" s="9"/>
      <c r="M254" s="9"/>
      <c r="N254" s="9"/>
      <c r="O254" s="9"/>
    </row>
    <row r="255">
      <c r="A255" s="9"/>
      <c r="E255" s="13"/>
      <c r="J255" s="121"/>
      <c r="L255" s="9"/>
      <c r="M255" s="9"/>
      <c r="N255" s="9"/>
      <c r="O255" s="9"/>
    </row>
    <row r="256">
      <c r="A256" s="9"/>
      <c r="E256" s="13"/>
      <c r="J256" s="121"/>
      <c r="L256" s="9"/>
      <c r="M256" s="9"/>
      <c r="N256" s="9"/>
      <c r="O256" s="9"/>
    </row>
    <row r="257">
      <c r="A257" s="9"/>
      <c r="E257" s="13"/>
      <c r="J257" s="121"/>
      <c r="L257" s="9"/>
      <c r="M257" s="9"/>
      <c r="N257" s="9"/>
      <c r="O257" s="9"/>
    </row>
    <row r="258">
      <c r="A258" s="9"/>
      <c r="E258" s="13"/>
      <c r="J258" s="121"/>
      <c r="L258" s="9"/>
      <c r="M258" s="9"/>
      <c r="N258" s="9"/>
      <c r="O258" s="9"/>
    </row>
    <row r="259">
      <c r="A259" s="9"/>
      <c r="E259" s="13"/>
      <c r="J259" s="121"/>
      <c r="L259" s="9"/>
      <c r="M259" s="9"/>
      <c r="N259" s="9"/>
      <c r="O259" s="9"/>
    </row>
    <row r="260">
      <c r="A260" s="9"/>
      <c r="E260" s="13"/>
      <c r="J260" s="121"/>
      <c r="L260" s="9"/>
      <c r="M260" s="9"/>
      <c r="N260" s="9"/>
      <c r="O260" s="9"/>
    </row>
    <row r="261">
      <c r="A261" s="9"/>
      <c r="E261" s="13"/>
      <c r="J261" s="121"/>
      <c r="L261" s="9"/>
      <c r="M261" s="9"/>
      <c r="N261" s="9"/>
      <c r="O261" s="9"/>
    </row>
    <row r="262">
      <c r="A262" s="9"/>
      <c r="E262" s="13"/>
      <c r="J262" s="121"/>
      <c r="L262" s="9"/>
      <c r="M262" s="9"/>
      <c r="N262" s="9"/>
      <c r="O262" s="9"/>
    </row>
    <row r="263">
      <c r="A263" s="9"/>
      <c r="E263" s="13"/>
      <c r="J263" s="121"/>
      <c r="L263" s="9"/>
      <c r="M263" s="9"/>
      <c r="N263" s="9"/>
      <c r="O263" s="9"/>
    </row>
    <row r="264">
      <c r="A264" s="9"/>
      <c r="E264" s="13"/>
      <c r="J264" s="121"/>
      <c r="L264" s="9"/>
      <c r="M264" s="9"/>
      <c r="N264" s="9"/>
      <c r="O264" s="9"/>
    </row>
    <row r="265">
      <c r="A265" s="9"/>
      <c r="E265" s="13"/>
      <c r="J265" s="121"/>
      <c r="L265" s="9"/>
      <c r="M265" s="9"/>
      <c r="N265" s="9"/>
      <c r="O265" s="9"/>
    </row>
    <row r="266">
      <c r="A266" s="9"/>
      <c r="E266" s="13"/>
      <c r="J266" s="121"/>
      <c r="L266" s="9"/>
      <c r="M266" s="9"/>
      <c r="N266" s="9"/>
      <c r="O266" s="9"/>
    </row>
    <row r="267">
      <c r="A267" s="9"/>
      <c r="E267" s="13"/>
      <c r="J267" s="121"/>
      <c r="L267" s="9"/>
      <c r="M267" s="9"/>
      <c r="N267" s="9"/>
      <c r="O267" s="9"/>
    </row>
    <row r="268">
      <c r="A268" s="9"/>
      <c r="E268" s="13"/>
      <c r="J268" s="121"/>
      <c r="L268" s="9"/>
      <c r="M268" s="9"/>
      <c r="N268" s="9"/>
      <c r="O268" s="9"/>
    </row>
    <row r="269">
      <c r="A269" s="9"/>
      <c r="E269" s="13"/>
      <c r="J269" s="121"/>
      <c r="L269" s="9"/>
      <c r="M269" s="9"/>
      <c r="N269" s="9"/>
      <c r="O269" s="9"/>
    </row>
    <row r="270">
      <c r="A270" s="9"/>
      <c r="E270" s="13"/>
      <c r="J270" s="121"/>
      <c r="L270" s="9"/>
      <c r="M270" s="9"/>
      <c r="N270" s="9"/>
      <c r="O270" s="9"/>
    </row>
    <row r="271">
      <c r="A271" s="9"/>
      <c r="E271" s="13"/>
      <c r="J271" s="121"/>
      <c r="L271" s="9"/>
      <c r="M271" s="9"/>
      <c r="N271" s="9"/>
      <c r="O271" s="9"/>
    </row>
    <row r="272">
      <c r="A272" s="9"/>
      <c r="E272" s="13"/>
      <c r="J272" s="121"/>
      <c r="L272" s="9"/>
      <c r="M272" s="9"/>
      <c r="N272" s="9"/>
      <c r="O272" s="9"/>
    </row>
    <row r="273">
      <c r="A273" s="9"/>
      <c r="E273" s="13"/>
      <c r="J273" s="121"/>
      <c r="L273" s="9"/>
      <c r="M273" s="9"/>
      <c r="N273" s="9"/>
      <c r="O273" s="9"/>
    </row>
    <row r="274">
      <c r="A274" s="9"/>
      <c r="E274" s="13"/>
      <c r="J274" s="121"/>
      <c r="L274" s="9"/>
      <c r="M274" s="9"/>
      <c r="N274" s="9"/>
      <c r="O274" s="9"/>
    </row>
    <row r="275">
      <c r="A275" s="9"/>
      <c r="E275" s="13"/>
      <c r="J275" s="121"/>
      <c r="L275" s="9"/>
      <c r="M275" s="9"/>
      <c r="N275" s="9"/>
      <c r="O275" s="9"/>
    </row>
    <row r="276">
      <c r="A276" s="9"/>
      <c r="E276" s="13"/>
      <c r="J276" s="121"/>
      <c r="L276" s="9"/>
      <c r="M276" s="9"/>
      <c r="N276" s="9"/>
      <c r="O276" s="9"/>
    </row>
    <row r="277">
      <c r="A277" s="9"/>
      <c r="E277" s="13"/>
      <c r="J277" s="121"/>
      <c r="L277" s="9"/>
      <c r="M277" s="9"/>
      <c r="N277" s="9"/>
      <c r="O277" s="9"/>
    </row>
    <row r="278">
      <c r="A278" s="9"/>
      <c r="E278" s="13"/>
      <c r="J278" s="121"/>
      <c r="L278" s="9"/>
      <c r="M278" s="9"/>
      <c r="N278" s="9"/>
      <c r="O278" s="9"/>
    </row>
    <row r="279">
      <c r="A279" s="9"/>
      <c r="E279" s="13"/>
      <c r="J279" s="121"/>
      <c r="L279" s="9"/>
      <c r="M279" s="9"/>
      <c r="N279" s="9"/>
      <c r="O279" s="9"/>
    </row>
    <row r="280">
      <c r="A280" s="9"/>
      <c r="E280" s="13"/>
      <c r="J280" s="121"/>
      <c r="L280" s="9"/>
      <c r="M280" s="9"/>
      <c r="N280" s="9"/>
      <c r="O280" s="9"/>
    </row>
    <row r="281">
      <c r="A281" s="9"/>
      <c r="E281" s="13"/>
      <c r="J281" s="121"/>
      <c r="L281" s="9"/>
      <c r="M281" s="9"/>
      <c r="N281" s="9"/>
      <c r="O281" s="9"/>
    </row>
    <row r="282">
      <c r="A282" s="9"/>
      <c r="E282" s="13"/>
      <c r="J282" s="121"/>
      <c r="L282" s="9"/>
      <c r="M282" s="9"/>
      <c r="N282" s="9"/>
      <c r="O282" s="9"/>
    </row>
    <row r="283">
      <c r="A283" s="9"/>
      <c r="E283" s="13"/>
      <c r="J283" s="121"/>
      <c r="L283" s="9"/>
      <c r="M283" s="9"/>
      <c r="N283" s="9"/>
      <c r="O283" s="9"/>
    </row>
    <row r="284">
      <c r="A284" s="9"/>
      <c r="E284" s="13"/>
      <c r="J284" s="121"/>
      <c r="L284" s="9"/>
      <c r="M284" s="9"/>
      <c r="N284" s="9"/>
      <c r="O284" s="9"/>
    </row>
    <row r="285">
      <c r="A285" s="9"/>
      <c r="E285" s="13"/>
      <c r="J285" s="121"/>
      <c r="L285" s="9"/>
      <c r="M285" s="9"/>
      <c r="N285" s="9"/>
      <c r="O285" s="9"/>
    </row>
    <row r="286">
      <c r="A286" s="9"/>
      <c r="E286" s="13"/>
      <c r="J286" s="121"/>
      <c r="L286" s="9"/>
      <c r="M286" s="9"/>
      <c r="N286" s="9"/>
      <c r="O286" s="9"/>
    </row>
    <row r="287">
      <c r="A287" s="9"/>
      <c r="E287" s="13"/>
      <c r="J287" s="121"/>
      <c r="L287" s="9"/>
      <c r="M287" s="9"/>
      <c r="N287" s="9"/>
      <c r="O287" s="9"/>
    </row>
    <row r="288">
      <c r="A288" s="9"/>
      <c r="E288" s="13"/>
      <c r="J288" s="121"/>
      <c r="L288" s="9"/>
      <c r="M288" s="9"/>
      <c r="N288" s="9"/>
      <c r="O288" s="9"/>
    </row>
    <row r="289">
      <c r="A289" s="9"/>
      <c r="E289" s="13"/>
      <c r="J289" s="121"/>
      <c r="L289" s="9"/>
      <c r="M289" s="9"/>
      <c r="N289" s="9"/>
      <c r="O289" s="9"/>
    </row>
    <row r="290">
      <c r="A290" s="9"/>
      <c r="E290" s="13"/>
      <c r="J290" s="121"/>
      <c r="L290" s="9"/>
      <c r="M290" s="9"/>
      <c r="N290" s="9"/>
      <c r="O290" s="9"/>
    </row>
    <row r="291">
      <c r="A291" s="9"/>
      <c r="E291" s="13"/>
      <c r="J291" s="121"/>
      <c r="L291" s="9"/>
      <c r="M291" s="9"/>
      <c r="N291" s="9"/>
      <c r="O291" s="9"/>
    </row>
    <row r="292">
      <c r="A292" s="9"/>
      <c r="E292" s="13"/>
      <c r="J292" s="121"/>
      <c r="L292" s="9"/>
      <c r="M292" s="9"/>
      <c r="N292" s="9"/>
      <c r="O292" s="9"/>
    </row>
    <row r="293">
      <c r="A293" s="9"/>
      <c r="E293" s="13"/>
      <c r="J293" s="121"/>
      <c r="L293" s="9"/>
      <c r="M293" s="9"/>
      <c r="N293" s="9"/>
      <c r="O293" s="9"/>
    </row>
    <row r="294">
      <c r="A294" s="9"/>
      <c r="E294" s="13"/>
      <c r="J294" s="121"/>
      <c r="L294" s="9"/>
      <c r="M294" s="9"/>
      <c r="N294" s="9"/>
      <c r="O294" s="9"/>
    </row>
    <row r="295">
      <c r="A295" s="9"/>
      <c r="E295" s="13"/>
      <c r="J295" s="121"/>
      <c r="L295" s="9"/>
      <c r="M295" s="9"/>
      <c r="N295" s="9"/>
      <c r="O295" s="9"/>
    </row>
    <row r="296">
      <c r="A296" s="9"/>
      <c r="E296" s="13"/>
      <c r="J296" s="121"/>
      <c r="L296" s="9"/>
      <c r="M296" s="9"/>
      <c r="N296" s="9"/>
      <c r="O296" s="9"/>
    </row>
    <row r="297">
      <c r="A297" s="9"/>
      <c r="E297" s="13"/>
      <c r="J297" s="121"/>
      <c r="L297" s="9"/>
      <c r="M297" s="9"/>
      <c r="N297" s="9"/>
      <c r="O297" s="9"/>
    </row>
    <row r="298">
      <c r="A298" s="9"/>
      <c r="E298" s="13"/>
      <c r="J298" s="121"/>
      <c r="L298" s="9"/>
      <c r="M298" s="9"/>
      <c r="N298" s="9"/>
      <c r="O298" s="9"/>
    </row>
    <row r="299">
      <c r="A299" s="9"/>
      <c r="E299" s="13"/>
      <c r="J299" s="121"/>
      <c r="L299" s="9"/>
      <c r="M299" s="9"/>
      <c r="N299" s="9"/>
      <c r="O299" s="9"/>
    </row>
    <row r="300">
      <c r="A300" s="9"/>
      <c r="E300" s="13"/>
      <c r="J300" s="121"/>
      <c r="L300" s="9"/>
      <c r="M300" s="9"/>
      <c r="N300" s="9"/>
      <c r="O300" s="9"/>
    </row>
    <row r="301">
      <c r="A301" s="9"/>
      <c r="E301" s="13"/>
      <c r="J301" s="121"/>
      <c r="L301" s="9"/>
      <c r="M301" s="9"/>
      <c r="N301" s="9"/>
      <c r="O301" s="9"/>
    </row>
    <row r="302">
      <c r="A302" s="9"/>
      <c r="E302" s="13"/>
      <c r="J302" s="121"/>
      <c r="L302" s="9"/>
      <c r="M302" s="9"/>
      <c r="N302" s="9"/>
      <c r="O302" s="9"/>
    </row>
    <row r="303">
      <c r="A303" s="9"/>
      <c r="E303" s="13"/>
      <c r="J303" s="121"/>
      <c r="L303" s="9"/>
      <c r="M303" s="9"/>
      <c r="N303" s="9"/>
      <c r="O303" s="9"/>
    </row>
    <row r="304">
      <c r="A304" s="9"/>
      <c r="E304" s="13"/>
      <c r="J304" s="121"/>
      <c r="L304" s="9"/>
      <c r="M304" s="9"/>
      <c r="N304" s="9"/>
      <c r="O304" s="9"/>
    </row>
    <row r="305">
      <c r="A305" s="9"/>
      <c r="E305" s="13"/>
      <c r="J305" s="121"/>
      <c r="L305" s="9"/>
      <c r="M305" s="9"/>
      <c r="N305" s="9"/>
      <c r="O305" s="9"/>
    </row>
    <row r="306">
      <c r="A306" s="9"/>
      <c r="E306" s="13"/>
      <c r="J306" s="121"/>
      <c r="L306" s="9"/>
      <c r="M306" s="9"/>
      <c r="N306" s="9"/>
      <c r="O306" s="9"/>
    </row>
    <row r="307">
      <c r="A307" s="9"/>
      <c r="E307" s="13"/>
      <c r="J307" s="121"/>
      <c r="L307" s="9"/>
      <c r="M307" s="9"/>
      <c r="N307" s="9"/>
      <c r="O307" s="9"/>
    </row>
    <row r="308">
      <c r="A308" s="9"/>
      <c r="E308" s="13"/>
      <c r="J308" s="121"/>
      <c r="L308" s="9"/>
      <c r="M308" s="9"/>
      <c r="N308" s="9"/>
      <c r="O308" s="9"/>
    </row>
    <row r="309">
      <c r="A309" s="9"/>
      <c r="E309" s="13"/>
      <c r="J309" s="121"/>
      <c r="L309" s="9"/>
      <c r="M309" s="9"/>
      <c r="N309" s="9"/>
      <c r="O309" s="9"/>
    </row>
    <row r="310">
      <c r="A310" s="9"/>
      <c r="E310" s="13"/>
      <c r="J310" s="121"/>
      <c r="L310" s="9"/>
      <c r="M310" s="9"/>
      <c r="N310" s="9"/>
      <c r="O310" s="9"/>
    </row>
    <row r="311">
      <c r="A311" s="9"/>
      <c r="E311" s="13"/>
      <c r="J311" s="121"/>
      <c r="L311" s="9"/>
      <c r="M311" s="9"/>
      <c r="N311" s="9"/>
      <c r="O311" s="9"/>
    </row>
    <row r="312">
      <c r="A312" s="9"/>
      <c r="E312" s="13"/>
      <c r="J312" s="121"/>
      <c r="L312" s="9"/>
      <c r="M312" s="9"/>
      <c r="N312" s="9"/>
      <c r="O312" s="9"/>
    </row>
    <row r="313">
      <c r="A313" s="9"/>
      <c r="E313" s="13"/>
      <c r="J313" s="121"/>
      <c r="L313" s="9"/>
      <c r="M313" s="9"/>
      <c r="N313" s="9"/>
      <c r="O313" s="9"/>
    </row>
    <row r="314">
      <c r="A314" s="9"/>
      <c r="E314" s="13"/>
      <c r="J314" s="121"/>
      <c r="L314" s="9"/>
      <c r="M314" s="9"/>
      <c r="N314" s="9"/>
      <c r="O314" s="9"/>
    </row>
    <row r="315">
      <c r="A315" s="9"/>
      <c r="E315" s="13"/>
      <c r="J315" s="121"/>
      <c r="L315" s="9"/>
      <c r="M315" s="9"/>
      <c r="N315" s="9"/>
      <c r="O315" s="9"/>
    </row>
    <row r="316">
      <c r="A316" s="9"/>
      <c r="E316" s="13"/>
      <c r="J316" s="121"/>
      <c r="L316" s="9"/>
      <c r="M316" s="9"/>
      <c r="N316" s="9"/>
      <c r="O316" s="9"/>
    </row>
    <row r="317">
      <c r="A317" s="9"/>
      <c r="E317" s="13"/>
      <c r="J317" s="121"/>
      <c r="L317" s="9"/>
      <c r="M317" s="9"/>
      <c r="N317" s="9"/>
      <c r="O317" s="9"/>
    </row>
    <row r="318">
      <c r="A318" s="9"/>
      <c r="E318" s="13"/>
      <c r="J318" s="121"/>
      <c r="L318" s="9"/>
      <c r="M318" s="9"/>
      <c r="N318" s="9"/>
      <c r="O318" s="9"/>
    </row>
    <row r="319">
      <c r="A319" s="9"/>
      <c r="E319" s="13"/>
      <c r="J319" s="121"/>
      <c r="L319" s="9"/>
      <c r="M319" s="9"/>
      <c r="N319" s="9"/>
      <c r="O319" s="9"/>
    </row>
    <row r="320">
      <c r="A320" s="9"/>
      <c r="E320" s="13"/>
      <c r="J320" s="121"/>
      <c r="L320" s="9"/>
      <c r="M320" s="9"/>
      <c r="N320" s="9"/>
      <c r="O320" s="9"/>
    </row>
    <row r="321">
      <c r="A321" s="9"/>
      <c r="E321" s="13"/>
      <c r="J321" s="121"/>
      <c r="L321" s="9"/>
      <c r="M321" s="9"/>
      <c r="N321" s="9"/>
      <c r="O321" s="9"/>
    </row>
    <row r="322">
      <c r="A322" s="9"/>
      <c r="E322" s="13"/>
      <c r="J322" s="121"/>
      <c r="L322" s="9"/>
      <c r="M322" s="9"/>
      <c r="N322" s="9"/>
      <c r="O322" s="9"/>
    </row>
    <row r="323">
      <c r="A323" s="9"/>
      <c r="E323" s="13"/>
      <c r="J323" s="121"/>
      <c r="L323" s="9"/>
      <c r="M323" s="9"/>
      <c r="N323" s="9"/>
      <c r="O323" s="9"/>
    </row>
    <row r="324">
      <c r="A324" s="9"/>
      <c r="E324" s="13"/>
      <c r="J324" s="121"/>
      <c r="L324" s="9"/>
      <c r="M324" s="9"/>
      <c r="N324" s="9"/>
      <c r="O324" s="9"/>
    </row>
    <row r="325">
      <c r="A325" s="9"/>
      <c r="E325" s="13"/>
      <c r="J325" s="121"/>
      <c r="L325" s="9"/>
      <c r="M325" s="9"/>
      <c r="N325" s="9"/>
      <c r="O325" s="9"/>
    </row>
    <row r="326">
      <c r="A326" s="9"/>
      <c r="E326" s="13"/>
      <c r="J326" s="121"/>
      <c r="L326" s="9"/>
      <c r="M326" s="9"/>
      <c r="N326" s="9"/>
      <c r="O326" s="9"/>
    </row>
    <row r="327">
      <c r="A327" s="9"/>
      <c r="E327" s="13"/>
      <c r="J327" s="121"/>
      <c r="L327" s="9"/>
      <c r="M327" s="9"/>
      <c r="N327" s="9"/>
      <c r="O327" s="9"/>
    </row>
    <row r="328">
      <c r="A328" s="9"/>
      <c r="E328" s="13"/>
      <c r="J328" s="121"/>
      <c r="L328" s="9"/>
      <c r="M328" s="9"/>
      <c r="N328" s="9"/>
      <c r="O328" s="9"/>
    </row>
    <row r="329">
      <c r="A329" s="9"/>
      <c r="E329" s="13"/>
      <c r="J329" s="121"/>
      <c r="L329" s="9"/>
      <c r="M329" s="9"/>
      <c r="N329" s="9"/>
      <c r="O329" s="9"/>
    </row>
    <row r="330">
      <c r="A330" s="9"/>
      <c r="E330" s="13"/>
      <c r="J330" s="121"/>
      <c r="L330" s="9"/>
      <c r="M330" s="9"/>
      <c r="N330" s="9"/>
      <c r="O330" s="9"/>
    </row>
    <row r="331">
      <c r="A331" s="9"/>
      <c r="E331" s="13"/>
      <c r="J331" s="121"/>
      <c r="L331" s="9"/>
      <c r="M331" s="9"/>
      <c r="N331" s="9"/>
      <c r="O331" s="9"/>
    </row>
    <row r="332">
      <c r="A332" s="9"/>
      <c r="E332" s="13"/>
      <c r="J332" s="121"/>
      <c r="L332" s="9"/>
      <c r="M332" s="9"/>
      <c r="N332" s="9"/>
      <c r="O332" s="9"/>
    </row>
    <row r="333">
      <c r="A333" s="9"/>
      <c r="E333" s="13"/>
      <c r="J333" s="121"/>
      <c r="L333" s="9"/>
      <c r="M333" s="9"/>
      <c r="N333" s="9"/>
      <c r="O333" s="9"/>
    </row>
    <row r="334">
      <c r="A334" s="9"/>
      <c r="E334" s="13"/>
      <c r="J334" s="121"/>
      <c r="L334" s="9"/>
      <c r="M334" s="9"/>
      <c r="N334" s="9"/>
      <c r="O334" s="9"/>
    </row>
    <row r="335">
      <c r="A335" s="9"/>
      <c r="E335" s="13"/>
      <c r="J335" s="121"/>
      <c r="L335" s="9"/>
      <c r="M335" s="9"/>
      <c r="N335" s="9"/>
      <c r="O335" s="9"/>
    </row>
    <row r="336">
      <c r="A336" s="9"/>
      <c r="E336" s="13"/>
      <c r="J336" s="121"/>
      <c r="L336" s="9"/>
      <c r="M336" s="9"/>
      <c r="N336" s="9"/>
      <c r="O336" s="9"/>
    </row>
    <row r="337">
      <c r="A337" s="9"/>
      <c r="E337" s="13"/>
      <c r="J337" s="121"/>
      <c r="L337" s="9"/>
      <c r="M337" s="9"/>
      <c r="N337" s="9"/>
      <c r="O337" s="9"/>
    </row>
    <row r="338">
      <c r="A338" s="9"/>
      <c r="E338" s="13"/>
      <c r="J338" s="121"/>
      <c r="L338" s="9"/>
      <c r="M338" s="9"/>
      <c r="N338" s="9"/>
      <c r="O338" s="9"/>
    </row>
    <row r="339">
      <c r="A339" s="9"/>
      <c r="E339" s="13"/>
      <c r="J339" s="121"/>
      <c r="L339" s="9"/>
      <c r="M339" s="9"/>
      <c r="N339" s="9"/>
      <c r="O339" s="9"/>
    </row>
    <row r="340">
      <c r="A340" s="9"/>
      <c r="E340" s="13"/>
      <c r="J340" s="121"/>
      <c r="L340" s="9"/>
      <c r="M340" s="9"/>
      <c r="N340" s="9"/>
      <c r="O340" s="9"/>
    </row>
    <row r="341">
      <c r="A341" s="9"/>
      <c r="E341" s="13"/>
      <c r="J341" s="121"/>
      <c r="L341" s="9"/>
      <c r="M341" s="9"/>
      <c r="N341" s="9"/>
      <c r="O341" s="9"/>
    </row>
    <row r="342">
      <c r="A342" s="9"/>
      <c r="E342" s="13"/>
      <c r="J342" s="121"/>
      <c r="L342" s="9"/>
      <c r="M342" s="9"/>
      <c r="N342" s="9"/>
      <c r="O342" s="9"/>
    </row>
    <row r="343">
      <c r="A343" s="9"/>
      <c r="E343" s="13"/>
      <c r="J343" s="121"/>
      <c r="L343" s="9"/>
      <c r="M343" s="9"/>
      <c r="N343" s="9"/>
      <c r="O343" s="9"/>
    </row>
    <row r="344">
      <c r="A344" s="9"/>
      <c r="E344" s="13"/>
      <c r="J344" s="121"/>
      <c r="L344" s="9"/>
      <c r="M344" s="9"/>
      <c r="N344" s="9"/>
      <c r="O344" s="9"/>
    </row>
    <row r="345">
      <c r="A345" s="9"/>
      <c r="E345" s="13"/>
      <c r="J345" s="121"/>
      <c r="L345" s="9"/>
      <c r="M345" s="9"/>
      <c r="N345" s="9"/>
      <c r="O345" s="9"/>
    </row>
    <row r="346">
      <c r="A346" s="9"/>
      <c r="E346" s="13"/>
      <c r="J346" s="121"/>
      <c r="L346" s="9"/>
      <c r="M346" s="9"/>
      <c r="N346" s="9"/>
      <c r="O346" s="9"/>
    </row>
    <row r="347">
      <c r="A347" s="9"/>
      <c r="E347" s="13"/>
      <c r="J347" s="121"/>
      <c r="L347" s="9"/>
      <c r="M347" s="9"/>
      <c r="N347" s="9"/>
      <c r="O347" s="9"/>
    </row>
    <row r="348">
      <c r="A348" s="9"/>
      <c r="E348" s="13"/>
      <c r="J348" s="121"/>
      <c r="L348" s="9"/>
      <c r="M348" s="9"/>
      <c r="N348" s="9"/>
      <c r="O348" s="9"/>
    </row>
    <row r="349">
      <c r="A349" s="9"/>
      <c r="E349" s="13"/>
      <c r="J349" s="121"/>
      <c r="L349" s="9"/>
      <c r="M349" s="9"/>
      <c r="N349" s="9"/>
      <c r="O349" s="9"/>
    </row>
    <row r="350">
      <c r="A350" s="9"/>
      <c r="E350" s="13"/>
      <c r="J350" s="121"/>
      <c r="L350" s="9"/>
      <c r="M350" s="9"/>
      <c r="N350" s="9"/>
      <c r="O350" s="9"/>
    </row>
    <row r="351">
      <c r="A351" s="9"/>
      <c r="E351" s="13"/>
      <c r="J351" s="121"/>
      <c r="L351" s="9"/>
      <c r="M351" s="9"/>
      <c r="N351" s="9"/>
      <c r="O351" s="9"/>
    </row>
    <row r="352">
      <c r="A352" s="9"/>
      <c r="E352" s="13"/>
      <c r="J352" s="121"/>
      <c r="L352" s="9"/>
      <c r="M352" s="9"/>
      <c r="N352" s="9"/>
      <c r="O352" s="9"/>
    </row>
    <row r="353">
      <c r="A353" s="9"/>
      <c r="E353" s="13"/>
      <c r="J353" s="121"/>
      <c r="L353" s="9"/>
      <c r="M353" s="9"/>
      <c r="N353" s="9"/>
      <c r="O353" s="9"/>
    </row>
    <row r="354">
      <c r="A354" s="9"/>
      <c r="E354" s="13"/>
      <c r="J354" s="121"/>
      <c r="L354" s="9"/>
      <c r="M354" s="9"/>
      <c r="N354" s="9"/>
      <c r="O354" s="9"/>
    </row>
    <row r="355">
      <c r="A355" s="9"/>
      <c r="E355" s="13"/>
      <c r="J355" s="121"/>
      <c r="L355" s="9"/>
      <c r="M355" s="9"/>
      <c r="N355" s="9"/>
      <c r="O355" s="9"/>
    </row>
    <row r="356">
      <c r="A356" s="9"/>
      <c r="E356" s="13"/>
      <c r="J356" s="121"/>
      <c r="L356" s="9"/>
      <c r="M356" s="9"/>
      <c r="N356" s="9"/>
      <c r="O356" s="9"/>
    </row>
    <row r="357">
      <c r="A357" s="9"/>
      <c r="E357" s="13"/>
      <c r="J357" s="121"/>
      <c r="L357" s="9"/>
      <c r="M357" s="9"/>
      <c r="N357" s="9"/>
      <c r="O357" s="9"/>
    </row>
    <row r="358">
      <c r="A358" s="9"/>
      <c r="E358" s="13"/>
      <c r="J358" s="121"/>
      <c r="L358" s="9"/>
      <c r="M358" s="9"/>
      <c r="N358" s="9"/>
      <c r="O358" s="9"/>
    </row>
    <row r="359">
      <c r="A359" s="9"/>
      <c r="E359" s="13"/>
      <c r="J359" s="121"/>
      <c r="L359" s="9"/>
      <c r="M359" s="9"/>
      <c r="N359" s="9"/>
      <c r="O359" s="9"/>
    </row>
    <row r="360">
      <c r="A360" s="9"/>
      <c r="E360" s="13"/>
      <c r="J360" s="121"/>
      <c r="L360" s="9"/>
      <c r="M360" s="9"/>
      <c r="N360" s="9"/>
      <c r="O360" s="9"/>
    </row>
    <row r="361">
      <c r="A361" s="9"/>
      <c r="E361" s="13"/>
      <c r="J361" s="121"/>
      <c r="L361" s="9"/>
      <c r="M361" s="9"/>
      <c r="N361" s="9"/>
      <c r="O361" s="9"/>
    </row>
    <row r="362">
      <c r="A362" s="9"/>
      <c r="E362" s="13"/>
      <c r="J362" s="121"/>
      <c r="L362" s="9"/>
      <c r="M362" s="9"/>
      <c r="N362" s="9"/>
      <c r="O362" s="9"/>
    </row>
    <row r="363">
      <c r="A363" s="9"/>
      <c r="E363" s="13"/>
      <c r="J363" s="121"/>
      <c r="L363" s="9"/>
      <c r="M363" s="9"/>
      <c r="N363" s="9"/>
      <c r="O363" s="9"/>
    </row>
    <row r="364">
      <c r="A364" s="9"/>
      <c r="E364" s="13"/>
      <c r="J364" s="121"/>
      <c r="L364" s="9"/>
      <c r="M364" s="9"/>
      <c r="N364" s="9"/>
      <c r="O364" s="9"/>
    </row>
    <row r="365">
      <c r="A365" s="9"/>
      <c r="E365" s="13"/>
      <c r="J365" s="121"/>
      <c r="L365" s="9"/>
      <c r="M365" s="9"/>
      <c r="N365" s="9"/>
      <c r="O365" s="9"/>
    </row>
    <row r="366">
      <c r="A366" s="9"/>
      <c r="E366" s="13"/>
      <c r="J366" s="121"/>
      <c r="L366" s="9"/>
      <c r="M366" s="9"/>
      <c r="N366" s="9"/>
      <c r="O366" s="9"/>
    </row>
    <row r="367">
      <c r="A367" s="9"/>
      <c r="E367" s="13"/>
      <c r="J367" s="121"/>
      <c r="L367" s="9"/>
      <c r="M367" s="9"/>
      <c r="N367" s="9"/>
      <c r="O367" s="9"/>
    </row>
    <row r="368">
      <c r="A368" s="9"/>
      <c r="E368" s="13"/>
      <c r="J368" s="121"/>
      <c r="L368" s="9"/>
      <c r="M368" s="9"/>
      <c r="N368" s="9"/>
      <c r="O368" s="9"/>
    </row>
    <row r="369">
      <c r="A369" s="9"/>
      <c r="E369" s="13"/>
      <c r="J369" s="121"/>
      <c r="L369" s="9"/>
      <c r="M369" s="9"/>
      <c r="N369" s="9"/>
      <c r="O369" s="9"/>
    </row>
    <row r="370">
      <c r="A370" s="9"/>
      <c r="E370" s="13"/>
      <c r="J370" s="121"/>
      <c r="L370" s="9"/>
      <c r="M370" s="9"/>
      <c r="N370" s="9"/>
      <c r="O370" s="9"/>
    </row>
    <row r="371">
      <c r="A371" s="9"/>
      <c r="E371" s="13"/>
      <c r="J371" s="121"/>
      <c r="L371" s="9"/>
      <c r="M371" s="9"/>
      <c r="N371" s="9"/>
      <c r="O371" s="9"/>
    </row>
    <row r="372">
      <c r="A372" s="9"/>
      <c r="E372" s="13"/>
      <c r="J372" s="121"/>
      <c r="L372" s="9"/>
      <c r="M372" s="9"/>
      <c r="N372" s="9"/>
      <c r="O372" s="9"/>
    </row>
    <row r="373">
      <c r="A373" s="9"/>
      <c r="E373" s="13"/>
      <c r="J373" s="121"/>
      <c r="L373" s="9"/>
      <c r="M373" s="9"/>
      <c r="N373" s="9"/>
      <c r="O373" s="9"/>
    </row>
    <row r="374">
      <c r="A374" s="9"/>
      <c r="E374" s="13"/>
      <c r="J374" s="121"/>
      <c r="L374" s="9"/>
      <c r="M374" s="9"/>
      <c r="N374" s="9"/>
      <c r="O374" s="9"/>
    </row>
    <row r="375">
      <c r="A375" s="9"/>
      <c r="E375" s="13"/>
      <c r="J375" s="121"/>
      <c r="L375" s="9"/>
      <c r="M375" s="9"/>
      <c r="N375" s="9"/>
      <c r="O375" s="9"/>
    </row>
    <row r="376">
      <c r="A376" s="9"/>
      <c r="E376" s="13"/>
      <c r="J376" s="121"/>
      <c r="L376" s="9"/>
      <c r="M376" s="9"/>
      <c r="N376" s="9"/>
      <c r="O376" s="9"/>
    </row>
    <row r="377">
      <c r="A377" s="9"/>
      <c r="E377" s="13"/>
      <c r="J377" s="121"/>
      <c r="L377" s="9"/>
      <c r="M377" s="9"/>
      <c r="N377" s="9"/>
      <c r="O377" s="9"/>
    </row>
    <row r="378">
      <c r="A378" s="9"/>
      <c r="E378" s="13"/>
      <c r="J378" s="121"/>
      <c r="L378" s="9"/>
      <c r="M378" s="9"/>
      <c r="N378" s="9"/>
      <c r="O378" s="9"/>
    </row>
    <row r="379">
      <c r="A379" s="9"/>
      <c r="E379" s="13"/>
      <c r="J379" s="121"/>
      <c r="L379" s="9"/>
      <c r="M379" s="9"/>
      <c r="N379" s="9"/>
      <c r="O379" s="9"/>
    </row>
    <row r="380">
      <c r="A380" s="9"/>
      <c r="E380" s="13"/>
      <c r="J380" s="121"/>
      <c r="L380" s="9"/>
      <c r="M380" s="9"/>
      <c r="N380" s="9"/>
      <c r="O380" s="9"/>
    </row>
    <row r="381">
      <c r="A381" s="9"/>
      <c r="E381" s="13"/>
      <c r="J381" s="121"/>
      <c r="L381" s="9"/>
      <c r="M381" s="9"/>
      <c r="N381" s="9"/>
      <c r="O381" s="9"/>
    </row>
    <row r="382">
      <c r="A382" s="9"/>
      <c r="E382" s="13"/>
      <c r="J382" s="121"/>
      <c r="L382" s="9"/>
      <c r="M382" s="9"/>
      <c r="N382" s="9"/>
      <c r="O382" s="9"/>
    </row>
    <row r="383">
      <c r="A383" s="9"/>
      <c r="E383" s="13"/>
      <c r="J383" s="121"/>
      <c r="L383" s="9"/>
      <c r="M383" s="9"/>
      <c r="N383" s="9"/>
      <c r="O383" s="9"/>
    </row>
    <row r="384">
      <c r="A384" s="9"/>
      <c r="E384" s="13"/>
      <c r="J384" s="121"/>
      <c r="L384" s="9"/>
      <c r="M384" s="9"/>
      <c r="N384" s="9"/>
      <c r="O384" s="9"/>
    </row>
    <row r="385">
      <c r="A385" s="9"/>
      <c r="E385" s="13"/>
      <c r="J385" s="121"/>
      <c r="L385" s="9"/>
      <c r="M385" s="9"/>
      <c r="N385" s="9"/>
      <c r="O385" s="9"/>
    </row>
    <row r="386">
      <c r="A386" s="9"/>
      <c r="E386" s="13"/>
      <c r="J386" s="121"/>
      <c r="L386" s="9"/>
      <c r="M386" s="9"/>
      <c r="N386" s="9"/>
      <c r="O386" s="9"/>
    </row>
    <row r="387">
      <c r="A387" s="9"/>
      <c r="E387" s="13"/>
      <c r="J387" s="121"/>
      <c r="L387" s="9"/>
      <c r="M387" s="9"/>
      <c r="N387" s="9"/>
      <c r="O387" s="9"/>
    </row>
    <row r="388">
      <c r="A388" s="9"/>
      <c r="E388" s="13"/>
      <c r="J388" s="121"/>
      <c r="L388" s="9"/>
      <c r="M388" s="9"/>
      <c r="N388" s="9"/>
      <c r="O388" s="9"/>
    </row>
    <row r="389">
      <c r="A389" s="9"/>
      <c r="E389" s="13"/>
      <c r="J389" s="121"/>
      <c r="L389" s="9"/>
      <c r="M389" s="9"/>
      <c r="N389" s="9"/>
      <c r="O389" s="9"/>
    </row>
    <row r="390">
      <c r="A390" s="9"/>
      <c r="E390" s="13"/>
      <c r="J390" s="121"/>
      <c r="L390" s="9"/>
      <c r="M390" s="9"/>
      <c r="N390" s="9"/>
      <c r="O390" s="9"/>
    </row>
    <row r="391">
      <c r="A391" s="9"/>
      <c r="E391" s="13"/>
      <c r="J391" s="121"/>
      <c r="L391" s="9"/>
      <c r="M391" s="9"/>
      <c r="N391" s="9"/>
      <c r="O391" s="9"/>
    </row>
    <row r="392">
      <c r="A392" s="9"/>
      <c r="E392" s="13"/>
      <c r="J392" s="121"/>
      <c r="L392" s="9"/>
      <c r="M392" s="9"/>
      <c r="N392" s="9"/>
      <c r="O392" s="9"/>
    </row>
    <row r="393">
      <c r="A393" s="9"/>
      <c r="E393" s="13"/>
      <c r="J393" s="121"/>
      <c r="L393" s="9"/>
      <c r="M393" s="9"/>
      <c r="N393" s="9"/>
      <c r="O393" s="9"/>
    </row>
    <row r="394">
      <c r="A394" s="9"/>
      <c r="E394" s="13"/>
      <c r="J394" s="121"/>
      <c r="L394" s="9"/>
      <c r="M394" s="9"/>
      <c r="N394" s="9"/>
      <c r="O394" s="9"/>
    </row>
    <row r="395">
      <c r="A395" s="9"/>
      <c r="E395" s="13"/>
      <c r="J395" s="121"/>
      <c r="L395" s="9"/>
      <c r="M395" s="9"/>
      <c r="N395" s="9"/>
      <c r="O395" s="9"/>
    </row>
    <row r="396">
      <c r="A396" s="9"/>
      <c r="E396" s="13"/>
      <c r="J396" s="121"/>
      <c r="L396" s="9"/>
      <c r="M396" s="9"/>
      <c r="N396" s="9"/>
      <c r="O396" s="9"/>
    </row>
    <row r="397">
      <c r="A397" s="9"/>
      <c r="E397" s="13"/>
      <c r="J397" s="121"/>
      <c r="L397" s="9"/>
      <c r="M397" s="9"/>
      <c r="N397" s="9"/>
      <c r="O397" s="9"/>
    </row>
    <row r="398">
      <c r="A398" s="9"/>
      <c r="E398" s="13"/>
      <c r="J398" s="121"/>
      <c r="L398" s="9"/>
      <c r="M398" s="9"/>
      <c r="N398" s="9"/>
      <c r="O398" s="9"/>
    </row>
    <row r="399">
      <c r="A399" s="9"/>
      <c r="E399" s="13"/>
      <c r="J399" s="121"/>
      <c r="L399" s="9"/>
      <c r="M399" s="9"/>
      <c r="N399" s="9"/>
      <c r="O399" s="9"/>
    </row>
    <row r="400">
      <c r="A400" s="9"/>
      <c r="E400" s="13"/>
      <c r="J400" s="121"/>
      <c r="L400" s="9"/>
      <c r="M400" s="9"/>
      <c r="N400" s="9"/>
      <c r="O400" s="9"/>
    </row>
    <row r="401">
      <c r="A401" s="9"/>
      <c r="E401" s="13"/>
      <c r="J401" s="121"/>
      <c r="L401" s="9"/>
      <c r="M401" s="9"/>
      <c r="N401" s="9"/>
      <c r="O401" s="9"/>
    </row>
    <row r="402">
      <c r="A402" s="9"/>
      <c r="E402" s="13"/>
      <c r="J402" s="121"/>
      <c r="L402" s="9"/>
      <c r="M402" s="9"/>
      <c r="N402" s="9"/>
      <c r="O402" s="9"/>
    </row>
    <row r="403">
      <c r="A403" s="9"/>
      <c r="E403" s="13"/>
      <c r="J403" s="121"/>
      <c r="L403" s="9"/>
      <c r="M403" s="9"/>
      <c r="N403" s="9"/>
      <c r="O403" s="9"/>
    </row>
    <row r="404">
      <c r="A404" s="9"/>
      <c r="E404" s="13"/>
      <c r="J404" s="121"/>
      <c r="L404" s="9"/>
      <c r="M404" s="9"/>
      <c r="N404" s="9"/>
      <c r="O404" s="9"/>
    </row>
    <row r="405">
      <c r="A405" s="9"/>
      <c r="E405" s="13"/>
      <c r="J405" s="121"/>
      <c r="L405" s="9"/>
      <c r="M405" s="9"/>
      <c r="N405" s="9"/>
      <c r="O405" s="9"/>
    </row>
    <row r="406">
      <c r="A406" s="9"/>
      <c r="E406" s="13"/>
      <c r="J406" s="121"/>
      <c r="L406" s="9"/>
      <c r="M406" s="9"/>
      <c r="N406" s="9"/>
      <c r="O406" s="9"/>
    </row>
    <row r="407">
      <c r="A407" s="9"/>
      <c r="E407" s="13"/>
      <c r="J407" s="121"/>
      <c r="L407" s="9"/>
      <c r="M407" s="9"/>
      <c r="N407" s="9"/>
      <c r="O407" s="9"/>
    </row>
    <row r="408">
      <c r="A408" s="9"/>
      <c r="E408" s="13"/>
      <c r="J408" s="121"/>
      <c r="L408" s="9"/>
      <c r="M408" s="9"/>
      <c r="N408" s="9"/>
      <c r="O408" s="9"/>
    </row>
    <row r="409">
      <c r="A409" s="9"/>
      <c r="E409" s="13"/>
      <c r="J409" s="121"/>
      <c r="L409" s="9"/>
      <c r="M409" s="9"/>
      <c r="N409" s="9"/>
      <c r="O409" s="9"/>
    </row>
    <row r="410">
      <c r="A410" s="9"/>
      <c r="E410" s="13"/>
      <c r="J410" s="121"/>
      <c r="L410" s="9"/>
      <c r="M410" s="9"/>
      <c r="N410" s="9"/>
      <c r="O410" s="9"/>
    </row>
    <row r="411">
      <c r="A411" s="9"/>
      <c r="E411" s="13"/>
      <c r="J411" s="121"/>
      <c r="L411" s="9"/>
      <c r="M411" s="9"/>
      <c r="N411" s="9"/>
      <c r="O411" s="9"/>
    </row>
    <row r="412">
      <c r="A412" s="9"/>
      <c r="E412" s="13"/>
      <c r="J412" s="121"/>
      <c r="L412" s="9"/>
      <c r="M412" s="9"/>
      <c r="N412" s="9"/>
      <c r="O412" s="9"/>
    </row>
    <row r="413">
      <c r="A413" s="9"/>
      <c r="E413" s="13"/>
      <c r="J413" s="121"/>
      <c r="L413" s="9"/>
      <c r="M413" s="9"/>
      <c r="N413" s="9"/>
      <c r="O413" s="9"/>
    </row>
    <row r="414">
      <c r="A414" s="9"/>
      <c r="E414" s="13"/>
      <c r="J414" s="121"/>
      <c r="L414" s="9"/>
      <c r="M414" s="9"/>
      <c r="N414" s="9"/>
      <c r="O414" s="9"/>
    </row>
    <row r="415">
      <c r="A415" s="9"/>
      <c r="E415" s="13"/>
      <c r="J415" s="121"/>
      <c r="L415" s="9"/>
      <c r="M415" s="9"/>
      <c r="N415" s="9"/>
      <c r="O415" s="9"/>
    </row>
    <row r="416">
      <c r="A416" s="9"/>
      <c r="E416" s="13"/>
      <c r="J416" s="121"/>
      <c r="L416" s="9"/>
      <c r="M416" s="9"/>
      <c r="N416" s="9"/>
      <c r="O416" s="9"/>
    </row>
    <row r="417">
      <c r="A417" s="9"/>
      <c r="E417" s="13"/>
      <c r="J417" s="121"/>
      <c r="L417" s="9"/>
      <c r="M417" s="9"/>
      <c r="N417" s="9"/>
      <c r="O417" s="9"/>
    </row>
    <row r="418">
      <c r="A418" s="9"/>
      <c r="E418" s="13"/>
      <c r="J418" s="121"/>
      <c r="L418" s="9"/>
      <c r="M418" s="9"/>
      <c r="N418" s="9"/>
      <c r="O418" s="9"/>
    </row>
    <row r="419">
      <c r="A419" s="9"/>
      <c r="E419" s="13"/>
      <c r="J419" s="121"/>
      <c r="L419" s="9"/>
      <c r="M419" s="9"/>
      <c r="N419" s="9"/>
      <c r="O419" s="9"/>
    </row>
    <row r="420">
      <c r="A420" s="9"/>
      <c r="E420" s="13"/>
      <c r="J420" s="121"/>
      <c r="L420" s="9"/>
      <c r="M420" s="9"/>
      <c r="N420" s="9"/>
      <c r="O420" s="9"/>
    </row>
    <row r="421">
      <c r="A421" s="9"/>
      <c r="E421" s="13"/>
      <c r="J421" s="121"/>
      <c r="L421" s="9"/>
      <c r="M421" s="9"/>
      <c r="N421" s="9"/>
      <c r="O421" s="9"/>
    </row>
    <row r="422">
      <c r="A422" s="9"/>
      <c r="E422" s="13"/>
      <c r="J422" s="121"/>
      <c r="L422" s="9"/>
      <c r="M422" s="9"/>
      <c r="N422" s="9"/>
      <c r="O422" s="9"/>
    </row>
    <row r="423">
      <c r="A423" s="9"/>
      <c r="E423" s="13"/>
      <c r="J423" s="121"/>
      <c r="L423" s="9"/>
      <c r="M423" s="9"/>
      <c r="N423" s="9"/>
      <c r="O423" s="9"/>
    </row>
    <row r="424">
      <c r="A424" s="9"/>
      <c r="E424" s="13"/>
      <c r="J424" s="121"/>
      <c r="L424" s="9"/>
      <c r="M424" s="9"/>
      <c r="N424" s="9"/>
      <c r="O424" s="9"/>
    </row>
    <row r="425">
      <c r="A425" s="9"/>
      <c r="E425" s="13"/>
      <c r="J425" s="121"/>
      <c r="L425" s="9"/>
      <c r="M425" s="9"/>
      <c r="N425" s="9"/>
      <c r="O425" s="9"/>
    </row>
    <row r="426">
      <c r="A426" s="9"/>
      <c r="E426" s="13"/>
      <c r="J426" s="121"/>
      <c r="L426" s="9"/>
      <c r="M426" s="9"/>
      <c r="N426" s="9"/>
      <c r="O426" s="9"/>
    </row>
    <row r="427">
      <c r="A427" s="9"/>
      <c r="E427" s="13"/>
      <c r="J427" s="121"/>
      <c r="L427" s="9"/>
      <c r="M427" s="9"/>
      <c r="N427" s="9"/>
      <c r="O427" s="9"/>
    </row>
    <row r="428">
      <c r="A428" s="9"/>
      <c r="E428" s="13"/>
      <c r="J428" s="121"/>
      <c r="L428" s="9"/>
      <c r="M428" s="9"/>
      <c r="N428" s="9"/>
      <c r="O428" s="9"/>
    </row>
    <row r="429">
      <c r="A429" s="9"/>
      <c r="E429" s="13"/>
      <c r="J429" s="121"/>
      <c r="L429" s="9"/>
      <c r="M429" s="9"/>
      <c r="N429" s="9"/>
      <c r="O429" s="9"/>
    </row>
    <row r="430">
      <c r="A430" s="9"/>
      <c r="E430" s="13"/>
      <c r="J430" s="121"/>
      <c r="L430" s="9"/>
      <c r="M430" s="9"/>
      <c r="N430" s="9"/>
      <c r="O430" s="9"/>
    </row>
    <row r="431">
      <c r="A431" s="9"/>
      <c r="E431" s="13"/>
      <c r="J431" s="121"/>
      <c r="L431" s="9"/>
      <c r="M431" s="9"/>
      <c r="N431" s="9"/>
      <c r="O431" s="9"/>
    </row>
    <row r="432">
      <c r="A432" s="9"/>
      <c r="E432" s="13"/>
      <c r="J432" s="121"/>
      <c r="L432" s="9"/>
      <c r="M432" s="9"/>
      <c r="N432" s="9"/>
      <c r="O432" s="9"/>
    </row>
    <row r="433">
      <c r="A433" s="9"/>
      <c r="E433" s="13"/>
      <c r="J433" s="121"/>
      <c r="L433" s="9"/>
      <c r="M433" s="9"/>
      <c r="N433" s="9"/>
      <c r="O433" s="9"/>
    </row>
    <row r="434">
      <c r="A434" s="9"/>
      <c r="E434" s="13"/>
      <c r="J434" s="121"/>
      <c r="L434" s="9"/>
      <c r="M434" s="9"/>
      <c r="N434" s="9"/>
      <c r="O434" s="9"/>
    </row>
    <row r="435">
      <c r="A435" s="9"/>
      <c r="E435" s="13"/>
      <c r="J435" s="121"/>
      <c r="L435" s="9"/>
      <c r="M435" s="9"/>
      <c r="N435" s="9"/>
      <c r="O435" s="9"/>
    </row>
    <row r="436">
      <c r="A436" s="9"/>
      <c r="E436" s="13"/>
      <c r="J436" s="121"/>
      <c r="L436" s="9"/>
      <c r="M436" s="9"/>
      <c r="N436" s="9"/>
      <c r="O436" s="9"/>
    </row>
    <row r="437">
      <c r="A437" s="9"/>
      <c r="E437" s="13"/>
      <c r="J437" s="121"/>
      <c r="L437" s="9"/>
      <c r="M437" s="9"/>
      <c r="N437" s="9"/>
      <c r="O437" s="9"/>
    </row>
    <row r="438">
      <c r="A438" s="9"/>
      <c r="E438" s="13"/>
      <c r="J438" s="121"/>
      <c r="L438" s="9"/>
      <c r="M438" s="9"/>
      <c r="N438" s="9"/>
      <c r="O438" s="9"/>
    </row>
    <row r="439">
      <c r="A439" s="9"/>
      <c r="E439" s="13"/>
      <c r="J439" s="121"/>
      <c r="L439" s="9"/>
      <c r="M439" s="9"/>
      <c r="N439" s="9"/>
      <c r="O439" s="9"/>
    </row>
    <row r="440">
      <c r="A440" s="9"/>
      <c r="E440" s="13"/>
      <c r="J440" s="121"/>
      <c r="L440" s="9"/>
      <c r="M440" s="9"/>
      <c r="N440" s="9"/>
      <c r="O440" s="9"/>
    </row>
    <row r="441">
      <c r="A441" s="9"/>
      <c r="E441" s="13"/>
      <c r="J441" s="121"/>
      <c r="L441" s="9"/>
      <c r="M441" s="9"/>
      <c r="N441" s="9"/>
      <c r="O441" s="9"/>
    </row>
    <row r="442">
      <c r="A442" s="9"/>
      <c r="E442" s="13"/>
      <c r="J442" s="121"/>
      <c r="L442" s="9"/>
      <c r="M442" s="9"/>
      <c r="N442" s="9"/>
      <c r="O442" s="9"/>
    </row>
    <row r="443">
      <c r="A443" s="9"/>
      <c r="E443" s="13"/>
      <c r="J443" s="121"/>
      <c r="L443" s="9"/>
      <c r="M443" s="9"/>
      <c r="N443" s="9"/>
      <c r="O443" s="9"/>
    </row>
    <row r="444">
      <c r="A444" s="9"/>
      <c r="E444" s="13"/>
      <c r="J444" s="121"/>
      <c r="L444" s="9"/>
      <c r="M444" s="9"/>
      <c r="N444" s="9"/>
      <c r="O444" s="9"/>
    </row>
    <row r="445">
      <c r="A445" s="9"/>
      <c r="E445" s="13"/>
      <c r="J445" s="121"/>
      <c r="L445" s="9"/>
      <c r="M445" s="9"/>
      <c r="N445" s="9"/>
      <c r="O445" s="9"/>
    </row>
    <row r="446">
      <c r="A446" s="9"/>
      <c r="E446" s="13"/>
      <c r="J446" s="121"/>
      <c r="L446" s="9"/>
      <c r="M446" s="9"/>
      <c r="N446" s="9"/>
      <c r="O446" s="9"/>
    </row>
    <row r="447">
      <c r="A447" s="9"/>
      <c r="E447" s="13"/>
      <c r="J447" s="121"/>
      <c r="L447" s="9"/>
      <c r="M447" s="9"/>
      <c r="N447" s="9"/>
      <c r="O447" s="9"/>
    </row>
    <row r="448">
      <c r="A448" s="9"/>
      <c r="E448" s="13"/>
      <c r="J448" s="121"/>
      <c r="L448" s="9"/>
      <c r="M448" s="9"/>
      <c r="N448" s="9"/>
      <c r="O448" s="9"/>
    </row>
    <row r="449">
      <c r="A449" s="9"/>
      <c r="E449" s="13"/>
      <c r="J449" s="121"/>
      <c r="L449" s="9"/>
      <c r="M449" s="9"/>
      <c r="N449" s="9"/>
      <c r="O449" s="9"/>
    </row>
    <row r="450">
      <c r="A450" s="9"/>
      <c r="E450" s="13"/>
      <c r="J450" s="121"/>
      <c r="L450" s="9"/>
      <c r="M450" s="9"/>
      <c r="N450" s="9"/>
      <c r="O450" s="9"/>
    </row>
    <row r="451">
      <c r="A451" s="9"/>
      <c r="E451" s="13"/>
      <c r="J451" s="121"/>
      <c r="L451" s="9"/>
      <c r="M451" s="9"/>
      <c r="N451" s="9"/>
      <c r="O451" s="9"/>
    </row>
    <row r="452">
      <c r="A452" s="9"/>
      <c r="E452" s="13"/>
      <c r="J452" s="121"/>
      <c r="L452" s="9"/>
      <c r="M452" s="9"/>
      <c r="N452" s="9"/>
      <c r="O452" s="9"/>
    </row>
    <row r="453">
      <c r="A453" s="9"/>
      <c r="E453" s="13"/>
      <c r="J453" s="121"/>
      <c r="L453" s="9"/>
      <c r="M453" s="9"/>
      <c r="N453" s="9"/>
      <c r="O453" s="9"/>
    </row>
    <row r="454">
      <c r="A454" s="9"/>
      <c r="E454" s="13"/>
      <c r="J454" s="121"/>
      <c r="L454" s="9"/>
      <c r="M454" s="9"/>
      <c r="N454" s="9"/>
      <c r="O454" s="9"/>
    </row>
    <row r="455">
      <c r="A455" s="9"/>
      <c r="E455" s="13"/>
      <c r="J455" s="121"/>
      <c r="L455" s="9"/>
      <c r="M455" s="9"/>
      <c r="N455" s="9"/>
      <c r="O455" s="9"/>
    </row>
    <row r="456">
      <c r="A456" s="9"/>
      <c r="E456" s="13"/>
      <c r="J456" s="121"/>
      <c r="L456" s="9"/>
      <c r="M456" s="9"/>
      <c r="N456" s="9"/>
      <c r="O456" s="9"/>
    </row>
    <row r="457">
      <c r="A457" s="9"/>
      <c r="E457" s="13"/>
      <c r="J457" s="121"/>
      <c r="L457" s="9"/>
      <c r="M457" s="9"/>
      <c r="N457" s="9"/>
      <c r="O457" s="9"/>
    </row>
    <row r="458">
      <c r="A458" s="9"/>
      <c r="E458" s="13"/>
      <c r="J458" s="121"/>
      <c r="L458" s="9"/>
      <c r="M458" s="9"/>
      <c r="N458" s="9"/>
      <c r="O458" s="9"/>
    </row>
    <row r="459">
      <c r="A459" s="9"/>
      <c r="E459" s="13"/>
      <c r="J459" s="121"/>
      <c r="L459" s="9"/>
      <c r="M459" s="9"/>
      <c r="N459" s="9"/>
      <c r="O459" s="9"/>
    </row>
    <row r="460">
      <c r="A460" s="9"/>
      <c r="E460" s="13"/>
      <c r="J460" s="121"/>
      <c r="L460" s="9"/>
      <c r="M460" s="9"/>
      <c r="N460" s="9"/>
      <c r="O460" s="9"/>
    </row>
    <row r="461">
      <c r="A461" s="9"/>
      <c r="E461" s="13"/>
      <c r="J461" s="121"/>
      <c r="L461" s="9"/>
      <c r="M461" s="9"/>
      <c r="N461" s="9"/>
      <c r="O461" s="9"/>
    </row>
    <row r="462">
      <c r="A462" s="9"/>
      <c r="E462" s="13"/>
      <c r="J462" s="121"/>
      <c r="L462" s="9"/>
      <c r="M462" s="9"/>
      <c r="N462" s="9"/>
      <c r="O462" s="9"/>
    </row>
    <row r="463">
      <c r="A463" s="9"/>
      <c r="E463" s="13"/>
      <c r="J463" s="121"/>
      <c r="L463" s="9"/>
      <c r="M463" s="9"/>
      <c r="N463" s="9"/>
      <c r="O463" s="9"/>
    </row>
    <row r="464">
      <c r="A464" s="9"/>
      <c r="E464" s="13"/>
      <c r="J464" s="121"/>
      <c r="L464" s="9"/>
      <c r="M464" s="9"/>
      <c r="N464" s="9"/>
      <c r="O464" s="9"/>
    </row>
    <row r="465">
      <c r="A465" s="9"/>
      <c r="E465" s="13"/>
      <c r="J465" s="121"/>
      <c r="L465" s="9"/>
      <c r="M465" s="9"/>
      <c r="N465" s="9"/>
      <c r="O465" s="9"/>
    </row>
    <row r="466">
      <c r="A466" s="9"/>
      <c r="E466" s="13"/>
      <c r="J466" s="121"/>
      <c r="L466" s="9"/>
      <c r="M466" s="9"/>
      <c r="N466" s="9"/>
      <c r="O466" s="9"/>
    </row>
    <row r="467">
      <c r="A467" s="9"/>
      <c r="E467" s="13"/>
      <c r="J467" s="121"/>
      <c r="L467" s="9"/>
      <c r="M467" s="9"/>
      <c r="N467" s="9"/>
      <c r="O467" s="9"/>
    </row>
    <row r="468">
      <c r="A468" s="9"/>
      <c r="E468" s="13"/>
      <c r="J468" s="121"/>
      <c r="L468" s="9"/>
      <c r="M468" s="9"/>
      <c r="N468" s="9"/>
      <c r="O468" s="9"/>
    </row>
    <row r="469">
      <c r="A469" s="9"/>
      <c r="E469" s="13"/>
      <c r="J469" s="121"/>
      <c r="L469" s="9"/>
      <c r="M469" s="9"/>
      <c r="N469" s="9"/>
      <c r="O469" s="9"/>
    </row>
    <row r="470">
      <c r="A470" s="9"/>
      <c r="E470" s="13"/>
      <c r="J470" s="121"/>
      <c r="L470" s="9"/>
      <c r="M470" s="9"/>
      <c r="N470" s="9"/>
      <c r="O470" s="9"/>
    </row>
    <row r="471">
      <c r="A471" s="9"/>
      <c r="E471" s="13"/>
      <c r="J471" s="121"/>
      <c r="L471" s="9"/>
      <c r="M471" s="9"/>
      <c r="N471" s="9"/>
      <c r="O471" s="9"/>
    </row>
    <row r="472">
      <c r="A472" s="9"/>
      <c r="E472" s="13"/>
      <c r="J472" s="121"/>
      <c r="L472" s="9"/>
      <c r="M472" s="9"/>
      <c r="N472" s="9"/>
      <c r="O472" s="9"/>
    </row>
    <row r="473">
      <c r="A473" s="9"/>
      <c r="E473" s="13"/>
      <c r="J473" s="121"/>
      <c r="L473" s="9"/>
      <c r="M473" s="9"/>
      <c r="N473" s="9"/>
      <c r="O473" s="9"/>
    </row>
    <row r="474">
      <c r="A474" s="9"/>
      <c r="E474" s="13"/>
      <c r="J474" s="121"/>
      <c r="L474" s="9"/>
      <c r="M474" s="9"/>
      <c r="N474" s="9"/>
      <c r="O474" s="9"/>
    </row>
    <row r="475">
      <c r="A475" s="9"/>
      <c r="E475" s="13"/>
      <c r="J475" s="121"/>
      <c r="L475" s="9"/>
      <c r="M475" s="9"/>
      <c r="N475" s="9"/>
      <c r="O475" s="9"/>
    </row>
    <row r="476">
      <c r="A476" s="9"/>
      <c r="E476" s="13"/>
      <c r="J476" s="121"/>
      <c r="L476" s="9"/>
      <c r="M476" s="9"/>
      <c r="N476" s="9"/>
      <c r="O476" s="9"/>
    </row>
    <row r="477">
      <c r="A477" s="9"/>
      <c r="E477" s="13"/>
      <c r="J477" s="121"/>
      <c r="L477" s="9"/>
      <c r="M477" s="9"/>
      <c r="N477" s="9"/>
      <c r="O477" s="9"/>
    </row>
    <row r="478">
      <c r="A478" s="9"/>
      <c r="E478" s="13"/>
      <c r="J478" s="121"/>
      <c r="L478" s="9"/>
      <c r="M478" s="9"/>
      <c r="N478" s="9"/>
      <c r="O478" s="9"/>
    </row>
    <row r="479">
      <c r="A479" s="9"/>
      <c r="E479" s="13"/>
      <c r="J479" s="121"/>
      <c r="L479" s="9"/>
      <c r="M479" s="9"/>
      <c r="N479" s="9"/>
      <c r="O479" s="9"/>
    </row>
    <row r="480">
      <c r="A480" s="9"/>
      <c r="E480" s="13"/>
      <c r="J480" s="121"/>
      <c r="L480" s="9"/>
      <c r="M480" s="9"/>
      <c r="N480" s="9"/>
      <c r="O480" s="9"/>
    </row>
    <row r="481">
      <c r="A481" s="9"/>
      <c r="E481" s="13"/>
      <c r="J481" s="121"/>
      <c r="L481" s="9"/>
      <c r="M481" s="9"/>
      <c r="N481" s="9"/>
      <c r="O481" s="9"/>
    </row>
    <row r="482">
      <c r="A482" s="9"/>
      <c r="E482" s="13"/>
      <c r="J482" s="121"/>
      <c r="L482" s="9"/>
      <c r="M482" s="9"/>
      <c r="N482" s="9"/>
      <c r="O482" s="9"/>
    </row>
    <row r="483">
      <c r="A483" s="9"/>
      <c r="E483" s="13"/>
      <c r="J483" s="121"/>
      <c r="L483" s="9"/>
      <c r="M483" s="9"/>
      <c r="N483" s="9"/>
      <c r="O483" s="9"/>
    </row>
    <row r="484">
      <c r="A484" s="9"/>
      <c r="E484" s="13"/>
      <c r="J484" s="121"/>
      <c r="L484" s="9"/>
      <c r="M484" s="9"/>
      <c r="N484" s="9"/>
      <c r="O484" s="9"/>
    </row>
    <row r="485">
      <c r="A485" s="9"/>
      <c r="E485" s="13"/>
      <c r="J485" s="121"/>
      <c r="L485" s="9"/>
      <c r="M485" s="9"/>
      <c r="N485" s="9"/>
      <c r="O485" s="9"/>
    </row>
    <row r="486">
      <c r="A486" s="9"/>
      <c r="E486" s="13"/>
      <c r="J486" s="121"/>
      <c r="L486" s="9"/>
      <c r="M486" s="9"/>
      <c r="N486" s="9"/>
      <c r="O486" s="9"/>
    </row>
    <row r="487">
      <c r="A487" s="9"/>
      <c r="E487" s="13"/>
      <c r="J487" s="121"/>
      <c r="L487" s="9"/>
      <c r="M487" s="9"/>
      <c r="N487" s="9"/>
      <c r="O487" s="9"/>
    </row>
    <row r="488">
      <c r="A488" s="9"/>
      <c r="E488" s="13"/>
      <c r="J488" s="121"/>
      <c r="L488" s="9"/>
      <c r="M488" s="9"/>
      <c r="N488" s="9"/>
      <c r="O488" s="9"/>
    </row>
    <row r="489">
      <c r="A489" s="9"/>
      <c r="E489" s="13"/>
      <c r="J489" s="121"/>
      <c r="L489" s="9"/>
      <c r="M489" s="9"/>
      <c r="N489" s="9"/>
      <c r="O489" s="9"/>
    </row>
    <row r="490">
      <c r="A490" s="9"/>
      <c r="E490" s="13"/>
      <c r="J490" s="121"/>
      <c r="L490" s="9"/>
      <c r="M490" s="9"/>
      <c r="N490" s="9"/>
      <c r="O490" s="9"/>
    </row>
    <row r="491">
      <c r="A491" s="9"/>
      <c r="E491" s="13"/>
      <c r="J491" s="121"/>
      <c r="L491" s="9"/>
      <c r="M491" s="9"/>
      <c r="N491" s="9"/>
      <c r="O491" s="9"/>
    </row>
    <row r="492">
      <c r="A492" s="9"/>
      <c r="E492" s="13"/>
      <c r="J492" s="121"/>
      <c r="L492" s="9"/>
      <c r="M492" s="9"/>
      <c r="N492" s="9"/>
      <c r="O492" s="9"/>
    </row>
    <row r="493">
      <c r="A493" s="9"/>
      <c r="E493" s="13"/>
      <c r="J493" s="121"/>
      <c r="L493" s="9"/>
      <c r="M493" s="9"/>
      <c r="N493" s="9"/>
      <c r="O493" s="9"/>
    </row>
    <row r="494">
      <c r="A494" s="9"/>
      <c r="E494" s="13"/>
      <c r="J494" s="121"/>
      <c r="L494" s="9"/>
      <c r="M494" s="9"/>
      <c r="N494" s="9"/>
      <c r="O494" s="9"/>
    </row>
    <row r="495">
      <c r="A495" s="9"/>
      <c r="E495" s="13"/>
      <c r="J495" s="121"/>
      <c r="L495" s="9"/>
      <c r="M495" s="9"/>
      <c r="N495" s="9"/>
      <c r="O495" s="9"/>
    </row>
    <row r="496">
      <c r="A496" s="9"/>
      <c r="E496" s="13"/>
      <c r="J496" s="121"/>
      <c r="L496" s="9"/>
      <c r="M496" s="9"/>
      <c r="N496" s="9"/>
      <c r="O496" s="9"/>
    </row>
    <row r="497">
      <c r="A497" s="9"/>
      <c r="E497" s="13"/>
      <c r="J497" s="121"/>
      <c r="L497" s="9"/>
      <c r="M497" s="9"/>
      <c r="N497" s="9"/>
      <c r="O497" s="9"/>
    </row>
    <row r="498">
      <c r="A498" s="9"/>
      <c r="E498" s="13"/>
      <c r="J498" s="121"/>
      <c r="L498" s="9"/>
      <c r="M498" s="9"/>
      <c r="N498" s="9"/>
      <c r="O498" s="9"/>
    </row>
    <row r="499">
      <c r="A499" s="9"/>
      <c r="E499" s="13"/>
      <c r="J499" s="121"/>
      <c r="L499" s="9"/>
      <c r="M499" s="9"/>
      <c r="N499" s="9"/>
      <c r="O499" s="9"/>
    </row>
    <row r="500">
      <c r="A500" s="9"/>
      <c r="E500" s="13"/>
      <c r="J500" s="121"/>
      <c r="L500" s="9"/>
      <c r="M500" s="9"/>
      <c r="N500" s="9"/>
      <c r="O500" s="9"/>
    </row>
    <row r="501">
      <c r="A501" s="9"/>
      <c r="E501" s="13"/>
      <c r="J501" s="121"/>
      <c r="L501" s="9"/>
      <c r="M501" s="9"/>
      <c r="N501" s="9"/>
      <c r="O501" s="9"/>
    </row>
    <row r="502">
      <c r="A502" s="9"/>
      <c r="E502" s="13"/>
      <c r="J502" s="121"/>
      <c r="L502" s="9"/>
      <c r="M502" s="9"/>
      <c r="N502" s="9"/>
      <c r="O502" s="9"/>
    </row>
    <row r="503">
      <c r="A503" s="9"/>
      <c r="E503" s="13"/>
      <c r="J503" s="121"/>
      <c r="L503" s="9"/>
      <c r="M503" s="9"/>
      <c r="N503" s="9"/>
      <c r="O503" s="9"/>
    </row>
    <row r="504">
      <c r="A504" s="9"/>
      <c r="E504" s="13"/>
      <c r="J504" s="121"/>
      <c r="L504" s="9"/>
      <c r="M504" s="9"/>
      <c r="N504" s="9"/>
      <c r="O504" s="9"/>
    </row>
    <row r="505">
      <c r="A505" s="9"/>
      <c r="E505" s="13"/>
      <c r="J505" s="121"/>
      <c r="L505" s="9"/>
      <c r="M505" s="9"/>
      <c r="N505" s="9"/>
      <c r="O505" s="9"/>
    </row>
    <row r="506">
      <c r="A506" s="9"/>
      <c r="E506" s="13"/>
      <c r="J506" s="121"/>
      <c r="L506" s="9"/>
      <c r="M506" s="9"/>
      <c r="N506" s="9"/>
      <c r="O506" s="9"/>
    </row>
    <row r="507">
      <c r="A507" s="9"/>
      <c r="E507" s="13"/>
      <c r="J507" s="121"/>
      <c r="L507" s="9"/>
      <c r="M507" s="9"/>
      <c r="N507" s="9"/>
      <c r="O507" s="9"/>
    </row>
    <row r="508">
      <c r="A508" s="9"/>
      <c r="E508" s="13"/>
      <c r="J508" s="121"/>
      <c r="L508" s="9"/>
      <c r="M508" s="9"/>
      <c r="N508" s="9"/>
      <c r="O508" s="9"/>
    </row>
    <row r="509">
      <c r="A509" s="9"/>
      <c r="E509" s="13"/>
      <c r="J509" s="121"/>
      <c r="L509" s="9"/>
      <c r="M509" s="9"/>
      <c r="N509" s="9"/>
      <c r="O509" s="9"/>
    </row>
    <row r="510">
      <c r="A510" s="9"/>
      <c r="E510" s="13"/>
      <c r="J510" s="121"/>
      <c r="L510" s="9"/>
      <c r="M510" s="9"/>
      <c r="N510" s="9"/>
      <c r="O510" s="9"/>
    </row>
    <row r="511">
      <c r="A511" s="9"/>
      <c r="E511" s="13"/>
      <c r="J511" s="121"/>
      <c r="L511" s="9"/>
      <c r="M511" s="9"/>
      <c r="N511" s="9"/>
      <c r="O511" s="9"/>
    </row>
    <row r="512">
      <c r="A512" s="9"/>
      <c r="E512" s="13"/>
      <c r="J512" s="121"/>
      <c r="L512" s="9"/>
      <c r="M512" s="9"/>
      <c r="N512" s="9"/>
      <c r="O512" s="9"/>
    </row>
    <row r="513">
      <c r="A513" s="9"/>
      <c r="E513" s="13"/>
      <c r="J513" s="121"/>
      <c r="L513" s="9"/>
      <c r="M513" s="9"/>
      <c r="N513" s="9"/>
      <c r="O513" s="9"/>
    </row>
    <row r="514">
      <c r="A514" s="9"/>
      <c r="E514" s="13"/>
      <c r="J514" s="121"/>
      <c r="L514" s="9"/>
      <c r="M514" s="9"/>
      <c r="N514" s="9"/>
      <c r="O514" s="9"/>
    </row>
    <row r="515">
      <c r="A515" s="9"/>
      <c r="E515" s="13"/>
      <c r="J515" s="121"/>
      <c r="L515" s="9"/>
      <c r="M515" s="9"/>
      <c r="N515" s="9"/>
      <c r="O515" s="9"/>
    </row>
    <row r="516">
      <c r="A516" s="9"/>
      <c r="E516" s="13"/>
      <c r="J516" s="121"/>
      <c r="L516" s="9"/>
      <c r="M516" s="9"/>
      <c r="N516" s="9"/>
      <c r="O516" s="9"/>
    </row>
    <row r="517">
      <c r="A517" s="9"/>
      <c r="E517" s="13"/>
      <c r="J517" s="121"/>
      <c r="L517" s="9"/>
      <c r="M517" s="9"/>
      <c r="N517" s="9"/>
      <c r="O517" s="9"/>
    </row>
    <row r="518">
      <c r="A518" s="9"/>
      <c r="E518" s="13"/>
      <c r="J518" s="121"/>
      <c r="L518" s="9"/>
      <c r="M518" s="9"/>
      <c r="N518" s="9"/>
      <c r="O518" s="9"/>
    </row>
    <row r="519">
      <c r="A519" s="9"/>
      <c r="E519" s="13"/>
      <c r="J519" s="121"/>
      <c r="L519" s="9"/>
      <c r="M519" s="9"/>
      <c r="N519" s="9"/>
      <c r="O519" s="9"/>
    </row>
    <row r="520">
      <c r="A520" s="9"/>
      <c r="E520" s="13"/>
      <c r="J520" s="121"/>
      <c r="L520" s="9"/>
      <c r="M520" s="9"/>
      <c r="N520" s="9"/>
      <c r="O520" s="9"/>
    </row>
    <row r="521">
      <c r="A521" s="9"/>
      <c r="E521" s="13"/>
      <c r="J521" s="121"/>
      <c r="L521" s="9"/>
      <c r="M521" s="9"/>
      <c r="N521" s="9"/>
      <c r="O521" s="9"/>
    </row>
    <row r="522">
      <c r="A522" s="9"/>
      <c r="E522" s="13"/>
      <c r="J522" s="121"/>
      <c r="L522" s="9"/>
      <c r="M522" s="9"/>
      <c r="N522" s="9"/>
      <c r="O522" s="9"/>
    </row>
    <row r="523">
      <c r="A523" s="9"/>
      <c r="E523" s="13"/>
      <c r="J523" s="121"/>
      <c r="L523" s="9"/>
      <c r="M523" s="9"/>
      <c r="N523" s="9"/>
      <c r="O523" s="9"/>
    </row>
    <row r="524">
      <c r="A524" s="9"/>
      <c r="E524" s="13"/>
      <c r="J524" s="121"/>
      <c r="L524" s="9"/>
      <c r="M524" s="9"/>
      <c r="N524" s="9"/>
      <c r="O524" s="9"/>
    </row>
    <row r="525">
      <c r="A525" s="9"/>
      <c r="E525" s="13"/>
      <c r="J525" s="121"/>
      <c r="L525" s="9"/>
      <c r="M525" s="9"/>
      <c r="N525" s="9"/>
      <c r="O525" s="9"/>
    </row>
    <row r="526">
      <c r="A526" s="9"/>
      <c r="E526" s="13"/>
      <c r="J526" s="121"/>
      <c r="L526" s="9"/>
      <c r="M526" s="9"/>
      <c r="N526" s="9"/>
      <c r="O526" s="9"/>
    </row>
    <row r="527">
      <c r="A527" s="9"/>
      <c r="E527" s="13"/>
      <c r="J527" s="121"/>
      <c r="L527" s="9"/>
      <c r="M527" s="9"/>
      <c r="N527" s="9"/>
      <c r="O527" s="9"/>
    </row>
    <row r="528">
      <c r="A528" s="9"/>
      <c r="E528" s="13"/>
      <c r="J528" s="121"/>
      <c r="L528" s="9"/>
      <c r="M528" s="9"/>
      <c r="N528" s="9"/>
      <c r="O528" s="9"/>
    </row>
    <row r="529">
      <c r="A529" s="9"/>
      <c r="E529" s="13"/>
      <c r="J529" s="121"/>
      <c r="L529" s="9"/>
      <c r="M529" s="9"/>
      <c r="N529" s="9"/>
      <c r="O529" s="9"/>
    </row>
    <row r="530">
      <c r="A530" s="9"/>
      <c r="E530" s="13"/>
      <c r="J530" s="121"/>
      <c r="L530" s="9"/>
      <c r="M530" s="9"/>
      <c r="N530" s="9"/>
      <c r="O530" s="9"/>
    </row>
    <row r="531">
      <c r="A531" s="9"/>
      <c r="E531" s="13"/>
      <c r="J531" s="121"/>
      <c r="L531" s="9"/>
      <c r="M531" s="9"/>
      <c r="N531" s="9"/>
      <c r="O531" s="9"/>
    </row>
    <row r="532">
      <c r="A532" s="9"/>
      <c r="E532" s="13"/>
      <c r="J532" s="121"/>
      <c r="L532" s="9"/>
      <c r="M532" s="9"/>
      <c r="N532" s="9"/>
      <c r="O532" s="9"/>
    </row>
    <row r="533">
      <c r="A533" s="9"/>
      <c r="E533" s="13"/>
      <c r="J533" s="121"/>
      <c r="L533" s="9"/>
      <c r="M533" s="9"/>
      <c r="N533" s="9"/>
      <c r="O533" s="9"/>
    </row>
    <row r="534">
      <c r="A534" s="9"/>
      <c r="E534" s="13"/>
      <c r="J534" s="121"/>
      <c r="L534" s="9"/>
      <c r="M534" s="9"/>
      <c r="N534" s="9"/>
      <c r="O534" s="9"/>
    </row>
    <row r="535">
      <c r="A535" s="9"/>
      <c r="E535" s="13"/>
      <c r="J535" s="121"/>
      <c r="L535" s="9"/>
      <c r="M535" s="9"/>
      <c r="N535" s="9"/>
      <c r="O535" s="9"/>
    </row>
    <row r="536">
      <c r="A536" s="9"/>
      <c r="E536" s="13"/>
      <c r="J536" s="121"/>
      <c r="L536" s="9"/>
      <c r="M536" s="9"/>
      <c r="N536" s="9"/>
      <c r="O536" s="9"/>
    </row>
    <row r="537">
      <c r="A537" s="9"/>
      <c r="E537" s="13"/>
      <c r="J537" s="121"/>
      <c r="L537" s="9"/>
      <c r="M537" s="9"/>
      <c r="N537" s="9"/>
      <c r="O537" s="9"/>
    </row>
    <row r="538">
      <c r="A538" s="9"/>
      <c r="E538" s="13"/>
      <c r="J538" s="121"/>
      <c r="L538" s="9"/>
      <c r="M538" s="9"/>
      <c r="N538" s="9"/>
      <c r="O538" s="9"/>
    </row>
    <row r="539">
      <c r="A539" s="9"/>
      <c r="E539" s="13"/>
      <c r="J539" s="121"/>
      <c r="L539" s="9"/>
      <c r="M539" s="9"/>
      <c r="N539" s="9"/>
      <c r="O539" s="9"/>
    </row>
    <row r="540">
      <c r="A540" s="9"/>
      <c r="E540" s="13"/>
      <c r="J540" s="121"/>
      <c r="L540" s="9"/>
      <c r="M540" s="9"/>
      <c r="N540" s="9"/>
      <c r="O540" s="9"/>
    </row>
    <row r="541">
      <c r="A541" s="9"/>
      <c r="E541" s="13"/>
      <c r="J541" s="121"/>
      <c r="L541" s="9"/>
      <c r="M541" s="9"/>
      <c r="N541" s="9"/>
      <c r="O541" s="9"/>
    </row>
    <row r="542">
      <c r="A542" s="9"/>
      <c r="E542" s="13"/>
      <c r="J542" s="121"/>
      <c r="L542" s="9"/>
      <c r="M542" s="9"/>
      <c r="N542" s="9"/>
      <c r="O542" s="9"/>
    </row>
    <row r="543">
      <c r="A543" s="9"/>
      <c r="E543" s="13"/>
      <c r="J543" s="121"/>
      <c r="L543" s="9"/>
      <c r="M543" s="9"/>
      <c r="N543" s="9"/>
      <c r="O543" s="9"/>
    </row>
    <row r="544">
      <c r="A544" s="9"/>
      <c r="E544" s="13"/>
      <c r="J544" s="121"/>
      <c r="L544" s="9"/>
      <c r="M544" s="9"/>
      <c r="N544" s="9"/>
      <c r="O544" s="9"/>
    </row>
    <row r="545">
      <c r="A545" s="9"/>
      <c r="E545" s="13"/>
      <c r="J545" s="121"/>
      <c r="L545" s="9"/>
      <c r="M545" s="9"/>
      <c r="N545" s="9"/>
      <c r="O545" s="9"/>
    </row>
    <row r="546">
      <c r="A546" s="9"/>
      <c r="E546" s="13"/>
      <c r="J546" s="121"/>
      <c r="L546" s="9"/>
      <c r="M546" s="9"/>
      <c r="N546" s="9"/>
      <c r="O546" s="9"/>
    </row>
    <row r="547">
      <c r="A547" s="9"/>
      <c r="E547" s="13"/>
      <c r="J547" s="121"/>
      <c r="L547" s="9"/>
      <c r="M547" s="9"/>
      <c r="N547" s="9"/>
      <c r="O547" s="9"/>
    </row>
    <row r="548">
      <c r="A548" s="9"/>
      <c r="E548" s="13"/>
      <c r="J548" s="121"/>
      <c r="L548" s="9"/>
      <c r="M548" s="9"/>
      <c r="N548" s="9"/>
      <c r="O548" s="9"/>
    </row>
    <row r="549">
      <c r="A549" s="9"/>
      <c r="E549" s="13"/>
      <c r="J549" s="121"/>
      <c r="L549" s="9"/>
      <c r="M549" s="9"/>
      <c r="N549" s="9"/>
      <c r="O549" s="9"/>
    </row>
    <row r="550">
      <c r="A550" s="9"/>
      <c r="E550" s="13"/>
      <c r="J550" s="121"/>
      <c r="L550" s="9"/>
      <c r="M550" s="9"/>
      <c r="N550" s="9"/>
      <c r="O550" s="9"/>
    </row>
    <row r="551">
      <c r="A551" s="9"/>
      <c r="E551" s="13"/>
      <c r="J551" s="121"/>
      <c r="L551" s="9"/>
      <c r="M551" s="9"/>
      <c r="N551" s="9"/>
      <c r="O551" s="9"/>
    </row>
    <row r="552">
      <c r="A552" s="9"/>
      <c r="E552" s="13"/>
      <c r="J552" s="121"/>
      <c r="L552" s="9"/>
      <c r="M552" s="9"/>
      <c r="N552" s="9"/>
      <c r="O552" s="9"/>
    </row>
    <row r="553">
      <c r="A553" s="9"/>
      <c r="E553" s="13"/>
      <c r="J553" s="121"/>
      <c r="L553" s="9"/>
      <c r="M553" s="9"/>
      <c r="N553" s="9"/>
      <c r="O553" s="9"/>
    </row>
    <row r="554">
      <c r="A554" s="9"/>
      <c r="E554" s="13"/>
      <c r="J554" s="121"/>
      <c r="L554" s="9"/>
      <c r="M554" s="9"/>
      <c r="N554" s="9"/>
      <c r="O554" s="9"/>
    </row>
    <row r="555">
      <c r="A555" s="9"/>
      <c r="E555" s="13"/>
      <c r="J555" s="121"/>
      <c r="L555" s="9"/>
      <c r="M555" s="9"/>
      <c r="N555" s="9"/>
      <c r="O555" s="9"/>
    </row>
    <row r="556">
      <c r="A556" s="9"/>
      <c r="E556" s="13"/>
      <c r="J556" s="121"/>
      <c r="L556" s="9"/>
      <c r="M556" s="9"/>
      <c r="N556" s="9"/>
      <c r="O556" s="9"/>
    </row>
    <row r="557">
      <c r="A557" s="9"/>
      <c r="E557" s="13"/>
      <c r="J557" s="121"/>
      <c r="L557" s="9"/>
      <c r="M557" s="9"/>
      <c r="N557" s="9"/>
      <c r="O557" s="9"/>
    </row>
    <row r="558">
      <c r="A558" s="9"/>
      <c r="E558" s="13"/>
      <c r="J558" s="121"/>
      <c r="L558" s="9"/>
      <c r="M558" s="9"/>
      <c r="N558" s="9"/>
      <c r="O558" s="9"/>
    </row>
    <row r="559">
      <c r="A559" s="9"/>
      <c r="E559" s="13"/>
      <c r="J559" s="121"/>
      <c r="L559" s="9"/>
      <c r="M559" s="9"/>
      <c r="N559" s="9"/>
      <c r="O559" s="9"/>
    </row>
    <row r="560">
      <c r="A560" s="9"/>
      <c r="E560" s="13"/>
      <c r="J560" s="121"/>
      <c r="L560" s="9"/>
      <c r="M560" s="9"/>
      <c r="N560" s="9"/>
      <c r="O560" s="9"/>
    </row>
    <row r="561">
      <c r="A561" s="9"/>
      <c r="E561" s="13"/>
      <c r="J561" s="121"/>
      <c r="L561" s="9"/>
      <c r="M561" s="9"/>
      <c r="N561" s="9"/>
      <c r="O561" s="9"/>
    </row>
    <row r="562">
      <c r="A562" s="9"/>
      <c r="E562" s="13"/>
      <c r="J562" s="121"/>
      <c r="L562" s="9"/>
      <c r="M562" s="9"/>
      <c r="N562" s="9"/>
      <c r="O562" s="9"/>
    </row>
    <row r="563">
      <c r="A563" s="9"/>
      <c r="E563" s="13"/>
      <c r="J563" s="121"/>
      <c r="L563" s="9"/>
      <c r="M563" s="9"/>
      <c r="N563" s="9"/>
      <c r="O563" s="9"/>
    </row>
    <row r="564">
      <c r="A564" s="9"/>
      <c r="E564" s="13"/>
      <c r="J564" s="121"/>
      <c r="L564" s="9"/>
      <c r="M564" s="9"/>
      <c r="N564" s="9"/>
      <c r="O564" s="9"/>
    </row>
    <row r="565">
      <c r="A565" s="9"/>
      <c r="E565" s="13"/>
      <c r="J565" s="121"/>
      <c r="L565" s="9"/>
      <c r="M565" s="9"/>
      <c r="N565" s="9"/>
      <c r="O565" s="9"/>
    </row>
    <row r="566">
      <c r="A566" s="9"/>
      <c r="E566" s="13"/>
      <c r="J566" s="121"/>
      <c r="L566" s="9"/>
      <c r="M566" s="9"/>
      <c r="N566" s="9"/>
      <c r="O566" s="9"/>
    </row>
    <row r="567">
      <c r="A567" s="9"/>
      <c r="E567" s="13"/>
      <c r="J567" s="121"/>
      <c r="L567" s="9"/>
      <c r="M567" s="9"/>
      <c r="N567" s="9"/>
      <c r="O567" s="9"/>
    </row>
    <row r="568">
      <c r="A568" s="9"/>
      <c r="E568" s="13"/>
      <c r="J568" s="121"/>
      <c r="L568" s="9"/>
      <c r="M568" s="9"/>
      <c r="N568" s="9"/>
      <c r="O568" s="9"/>
    </row>
    <row r="569">
      <c r="A569" s="9"/>
      <c r="E569" s="13"/>
      <c r="J569" s="121"/>
      <c r="L569" s="9"/>
      <c r="M569" s="9"/>
      <c r="N569" s="9"/>
      <c r="O569" s="9"/>
    </row>
    <row r="570">
      <c r="A570" s="9"/>
      <c r="E570" s="13"/>
      <c r="J570" s="121"/>
      <c r="L570" s="9"/>
      <c r="M570" s="9"/>
      <c r="N570" s="9"/>
      <c r="O570" s="9"/>
    </row>
    <row r="571">
      <c r="A571" s="9"/>
      <c r="E571" s="13"/>
      <c r="J571" s="121"/>
      <c r="L571" s="9"/>
      <c r="M571" s="9"/>
      <c r="N571" s="9"/>
      <c r="O571" s="9"/>
    </row>
    <row r="572">
      <c r="A572" s="9"/>
      <c r="E572" s="13"/>
      <c r="J572" s="121"/>
      <c r="L572" s="9"/>
      <c r="M572" s="9"/>
      <c r="N572" s="9"/>
      <c r="O572" s="9"/>
    </row>
    <row r="573">
      <c r="A573" s="9"/>
      <c r="E573" s="13"/>
      <c r="J573" s="121"/>
      <c r="L573" s="9"/>
      <c r="M573" s="9"/>
      <c r="N573" s="9"/>
      <c r="O573" s="9"/>
    </row>
    <row r="574">
      <c r="A574" s="9"/>
      <c r="E574" s="13"/>
      <c r="J574" s="121"/>
      <c r="L574" s="9"/>
      <c r="M574" s="9"/>
      <c r="N574" s="9"/>
      <c r="O574" s="9"/>
    </row>
    <row r="575">
      <c r="A575" s="9"/>
      <c r="E575" s="13"/>
      <c r="J575" s="121"/>
      <c r="L575" s="9"/>
      <c r="M575" s="9"/>
      <c r="N575" s="9"/>
      <c r="O575" s="9"/>
    </row>
    <row r="576">
      <c r="A576" s="9"/>
      <c r="E576" s="13"/>
      <c r="J576" s="121"/>
      <c r="L576" s="9"/>
      <c r="M576" s="9"/>
      <c r="N576" s="9"/>
      <c r="O576" s="9"/>
    </row>
    <row r="577">
      <c r="A577" s="9"/>
      <c r="E577" s="13"/>
      <c r="J577" s="121"/>
      <c r="L577" s="9"/>
      <c r="M577" s="9"/>
      <c r="N577" s="9"/>
      <c r="O577" s="9"/>
    </row>
    <row r="578">
      <c r="A578" s="9"/>
      <c r="E578" s="13"/>
      <c r="J578" s="121"/>
      <c r="L578" s="9"/>
      <c r="M578" s="9"/>
      <c r="N578" s="9"/>
      <c r="O578" s="9"/>
    </row>
    <row r="579">
      <c r="A579" s="9"/>
      <c r="E579" s="13"/>
      <c r="J579" s="121"/>
      <c r="L579" s="9"/>
      <c r="M579" s="9"/>
      <c r="N579" s="9"/>
      <c r="O579" s="9"/>
    </row>
    <row r="580">
      <c r="A580" s="9"/>
      <c r="E580" s="13"/>
      <c r="J580" s="121"/>
      <c r="L580" s="9"/>
      <c r="M580" s="9"/>
      <c r="N580" s="9"/>
      <c r="O580" s="9"/>
    </row>
    <row r="581">
      <c r="A581" s="9"/>
      <c r="E581" s="13"/>
      <c r="J581" s="121"/>
      <c r="L581" s="9"/>
      <c r="M581" s="9"/>
      <c r="N581" s="9"/>
      <c r="O581" s="9"/>
    </row>
    <row r="582">
      <c r="A582" s="9"/>
      <c r="E582" s="13"/>
      <c r="J582" s="121"/>
      <c r="L582" s="9"/>
      <c r="M582" s="9"/>
      <c r="N582" s="9"/>
      <c r="O582" s="9"/>
    </row>
    <row r="583">
      <c r="A583" s="9"/>
      <c r="E583" s="13"/>
      <c r="J583" s="121"/>
      <c r="L583" s="9"/>
      <c r="M583" s="9"/>
      <c r="N583" s="9"/>
      <c r="O583" s="9"/>
    </row>
    <row r="584">
      <c r="A584" s="9"/>
      <c r="E584" s="13"/>
      <c r="J584" s="121"/>
      <c r="L584" s="9"/>
      <c r="M584" s="9"/>
      <c r="N584" s="9"/>
      <c r="O584" s="9"/>
    </row>
    <row r="585">
      <c r="A585" s="9"/>
      <c r="E585" s="13"/>
      <c r="J585" s="121"/>
      <c r="L585" s="9"/>
      <c r="M585" s="9"/>
      <c r="N585" s="9"/>
      <c r="O585" s="9"/>
    </row>
    <row r="586">
      <c r="A586" s="9"/>
      <c r="E586" s="13"/>
      <c r="J586" s="121"/>
      <c r="L586" s="9"/>
      <c r="M586" s="9"/>
      <c r="N586" s="9"/>
      <c r="O586" s="9"/>
    </row>
    <row r="587">
      <c r="A587" s="9"/>
      <c r="E587" s="13"/>
      <c r="J587" s="121"/>
      <c r="L587" s="9"/>
      <c r="M587" s="9"/>
      <c r="N587" s="9"/>
      <c r="O587" s="9"/>
    </row>
    <row r="588">
      <c r="A588" s="9"/>
      <c r="E588" s="13"/>
      <c r="J588" s="121"/>
      <c r="L588" s="9"/>
      <c r="M588" s="9"/>
      <c r="N588" s="9"/>
      <c r="O588" s="9"/>
    </row>
    <row r="589">
      <c r="A589" s="9"/>
      <c r="E589" s="13"/>
      <c r="J589" s="121"/>
      <c r="L589" s="9"/>
      <c r="M589" s="9"/>
      <c r="N589" s="9"/>
      <c r="O589" s="9"/>
    </row>
    <row r="590">
      <c r="A590" s="9"/>
      <c r="E590" s="13"/>
      <c r="J590" s="121"/>
      <c r="L590" s="9"/>
      <c r="M590" s="9"/>
      <c r="N590" s="9"/>
      <c r="O590" s="9"/>
    </row>
    <row r="591">
      <c r="A591" s="9"/>
      <c r="E591" s="13"/>
      <c r="J591" s="121"/>
      <c r="L591" s="9"/>
      <c r="M591" s="9"/>
      <c r="N591" s="9"/>
      <c r="O591" s="9"/>
    </row>
    <row r="592">
      <c r="A592" s="9"/>
      <c r="E592" s="13"/>
      <c r="J592" s="121"/>
      <c r="L592" s="9"/>
      <c r="M592" s="9"/>
      <c r="N592" s="9"/>
      <c r="O592" s="9"/>
    </row>
    <row r="593">
      <c r="A593" s="9"/>
      <c r="E593" s="13"/>
      <c r="J593" s="121"/>
      <c r="L593" s="9"/>
      <c r="M593" s="9"/>
      <c r="N593" s="9"/>
      <c r="O593" s="9"/>
    </row>
    <row r="594">
      <c r="A594" s="9"/>
      <c r="E594" s="13"/>
      <c r="J594" s="121"/>
      <c r="L594" s="9"/>
      <c r="M594" s="9"/>
      <c r="N594" s="9"/>
      <c r="O594" s="9"/>
    </row>
    <row r="595">
      <c r="A595" s="9"/>
      <c r="E595" s="13"/>
      <c r="J595" s="121"/>
      <c r="L595" s="9"/>
      <c r="M595" s="9"/>
      <c r="N595" s="9"/>
      <c r="O595" s="9"/>
    </row>
    <row r="596">
      <c r="A596" s="9"/>
      <c r="E596" s="13"/>
      <c r="J596" s="121"/>
      <c r="L596" s="9"/>
      <c r="M596" s="9"/>
      <c r="N596" s="9"/>
      <c r="O596" s="9"/>
    </row>
    <row r="597">
      <c r="A597" s="9"/>
      <c r="E597" s="13"/>
      <c r="J597" s="121"/>
      <c r="L597" s="9"/>
      <c r="M597" s="9"/>
      <c r="N597" s="9"/>
      <c r="O597" s="9"/>
    </row>
    <row r="598">
      <c r="A598" s="9"/>
      <c r="E598" s="13"/>
      <c r="J598" s="121"/>
      <c r="L598" s="9"/>
      <c r="M598" s="9"/>
      <c r="N598" s="9"/>
      <c r="O598" s="9"/>
    </row>
    <row r="599">
      <c r="A599" s="9"/>
      <c r="E599" s="13"/>
      <c r="J599" s="121"/>
      <c r="L599" s="9"/>
      <c r="M599" s="9"/>
      <c r="N599" s="9"/>
      <c r="O599" s="9"/>
    </row>
    <row r="600">
      <c r="A600" s="9"/>
      <c r="E600" s="13"/>
      <c r="J600" s="121"/>
      <c r="L600" s="9"/>
      <c r="M600" s="9"/>
      <c r="N600" s="9"/>
      <c r="O600" s="9"/>
    </row>
    <row r="601">
      <c r="A601" s="9"/>
      <c r="E601" s="13"/>
      <c r="J601" s="121"/>
      <c r="L601" s="9"/>
      <c r="M601" s="9"/>
      <c r="N601" s="9"/>
      <c r="O601" s="9"/>
    </row>
    <row r="602">
      <c r="A602" s="9"/>
      <c r="E602" s="13"/>
      <c r="J602" s="121"/>
      <c r="L602" s="9"/>
      <c r="M602" s="9"/>
      <c r="N602" s="9"/>
      <c r="O602" s="9"/>
    </row>
    <row r="603">
      <c r="A603" s="9"/>
      <c r="E603" s="13"/>
      <c r="J603" s="121"/>
      <c r="L603" s="9"/>
      <c r="M603" s="9"/>
      <c r="N603" s="9"/>
      <c r="O603" s="9"/>
    </row>
    <row r="604">
      <c r="A604" s="9"/>
      <c r="E604" s="13"/>
      <c r="J604" s="121"/>
      <c r="L604" s="9"/>
      <c r="M604" s="9"/>
      <c r="N604" s="9"/>
      <c r="O604" s="9"/>
    </row>
    <row r="605">
      <c r="A605" s="9"/>
      <c r="E605" s="13"/>
      <c r="J605" s="121"/>
      <c r="L605" s="9"/>
      <c r="M605" s="9"/>
      <c r="N605" s="9"/>
      <c r="O605" s="9"/>
    </row>
    <row r="606">
      <c r="A606" s="9"/>
      <c r="E606" s="13"/>
      <c r="J606" s="121"/>
      <c r="L606" s="9"/>
      <c r="M606" s="9"/>
      <c r="N606" s="9"/>
      <c r="O606" s="9"/>
    </row>
    <row r="607">
      <c r="A607" s="9"/>
      <c r="E607" s="13"/>
      <c r="J607" s="121"/>
      <c r="L607" s="9"/>
      <c r="M607" s="9"/>
      <c r="N607" s="9"/>
      <c r="O607" s="9"/>
    </row>
    <row r="608">
      <c r="A608" s="9"/>
      <c r="E608" s="13"/>
      <c r="J608" s="121"/>
      <c r="L608" s="9"/>
      <c r="M608" s="9"/>
      <c r="N608" s="9"/>
      <c r="O608" s="9"/>
    </row>
    <row r="609">
      <c r="A609" s="9"/>
      <c r="E609" s="13"/>
      <c r="J609" s="121"/>
      <c r="L609" s="9"/>
      <c r="M609" s="9"/>
      <c r="N609" s="9"/>
      <c r="O609" s="9"/>
    </row>
    <row r="610">
      <c r="A610" s="9"/>
      <c r="E610" s="13"/>
      <c r="J610" s="121"/>
      <c r="L610" s="9"/>
      <c r="M610" s="9"/>
      <c r="N610" s="9"/>
      <c r="O610" s="9"/>
    </row>
    <row r="611">
      <c r="A611" s="9"/>
      <c r="E611" s="13"/>
      <c r="J611" s="121"/>
      <c r="L611" s="9"/>
      <c r="M611" s="9"/>
      <c r="N611" s="9"/>
      <c r="O611" s="9"/>
    </row>
    <row r="612">
      <c r="A612" s="9"/>
      <c r="E612" s="13"/>
      <c r="J612" s="121"/>
      <c r="L612" s="9"/>
      <c r="M612" s="9"/>
      <c r="N612" s="9"/>
      <c r="O612" s="9"/>
    </row>
    <row r="613">
      <c r="A613" s="9"/>
      <c r="E613" s="13"/>
      <c r="J613" s="121"/>
      <c r="L613" s="9"/>
      <c r="M613" s="9"/>
      <c r="N613" s="9"/>
      <c r="O613" s="9"/>
    </row>
    <row r="614">
      <c r="A614" s="9"/>
      <c r="E614" s="13"/>
      <c r="J614" s="121"/>
      <c r="L614" s="9"/>
      <c r="M614" s="9"/>
      <c r="N614" s="9"/>
      <c r="O614" s="9"/>
    </row>
    <row r="615">
      <c r="A615" s="9"/>
      <c r="E615" s="13"/>
      <c r="J615" s="121"/>
      <c r="L615" s="9"/>
      <c r="M615" s="9"/>
      <c r="N615" s="9"/>
      <c r="O615" s="9"/>
    </row>
    <row r="616">
      <c r="A616" s="9"/>
      <c r="E616" s="13"/>
      <c r="J616" s="121"/>
      <c r="L616" s="9"/>
      <c r="M616" s="9"/>
      <c r="N616" s="9"/>
      <c r="O616" s="9"/>
    </row>
    <row r="617">
      <c r="A617" s="9"/>
      <c r="E617" s="13"/>
      <c r="J617" s="121"/>
      <c r="L617" s="9"/>
      <c r="M617" s="9"/>
      <c r="N617" s="9"/>
      <c r="O617" s="9"/>
    </row>
    <row r="618">
      <c r="A618" s="9"/>
      <c r="E618" s="13"/>
      <c r="J618" s="121"/>
      <c r="L618" s="9"/>
      <c r="M618" s="9"/>
      <c r="N618" s="9"/>
      <c r="O618" s="9"/>
    </row>
    <row r="619">
      <c r="A619" s="9"/>
      <c r="E619" s="13"/>
      <c r="J619" s="121"/>
      <c r="L619" s="9"/>
      <c r="M619" s="9"/>
      <c r="N619" s="9"/>
      <c r="O619" s="9"/>
    </row>
    <row r="620">
      <c r="A620" s="9"/>
      <c r="E620" s="13"/>
      <c r="J620" s="121"/>
      <c r="L620" s="9"/>
      <c r="M620" s="9"/>
      <c r="N620" s="9"/>
      <c r="O620" s="9"/>
    </row>
    <row r="621">
      <c r="A621" s="9"/>
      <c r="E621" s="13"/>
      <c r="J621" s="121"/>
      <c r="L621" s="9"/>
      <c r="M621" s="9"/>
      <c r="N621" s="9"/>
      <c r="O621" s="9"/>
    </row>
    <row r="622">
      <c r="A622" s="9"/>
      <c r="E622" s="13"/>
      <c r="J622" s="121"/>
      <c r="L622" s="9"/>
      <c r="M622" s="9"/>
      <c r="N622" s="9"/>
      <c r="O622" s="9"/>
    </row>
    <row r="623">
      <c r="A623" s="9"/>
      <c r="E623" s="13"/>
      <c r="J623" s="121"/>
      <c r="L623" s="9"/>
      <c r="M623" s="9"/>
      <c r="N623" s="9"/>
      <c r="O623" s="9"/>
    </row>
    <row r="624">
      <c r="A624" s="9"/>
      <c r="E624" s="13"/>
      <c r="J624" s="121"/>
      <c r="L624" s="9"/>
      <c r="M624" s="9"/>
      <c r="N624" s="9"/>
      <c r="O624" s="9"/>
    </row>
    <row r="625">
      <c r="A625" s="9"/>
      <c r="E625" s="13"/>
      <c r="J625" s="121"/>
      <c r="L625" s="9"/>
      <c r="M625" s="9"/>
      <c r="N625" s="9"/>
      <c r="O625" s="9"/>
    </row>
    <row r="626">
      <c r="A626" s="9"/>
      <c r="E626" s="13"/>
      <c r="J626" s="121"/>
      <c r="L626" s="9"/>
      <c r="M626" s="9"/>
      <c r="N626" s="9"/>
      <c r="O626" s="9"/>
    </row>
    <row r="627">
      <c r="A627" s="9"/>
      <c r="E627" s="13"/>
      <c r="J627" s="121"/>
      <c r="L627" s="9"/>
      <c r="M627" s="9"/>
      <c r="N627" s="9"/>
      <c r="O627" s="9"/>
    </row>
    <row r="628">
      <c r="A628" s="9"/>
      <c r="E628" s="13"/>
      <c r="J628" s="121"/>
      <c r="L628" s="9"/>
      <c r="M628" s="9"/>
      <c r="N628" s="9"/>
      <c r="O628" s="9"/>
    </row>
    <row r="629">
      <c r="A629" s="9"/>
      <c r="E629" s="13"/>
      <c r="J629" s="121"/>
      <c r="L629" s="9"/>
      <c r="M629" s="9"/>
      <c r="N629" s="9"/>
      <c r="O629" s="9"/>
    </row>
    <row r="630">
      <c r="A630" s="9"/>
      <c r="E630" s="13"/>
      <c r="J630" s="121"/>
      <c r="L630" s="9"/>
      <c r="M630" s="9"/>
      <c r="N630" s="9"/>
      <c r="O630" s="9"/>
    </row>
    <row r="631">
      <c r="A631" s="9"/>
      <c r="E631" s="13"/>
      <c r="J631" s="121"/>
      <c r="L631" s="9"/>
      <c r="M631" s="9"/>
      <c r="N631" s="9"/>
      <c r="O631" s="9"/>
    </row>
    <row r="632">
      <c r="A632" s="9"/>
      <c r="E632" s="13"/>
      <c r="J632" s="121"/>
      <c r="L632" s="9"/>
      <c r="M632" s="9"/>
      <c r="N632" s="9"/>
      <c r="O632" s="9"/>
    </row>
    <row r="633">
      <c r="A633" s="9"/>
      <c r="E633" s="13"/>
      <c r="J633" s="121"/>
      <c r="L633" s="9"/>
      <c r="M633" s="9"/>
      <c r="N633" s="9"/>
      <c r="O633" s="9"/>
    </row>
    <row r="634">
      <c r="A634" s="9"/>
      <c r="E634" s="13"/>
      <c r="J634" s="121"/>
      <c r="L634" s="9"/>
      <c r="M634" s="9"/>
      <c r="N634" s="9"/>
      <c r="O634" s="9"/>
    </row>
    <row r="635">
      <c r="A635" s="9"/>
      <c r="E635" s="13"/>
      <c r="J635" s="121"/>
      <c r="L635" s="9"/>
      <c r="M635" s="9"/>
      <c r="N635" s="9"/>
      <c r="O635" s="9"/>
    </row>
    <row r="636">
      <c r="A636" s="9"/>
      <c r="E636" s="13"/>
      <c r="J636" s="121"/>
      <c r="L636" s="9"/>
      <c r="M636" s="9"/>
      <c r="N636" s="9"/>
      <c r="O636" s="9"/>
    </row>
    <row r="637">
      <c r="A637" s="9"/>
      <c r="E637" s="13"/>
      <c r="J637" s="121"/>
      <c r="L637" s="9"/>
      <c r="M637" s="9"/>
      <c r="N637" s="9"/>
      <c r="O637" s="9"/>
    </row>
    <row r="638">
      <c r="A638" s="9"/>
      <c r="E638" s="13"/>
      <c r="J638" s="121"/>
      <c r="L638" s="9"/>
      <c r="M638" s="9"/>
      <c r="N638" s="9"/>
      <c r="O638" s="9"/>
    </row>
    <row r="639">
      <c r="A639" s="9"/>
      <c r="E639" s="13"/>
      <c r="J639" s="121"/>
      <c r="L639" s="9"/>
      <c r="M639" s="9"/>
      <c r="N639" s="9"/>
      <c r="O639" s="9"/>
    </row>
    <row r="640">
      <c r="A640" s="9"/>
      <c r="E640" s="13"/>
      <c r="J640" s="121"/>
      <c r="L640" s="9"/>
      <c r="M640" s="9"/>
      <c r="N640" s="9"/>
      <c r="O640" s="9"/>
    </row>
    <row r="641">
      <c r="A641" s="9"/>
      <c r="E641" s="13"/>
      <c r="J641" s="121"/>
      <c r="L641" s="9"/>
      <c r="M641" s="9"/>
      <c r="N641" s="9"/>
      <c r="O641" s="9"/>
    </row>
    <row r="642">
      <c r="A642" s="9"/>
      <c r="E642" s="13"/>
      <c r="J642" s="121"/>
      <c r="L642" s="9"/>
      <c r="M642" s="9"/>
      <c r="N642" s="9"/>
      <c r="O642" s="9"/>
    </row>
    <row r="643">
      <c r="A643" s="9"/>
      <c r="E643" s="13"/>
      <c r="J643" s="121"/>
      <c r="L643" s="9"/>
      <c r="M643" s="9"/>
      <c r="N643" s="9"/>
      <c r="O643" s="9"/>
    </row>
    <row r="644">
      <c r="A644" s="9"/>
      <c r="E644" s="13"/>
      <c r="J644" s="121"/>
      <c r="L644" s="9"/>
      <c r="M644" s="9"/>
      <c r="N644" s="9"/>
      <c r="O644" s="9"/>
    </row>
    <row r="645">
      <c r="A645" s="9"/>
      <c r="E645" s="13"/>
      <c r="J645" s="121"/>
      <c r="L645" s="9"/>
      <c r="M645" s="9"/>
      <c r="N645" s="9"/>
      <c r="O645" s="9"/>
    </row>
    <row r="646">
      <c r="A646" s="9"/>
      <c r="E646" s="13"/>
      <c r="J646" s="121"/>
      <c r="L646" s="9"/>
      <c r="M646" s="9"/>
      <c r="N646" s="9"/>
      <c r="O646" s="9"/>
    </row>
    <row r="647">
      <c r="A647" s="9"/>
      <c r="E647" s="13"/>
      <c r="J647" s="121"/>
      <c r="L647" s="9"/>
      <c r="M647" s="9"/>
      <c r="N647" s="9"/>
      <c r="O647" s="9"/>
    </row>
    <row r="648">
      <c r="A648" s="9"/>
      <c r="E648" s="13"/>
      <c r="J648" s="121"/>
      <c r="L648" s="9"/>
      <c r="M648" s="9"/>
      <c r="N648" s="9"/>
      <c r="O648" s="9"/>
    </row>
    <row r="649">
      <c r="A649" s="9"/>
      <c r="E649" s="13"/>
      <c r="J649" s="121"/>
      <c r="L649" s="9"/>
      <c r="M649" s="9"/>
      <c r="N649" s="9"/>
      <c r="O649" s="9"/>
    </row>
    <row r="650">
      <c r="A650" s="9"/>
      <c r="E650" s="13"/>
      <c r="J650" s="121"/>
      <c r="L650" s="9"/>
      <c r="M650" s="9"/>
      <c r="N650" s="9"/>
      <c r="O650" s="9"/>
    </row>
    <row r="651">
      <c r="A651" s="9"/>
      <c r="E651" s="13"/>
      <c r="J651" s="121"/>
      <c r="L651" s="9"/>
      <c r="M651" s="9"/>
      <c r="N651" s="9"/>
      <c r="O651" s="9"/>
    </row>
    <row r="652">
      <c r="A652" s="9"/>
      <c r="E652" s="13"/>
      <c r="J652" s="121"/>
      <c r="L652" s="9"/>
      <c r="M652" s="9"/>
      <c r="N652" s="9"/>
      <c r="O652" s="9"/>
    </row>
    <row r="653">
      <c r="A653" s="9"/>
      <c r="E653" s="13"/>
      <c r="J653" s="121"/>
      <c r="L653" s="9"/>
      <c r="M653" s="9"/>
      <c r="N653" s="9"/>
      <c r="O653" s="9"/>
    </row>
    <row r="654">
      <c r="A654" s="9"/>
      <c r="E654" s="13"/>
      <c r="J654" s="121"/>
      <c r="L654" s="9"/>
      <c r="M654" s="9"/>
      <c r="N654" s="9"/>
      <c r="O654" s="9"/>
    </row>
    <row r="655">
      <c r="A655" s="9"/>
      <c r="E655" s="13"/>
      <c r="J655" s="121"/>
      <c r="L655" s="9"/>
      <c r="M655" s="9"/>
      <c r="N655" s="9"/>
      <c r="O655" s="9"/>
    </row>
    <row r="656">
      <c r="A656" s="9"/>
      <c r="E656" s="13"/>
      <c r="J656" s="121"/>
      <c r="L656" s="9"/>
      <c r="M656" s="9"/>
      <c r="N656" s="9"/>
      <c r="O656" s="9"/>
    </row>
    <row r="657">
      <c r="A657" s="9"/>
      <c r="E657" s="13"/>
      <c r="J657" s="121"/>
      <c r="L657" s="9"/>
      <c r="M657" s="9"/>
      <c r="N657" s="9"/>
      <c r="O657" s="9"/>
    </row>
    <row r="658">
      <c r="A658" s="9"/>
      <c r="E658" s="13"/>
      <c r="J658" s="121"/>
      <c r="L658" s="9"/>
      <c r="M658" s="9"/>
      <c r="N658" s="9"/>
      <c r="O658" s="9"/>
    </row>
    <row r="659">
      <c r="A659" s="9"/>
      <c r="E659" s="13"/>
      <c r="J659" s="121"/>
      <c r="L659" s="9"/>
      <c r="M659" s="9"/>
      <c r="N659" s="9"/>
      <c r="O659" s="9"/>
    </row>
    <row r="660">
      <c r="A660" s="9"/>
      <c r="E660" s="13"/>
      <c r="J660" s="121"/>
      <c r="L660" s="9"/>
      <c r="M660" s="9"/>
      <c r="N660" s="9"/>
      <c r="O660" s="9"/>
    </row>
    <row r="661">
      <c r="A661" s="9"/>
      <c r="E661" s="13"/>
      <c r="J661" s="121"/>
      <c r="L661" s="9"/>
      <c r="M661" s="9"/>
      <c r="N661" s="9"/>
      <c r="O661" s="9"/>
    </row>
    <row r="662">
      <c r="A662" s="9"/>
      <c r="E662" s="13"/>
      <c r="J662" s="121"/>
      <c r="L662" s="9"/>
      <c r="M662" s="9"/>
      <c r="N662" s="9"/>
      <c r="O662" s="9"/>
    </row>
    <row r="663">
      <c r="A663" s="9"/>
      <c r="E663" s="13"/>
      <c r="J663" s="121"/>
      <c r="L663" s="9"/>
      <c r="M663" s="9"/>
      <c r="N663" s="9"/>
      <c r="O663" s="9"/>
    </row>
    <row r="664">
      <c r="A664" s="9"/>
      <c r="E664" s="13"/>
      <c r="J664" s="121"/>
      <c r="L664" s="9"/>
      <c r="M664" s="9"/>
      <c r="N664" s="9"/>
      <c r="O664" s="9"/>
    </row>
    <row r="665">
      <c r="A665" s="9"/>
      <c r="E665" s="13"/>
      <c r="J665" s="121"/>
      <c r="L665" s="9"/>
      <c r="M665" s="9"/>
      <c r="N665" s="9"/>
      <c r="O665" s="9"/>
    </row>
    <row r="666">
      <c r="A666" s="9"/>
      <c r="E666" s="13"/>
      <c r="J666" s="121"/>
      <c r="L666" s="9"/>
      <c r="M666" s="9"/>
      <c r="N666" s="9"/>
      <c r="O666" s="9"/>
    </row>
    <row r="667">
      <c r="A667" s="9"/>
      <c r="E667" s="13"/>
      <c r="J667" s="121"/>
      <c r="L667" s="9"/>
      <c r="M667" s="9"/>
      <c r="N667" s="9"/>
      <c r="O667" s="9"/>
    </row>
    <row r="668">
      <c r="A668" s="9"/>
      <c r="E668" s="13"/>
      <c r="J668" s="121"/>
      <c r="L668" s="9"/>
      <c r="M668" s="9"/>
      <c r="N668" s="9"/>
      <c r="O668" s="9"/>
    </row>
    <row r="669">
      <c r="A669" s="9"/>
      <c r="E669" s="13"/>
      <c r="J669" s="121"/>
      <c r="L669" s="9"/>
      <c r="M669" s="9"/>
      <c r="N669" s="9"/>
      <c r="O669" s="9"/>
    </row>
    <row r="670">
      <c r="A670" s="9"/>
      <c r="E670" s="13"/>
      <c r="J670" s="121"/>
      <c r="L670" s="9"/>
      <c r="M670" s="9"/>
      <c r="N670" s="9"/>
      <c r="O670" s="9"/>
    </row>
    <row r="671">
      <c r="A671" s="9"/>
      <c r="E671" s="13"/>
      <c r="J671" s="121"/>
      <c r="L671" s="9"/>
      <c r="M671" s="9"/>
      <c r="N671" s="9"/>
      <c r="O671" s="9"/>
    </row>
    <row r="672">
      <c r="A672" s="9"/>
      <c r="E672" s="13"/>
      <c r="J672" s="121"/>
      <c r="L672" s="9"/>
      <c r="M672" s="9"/>
      <c r="N672" s="9"/>
      <c r="O672" s="9"/>
    </row>
    <row r="673">
      <c r="A673" s="9"/>
      <c r="E673" s="13"/>
      <c r="J673" s="121"/>
      <c r="L673" s="9"/>
      <c r="M673" s="9"/>
      <c r="N673" s="9"/>
      <c r="O673" s="9"/>
    </row>
    <row r="674">
      <c r="A674" s="9"/>
      <c r="E674" s="13"/>
      <c r="J674" s="121"/>
      <c r="L674" s="9"/>
      <c r="M674" s="9"/>
      <c r="N674" s="9"/>
      <c r="O674" s="9"/>
    </row>
    <row r="675">
      <c r="A675" s="9"/>
      <c r="E675" s="13"/>
      <c r="J675" s="121"/>
      <c r="L675" s="9"/>
      <c r="M675" s="9"/>
      <c r="N675" s="9"/>
      <c r="O675" s="9"/>
    </row>
    <row r="676">
      <c r="A676" s="9"/>
      <c r="E676" s="13"/>
      <c r="J676" s="121"/>
      <c r="L676" s="9"/>
      <c r="M676" s="9"/>
      <c r="N676" s="9"/>
      <c r="O676" s="9"/>
    </row>
    <row r="677">
      <c r="A677" s="9"/>
      <c r="E677" s="13"/>
      <c r="J677" s="121"/>
      <c r="L677" s="9"/>
      <c r="M677" s="9"/>
      <c r="N677" s="9"/>
      <c r="O677" s="9"/>
    </row>
    <row r="678">
      <c r="A678" s="9"/>
      <c r="E678" s="13"/>
      <c r="J678" s="121"/>
      <c r="L678" s="9"/>
      <c r="M678" s="9"/>
      <c r="N678" s="9"/>
      <c r="O678" s="9"/>
    </row>
    <row r="679">
      <c r="A679" s="9"/>
      <c r="E679" s="13"/>
      <c r="J679" s="121"/>
      <c r="L679" s="9"/>
      <c r="M679" s="9"/>
      <c r="N679" s="9"/>
      <c r="O679" s="9"/>
    </row>
    <row r="680">
      <c r="A680" s="9"/>
      <c r="E680" s="13"/>
      <c r="J680" s="121"/>
      <c r="L680" s="9"/>
      <c r="M680" s="9"/>
      <c r="N680" s="9"/>
      <c r="O680" s="9"/>
    </row>
    <row r="681">
      <c r="A681" s="9"/>
      <c r="E681" s="13"/>
      <c r="J681" s="121"/>
      <c r="L681" s="9"/>
      <c r="M681" s="9"/>
      <c r="N681" s="9"/>
      <c r="O681" s="9"/>
    </row>
    <row r="682">
      <c r="A682" s="9"/>
      <c r="E682" s="13"/>
      <c r="J682" s="121"/>
      <c r="L682" s="9"/>
      <c r="M682" s="9"/>
      <c r="N682" s="9"/>
      <c r="O682" s="9"/>
    </row>
    <row r="683">
      <c r="A683" s="9"/>
      <c r="E683" s="13"/>
      <c r="J683" s="121"/>
      <c r="L683" s="9"/>
      <c r="M683" s="9"/>
      <c r="N683" s="9"/>
      <c r="O683" s="9"/>
    </row>
    <row r="684">
      <c r="A684" s="9"/>
      <c r="E684" s="13"/>
      <c r="J684" s="121"/>
      <c r="L684" s="9"/>
      <c r="M684" s="9"/>
      <c r="N684" s="9"/>
      <c r="O684" s="9"/>
    </row>
    <row r="685">
      <c r="A685" s="9"/>
      <c r="E685" s="13"/>
      <c r="J685" s="121"/>
      <c r="L685" s="9"/>
      <c r="M685" s="9"/>
      <c r="N685" s="9"/>
      <c r="O685" s="9"/>
    </row>
    <row r="686">
      <c r="A686" s="9"/>
      <c r="E686" s="13"/>
      <c r="J686" s="121"/>
      <c r="L686" s="9"/>
      <c r="M686" s="9"/>
      <c r="N686" s="9"/>
      <c r="O686" s="9"/>
    </row>
    <row r="687">
      <c r="A687" s="9"/>
      <c r="E687" s="13"/>
      <c r="J687" s="121"/>
      <c r="L687" s="9"/>
      <c r="M687" s="9"/>
      <c r="N687" s="9"/>
      <c r="O687" s="9"/>
    </row>
    <row r="688">
      <c r="A688" s="9"/>
      <c r="E688" s="13"/>
      <c r="J688" s="121"/>
      <c r="L688" s="9"/>
      <c r="M688" s="9"/>
      <c r="N688" s="9"/>
      <c r="O688" s="9"/>
    </row>
    <row r="689">
      <c r="A689" s="9"/>
      <c r="E689" s="13"/>
      <c r="J689" s="121"/>
      <c r="L689" s="9"/>
      <c r="M689" s="9"/>
      <c r="N689" s="9"/>
      <c r="O689" s="9"/>
    </row>
    <row r="690">
      <c r="A690" s="9"/>
      <c r="E690" s="13"/>
      <c r="J690" s="121"/>
      <c r="L690" s="9"/>
      <c r="M690" s="9"/>
      <c r="N690" s="9"/>
      <c r="O690" s="9"/>
    </row>
    <row r="691">
      <c r="A691" s="9"/>
      <c r="E691" s="13"/>
      <c r="J691" s="121"/>
      <c r="L691" s="9"/>
      <c r="M691" s="9"/>
      <c r="N691" s="9"/>
      <c r="O691" s="9"/>
    </row>
    <row r="692">
      <c r="A692" s="9"/>
      <c r="E692" s="13"/>
      <c r="J692" s="121"/>
      <c r="L692" s="9"/>
      <c r="M692" s="9"/>
      <c r="N692" s="9"/>
      <c r="O692" s="9"/>
    </row>
    <row r="693">
      <c r="A693" s="9"/>
      <c r="E693" s="13"/>
      <c r="J693" s="121"/>
      <c r="L693" s="9"/>
      <c r="M693" s="9"/>
      <c r="N693" s="9"/>
      <c r="O693" s="9"/>
    </row>
    <row r="694">
      <c r="A694" s="9"/>
      <c r="E694" s="13"/>
      <c r="J694" s="121"/>
      <c r="L694" s="9"/>
      <c r="M694" s="9"/>
      <c r="N694" s="9"/>
      <c r="O694" s="9"/>
    </row>
    <row r="695">
      <c r="A695" s="9"/>
      <c r="E695" s="13"/>
      <c r="J695" s="121"/>
      <c r="L695" s="9"/>
      <c r="M695" s="9"/>
      <c r="N695" s="9"/>
      <c r="O695" s="9"/>
    </row>
    <row r="696">
      <c r="A696" s="9"/>
      <c r="E696" s="13"/>
      <c r="J696" s="121"/>
      <c r="L696" s="9"/>
      <c r="M696" s="9"/>
      <c r="N696" s="9"/>
      <c r="O696" s="9"/>
    </row>
    <row r="697">
      <c r="A697" s="9"/>
      <c r="E697" s="13"/>
      <c r="J697" s="121"/>
      <c r="L697" s="9"/>
      <c r="M697" s="9"/>
      <c r="N697" s="9"/>
      <c r="O697" s="9"/>
    </row>
    <row r="698">
      <c r="A698" s="9"/>
      <c r="E698" s="13"/>
      <c r="J698" s="121"/>
      <c r="L698" s="9"/>
      <c r="M698" s="9"/>
      <c r="N698" s="9"/>
      <c r="O698" s="9"/>
    </row>
    <row r="699">
      <c r="A699" s="9"/>
      <c r="E699" s="13"/>
      <c r="J699" s="121"/>
      <c r="L699" s="9"/>
      <c r="M699" s="9"/>
      <c r="N699" s="9"/>
      <c r="O699" s="9"/>
    </row>
    <row r="700">
      <c r="A700" s="9"/>
      <c r="E700" s="13"/>
      <c r="J700" s="121"/>
      <c r="L700" s="9"/>
      <c r="M700" s="9"/>
      <c r="N700" s="9"/>
      <c r="O700" s="9"/>
    </row>
    <row r="701">
      <c r="A701" s="9"/>
      <c r="E701" s="13"/>
      <c r="J701" s="121"/>
      <c r="L701" s="9"/>
      <c r="M701" s="9"/>
      <c r="N701" s="9"/>
      <c r="O701" s="9"/>
    </row>
    <row r="702">
      <c r="A702" s="9"/>
      <c r="E702" s="13"/>
      <c r="J702" s="121"/>
      <c r="L702" s="9"/>
      <c r="M702" s="9"/>
      <c r="N702" s="9"/>
      <c r="O702" s="9"/>
    </row>
    <row r="703">
      <c r="A703" s="9"/>
      <c r="E703" s="13"/>
      <c r="J703" s="121"/>
      <c r="L703" s="9"/>
      <c r="M703" s="9"/>
      <c r="N703" s="9"/>
      <c r="O703" s="9"/>
    </row>
    <row r="704">
      <c r="A704" s="9"/>
      <c r="E704" s="13"/>
      <c r="J704" s="121"/>
      <c r="L704" s="9"/>
      <c r="M704" s="9"/>
      <c r="N704" s="9"/>
      <c r="O704" s="9"/>
    </row>
    <row r="705">
      <c r="A705" s="9"/>
      <c r="E705" s="13"/>
      <c r="J705" s="121"/>
      <c r="L705" s="9"/>
      <c r="M705" s="9"/>
      <c r="N705" s="9"/>
      <c r="O705" s="9"/>
    </row>
    <row r="706">
      <c r="A706" s="9"/>
      <c r="E706" s="13"/>
      <c r="J706" s="121"/>
      <c r="L706" s="9"/>
      <c r="M706" s="9"/>
      <c r="N706" s="9"/>
      <c r="O706" s="9"/>
    </row>
    <row r="707">
      <c r="A707" s="9"/>
      <c r="E707" s="13"/>
      <c r="J707" s="121"/>
      <c r="L707" s="9"/>
      <c r="M707" s="9"/>
      <c r="N707" s="9"/>
      <c r="O707" s="9"/>
    </row>
    <row r="708">
      <c r="A708" s="9"/>
      <c r="E708" s="13"/>
      <c r="J708" s="121"/>
      <c r="L708" s="9"/>
      <c r="M708" s="9"/>
      <c r="N708" s="9"/>
      <c r="O708" s="9"/>
    </row>
    <row r="709">
      <c r="A709" s="9"/>
      <c r="E709" s="13"/>
      <c r="J709" s="121"/>
      <c r="L709" s="9"/>
      <c r="M709" s="9"/>
      <c r="N709" s="9"/>
      <c r="O709" s="9"/>
    </row>
    <row r="710">
      <c r="A710" s="9"/>
      <c r="E710" s="13"/>
      <c r="J710" s="121"/>
      <c r="L710" s="9"/>
      <c r="M710" s="9"/>
      <c r="N710" s="9"/>
      <c r="O710" s="9"/>
    </row>
    <row r="711">
      <c r="A711" s="9"/>
      <c r="E711" s="13"/>
      <c r="J711" s="121"/>
      <c r="L711" s="9"/>
      <c r="M711" s="9"/>
      <c r="N711" s="9"/>
      <c r="O711" s="9"/>
    </row>
    <row r="712">
      <c r="A712" s="9"/>
      <c r="E712" s="13"/>
      <c r="J712" s="121"/>
      <c r="L712" s="9"/>
      <c r="M712" s="9"/>
      <c r="N712" s="9"/>
      <c r="O712" s="9"/>
    </row>
    <row r="713">
      <c r="A713" s="9"/>
      <c r="E713" s="13"/>
      <c r="J713" s="121"/>
      <c r="L713" s="9"/>
      <c r="M713" s="9"/>
      <c r="N713" s="9"/>
      <c r="O713" s="9"/>
    </row>
    <row r="714">
      <c r="A714" s="9"/>
      <c r="E714" s="13"/>
      <c r="J714" s="121"/>
      <c r="L714" s="9"/>
      <c r="M714" s="9"/>
      <c r="N714" s="9"/>
      <c r="O714" s="9"/>
    </row>
    <row r="715">
      <c r="A715" s="9"/>
      <c r="E715" s="13"/>
      <c r="J715" s="121"/>
      <c r="L715" s="9"/>
      <c r="M715" s="9"/>
      <c r="N715" s="9"/>
      <c r="O715" s="9"/>
    </row>
    <row r="716">
      <c r="A716" s="9"/>
      <c r="E716" s="13"/>
      <c r="J716" s="121"/>
      <c r="L716" s="9"/>
      <c r="M716" s="9"/>
      <c r="N716" s="9"/>
      <c r="O716" s="9"/>
    </row>
    <row r="717">
      <c r="A717" s="9"/>
      <c r="E717" s="13"/>
      <c r="J717" s="121"/>
      <c r="L717" s="9"/>
      <c r="M717" s="9"/>
      <c r="N717" s="9"/>
      <c r="O717" s="9"/>
    </row>
    <row r="718">
      <c r="A718" s="9"/>
      <c r="E718" s="13"/>
      <c r="J718" s="121"/>
      <c r="L718" s="9"/>
      <c r="M718" s="9"/>
      <c r="N718" s="9"/>
      <c r="O718" s="9"/>
    </row>
    <row r="719">
      <c r="A719" s="9"/>
      <c r="E719" s="13"/>
      <c r="J719" s="121"/>
      <c r="L719" s="9"/>
      <c r="M719" s="9"/>
      <c r="N719" s="9"/>
      <c r="O719" s="9"/>
    </row>
    <row r="720">
      <c r="A720" s="9"/>
      <c r="E720" s="13"/>
      <c r="J720" s="121"/>
      <c r="L720" s="9"/>
      <c r="M720" s="9"/>
      <c r="N720" s="9"/>
      <c r="O720" s="9"/>
    </row>
    <row r="721">
      <c r="A721" s="9"/>
      <c r="E721" s="13"/>
      <c r="J721" s="121"/>
      <c r="L721" s="9"/>
      <c r="M721" s="9"/>
      <c r="N721" s="9"/>
      <c r="O721" s="9"/>
    </row>
    <row r="722">
      <c r="A722" s="9"/>
      <c r="E722" s="13"/>
      <c r="J722" s="121"/>
      <c r="L722" s="9"/>
      <c r="M722" s="9"/>
      <c r="N722" s="9"/>
      <c r="O722" s="9"/>
    </row>
    <row r="723">
      <c r="A723" s="9"/>
      <c r="E723" s="13"/>
      <c r="J723" s="121"/>
      <c r="L723" s="9"/>
      <c r="M723" s="9"/>
      <c r="N723" s="9"/>
      <c r="O723" s="9"/>
    </row>
    <row r="724">
      <c r="A724" s="9"/>
      <c r="E724" s="13"/>
      <c r="J724" s="121"/>
      <c r="L724" s="9"/>
      <c r="M724" s="9"/>
      <c r="N724" s="9"/>
      <c r="O724" s="9"/>
    </row>
    <row r="725">
      <c r="A725" s="9"/>
      <c r="E725" s="13"/>
      <c r="J725" s="121"/>
      <c r="L725" s="9"/>
      <c r="M725" s="9"/>
      <c r="N725" s="9"/>
      <c r="O725" s="9"/>
    </row>
    <row r="726">
      <c r="A726" s="9"/>
      <c r="E726" s="13"/>
      <c r="J726" s="121"/>
      <c r="L726" s="9"/>
      <c r="M726" s="9"/>
      <c r="N726" s="9"/>
      <c r="O726" s="9"/>
    </row>
    <row r="727">
      <c r="A727" s="9"/>
      <c r="E727" s="13"/>
      <c r="J727" s="121"/>
      <c r="L727" s="9"/>
      <c r="M727" s="9"/>
      <c r="N727" s="9"/>
      <c r="O727" s="9"/>
    </row>
    <row r="728">
      <c r="A728" s="9"/>
      <c r="E728" s="13"/>
      <c r="J728" s="121"/>
      <c r="L728" s="9"/>
      <c r="M728" s="9"/>
      <c r="N728" s="9"/>
      <c r="O728" s="9"/>
    </row>
    <row r="729">
      <c r="A729" s="9"/>
      <c r="E729" s="13"/>
      <c r="J729" s="121"/>
      <c r="L729" s="9"/>
      <c r="M729" s="9"/>
      <c r="N729" s="9"/>
      <c r="O729" s="9"/>
    </row>
    <row r="730">
      <c r="A730" s="9"/>
      <c r="E730" s="13"/>
      <c r="J730" s="121"/>
      <c r="L730" s="9"/>
      <c r="M730" s="9"/>
      <c r="N730" s="9"/>
      <c r="O730" s="9"/>
    </row>
    <row r="731">
      <c r="A731" s="9"/>
      <c r="E731" s="13"/>
      <c r="J731" s="121"/>
      <c r="L731" s="9"/>
      <c r="M731" s="9"/>
      <c r="N731" s="9"/>
      <c r="O731" s="9"/>
    </row>
    <row r="732">
      <c r="A732" s="9"/>
      <c r="E732" s="13"/>
      <c r="J732" s="121"/>
      <c r="L732" s="9"/>
      <c r="M732" s="9"/>
      <c r="N732" s="9"/>
      <c r="O732" s="9"/>
    </row>
    <row r="733">
      <c r="A733" s="9"/>
      <c r="E733" s="13"/>
      <c r="J733" s="121"/>
      <c r="L733" s="9"/>
      <c r="M733" s="9"/>
      <c r="N733" s="9"/>
      <c r="O733" s="9"/>
    </row>
    <row r="734">
      <c r="A734" s="9"/>
      <c r="E734" s="13"/>
      <c r="J734" s="121"/>
      <c r="L734" s="9"/>
      <c r="M734" s="9"/>
      <c r="N734" s="9"/>
      <c r="O734" s="9"/>
    </row>
    <row r="735">
      <c r="A735" s="9"/>
      <c r="E735" s="13"/>
      <c r="J735" s="121"/>
      <c r="L735" s="9"/>
      <c r="M735" s="9"/>
      <c r="N735" s="9"/>
      <c r="O735" s="9"/>
    </row>
    <row r="736">
      <c r="A736" s="9"/>
      <c r="E736" s="13"/>
      <c r="J736" s="121"/>
      <c r="L736" s="9"/>
      <c r="M736" s="9"/>
      <c r="N736" s="9"/>
      <c r="O736" s="9"/>
    </row>
    <row r="737">
      <c r="A737" s="9"/>
      <c r="E737" s="13"/>
      <c r="J737" s="121"/>
      <c r="L737" s="9"/>
      <c r="M737" s="9"/>
      <c r="N737" s="9"/>
      <c r="O737" s="9"/>
    </row>
    <row r="738">
      <c r="A738" s="9"/>
      <c r="E738" s="13"/>
      <c r="J738" s="121"/>
      <c r="L738" s="9"/>
      <c r="M738" s="9"/>
      <c r="N738" s="9"/>
      <c r="O738" s="9"/>
    </row>
    <row r="739">
      <c r="A739" s="9"/>
      <c r="E739" s="13"/>
      <c r="J739" s="121"/>
      <c r="L739" s="9"/>
      <c r="M739" s="9"/>
      <c r="N739" s="9"/>
      <c r="O739" s="9"/>
    </row>
    <row r="740">
      <c r="A740" s="9"/>
      <c r="E740" s="13"/>
      <c r="J740" s="121"/>
      <c r="L740" s="9"/>
      <c r="M740" s="9"/>
      <c r="N740" s="9"/>
      <c r="O740" s="9"/>
    </row>
    <row r="741">
      <c r="A741" s="9"/>
      <c r="E741" s="13"/>
      <c r="J741" s="121"/>
      <c r="L741" s="9"/>
      <c r="M741" s="9"/>
      <c r="N741" s="9"/>
      <c r="O741" s="9"/>
    </row>
    <row r="742">
      <c r="A742" s="9"/>
      <c r="E742" s="13"/>
      <c r="J742" s="121"/>
      <c r="L742" s="9"/>
      <c r="M742" s="9"/>
      <c r="N742" s="9"/>
      <c r="O742" s="9"/>
    </row>
    <row r="743">
      <c r="A743" s="9"/>
      <c r="E743" s="13"/>
      <c r="J743" s="121"/>
      <c r="L743" s="9"/>
      <c r="M743" s="9"/>
      <c r="N743" s="9"/>
      <c r="O743" s="9"/>
    </row>
    <row r="744">
      <c r="A744" s="9"/>
      <c r="E744" s="13"/>
      <c r="J744" s="121"/>
      <c r="L744" s="9"/>
      <c r="M744" s="9"/>
      <c r="N744" s="9"/>
      <c r="O744" s="9"/>
    </row>
    <row r="745">
      <c r="A745" s="9"/>
      <c r="E745" s="13"/>
      <c r="J745" s="121"/>
      <c r="L745" s="9"/>
      <c r="M745" s="9"/>
      <c r="N745" s="9"/>
      <c r="O745" s="9"/>
    </row>
    <row r="746">
      <c r="A746" s="9"/>
      <c r="E746" s="13"/>
      <c r="J746" s="121"/>
      <c r="L746" s="9"/>
      <c r="M746" s="9"/>
      <c r="N746" s="9"/>
      <c r="O746" s="9"/>
    </row>
    <row r="747">
      <c r="A747" s="9"/>
      <c r="E747" s="13"/>
      <c r="J747" s="121"/>
      <c r="L747" s="9"/>
      <c r="M747" s="9"/>
      <c r="N747" s="9"/>
      <c r="O747" s="9"/>
    </row>
    <row r="748">
      <c r="A748" s="9"/>
      <c r="E748" s="13"/>
      <c r="J748" s="121"/>
      <c r="L748" s="9"/>
      <c r="M748" s="9"/>
      <c r="N748" s="9"/>
      <c r="O748" s="9"/>
    </row>
    <row r="749">
      <c r="A749" s="9"/>
      <c r="E749" s="13"/>
      <c r="J749" s="121"/>
      <c r="L749" s="9"/>
      <c r="M749" s="9"/>
      <c r="N749" s="9"/>
      <c r="O749" s="9"/>
    </row>
    <row r="750">
      <c r="A750" s="9"/>
      <c r="E750" s="13"/>
      <c r="J750" s="121"/>
      <c r="L750" s="9"/>
      <c r="M750" s="9"/>
      <c r="N750" s="9"/>
      <c r="O750" s="9"/>
    </row>
    <row r="751">
      <c r="A751" s="9"/>
      <c r="E751" s="13"/>
      <c r="J751" s="121"/>
      <c r="L751" s="9"/>
      <c r="M751" s="9"/>
      <c r="N751" s="9"/>
      <c r="O751" s="9"/>
    </row>
    <row r="752">
      <c r="A752" s="9"/>
      <c r="E752" s="13"/>
      <c r="J752" s="121"/>
      <c r="L752" s="9"/>
      <c r="M752" s="9"/>
      <c r="N752" s="9"/>
      <c r="O752" s="9"/>
    </row>
    <row r="753">
      <c r="A753" s="9"/>
      <c r="E753" s="13"/>
      <c r="J753" s="121"/>
      <c r="L753" s="9"/>
      <c r="M753" s="9"/>
      <c r="N753" s="9"/>
      <c r="O753" s="9"/>
    </row>
    <row r="754">
      <c r="A754" s="9"/>
      <c r="E754" s="13"/>
      <c r="J754" s="121"/>
      <c r="L754" s="9"/>
      <c r="M754" s="9"/>
      <c r="N754" s="9"/>
      <c r="O754" s="9"/>
    </row>
    <row r="755">
      <c r="A755" s="9"/>
      <c r="E755" s="13"/>
      <c r="J755" s="121"/>
      <c r="L755" s="9"/>
      <c r="M755" s="9"/>
      <c r="N755" s="9"/>
      <c r="O755" s="9"/>
    </row>
    <row r="756">
      <c r="A756" s="9"/>
      <c r="E756" s="13"/>
      <c r="J756" s="121"/>
      <c r="L756" s="9"/>
      <c r="M756" s="9"/>
      <c r="N756" s="9"/>
      <c r="O756" s="9"/>
    </row>
    <row r="757">
      <c r="A757" s="9"/>
      <c r="E757" s="13"/>
      <c r="J757" s="121"/>
      <c r="L757" s="9"/>
      <c r="M757" s="9"/>
      <c r="N757" s="9"/>
      <c r="O757" s="9"/>
    </row>
    <row r="758">
      <c r="A758" s="9"/>
      <c r="E758" s="13"/>
      <c r="J758" s="121"/>
      <c r="L758" s="9"/>
      <c r="M758" s="9"/>
      <c r="N758" s="9"/>
      <c r="O758" s="9"/>
    </row>
    <row r="759">
      <c r="A759" s="9"/>
      <c r="E759" s="13"/>
      <c r="J759" s="121"/>
      <c r="L759" s="9"/>
      <c r="M759" s="9"/>
      <c r="N759" s="9"/>
      <c r="O759" s="9"/>
    </row>
    <row r="760">
      <c r="A760" s="9"/>
      <c r="E760" s="13"/>
      <c r="J760" s="121"/>
      <c r="L760" s="9"/>
      <c r="M760" s="9"/>
      <c r="N760" s="9"/>
      <c r="O760" s="9"/>
    </row>
    <row r="761">
      <c r="A761" s="9"/>
      <c r="E761" s="13"/>
      <c r="J761" s="121"/>
      <c r="L761" s="9"/>
      <c r="M761" s="9"/>
      <c r="N761" s="9"/>
      <c r="O761" s="9"/>
    </row>
    <row r="762">
      <c r="A762" s="9"/>
      <c r="E762" s="13"/>
      <c r="J762" s="121"/>
      <c r="L762" s="9"/>
      <c r="M762" s="9"/>
      <c r="N762" s="9"/>
      <c r="O762" s="9"/>
    </row>
    <row r="763">
      <c r="A763" s="9"/>
      <c r="E763" s="13"/>
      <c r="J763" s="121"/>
      <c r="L763" s="9"/>
      <c r="M763" s="9"/>
      <c r="N763" s="9"/>
      <c r="O763" s="9"/>
    </row>
    <row r="764">
      <c r="A764" s="9"/>
      <c r="E764" s="13"/>
      <c r="J764" s="121"/>
      <c r="L764" s="9"/>
      <c r="M764" s="9"/>
      <c r="N764" s="9"/>
      <c r="O764" s="9"/>
    </row>
    <row r="765">
      <c r="A765" s="9"/>
      <c r="E765" s="13"/>
      <c r="J765" s="121"/>
      <c r="L765" s="9"/>
      <c r="M765" s="9"/>
      <c r="N765" s="9"/>
      <c r="O765" s="9"/>
    </row>
    <row r="766">
      <c r="A766" s="9"/>
      <c r="E766" s="13"/>
      <c r="J766" s="121"/>
      <c r="L766" s="9"/>
      <c r="M766" s="9"/>
      <c r="N766" s="9"/>
      <c r="O766" s="9"/>
    </row>
    <row r="767">
      <c r="A767" s="9"/>
      <c r="E767" s="13"/>
      <c r="J767" s="121"/>
      <c r="L767" s="9"/>
      <c r="M767" s="9"/>
      <c r="N767" s="9"/>
      <c r="O767" s="9"/>
    </row>
    <row r="768">
      <c r="A768" s="9"/>
      <c r="E768" s="13"/>
      <c r="J768" s="121"/>
      <c r="L768" s="9"/>
      <c r="M768" s="9"/>
      <c r="N768" s="9"/>
      <c r="O768" s="9"/>
    </row>
    <row r="769">
      <c r="A769" s="9"/>
      <c r="E769" s="13"/>
      <c r="J769" s="121"/>
      <c r="L769" s="9"/>
      <c r="M769" s="9"/>
      <c r="N769" s="9"/>
      <c r="O769" s="9"/>
    </row>
    <row r="770">
      <c r="A770" s="9"/>
      <c r="E770" s="13"/>
      <c r="J770" s="121"/>
      <c r="L770" s="9"/>
      <c r="M770" s="9"/>
      <c r="N770" s="9"/>
      <c r="O770" s="9"/>
    </row>
    <row r="771">
      <c r="A771" s="9"/>
      <c r="E771" s="13"/>
      <c r="J771" s="121"/>
      <c r="L771" s="9"/>
      <c r="M771" s="9"/>
      <c r="N771" s="9"/>
      <c r="O771" s="9"/>
    </row>
    <row r="772">
      <c r="A772" s="9"/>
      <c r="E772" s="13"/>
      <c r="J772" s="121"/>
      <c r="L772" s="9"/>
      <c r="M772" s="9"/>
      <c r="N772" s="9"/>
      <c r="O772" s="9"/>
    </row>
    <row r="773">
      <c r="A773" s="9"/>
      <c r="E773" s="13"/>
      <c r="J773" s="121"/>
      <c r="L773" s="9"/>
      <c r="M773" s="9"/>
      <c r="N773" s="9"/>
      <c r="O773" s="9"/>
    </row>
    <row r="774">
      <c r="A774" s="9"/>
      <c r="E774" s="13"/>
      <c r="J774" s="121"/>
      <c r="L774" s="9"/>
      <c r="M774" s="9"/>
      <c r="N774" s="9"/>
      <c r="O774" s="9"/>
    </row>
    <row r="775">
      <c r="A775" s="9"/>
      <c r="E775" s="13"/>
      <c r="J775" s="121"/>
      <c r="L775" s="9"/>
      <c r="M775" s="9"/>
      <c r="N775" s="9"/>
      <c r="O775" s="9"/>
    </row>
    <row r="776">
      <c r="A776" s="9"/>
      <c r="E776" s="13"/>
      <c r="J776" s="121"/>
      <c r="L776" s="9"/>
      <c r="M776" s="9"/>
      <c r="N776" s="9"/>
      <c r="O776" s="9"/>
    </row>
    <row r="777">
      <c r="A777" s="9"/>
      <c r="E777" s="13"/>
      <c r="J777" s="121"/>
      <c r="L777" s="9"/>
      <c r="M777" s="9"/>
      <c r="N777" s="9"/>
      <c r="O777" s="9"/>
    </row>
    <row r="778">
      <c r="A778" s="9"/>
      <c r="E778" s="13"/>
      <c r="J778" s="121"/>
      <c r="L778" s="9"/>
      <c r="M778" s="9"/>
      <c r="N778" s="9"/>
      <c r="O778" s="9"/>
    </row>
    <row r="779">
      <c r="A779" s="9"/>
      <c r="E779" s="13"/>
      <c r="J779" s="121"/>
      <c r="L779" s="9"/>
      <c r="M779" s="9"/>
      <c r="N779" s="9"/>
      <c r="O779" s="9"/>
    </row>
    <row r="780">
      <c r="A780" s="9"/>
      <c r="E780" s="13"/>
      <c r="J780" s="121"/>
      <c r="L780" s="9"/>
      <c r="M780" s="9"/>
      <c r="N780" s="9"/>
      <c r="O780" s="9"/>
    </row>
    <row r="781">
      <c r="A781" s="9"/>
      <c r="E781" s="13"/>
      <c r="J781" s="121"/>
      <c r="L781" s="9"/>
      <c r="M781" s="9"/>
      <c r="N781" s="9"/>
      <c r="O781" s="9"/>
    </row>
    <row r="782">
      <c r="A782" s="9"/>
      <c r="E782" s="13"/>
      <c r="J782" s="121"/>
      <c r="L782" s="9"/>
      <c r="M782" s="9"/>
      <c r="N782" s="9"/>
      <c r="O782" s="9"/>
    </row>
    <row r="783">
      <c r="A783" s="9"/>
      <c r="E783" s="13"/>
      <c r="J783" s="121"/>
      <c r="L783" s="9"/>
      <c r="M783" s="9"/>
      <c r="N783" s="9"/>
      <c r="O783" s="9"/>
    </row>
    <row r="784">
      <c r="A784" s="9"/>
      <c r="E784" s="13"/>
      <c r="J784" s="121"/>
      <c r="L784" s="9"/>
      <c r="M784" s="9"/>
      <c r="N784" s="9"/>
      <c r="O784" s="9"/>
    </row>
    <row r="785">
      <c r="A785" s="9"/>
      <c r="E785" s="13"/>
      <c r="J785" s="121"/>
      <c r="L785" s="9"/>
      <c r="M785" s="9"/>
      <c r="N785" s="9"/>
      <c r="O785" s="9"/>
    </row>
    <row r="786">
      <c r="A786" s="9"/>
      <c r="E786" s="13"/>
      <c r="J786" s="121"/>
      <c r="L786" s="9"/>
      <c r="M786" s="9"/>
      <c r="N786" s="9"/>
      <c r="O786" s="9"/>
    </row>
    <row r="787">
      <c r="A787" s="9"/>
      <c r="E787" s="13"/>
      <c r="J787" s="121"/>
      <c r="L787" s="9"/>
      <c r="M787" s="9"/>
      <c r="N787" s="9"/>
      <c r="O787" s="9"/>
    </row>
    <row r="788">
      <c r="A788" s="9"/>
      <c r="E788" s="13"/>
      <c r="J788" s="121"/>
      <c r="L788" s="9"/>
      <c r="M788" s="9"/>
      <c r="N788" s="9"/>
      <c r="O788" s="9"/>
    </row>
    <row r="789">
      <c r="A789" s="9"/>
      <c r="E789" s="13"/>
      <c r="J789" s="121"/>
      <c r="L789" s="9"/>
      <c r="M789" s="9"/>
      <c r="N789" s="9"/>
      <c r="O789" s="9"/>
    </row>
    <row r="790">
      <c r="A790" s="9"/>
      <c r="E790" s="13"/>
      <c r="J790" s="121"/>
      <c r="L790" s="9"/>
      <c r="M790" s="9"/>
      <c r="N790" s="9"/>
      <c r="O790" s="9"/>
    </row>
    <row r="791">
      <c r="A791" s="9"/>
      <c r="E791" s="13"/>
      <c r="J791" s="121"/>
      <c r="L791" s="9"/>
      <c r="M791" s="9"/>
      <c r="N791" s="9"/>
      <c r="O791" s="9"/>
    </row>
    <row r="792">
      <c r="A792" s="9"/>
      <c r="E792" s="13"/>
      <c r="J792" s="121"/>
      <c r="L792" s="9"/>
      <c r="M792" s="9"/>
      <c r="N792" s="9"/>
      <c r="O792" s="9"/>
    </row>
    <row r="793">
      <c r="A793" s="9"/>
      <c r="E793" s="13"/>
      <c r="J793" s="121"/>
      <c r="L793" s="9"/>
      <c r="M793" s="9"/>
      <c r="N793" s="9"/>
      <c r="O793" s="9"/>
    </row>
    <row r="794">
      <c r="A794" s="9"/>
      <c r="E794" s="13"/>
      <c r="J794" s="121"/>
      <c r="L794" s="9"/>
      <c r="M794" s="9"/>
      <c r="N794" s="9"/>
      <c r="O794" s="9"/>
    </row>
    <row r="795">
      <c r="A795" s="9"/>
      <c r="E795" s="13"/>
      <c r="J795" s="121"/>
      <c r="L795" s="9"/>
      <c r="M795" s="9"/>
      <c r="N795" s="9"/>
      <c r="O795" s="9"/>
    </row>
    <row r="796">
      <c r="A796" s="9"/>
      <c r="E796" s="13"/>
      <c r="J796" s="121"/>
      <c r="L796" s="9"/>
      <c r="M796" s="9"/>
      <c r="N796" s="9"/>
      <c r="O796" s="9"/>
    </row>
    <row r="797">
      <c r="A797" s="9"/>
      <c r="E797" s="13"/>
      <c r="J797" s="121"/>
      <c r="L797" s="9"/>
      <c r="M797" s="9"/>
      <c r="N797" s="9"/>
      <c r="O797" s="9"/>
    </row>
    <row r="798">
      <c r="A798" s="9"/>
      <c r="E798" s="13"/>
      <c r="J798" s="121"/>
      <c r="L798" s="9"/>
      <c r="M798" s="9"/>
      <c r="N798" s="9"/>
      <c r="O798" s="9"/>
    </row>
    <row r="799">
      <c r="A799" s="9"/>
      <c r="E799" s="13"/>
      <c r="J799" s="121"/>
      <c r="L799" s="9"/>
      <c r="M799" s="9"/>
      <c r="N799" s="9"/>
      <c r="O799" s="9"/>
    </row>
    <row r="800">
      <c r="A800" s="9"/>
      <c r="E800" s="13"/>
      <c r="J800" s="121"/>
      <c r="L800" s="9"/>
      <c r="M800" s="9"/>
      <c r="N800" s="9"/>
      <c r="O800" s="9"/>
    </row>
    <row r="801">
      <c r="A801" s="9"/>
      <c r="E801" s="13"/>
      <c r="J801" s="121"/>
      <c r="L801" s="9"/>
      <c r="M801" s="9"/>
      <c r="N801" s="9"/>
      <c r="O801" s="9"/>
    </row>
    <row r="802">
      <c r="A802" s="9"/>
      <c r="E802" s="13"/>
      <c r="J802" s="121"/>
      <c r="L802" s="9"/>
      <c r="M802" s="9"/>
      <c r="N802" s="9"/>
      <c r="O802" s="9"/>
    </row>
    <row r="803">
      <c r="A803" s="9"/>
      <c r="E803" s="13"/>
      <c r="J803" s="121"/>
      <c r="L803" s="9"/>
      <c r="M803" s="9"/>
      <c r="N803" s="9"/>
      <c r="O803" s="9"/>
    </row>
    <row r="804">
      <c r="A804" s="9"/>
      <c r="E804" s="13"/>
      <c r="J804" s="121"/>
      <c r="L804" s="9"/>
      <c r="M804" s="9"/>
      <c r="N804" s="9"/>
      <c r="O804" s="9"/>
    </row>
    <row r="805">
      <c r="A805" s="9"/>
      <c r="E805" s="13"/>
      <c r="J805" s="121"/>
      <c r="L805" s="9"/>
      <c r="M805" s="9"/>
      <c r="N805" s="9"/>
      <c r="O805" s="9"/>
    </row>
    <row r="806">
      <c r="A806" s="9"/>
      <c r="E806" s="13"/>
      <c r="J806" s="121"/>
      <c r="L806" s="9"/>
      <c r="M806" s="9"/>
      <c r="N806" s="9"/>
      <c r="O806" s="9"/>
    </row>
    <row r="807">
      <c r="A807" s="9"/>
      <c r="E807" s="13"/>
      <c r="J807" s="121"/>
      <c r="L807" s="9"/>
      <c r="M807" s="9"/>
      <c r="N807" s="9"/>
      <c r="O807" s="9"/>
    </row>
    <row r="808">
      <c r="A808" s="9"/>
      <c r="E808" s="13"/>
      <c r="J808" s="121"/>
      <c r="L808" s="9"/>
      <c r="M808" s="9"/>
      <c r="N808" s="9"/>
      <c r="O808" s="9"/>
    </row>
    <row r="809">
      <c r="A809" s="9"/>
      <c r="E809" s="13"/>
      <c r="J809" s="121"/>
      <c r="L809" s="9"/>
      <c r="M809" s="9"/>
      <c r="N809" s="9"/>
      <c r="O809" s="9"/>
    </row>
    <row r="810">
      <c r="A810" s="9"/>
      <c r="E810" s="13"/>
      <c r="J810" s="121"/>
      <c r="L810" s="9"/>
      <c r="M810" s="9"/>
      <c r="N810" s="9"/>
      <c r="O810" s="9"/>
    </row>
    <row r="811">
      <c r="A811" s="9"/>
      <c r="E811" s="13"/>
      <c r="J811" s="121"/>
      <c r="L811" s="9"/>
      <c r="M811" s="9"/>
      <c r="N811" s="9"/>
      <c r="O811" s="9"/>
    </row>
    <row r="812">
      <c r="A812" s="9"/>
      <c r="E812" s="13"/>
      <c r="J812" s="121"/>
      <c r="L812" s="9"/>
      <c r="M812" s="9"/>
      <c r="N812" s="9"/>
      <c r="O812" s="9"/>
    </row>
    <row r="813">
      <c r="A813" s="9"/>
      <c r="E813" s="13"/>
      <c r="J813" s="121"/>
      <c r="L813" s="9"/>
      <c r="M813" s="9"/>
      <c r="N813" s="9"/>
      <c r="O813" s="9"/>
    </row>
    <row r="814">
      <c r="A814" s="9"/>
      <c r="E814" s="13"/>
      <c r="J814" s="121"/>
      <c r="L814" s="9"/>
      <c r="M814" s="9"/>
      <c r="N814" s="9"/>
      <c r="O814" s="9"/>
    </row>
    <row r="815">
      <c r="A815" s="9"/>
      <c r="E815" s="13"/>
      <c r="J815" s="121"/>
      <c r="L815" s="9"/>
      <c r="M815" s="9"/>
      <c r="N815" s="9"/>
      <c r="O815" s="9"/>
    </row>
    <row r="816">
      <c r="A816" s="9"/>
      <c r="E816" s="13"/>
      <c r="J816" s="121"/>
      <c r="L816" s="9"/>
      <c r="M816" s="9"/>
      <c r="N816" s="9"/>
      <c r="O816" s="9"/>
    </row>
    <row r="817">
      <c r="A817" s="9"/>
      <c r="E817" s="13"/>
      <c r="J817" s="121"/>
      <c r="L817" s="9"/>
      <c r="M817" s="9"/>
      <c r="N817" s="9"/>
      <c r="O817" s="9"/>
    </row>
    <row r="818">
      <c r="A818" s="9"/>
      <c r="E818" s="13"/>
      <c r="J818" s="121"/>
      <c r="L818" s="9"/>
      <c r="M818" s="9"/>
      <c r="N818" s="9"/>
      <c r="O818" s="9"/>
    </row>
    <row r="819">
      <c r="A819" s="9"/>
      <c r="E819" s="13"/>
      <c r="J819" s="121"/>
      <c r="L819" s="9"/>
      <c r="M819" s="9"/>
      <c r="N819" s="9"/>
      <c r="O819" s="9"/>
    </row>
    <row r="820">
      <c r="A820" s="9"/>
      <c r="E820" s="13"/>
      <c r="J820" s="121"/>
      <c r="L820" s="9"/>
      <c r="M820" s="9"/>
      <c r="N820" s="9"/>
      <c r="O820" s="9"/>
    </row>
    <row r="821">
      <c r="A821" s="9"/>
      <c r="E821" s="13"/>
      <c r="J821" s="121"/>
      <c r="L821" s="9"/>
      <c r="M821" s="9"/>
      <c r="N821" s="9"/>
      <c r="O821" s="9"/>
    </row>
    <row r="822">
      <c r="A822" s="9"/>
      <c r="E822" s="13"/>
      <c r="J822" s="121"/>
      <c r="L822" s="9"/>
      <c r="M822" s="9"/>
      <c r="N822" s="9"/>
      <c r="O822" s="9"/>
    </row>
    <row r="823">
      <c r="A823" s="9"/>
      <c r="E823" s="13"/>
      <c r="J823" s="121"/>
      <c r="L823" s="9"/>
      <c r="M823" s="9"/>
      <c r="N823" s="9"/>
      <c r="O823" s="9"/>
    </row>
    <row r="824">
      <c r="A824" s="9"/>
      <c r="E824" s="13"/>
      <c r="J824" s="121"/>
      <c r="L824" s="9"/>
      <c r="M824" s="9"/>
      <c r="N824" s="9"/>
      <c r="O824" s="9"/>
    </row>
    <row r="825">
      <c r="A825" s="9"/>
      <c r="E825" s="13"/>
      <c r="J825" s="121"/>
      <c r="L825" s="9"/>
      <c r="M825" s="9"/>
      <c r="N825" s="9"/>
      <c r="O825" s="9"/>
    </row>
    <row r="826">
      <c r="A826" s="9"/>
      <c r="E826" s="13"/>
      <c r="J826" s="121"/>
      <c r="L826" s="9"/>
      <c r="M826" s="9"/>
      <c r="N826" s="9"/>
      <c r="O826" s="9"/>
    </row>
    <row r="827">
      <c r="A827" s="9"/>
      <c r="E827" s="13"/>
      <c r="J827" s="121"/>
      <c r="L827" s="9"/>
      <c r="M827" s="9"/>
      <c r="N827" s="9"/>
      <c r="O827" s="9"/>
    </row>
    <row r="828">
      <c r="A828" s="9"/>
      <c r="E828" s="13"/>
      <c r="J828" s="121"/>
      <c r="L828" s="9"/>
      <c r="M828" s="9"/>
      <c r="N828" s="9"/>
      <c r="O828" s="9"/>
    </row>
    <row r="829">
      <c r="A829" s="9"/>
      <c r="E829" s="13"/>
      <c r="J829" s="121"/>
      <c r="L829" s="9"/>
      <c r="M829" s="9"/>
      <c r="N829" s="9"/>
      <c r="O829" s="9"/>
    </row>
    <row r="830">
      <c r="A830" s="9"/>
      <c r="E830" s="13"/>
      <c r="J830" s="121"/>
      <c r="L830" s="9"/>
      <c r="M830" s="9"/>
      <c r="N830" s="9"/>
      <c r="O830" s="9"/>
    </row>
    <row r="831">
      <c r="A831" s="9"/>
      <c r="E831" s="13"/>
      <c r="J831" s="121"/>
      <c r="L831" s="9"/>
      <c r="M831" s="9"/>
      <c r="N831" s="9"/>
      <c r="O831" s="9"/>
    </row>
    <row r="832">
      <c r="A832" s="9"/>
      <c r="E832" s="13"/>
      <c r="J832" s="121"/>
      <c r="L832" s="9"/>
      <c r="M832" s="9"/>
      <c r="N832" s="9"/>
      <c r="O832" s="9"/>
    </row>
    <row r="833">
      <c r="A833" s="9"/>
      <c r="E833" s="13"/>
      <c r="J833" s="121"/>
      <c r="L833" s="9"/>
      <c r="M833" s="9"/>
      <c r="N833" s="9"/>
      <c r="O833" s="9"/>
    </row>
    <row r="834">
      <c r="A834" s="9"/>
      <c r="E834" s="13"/>
      <c r="J834" s="121"/>
      <c r="L834" s="9"/>
      <c r="M834" s="9"/>
      <c r="N834" s="9"/>
      <c r="O834" s="9"/>
    </row>
    <row r="835">
      <c r="A835" s="9"/>
      <c r="E835" s="13"/>
      <c r="J835" s="121"/>
      <c r="L835" s="9"/>
      <c r="M835" s="9"/>
      <c r="N835" s="9"/>
      <c r="O835" s="9"/>
    </row>
    <row r="836">
      <c r="A836" s="9"/>
      <c r="E836" s="13"/>
      <c r="J836" s="121"/>
      <c r="L836" s="9"/>
      <c r="M836" s="9"/>
      <c r="N836" s="9"/>
      <c r="O836" s="9"/>
    </row>
    <row r="837">
      <c r="A837" s="9"/>
      <c r="E837" s="13"/>
      <c r="J837" s="121"/>
      <c r="L837" s="9"/>
      <c r="M837" s="9"/>
      <c r="N837" s="9"/>
      <c r="O837" s="9"/>
    </row>
    <row r="838">
      <c r="A838" s="9"/>
      <c r="E838" s="13"/>
      <c r="J838" s="121"/>
      <c r="L838" s="9"/>
      <c r="M838" s="9"/>
      <c r="N838" s="9"/>
      <c r="O838" s="9"/>
    </row>
    <row r="839">
      <c r="A839" s="9"/>
      <c r="E839" s="13"/>
      <c r="J839" s="121"/>
      <c r="L839" s="9"/>
      <c r="M839" s="9"/>
      <c r="N839" s="9"/>
      <c r="O839" s="9"/>
    </row>
    <row r="840">
      <c r="A840" s="9"/>
      <c r="E840" s="13"/>
      <c r="J840" s="121"/>
      <c r="L840" s="9"/>
      <c r="M840" s="9"/>
      <c r="N840" s="9"/>
      <c r="O840" s="9"/>
    </row>
    <row r="841">
      <c r="A841" s="9"/>
      <c r="E841" s="13"/>
      <c r="J841" s="121"/>
      <c r="L841" s="9"/>
      <c r="M841" s="9"/>
      <c r="N841" s="9"/>
      <c r="O841" s="9"/>
    </row>
    <row r="842">
      <c r="A842" s="9"/>
      <c r="E842" s="13"/>
      <c r="J842" s="121"/>
      <c r="L842" s="9"/>
      <c r="M842" s="9"/>
      <c r="N842" s="9"/>
      <c r="O842" s="9"/>
    </row>
    <row r="843">
      <c r="A843" s="9"/>
      <c r="E843" s="13"/>
      <c r="J843" s="121"/>
      <c r="L843" s="9"/>
      <c r="M843" s="9"/>
      <c r="N843" s="9"/>
      <c r="O843" s="9"/>
    </row>
    <row r="844">
      <c r="A844" s="9"/>
      <c r="E844" s="13"/>
      <c r="J844" s="121"/>
      <c r="L844" s="9"/>
      <c r="M844" s="9"/>
      <c r="N844" s="9"/>
      <c r="O844" s="9"/>
    </row>
    <row r="845">
      <c r="A845" s="9"/>
      <c r="E845" s="13"/>
      <c r="J845" s="121"/>
      <c r="L845" s="9"/>
      <c r="M845" s="9"/>
      <c r="N845" s="9"/>
      <c r="O845" s="9"/>
    </row>
    <row r="846">
      <c r="A846" s="9"/>
      <c r="E846" s="13"/>
      <c r="J846" s="121"/>
      <c r="L846" s="9"/>
      <c r="M846" s="9"/>
      <c r="N846" s="9"/>
      <c r="O846" s="9"/>
    </row>
    <row r="847">
      <c r="A847" s="9"/>
      <c r="E847" s="13"/>
      <c r="J847" s="121"/>
      <c r="L847" s="9"/>
      <c r="M847" s="9"/>
      <c r="N847" s="9"/>
      <c r="O847" s="9"/>
    </row>
    <row r="848">
      <c r="A848" s="9"/>
      <c r="E848" s="13"/>
      <c r="J848" s="121"/>
      <c r="L848" s="9"/>
      <c r="M848" s="9"/>
      <c r="N848" s="9"/>
      <c r="O848" s="9"/>
    </row>
    <row r="849">
      <c r="A849" s="9"/>
      <c r="E849" s="13"/>
      <c r="J849" s="121"/>
      <c r="L849" s="9"/>
      <c r="M849" s="9"/>
      <c r="N849" s="9"/>
      <c r="O849" s="9"/>
    </row>
    <row r="850">
      <c r="A850" s="9"/>
      <c r="E850" s="13"/>
      <c r="J850" s="121"/>
      <c r="L850" s="9"/>
      <c r="M850" s="9"/>
      <c r="N850" s="9"/>
      <c r="O850" s="9"/>
    </row>
    <row r="851">
      <c r="A851" s="9"/>
      <c r="E851" s="13"/>
      <c r="J851" s="121"/>
      <c r="L851" s="9"/>
      <c r="M851" s="9"/>
      <c r="N851" s="9"/>
      <c r="O851" s="9"/>
    </row>
    <row r="852">
      <c r="A852" s="9"/>
      <c r="E852" s="13"/>
      <c r="J852" s="121"/>
      <c r="L852" s="9"/>
      <c r="M852" s="9"/>
      <c r="N852" s="9"/>
      <c r="O852" s="9"/>
    </row>
    <row r="853">
      <c r="A853" s="9"/>
      <c r="E853" s="13"/>
      <c r="J853" s="121"/>
      <c r="L853" s="9"/>
      <c r="M853" s="9"/>
      <c r="N853" s="9"/>
      <c r="O853" s="9"/>
    </row>
    <row r="854">
      <c r="A854" s="9"/>
      <c r="E854" s="13"/>
      <c r="J854" s="121"/>
      <c r="L854" s="9"/>
      <c r="M854" s="9"/>
      <c r="N854" s="9"/>
      <c r="O854" s="9"/>
    </row>
    <row r="855">
      <c r="A855" s="9"/>
      <c r="E855" s="13"/>
      <c r="J855" s="121"/>
      <c r="L855" s="9"/>
      <c r="M855" s="9"/>
      <c r="N855" s="9"/>
      <c r="O855" s="9"/>
    </row>
    <row r="856">
      <c r="A856" s="9"/>
      <c r="E856" s="13"/>
      <c r="J856" s="121"/>
      <c r="L856" s="9"/>
      <c r="M856" s="9"/>
      <c r="N856" s="9"/>
      <c r="O856" s="9"/>
    </row>
    <row r="857">
      <c r="A857" s="9"/>
      <c r="E857" s="13"/>
      <c r="J857" s="121"/>
      <c r="L857" s="9"/>
      <c r="M857" s="9"/>
      <c r="N857" s="9"/>
      <c r="O857" s="9"/>
    </row>
    <row r="858">
      <c r="A858" s="9"/>
      <c r="E858" s="13"/>
      <c r="J858" s="121"/>
      <c r="L858" s="9"/>
      <c r="M858" s="9"/>
      <c r="N858" s="9"/>
      <c r="O858" s="9"/>
    </row>
    <row r="859">
      <c r="A859" s="9"/>
      <c r="E859" s="13"/>
      <c r="J859" s="121"/>
      <c r="L859" s="9"/>
      <c r="M859" s="9"/>
      <c r="N859" s="9"/>
      <c r="O859" s="9"/>
    </row>
    <row r="860">
      <c r="A860" s="9"/>
      <c r="E860" s="13"/>
      <c r="J860" s="121"/>
      <c r="L860" s="9"/>
      <c r="M860" s="9"/>
      <c r="N860" s="9"/>
      <c r="O860" s="9"/>
    </row>
    <row r="861">
      <c r="A861" s="9"/>
      <c r="E861" s="13"/>
      <c r="J861" s="121"/>
      <c r="L861" s="9"/>
      <c r="M861" s="9"/>
      <c r="N861" s="9"/>
      <c r="O861" s="9"/>
    </row>
    <row r="862">
      <c r="A862" s="9"/>
      <c r="E862" s="13"/>
      <c r="J862" s="121"/>
      <c r="L862" s="9"/>
      <c r="M862" s="9"/>
      <c r="N862" s="9"/>
      <c r="O862" s="9"/>
    </row>
    <row r="863">
      <c r="A863" s="9"/>
      <c r="E863" s="13"/>
      <c r="J863" s="121"/>
      <c r="L863" s="9"/>
      <c r="M863" s="9"/>
      <c r="N863" s="9"/>
      <c r="O863" s="9"/>
    </row>
    <row r="864">
      <c r="A864" s="9"/>
      <c r="E864" s="13"/>
      <c r="J864" s="121"/>
      <c r="L864" s="9"/>
      <c r="M864" s="9"/>
      <c r="N864" s="9"/>
      <c r="O864" s="9"/>
    </row>
    <row r="865">
      <c r="A865" s="9"/>
      <c r="E865" s="13"/>
      <c r="J865" s="121"/>
      <c r="L865" s="9"/>
      <c r="M865" s="9"/>
      <c r="N865" s="9"/>
      <c r="O865" s="9"/>
    </row>
    <row r="866">
      <c r="A866" s="9"/>
      <c r="E866" s="13"/>
      <c r="J866" s="121"/>
      <c r="L866" s="9"/>
      <c r="M866" s="9"/>
      <c r="N866" s="9"/>
      <c r="O866" s="9"/>
    </row>
    <row r="867">
      <c r="A867" s="9"/>
      <c r="E867" s="13"/>
      <c r="J867" s="121"/>
      <c r="L867" s="9"/>
      <c r="M867" s="9"/>
      <c r="N867" s="9"/>
      <c r="O867" s="9"/>
    </row>
    <row r="868">
      <c r="A868" s="9"/>
      <c r="E868" s="13"/>
      <c r="J868" s="121"/>
      <c r="L868" s="9"/>
      <c r="M868" s="9"/>
      <c r="N868" s="9"/>
      <c r="O868" s="9"/>
    </row>
    <row r="869">
      <c r="A869" s="9"/>
      <c r="E869" s="13"/>
      <c r="J869" s="121"/>
      <c r="L869" s="9"/>
      <c r="M869" s="9"/>
      <c r="N869" s="9"/>
      <c r="O869" s="9"/>
    </row>
    <row r="870">
      <c r="A870" s="9"/>
      <c r="E870" s="13"/>
      <c r="J870" s="121"/>
      <c r="L870" s="9"/>
      <c r="M870" s="9"/>
      <c r="N870" s="9"/>
      <c r="O870" s="9"/>
    </row>
    <row r="871">
      <c r="A871" s="9"/>
      <c r="E871" s="13"/>
      <c r="J871" s="121"/>
      <c r="L871" s="9"/>
      <c r="M871" s="9"/>
      <c r="N871" s="9"/>
      <c r="O871" s="9"/>
    </row>
    <row r="872">
      <c r="A872" s="9"/>
      <c r="E872" s="13"/>
      <c r="J872" s="121"/>
      <c r="L872" s="9"/>
      <c r="M872" s="9"/>
      <c r="N872" s="9"/>
      <c r="O872" s="9"/>
    </row>
    <row r="873">
      <c r="A873" s="9"/>
      <c r="E873" s="13"/>
      <c r="J873" s="121"/>
      <c r="L873" s="9"/>
      <c r="M873" s="9"/>
      <c r="N873" s="9"/>
      <c r="O873" s="9"/>
    </row>
    <row r="874">
      <c r="A874" s="9"/>
      <c r="E874" s="13"/>
      <c r="J874" s="121"/>
      <c r="L874" s="9"/>
      <c r="M874" s="9"/>
      <c r="N874" s="9"/>
      <c r="O874" s="9"/>
    </row>
    <row r="875">
      <c r="A875" s="9"/>
      <c r="E875" s="13"/>
      <c r="J875" s="121"/>
      <c r="L875" s="9"/>
      <c r="M875" s="9"/>
      <c r="N875" s="9"/>
      <c r="O875" s="9"/>
    </row>
    <row r="876">
      <c r="A876" s="9"/>
      <c r="E876" s="13"/>
      <c r="J876" s="121"/>
      <c r="L876" s="9"/>
      <c r="M876" s="9"/>
      <c r="N876" s="9"/>
      <c r="O876" s="9"/>
    </row>
    <row r="877">
      <c r="A877" s="9"/>
      <c r="E877" s="13"/>
      <c r="J877" s="121"/>
      <c r="L877" s="9"/>
      <c r="M877" s="9"/>
      <c r="N877" s="9"/>
      <c r="O877" s="9"/>
    </row>
    <row r="878">
      <c r="A878" s="9"/>
      <c r="E878" s="13"/>
      <c r="J878" s="121"/>
      <c r="L878" s="9"/>
      <c r="M878" s="9"/>
      <c r="N878" s="9"/>
      <c r="O878" s="9"/>
    </row>
    <row r="879">
      <c r="A879" s="9"/>
      <c r="E879" s="13"/>
      <c r="J879" s="121"/>
      <c r="L879" s="9"/>
      <c r="M879" s="9"/>
      <c r="N879" s="9"/>
      <c r="O879" s="9"/>
    </row>
    <row r="880">
      <c r="A880" s="9"/>
      <c r="E880" s="13"/>
      <c r="J880" s="121"/>
      <c r="L880" s="9"/>
      <c r="M880" s="9"/>
      <c r="N880" s="9"/>
      <c r="O880" s="9"/>
    </row>
    <row r="881">
      <c r="A881" s="9"/>
      <c r="E881" s="13"/>
      <c r="J881" s="121"/>
      <c r="L881" s="9"/>
      <c r="M881" s="9"/>
      <c r="N881" s="9"/>
      <c r="O881" s="9"/>
    </row>
    <row r="882">
      <c r="A882" s="9"/>
      <c r="E882" s="13"/>
      <c r="J882" s="121"/>
      <c r="L882" s="9"/>
      <c r="M882" s="9"/>
      <c r="N882" s="9"/>
      <c r="O882" s="9"/>
    </row>
    <row r="883">
      <c r="A883" s="9"/>
      <c r="E883" s="13"/>
      <c r="J883" s="121"/>
      <c r="L883" s="9"/>
      <c r="M883" s="9"/>
      <c r="N883" s="9"/>
      <c r="O883" s="9"/>
    </row>
    <row r="884">
      <c r="A884" s="9"/>
      <c r="E884" s="13"/>
      <c r="J884" s="121"/>
      <c r="L884" s="9"/>
      <c r="M884" s="9"/>
      <c r="N884" s="9"/>
      <c r="O884" s="9"/>
    </row>
    <row r="885">
      <c r="A885" s="9"/>
      <c r="E885" s="13"/>
      <c r="J885" s="121"/>
      <c r="L885" s="9"/>
      <c r="M885" s="9"/>
      <c r="N885" s="9"/>
      <c r="O885" s="9"/>
    </row>
    <row r="886">
      <c r="A886" s="9"/>
      <c r="E886" s="13"/>
      <c r="J886" s="121"/>
      <c r="L886" s="9"/>
      <c r="M886" s="9"/>
      <c r="N886" s="9"/>
      <c r="O886" s="9"/>
    </row>
    <row r="887">
      <c r="A887" s="9"/>
      <c r="E887" s="13"/>
      <c r="J887" s="121"/>
      <c r="L887" s="9"/>
      <c r="M887" s="9"/>
      <c r="N887" s="9"/>
      <c r="O887" s="9"/>
    </row>
    <row r="888">
      <c r="A888" s="9"/>
      <c r="E888" s="13"/>
      <c r="J888" s="121"/>
      <c r="L888" s="9"/>
      <c r="M888" s="9"/>
      <c r="N888" s="9"/>
      <c r="O888" s="9"/>
    </row>
    <row r="889">
      <c r="A889" s="9"/>
      <c r="E889" s="13"/>
      <c r="J889" s="121"/>
      <c r="L889" s="9"/>
      <c r="M889" s="9"/>
      <c r="N889" s="9"/>
      <c r="O889" s="9"/>
    </row>
    <row r="890">
      <c r="A890" s="9"/>
      <c r="E890" s="13"/>
      <c r="J890" s="121"/>
      <c r="L890" s="9"/>
      <c r="M890" s="9"/>
      <c r="N890" s="9"/>
      <c r="O890" s="9"/>
    </row>
    <row r="891">
      <c r="A891" s="9"/>
      <c r="E891" s="13"/>
      <c r="J891" s="121"/>
      <c r="L891" s="9"/>
      <c r="M891" s="9"/>
      <c r="N891" s="9"/>
      <c r="O891" s="9"/>
    </row>
    <row r="892">
      <c r="A892" s="9"/>
      <c r="E892" s="13"/>
      <c r="J892" s="121"/>
      <c r="L892" s="9"/>
      <c r="M892" s="9"/>
      <c r="N892" s="9"/>
      <c r="O892" s="9"/>
    </row>
    <row r="893">
      <c r="A893" s="9"/>
      <c r="E893" s="13"/>
      <c r="J893" s="121"/>
      <c r="L893" s="9"/>
      <c r="M893" s="9"/>
      <c r="N893" s="9"/>
      <c r="O893" s="9"/>
    </row>
    <row r="894">
      <c r="A894" s="9"/>
      <c r="E894" s="13"/>
      <c r="J894" s="121"/>
      <c r="L894" s="9"/>
      <c r="M894" s="9"/>
      <c r="N894" s="9"/>
      <c r="O894" s="9"/>
    </row>
    <row r="895">
      <c r="A895" s="9"/>
      <c r="E895" s="13"/>
      <c r="J895" s="121"/>
      <c r="L895" s="9"/>
      <c r="M895" s="9"/>
      <c r="N895" s="9"/>
      <c r="O895" s="9"/>
    </row>
    <row r="896">
      <c r="A896" s="9"/>
      <c r="E896" s="13"/>
      <c r="J896" s="121"/>
      <c r="L896" s="9"/>
      <c r="M896" s="9"/>
      <c r="N896" s="9"/>
      <c r="O896" s="9"/>
    </row>
    <row r="897">
      <c r="A897" s="9"/>
      <c r="E897" s="13"/>
      <c r="J897" s="121"/>
      <c r="L897" s="9"/>
      <c r="M897" s="9"/>
      <c r="N897" s="9"/>
      <c r="O897" s="9"/>
    </row>
    <row r="898">
      <c r="A898" s="9"/>
      <c r="E898" s="13"/>
      <c r="J898" s="121"/>
      <c r="L898" s="9"/>
      <c r="M898" s="9"/>
      <c r="N898" s="9"/>
      <c r="O898" s="9"/>
    </row>
    <row r="899">
      <c r="A899" s="9"/>
      <c r="E899" s="13"/>
      <c r="J899" s="121"/>
      <c r="L899" s="9"/>
      <c r="M899" s="9"/>
      <c r="N899" s="9"/>
      <c r="O899" s="9"/>
    </row>
    <row r="900">
      <c r="A900" s="9"/>
      <c r="E900" s="13"/>
      <c r="J900" s="121"/>
      <c r="L900" s="9"/>
      <c r="M900" s="9"/>
      <c r="N900" s="9"/>
      <c r="O900" s="9"/>
    </row>
    <row r="901">
      <c r="A901" s="9"/>
      <c r="E901" s="13"/>
      <c r="J901" s="121"/>
      <c r="L901" s="9"/>
      <c r="M901" s="9"/>
      <c r="N901" s="9"/>
      <c r="O901" s="9"/>
    </row>
    <row r="902">
      <c r="A902" s="9"/>
      <c r="E902" s="13"/>
      <c r="J902" s="121"/>
      <c r="L902" s="9"/>
      <c r="M902" s="9"/>
      <c r="N902" s="9"/>
      <c r="O902" s="9"/>
    </row>
    <row r="903">
      <c r="A903" s="9"/>
      <c r="E903" s="13"/>
      <c r="J903" s="121"/>
      <c r="L903" s="9"/>
      <c r="M903" s="9"/>
      <c r="N903" s="9"/>
      <c r="O903" s="9"/>
    </row>
    <row r="904">
      <c r="A904" s="9"/>
      <c r="E904" s="13"/>
      <c r="J904" s="121"/>
      <c r="L904" s="9"/>
      <c r="M904" s="9"/>
      <c r="N904" s="9"/>
      <c r="O904" s="9"/>
    </row>
    <row r="905">
      <c r="A905" s="9"/>
      <c r="E905" s="13"/>
      <c r="J905" s="121"/>
      <c r="L905" s="9"/>
      <c r="M905" s="9"/>
      <c r="N905" s="9"/>
      <c r="O905" s="9"/>
    </row>
    <row r="906">
      <c r="A906" s="9"/>
      <c r="E906" s="13"/>
      <c r="J906" s="121"/>
      <c r="L906" s="9"/>
      <c r="M906" s="9"/>
      <c r="N906" s="9"/>
      <c r="O906" s="9"/>
    </row>
    <row r="907">
      <c r="A907" s="9"/>
      <c r="E907" s="13"/>
      <c r="J907" s="121"/>
      <c r="L907" s="9"/>
      <c r="M907" s="9"/>
      <c r="N907" s="9"/>
      <c r="O907" s="9"/>
    </row>
    <row r="908">
      <c r="A908" s="9"/>
      <c r="E908" s="13"/>
      <c r="J908" s="121"/>
      <c r="L908" s="9"/>
      <c r="M908" s="9"/>
      <c r="N908" s="9"/>
      <c r="O908" s="9"/>
    </row>
    <row r="909">
      <c r="A909" s="9"/>
      <c r="E909" s="13"/>
      <c r="J909" s="121"/>
      <c r="L909" s="9"/>
      <c r="M909" s="9"/>
      <c r="N909" s="9"/>
      <c r="O909" s="9"/>
    </row>
    <row r="910">
      <c r="A910" s="9"/>
      <c r="E910" s="13"/>
      <c r="J910" s="121"/>
      <c r="L910" s="9"/>
      <c r="M910" s="9"/>
      <c r="N910" s="9"/>
      <c r="O910" s="9"/>
    </row>
    <row r="911">
      <c r="A911" s="9"/>
      <c r="E911" s="13"/>
      <c r="J911" s="121"/>
      <c r="L911" s="9"/>
      <c r="M911" s="9"/>
      <c r="N911" s="9"/>
      <c r="O911" s="9"/>
    </row>
    <row r="912">
      <c r="A912" s="9"/>
      <c r="E912" s="13"/>
      <c r="J912" s="121"/>
      <c r="L912" s="9"/>
      <c r="M912" s="9"/>
      <c r="N912" s="9"/>
      <c r="O912" s="9"/>
    </row>
    <row r="913">
      <c r="A913" s="9"/>
      <c r="E913" s="13"/>
      <c r="J913" s="121"/>
      <c r="L913" s="9"/>
      <c r="M913" s="9"/>
      <c r="N913" s="9"/>
      <c r="O913" s="9"/>
    </row>
    <row r="914">
      <c r="A914" s="9"/>
      <c r="E914" s="13"/>
      <c r="J914" s="121"/>
      <c r="L914" s="9"/>
      <c r="M914" s="9"/>
      <c r="N914" s="9"/>
      <c r="O914" s="9"/>
    </row>
    <row r="915">
      <c r="A915" s="9"/>
      <c r="E915" s="13"/>
      <c r="J915" s="121"/>
      <c r="L915" s="9"/>
      <c r="M915" s="9"/>
      <c r="N915" s="9"/>
      <c r="O915" s="9"/>
    </row>
    <row r="916">
      <c r="A916" s="9"/>
      <c r="E916" s="13"/>
      <c r="J916" s="121"/>
      <c r="L916" s="9"/>
      <c r="M916" s="9"/>
      <c r="N916" s="9"/>
      <c r="O916" s="9"/>
    </row>
    <row r="917">
      <c r="A917" s="9"/>
      <c r="E917" s="13"/>
      <c r="J917" s="121"/>
      <c r="L917" s="9"/>
      <c r="M917" s="9"/>
      <c r="N917" s="9"/>
      <c r="O917" s="9"/>
    </row>
    <row r="918">
      <c r="A918" s="9"/>
      <c r="E918" s="13"/>
      <c r="J918" s="121"/>
      <c r="L918" s="9"/>
      <c r="M918" s="9"/>
      <c r="N918" s="9"/>
      <c r="O918" s="9"/>
    </row>
    <row r="919">
      <c r="A919" s="9"/>
      <c r="E919" s="13"/>
      <c r="J919" s="121"/>
      <c r="L919" s="9"/>
      <c r="M919" s="9"/>
      <c r="N919" s="9"/>
      <c r="O919" s="9"/>
    </row>
    <row r="920">
      <c r="A920" s="9"/>
      <c r="E920" s="13"/>
      <c r="J920" s="121"/>
      <c r="L920" s="9"/>
      <c r="M920" s="9"/>
      <c r="N920" s="9"/>
      <c r="O920" s="9"/>
    </row>
    <row r="921">
      <c r="A921" s="9"/>
      <c r="E921" s="13"/>
      <c r="J921" s="121"/>
      <c r="L921" s="9"/>
      <c r="M921" s="9"/>
      <c r="N921" s="9"/>
      <c r="O921" s="9"/>
    </row>
    <row r="922">
      <c r="A922" s="9"/>
      <c r="E922" s="13"/>
      <c r="J922" s="121"/>
      <c r="L922" s="9"/>
      <c r="M922" s="9"/>
      <c r="N922" s="9"/>
      <c r="O922" s="9"/>
    </row>
    <row r="923">
      <c r="A923" s="9"/>
      <c r="E923" s="13"/>
      <c r="J923" s="121"/>
      <c r="L923" s="9"/>
      <c r="M923" s="9"/>
      <c r="N923" s="9"/>
      <c r="O923" s="9"/>
    </row>
    <row r="924">
      <c r="A924" s="9"/>
      <c r="E924" s="13"/>
      <c r="J924" s="121"/>
      <c r="L924" s="9"/>
      <c r="M924" s="9"/>
      <c r="N924" s="9"/>
      <c r="O924" s="9"/>
    </row>
    <row r="925">
      <c r="A925" s="9"/>
      <c r="E925" s="13"/>
      <c r="J925" s="121"/>
      <c r="L925" s="9"/>
      <c r="M925" s="9"/>
      <c r="N925" s="9"/>
      <c r="O925" s="9"/>
    </row>
    <row r="926">
      <c r="A926" s="9"/>
      <c r="E926" s="13"/>
      <c r="J926" s="121"/>
      <c r="L926" s="9"/>
      <c r="M926" s="9"/>
      <c r="N926" s="9"/>
      <c r="O926" s="9"/>
    </row>
    <row r="927">
      <c r="A927" s="9"/>
      <c r="E927" s="13"/>
      <c r="J927" s="121"/>
      <c r="L927" s="9"/>
      <c r="M927" s="9"/>
      <c r="N927" s="9"/>
      <c r="O927" s="9"/>
    </row>
    <row r="928">
      <c r="A928" s="9"/>
      <c r="E928" s="13"/>
      <c r="J928" s="121"/>
      <c r="L928" s="9"/>
      <c r="M928" s="9"/>
      <c r="N928" s="9"/>
      <c r="O928" s="9"/>
    </row>
    <row r="929">
      <c r="A929" s="9"/>
      <c r="E929" s="13"/>
      <c r="J929" s="121"/>
      <c r="L929" s="9"/>
      <c r="M929" s="9"/>
      <c r="N929" s="9"/>
      <c r="O929" s="9"/>
    </row>
    <row r="930">
      <c r="A930" s="9"/>
      <c r="E930" s="13"/>
      <c r="J930" s="121"/>
      <c r="L930" s="9"/>
      <c r="M930" s="9"/>
      <c r="N930" s="9"/>
      <c r="O930" s="9"/>
    </row>
    <row r="931">
      <c r="A931" s="9"/>
      <c r="E931" s="13"/>
      <c r="J931" s="121"/>
      <c r="L931" s="9"/>
      <c r="M931" s="9"/>
      <c r="N931" s="9"/>
      <c r="O931" s="9"/>
    </row>
    <row r="932">
      <c r="A932" s="9"/>
      <c r="E932" s="13"/>
      <c r="J932" s="121"/>
      <c r="L932" s="9"/>
      <c r="M932" s="9"/>
      <c r="N932" s="9"/>
      <c r="O932" s="9"/>
    </row>
    <row r="933">
      <c r="A933" s="9"/>
      <c r="E933" s="13"/>
      <c r="J933" s="121"/>
      <c r="L933" s="9"/>
      <c r="M933" s="9"/>
      <c r="N933" s="9"/>
      <c r="O933" s="9"/>
    </row>
    <row r="934">
      <c r="A934" s="9"/>
      <c r="E934" s="13"/>
      <c r="J934" s="121"/>
      <c r="L934" s="9"/>
      <c r="M934" s="9"/>
      <c r="N934" s="9"/>
      <c r="O934" s="9"/>
    </row>
    <row r="935">
      <c r="A935" s="9"/>
      <c r="E935" s="13"/>
      <c r="J935" s="121"/>
      <c r="L935" s="9"/>
      <c r="M935" s="9"/>
      <c r="N935" s="9"/>
      <c r="O935" s="9"/>
    </row>
    <row r="936">
      <c r="A936" s="9"/>
      <c r="E936" s="13"/>
      <c r="J936" s="121"/>
      <c r="L936" s="9"/>
      <c r="M936" s="9"/>
      <c r="N936" s="9"/>
      <c r="O936" s="9"/>
    </row>
    <row r="937">
      <c r="A937" s="9"/>
      <c r="E937" s="13"/>
      <c r="J937" s="121"/>
      <c r="L937" s="9"/>
      <c r="M937" s="9"/>
      <c r="N937" s="9"/>
      <c r="O937" s="9"/>
    </row>
    <row r="938">
      <c r="A938" s="9"/>
      <c r="E938" s="13"/>
      <c r="J938" s="121"/>
      <c r="L938" s="9"/>
      <c r="M938" s="9"/>
      <c r="N938" s="9"/>
      <c r="O938" s="9"/>
    </row>
    <row r="939">
      <c r="A939" s="9"/>
      <c r="E939" s="13"/>
      <c r="J939" s="121"/>
      <c r="L939" s="9"/>
      <c r="M939" s="9"/>
      <c r="N939" s="9"/>
      <c r="O939" s="9"/>
    </row>
    <row r="940">
      <c r="A940" s="9"/>
      <c r="E940" s="13"/>
      <c r="J940" s="121"/>
      <c r="L940" s="9"/>
      <c r="M940" s="9"/>
      <c r="N940" s="9"/>
      <c r="O940" s="9"/>
    </row>
    <row r="941">
      <c r="A941" s="9"/>
      <c r="E941" s="13"/>
      <c r="J941" s="121"/>
      <c r="L941" s="9"/>
      <c r="M941" s="9"/>
      <c r="N941" s="9"/>
      <c r="O941" s="9"/>
    </row>
    <row r="942">
      <c r="A942" s="9"/>
      <c r="E942" s="13"/>
      <c r="J942" s="121"/>
      <c r="L942" s="9"/>
      <c r="M942" s="9"/>
      <c r="N942" s="9"/>
      <c r="O942" s="9"/>
    </row>
    <row r="943">
      <c r="A943" s="9"/>
      <c r="E943" s="13"/>
      <c r="J943" s="121"/>
      <c r="L943" s="9"/>
      <c r="M943" s="9"/>
      <c r="N943" s="9"/>
      <c r="O943" s="9"/>
    </row>
    <row r="944">
      <c r="A944" s="9"/>
      <c r="E944" s="13"/>
      <c r="J944" s="121"/>
      <c r="L944" s="9"/>
      <c r="M944" s="9"/>
      <c r="N944" s="9"/>
      <c r="O944" s="9"/>
    </row>
    <row r="945">
      <c r="A945" s="9"/>
      <c r="E945" s="13"/>
      <c r="J945" s="121"/>
      <c r="L945" s="9"/>
      <c r="M945" s="9"/>
      <c r="N945" s="9"/>
      <c r="O945" s="9"/>
    </row>
    <row r="946">
      <c r="A946" s="9"/>
      <c r="E946" s="13"/>
      <c r="J946" s="121"/>
      <c r="L946" s="9"/>
      <c r="M946" s="9"/>
      <c r="N946" s="9"/>
      <c r="O946" s="9"/>
    </row>
    <row r="947">
      <c r="A947" s="9"/>
      <c r="E947" s="13"/>
      <c r="J947" s="121"/>
      <c r="L947" s="9"/>
      <c r="M947" s="9"/>
      <c r="N947" s="9"/>
      <c r="O947" s="9"/>
    </row>
    <row r="948">
      <c r="A948" s="9"/>
      <c r="E948" s="13"/>
      <c r="J948" s="121"/>
      <c r="L948" s="9"/>
      <c r="M948" s="9"/>
      <c r="N948" s="9"/>
      <c r="O948" s="9"/>
    </row>
    <row r="949">
      <c r="A949" s="9"/>
      <c r="E949" s="13"/>
      <c r="J949" s="121"/>
      <c r="L949" s="9"/>
      <c r="M949" s="9"/>
      <c r="N949" s="9"/>
      <c r="O949" s="9"/>
    </row>
    <row r="950">
      <c r="A950" s="9"/>
      <c r="E950" s="13"/>
      <c r="J950" s="121"/>
      <c r="L950" s="9"/>
      <c r="M950" s="9"/>
      <c r="N950" s="9"/>
      <c r="O950" s="9"/>
    </row>
    <row r="951">
      <c r="A951" s="9"/>
      <c r="E951" s="13"/>
      <c r="J951" s="121"/>
      <c r="L951" s="9"/>
      <c r="M951" s="9"/>
      <c r="N951" s="9"/>
      <c r="O951" s="9"/>
    </row>
    <row r="952">
      <c r="A952" s="9"/>
      <c r="E952" s="13"/>
      <c r="J952" s="121"/>
      <c r="L952" s="9"/>
      <c r="M952" s="9"/>
      <c r="N952" s="9"/>
      <c r="O952" s="9"/>
    </row>
    <row r="953">
      <c r="A953" s="9"/>
      <c r="E953" s="13"/>
      <c r="J953" s="121"/>
      <c r="L953" s="9"/>
      <c r="M953" s="9"/>
      <c r="N953" s="9"/>
      <c r="O953" s="9"/>
    </row>
    <row r="954">
      <c r="A954" s="9"/>
      <c r="E954" s="13"/>
      <c r="J954" s="121"/>
      <c r="L954" s="9"/>
      <c r="M954" s="9"/>
      <c r="N954" s="9"/>
      <c r="O954" s="9"/>
    </row>
    <row r="955">
      <c r="A955" s="9"/>
      <c r="E955" s="13"/>
      <c r="J955" s="121"/>
      <c r="L955" s="9"/>
      <c r="M955" s="9"/>
      <c r="N955" s="9"/>
      <c r="O955" s="9"/>
    </row>
    <row r="956">
      <c r="A956" s="9"/>
      <c r="E956" s="13"/>
      <c r="J956" s="121"/>
      <c r="L956" s="9"/>
      <c r="M956" s="9"/>
      <c r="N956" s="9"/>
      <c r="O956" s="9"/>
    </row>
    <row r="957">
      <c r="A957" s="9"/>
      <c r="E957" s="13"/>
      <c r="J957" s="121"/>
      <c r="L957" s="9"/>
      <c r="M957" s="9"/>
      <c r="N957" s="9"/>
      <c r="O957" s="9"/>
    </row>
    <row r="958">
      <c r="A958" s="9"/>
      <c r="E958" s="13"/>
      <c r="J958" s="121"/>
      <c r="L958" s="9"/>
      <c r="M958" s="9"/>
      <c r="N958" s="9"/>
      <c r="O958" s="9"/>
    </row>
    <row r="959">
      <c r="A959" s="9"/>
      <c r="E959" s="13"/>
      <c r="J959" s="121"/>
      <c r="L959" s="9"/>
      <c r="M959" s="9"/>
      <c r="N959" s="9"/>
      <c r="O959" s="9"/>
    </row>
    <row r="960">
      <c r="A960" s="9"/>
      <c r="E960" s="13"/>
      <c r="J960" s="121"/>
      <c r="L960" s="9"/>
      <c r="M960" s="9"/>
      <c r="N960" s="9"/>
      <c r="O960" s="9"/>
    </row>
    <row r="961">
      <c r="A961" s="9"/>
      <c r="E961" s="13"/>
      <c r="J961" s="121"/>
      <c r="L961" s="9"/>
      <c r="M961" s="9"/>
      <c r="N961" s="9"/>
      <c r="O961" s="9"/>
    </row>
    <row r="962">
      <c r="A962" s="9"/>
      <c r="E962" s="13"/>
      <c r="J962" s="121"/>
      <c r="L962" s="9"/>
      <c r="M962" s="9"/>
      <c r="N962" s="9"/>
      <c r="O962" s="9"/>
    </row>
    <row r="963">
      <c r="A963" s="9"/>
      <c r="E963" s="13"/>
      <c r="J963" s="121"/>
      <c r="L963" s="9"/>
      <c r="M963" s="9"/>
      <c r="N963" s="9"/>
      <c r="O963" s="9"/>
    </row>
    <row r="964">
      <c r="A964" s="9"/>
      <c r="E964" s="13"/>
      <c r="J964" s="121"/>
      <c r="L964" s="9"/>
      <c r="M964" s="9"/>
      <c r="N964" s="9"/>
      <c r="O964" s="9"/>
    </row>
    <row r="965">
      <c r="A965" s="9"/>
      <c r="E965" s="13"/>
      <c r="J965" s="121"/>
      <c r="L965" s="9"/>
      <c r="M965" s="9"/>
      <c r="N965" s="9"/>
      <c r="O965" s="9"/>
    </row>
    <row r="966">
      <c r="A966" s="9"/>
      <c r="E966" s="13"/>
      <c r="J966" s="121"/>
      <c r="L966" s="9"/>
      <c r="M966" s="9"/>
      <c r="N966" s="9"/>
      <c r="O966" s="9"/>
    </row>
    <row r="967">
      <c r="A967" s="9"/>
      <c r="E967" s="13"/>
      <c r="J967" s="121"/>
      <c r="L967" s="9"/>
      <c r="M967" s="9"/>
      <c r="N967" s="9"/>
      <c r="O967" s="9"/>
    </row>
  </sheetData>
  <mergeCells count="1">
    <mergeCell ref="A1:G1"/>
  </mergeCells>
  <printOptions gridLines="1" horizontalCentered="1"/>
  <pageMargins bottom="0.25" footer="0.0" header="0.0" left="0.14208826695371368" right="0.10656620021528525" top="0.25"/>
  <pageSetup cellComments="atEnd" orientation="portrait" pageOrder="overThenDown"/>
  <colBreaks count="2" manualBreakCount="2">
    <brk man="1"/>
    <brk id="7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38"/>
    <col customWidth="1" min="2" max="2" width="24.88"/>
    <col customWidth="1" min="3" max="3" width="25.38"/>
    <col customWidth="1" min="4" max="4" width="5.88"/>
    <col customWidth="1" min="5" max="5" width="8.38"/>
    <col customWidth="1" min="6" max="6" width="17.75"/>
    <col customWidth="1" min="7" max="7" width="10.25"/>
    <col customWidth="1" min="8" max="8" width="4.75"/>
    <col customWidth="1" min="9" max="10" width="5.63"/>
    <col customWidth="1" min="11" max="11" width="8.25"/>
    <col customWidth="1" min="12" max="12" width="5.63"/>
    <col customWidth="1" min="13" max="13" width="6.88"/>
    <col customWidth="1" min="14" max="14" width="6.5"/>
    <col customWidth="1" min="15" max="15" width="5.63"/>
    <col customWidth="1" min="16" max="16" width="11.38"/>
    <col customWidth="1" min="17" max="17" width="5.88"/>
    <col customWidth="1" min="18" max="18" width="4.75"/>
    <col customWidth="1" min="19" max="19" width="7.5"/>
    <col customWidth="1" min="20" max="20" width="5.88"/>
    <col customWidth="1" min="21" max="21" width="4.75"/>
    <col customWidth="1" min="22" max="22" width="7.5"/>
    <col customWidth="1" min="23" max="23" width="5.88"/>
    <col customWidth="1" min="24" max="24" width="4.75"/>
    <col customWidth="1" min="25" max="29" width="5.38"/>
  </cols>
  <sheetData>
    <row r="1">
      <c r="A1" s="122" t="s">
        <v>437</v>
      </c>
      <c r="B1" s="39"/>
      <c r="C1" s="39"/>
      <c r="D1" s="39"/>
      <c r="E1" s="39"/>
      <c r="F1" s="39"/>
      <c r="G1" s="40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4"/>
      <c r="AA1" s="4"/>
      <c r="AB1" s="4"/>
      <c r="AC1" s="4"/>
    </row>
    <row r="2">
      <c r="A2" s="123" t="s">
        <v>8</v>
      </c>
      <c r="B2" s="124" t="s">
        <v>9</v>
      </c>
      <c r="C2" s="124" t="s">
        <v>10</v>
      </c>
      <c r="D2" s="124" t="s">
        <v>11</v>
      </c>
      <c r="E2" s="123" t="s">
        <v>12</v>
      </c>
      <c r="F2" s="124" t="s">
        <v>13</v>
      </c>
      <c r="G2" s="124" t="s">
        <v>14</v>
      </c>
      <c r="H2" s="125" t="s">
        <v>248</v>
      </c>
      <c r="I2" s="125" t="s">
        <v>16</v>
      </c>
      <c r="J2" s="124" t="s">
        <v>17</v>
      </c>
      <c r="K2" s="123" t="s">
        <v>18</v>
      </c>
      <c r="L2" s="124" t="s">
        <v>19</v>
      </c>
      <c r="M2" s="125" t="s">
        <v>20</v>
      </c>
      <c r="N2" s="125" t="s">
        <v>249</v>
      </c>
      <c r="O2" s="125" t="s">
        <v>22</v>
      </c>
      <c r="P2" s="124" t="s">
        <v>23</v>
      </c>
      <c r="Q2" s="124" t="s">
        <v>251</v>
      </c>
      <c r="R2" s="126" t="s">
        <v>252</v>
      </c>
      <c r="S2" s="124" t="s">
        <v>253</v>
      </c>
      <c r="T2" s="126" t="s">
        <v>251</v>
      </c>
      <c r="U2" s="126" t="s">
        <v>252</v>
      </c>
      <c r="V2" s="126" t="s">
        <v>253</v>
      </c>
      <c r="W2" s="126" t="s">
        <v>251</v>
      </c>
      <c r="X2" s="126" t="s">
        <v>252</v>
      </c>
      <c r="Y2" s="126" t="s">
        <v>253</v>
      </c>
    </row>
    <row r="3">
      <c r="A3" s="127">
        <v>1.0</v>
      </c>
      <c r="B3" s="46" t="s">
        <v>438</v>
      </c>
      <c r="C3" s="46" t="s">
        <v>439</v>
      </c>
      <c r="D3" s="127" t="s">
        <v>440</v>
      </c>
      <c r="E3" s="46"/>
      <c r="F3" s="46" t="s">
        <v>43</v>
      </c>
      <c r="G3" s="49">
        <v>9.166442331E9</v>
      </c>
      <c r="H3" s="127">
        <v>1000.0</v>
      </c>
      <c r="I3" s="49">
        <v>12500.0</v>
      </c>
      <c r="J3" s="127">
        <v>9000.0</v>
      </c>
      <c r="K3" s="127">
        <v>0.0</v>
      </c>
      <c r="L3" s="74">
        <v>4000.0</v>
      </c>
      <c r="M3" s="127">
        <f t="shared" ref="M3:M64" si="1">(H3+I3+J3+K3-L3)</f>
        <v>18500</v>
      </c>
      <c r="N3" s="127">
        <f t="shared" ref="N3:N64" si="2">SUM(Q3,T3,W3)</f>
        <v>2000</v>
      </c>
      <c r="O3" s="127">
        <f t="shared" ref="O3:O64" si="3">(M3-N3)</f>
        <v>16500</v>
      </c>
      <c r="P3" s="73" t="s">
        <v>44</v>
      </c>
      <c r="Q3" s="74">
        <v>2000.0</v>
      </c>
      <c r="R3" s="74">
        <v>3019.0</v>
      </c>
      <c r="S3" s="73" t="s">
        <v>290</v>
      </c>
      <c r="T3" s="73"/>
      <c r="U3" s="73"/>
      <c r="V3" s="73"/>
      <c r="W3" s="73"/>
      <c r="X3" s="73"/>
      <c r="Y3" s="73"/>
      <c r="Z3" s="31"/>
      <c r="AA3" s="31"/>
      <c r="AB3" s="31"/>
      <c r="AC3" s="31"/>
    </row>
    <row r="4">
      <c r="A4" s="127">
        <v>2.0</v>
      </c>
      <c r="B4" s="73" t="s">
        <v>441</v>
      </c>
      <c r="C4" s="73" t="s">
        <v>442</v>
      </c>
      <c r="D4" s="73" t="s">
        <v>443</v>
      </c>
      <c r="E4" s="127">
        <v>1733.0</v>
      </c>
      <c r="F4" s="73" t="s">
        <v>286</v>
      </c>
      <c r="G4" s="74">
        <v>9.799198593E9</v>
      </c>
      <c r="H4" s="46"/>
      <c r="I4" s="49">
        <v>12500.0</v>
      </c>
      <c r="J4" s="51">
        <v>0.0</v>
      </c>
      <c r="K4" s="127">
        <v>0.0</v>
      </c>
      <c r="L4" s="73"/>
      <c r="M4" s="127">
        <f t="shared" si="1"/>
        <v>12500</v>
      </c>
      <c r="N4" s="127">
        <f t="shared" si="2"/>
        <v>4000</v>
      </c>
      <c r="O4" s="127">
        <f t="shared" si="3"/>
        <v>8500</v>
      </c>
      <c r="P4" s="46"/>
      <c r="Q4" s="51">
        <v>4000.0</v>
      </c>
      <c r="R4" s="51">
        <v>3867.0</v>
      </c>
      <c r="S4" s="72">
        <v>45972.0</v>
      </c>
      <c r="T4" s="46"/>
      <c r="U4" s="46"/>
      <c r="V4" s="46"/>
      <c r="W4" s="46"/>
      <c r="X4" s="46"/>
      <c r="Y4" s="46"/>
      <c r="Z4" s="10"/>
      <c r="AA4" s="10"/>
      <c r="AB4" s="10"/>
      <c r="AC4" s="10"/>
    </row>
    <row r="5">
      <c r="A5" s="127">
        <v>3.0</v>
      </c>
      <c r="B5" s="73" t="s">
        <v>444</v>
      </c>
      <c r="C5" s="73" t="s">
        <v>445</v>
      </c>
      <c r="D5" s="73" t="s">
        <v>446</v>
      </c>
      <c r="E5" s="46"/>
      <c r="F5" s="73" t="s">
        <v>43</v>
      </c>
      <c r="G5" s="74">
        <v>9.001630699E9</v>
      </c>
      <c r="H5" s="49">
        <v>1000.0</v>
      </c>
      <c r="I5" s="49">
        <v>12500.0</v>
      </c>
      <c r="J5" s="69">
        <v>9000.0</v>
      </c>
      <c r="K5" s="73"/>
      <c r="L5" s="46"/>
      <c r="M5" s="127">
        <f t="shared" si="1"/>
        <v>22500</v>
      </c>
      <c r="N5" s="127">
        <f t="shared" si="2"/>
        <v>1000</v>
      </c>
      <c r="O5" s="127">
        <f t="shared" si="3"/>
        <v>21500</v>
      </c>
      <c r="P5" s="46"/>
      <c r="Q5" s="69">
        <v>1000.0</v>
      </c>
      <c r="R5" s="69">
        <v>3248.0</v>
      </c>
      <c r="S5" s="46" t="s">
        <v>160</v>
      </c>
      <c r="T5" s="46"/>
      <c r="U5" s="46"/>
      <c r="V5" s="46"/>
      <c r="W5" s="46"/>
      <c r="X5" s="46"/>
      <c r="Y5" s="46"/>
    </row>
    <row r="6">
      <c r="A6" s="127">
        <v>4.0</v>
      </c>
      <c r="B6" s="73" t="s">
        <v>447</v>
      </c>
      <c r="C6" s="73" t="s">
        <v>448</v>
      </c>
      <c r="D6" s="73" t="s">
        <v>443</v>
      </c>
      <c r="E6" s="127">
        <v>1644.0</v>
      </c>
      <c r="F6" s="73" t="s">
        <v>165</v>
      </c>
      <c r="G6" s="74">
        <v>9.783354683E9</v>
      </c>
      <c r="H6" s="73"/>
      <c r="I6" s="49">
        <v>12500.0</v>
      </c>
      <c r="J6" s="51">
        <v>7000.0</v>
      </c>
      <c r="K6" s="49">
        <v>0.0</v>
      </c>
      <c r="L6" s="46"/>
      <c r="M6" s="127">
        <f t="shared" si="1"/>
        <v>19500</v>
      </c>
      <c r="N6" s="127">
        <f t="shared" si="2"/>
        <v>10000</v>
      </c>
      <c r="O6" s="127">
        <f t="shared" si="3"/>
        <v>9500</v>
      </c>
      <c r="P6" s="46"/>
      <c r="Q6" s="51">
        <v>10000.0</v>
      </c>
      <c r="R6" s="51">
        <v>3374.0</v>
      </c>
      <c r="S6" s="58">
        <v>45878.0</v>
      </c>
      <c r="T6" s="46"/>
      <c r="U6" s="46"/>
      <c r="V6" s="46"/>
      <c r="W6" s="46"/>
      <c r="X6" s="46"/>
      <c r="Y6" s="46"/>
    </row>
    <row r="7">
      <c r="A7" s="127">
        <v>5.0</v>
      </c>
      <c r="B7" s="73" t="s">
        <v>449</v>
      </c>
      <c r="C7" s="51" t="s">
        <v>450</v>
      </c>
      <c r="D7" s="73" t="s">
        <v>440</v>
      </c>
      <c r="E7" s="46"/>
      <c r="F7" s="73" t="s">
        <v>451</v>
      </c>
      <c r="G7" s="51">
        <v>9.549790461E9</v>
      </c>
      <c r="H7" s="51">
        <v>0.0</v>
      </c>
      <c r="I7" s="49">
        <v>12500.0</v>
      </c>
      <c r="J7" s="51">
        <v>6500.0</v>
      </c>
      <c r="K7" s="73"/>
      <c r="L7" s="51">
        <v>4000.0</v>
      </c>
      <c r="M7" s="127">
        <f t="shared" si="1"/>
        <v>15000</v>
      </c>
      <c r="N7" s="127">
        <f t="shared" si="2"/>
        <v>15000</v>
      </c>
      <c r="O7" s="127">
        <f t="shared" si="3"/>
        <v>0</v>
      </c>
      <c r="P7" s="46"/>
      <c r="Q7" s="69">
        <v>5000.0</v>
      </c>
      <c r="R7" s="69">
        <v>3350.0</v>
      </c>
      <c r="S7" s="46" t="s">
        <v>452</v>
      </c>
      <c r="T7" s="51">
        <v>10000.0</v>
      </c>
      <c r="U7" s="51">
        <v>3793.0</v>
      </c>
      <c r="V7" s="58">
        <v>45880.0</v>
      </c>
      <c r="W7" s="46"/>
      <c r="X7" s="46"/>
      <c r="Y7" s="46"/>
    </row>
    <row r="8">
      <c r="A8" s="127">
        <v>6.0</v>
      </c>
      <c r="B8" s="73" t="s">
        <v>453</v>
      </c>
      <c r="C8" s="73" t="s">
        <v>454</v>
      </c>
      <c r="D8" s="73" t="s">
        <v>455</v>
      </c>
      <c r="E8" s="46"/>
      <c r="F8" s="73" t="s">
        <v>456</v>
      </c>
      <c r="G8" s="74">
        <v>9.166714531E9</v>
      </c>
      <c r="H8" s="46"/>
      <c r="I8" s="49">
        <v>12500.0</v>
      </c>
      <c r="J8" s="51">
        <v>10000.0</v>
      </c>
      <c r="K8" s="46"/>
      <c r="L8" s="46"/>
      <c r="M8" s="127">
        <f t="shared" si="1"/>
        <v>22500</v>
      </c>
      <c r="N8" s="127">
        <f t="shared" si="2"/>
        <v>5000</v>
      </c>
      <c r="O8" s="127">
        <f t="shared" si="3"/>
        <v>17500</v>
      </c>
      <c r="P8" s="46"/>
      <c r="Q8" s="51">
        <v>5000.0</v>
      </c>
      <c r="R8" s="51">
        <v>3722.0</v>
      </c>
      <c r="S8" s="51" t="s">
        <v>423</v>
      </c>
      <c r="T8" s="46"/>
      <c r="U8" s="46"/>
      <c r="V8" s="46"/>
      <c r="W8" s="46"/>
      <c r="X8" s="46"/>
      <c r="Y8" s="46"/>
    </row>
    <row r="9">
      <c r="A9" s="127">
        <v>7.0</v>
      </c>
      <c r="B9" s="73" t="s">
        <v>457</v>
      </c>
      <c r="C9" s="73" t="s">
        <v>458</v>
      </c>
      <c r="D9" s="73" t="s">
        <v>440</v>
      </c>
      <c r="E9" s="127">
        <v>1638.0</v>
      </c>
      <c r="F9" s="73" t="s">
        <v>459</v>
      </c>
      <c r="G9" s="74">
        <v>8.824865529E9</v>
      </c>
      <c r="H9" s="46"/>
      <c r="I9" s="49">
        <v>12500.0</v>
      </c>
      <c r="J9" s="51">
        <v>9000.0</v>
      </c>
      <c r="K9" s="49">
        <v>0.0</v>
      </c>
      <c r="L9" s="46"/>
      <c r="M9" s="127">
        <f t="shared" si="1"/>
        <v>21500</v>
      </c>
      <c r="N9" s="127">
        <f t="shared" si="2"/>
        <v>0</v>
      </c>
      <c r="O9" s="127">
        <f t="shared" si="3"/>
        <v>21500</v>
      </c>
      <c r="P9" s="46"/>
      <c r="Q9" s="46"/>
      <c r="R9" s="46"/>
      <c r="S9" s="46"/>
      <c r="T9" s="46"/>
      <c r="U9" s="46"/>
      <c r="V9" s="46"/>
      <c r="W9" s="46"/>
      <c r="X9" s="46"/>
      <c r="Y9" s="46"/>
    </row>
    <row r="10">
      <c r="A10" s="127">
        <v>8.0</v>
      </c>
      <c r="B10" s="73" t="s">
        <v>460</v>
      </c>
      <c r="C10" s="46" t="s">
        <v>461</v>
      </c>
      <c r="D10" s="127" t="s">
        <v>455</v>
      </c>
      <c r="E10" s="46"/>
      <c r="F10" s="46" t="s">
        <v>462</v>
      </c>
      <c r="G10" s="49">
        <v>6.377105629E9</v>
      </c>
      <c r="H10" s="49">
        <v>1000.0</v>
      </c>
      <c r="I10" s="49">
        <v>12500.0</v>
      </c>
      <c r="J10" s="49">
        <v>5000.0</v>
      </c>
      <c r="K10" s="127">
        <v>0.0</v>
      </c>
      <c r="L10" s="69">
        <v>1900.0</v>
      </c>
      <c r="M10" s="127">
        <f t="shared" si="1"/>
        <v>16600</v>
      </c>
      <c r="N10" s="127">
        <f t="shared" si="2"/>
        <v>4000</v>
      </c>
      <c r="O10" s="127">
        <f t="shared" si="3"/>
        <v>12600</v>
      </c>
      <c r="P10" s="46" t="s">
        <v>159</v>
      </c>
      <c r="Q10" s="69">
        <v>4000.0</v>
      </c>
      <c r="R10" s="69">
        <v>3118.0</v>
      </c>
      <c r="S10" s="71">
        <v>45696.0</v>
      </c>
      <c r="T10" s="46"/>
      <c r="U10" s="46"/>
      <c r="V10" s="46"/>
      <c r="W10" s="46"/>
      <c r="X10" s="46"/>
      <c r="Y10" s="46"/>
    </row>
    <row r="11">
      <c r="A11" s="127">
        <v>9.0</v>
      </c>
      <c r="B11" s="73" t="s">
        <v>463</v>
      </c>
      <c r="C11" s="73" t="s">
        <v>464</v>
      </c>
      <c r="D11" s="73" t="s">
        <v>455</v>
      </c>
      <c r="E11" s="127">
        <v>1702.0</v>
      </c>
      <c r="F11" s="73" t="s">
        <v>30</v>
      </c>
      <c r="G11" s="74">
        <v>7.231890763E9</v>
      </c>
      <c r="H11" s="73"/>
      <c r="I11" s="49">
        <v>12500.0</v>
      </c>
      <c r="J11" s="51">
        <v>9500.0</v>
      </c>
      <c r="K11" s="127">
        <v>0.0</v>
      </c>
      <c r="L11" s="73"/>
      <c r="M11" s="127">
        <f t="shared" si="1"/>
        <v>22000</v>
      </c>
      <c r="N11" s="127">
        <f t="shared" si="2"/>
        <v>5000</v>
      </c>
      <c r="O11" s="127">
        <f t="shared" si="3"/>
        <v>17000</v>
      </c>
      <c r="P11" s="46"/>
      <c r="Q11" s="51">
        <v>5000.0</v>
      </c>
      <c r="R11" s="51">
        <v>3988.0</v>
      </c>
      <c r="S11" s="51" t="s">
        <v>312</v>
      </c>
      <c r="T11" s="46"/>
      <c r="U11" s="46"/>
      <c r="V11" s="46"/>
      <c r="W11" s="46"/>
      <c r="X11" s="46"/>
      <c r="Y11" s="46"/>
      <c r="Z11" s="10"/>
      <c r="AA11" s="10"/>
      <c r="AB11" s="10"/>
      <c r="AC11" s="10"/>
    </row>
    <row r="12">
      <c r="A12" s="127">
        <v>10.0</v>
      </c>
      <c r="B12" s="73" t="s">
        <v>465</v>
      </c>
      <c r="C12" s="73" t="s">
        <v>466</v>
      </c>
      <c r="D12" s="73" t="s">
        <v>455</v>
      </c>
      <c r="E12" s="127">
        <v>2.0220021E7</v>
      </c>
      <c r="F12" s="73" t="s">
        <v>145</v>
      </c>
      <c r="G12" s="74">
        <v>8.890154374E9</v>
      </c>
      <c r="H12" s="46"/>
      <c r="I12" s="49">
        <v>12500.0</v>
      </c>
      <c r="J12" s="51">
        <v>0.0</v>
      </c>
      <c r="K12" s="127">
        <v>0.0</v>
      </c>
      <c r="L12" s="46"/>
      <c r="M12" s="127">
        <f t="shared" si="1"/>
        <v>12500</v>
      </c>
      <c r="N12" s="127">
        <f t="shared" si="2"/>
        <v>0</v>
      </c>
      <c r="O12" s="127">
        <f t="shared" si="3"/>
        <v>12500</v>
      </c>
      <c r="P12" s="46"/>
      <c r="Q12" s="46"/>
      <c r="R12" s="46"/>
      <c r="S12" s="46"/>
      <c r="T12" s="46"/>
      <c r="U12" s="46"/>
      <c r="V12" s="46"/>
      <c r="W12" s="46"/>
      <c r="X12" s="46"/>
      <c r="Y12" s="46"/>
    </row>
    <row r="13">
      <c r="A13" s="127">
        <v>11.0</v>
      </c>
      <c r="B13" s="73" t="s">
        <v>467</v>
      </c>
      <c r="C13" s="73" t="s">
        <v>468</v>
      </c>
      <c r="D13" s="73" t="s">
        <v>455</v>
      </c>
      <c r="E13" s="46"/>
      <c r="F13" s="73" t="s">
        <v>33</v>
      </c>
      <c r="G13" s="51">
        <v>6.377263387E9</v>
      </c>
      <c r="H13" s="46"/>
      <c r="I13" s="49">
        <v>12500.0</v>
      </c>
      <c r="J13" s="51">
        <v>5000.0</v>
      </c>
      <c r="K13" s="73"/>
      <c r="L13" s="51">
        <v>5000.0</v>
      </c>
      <c r="M13" s="127">
        <f t="shared" si="1"/>
        <v>12500</v>
      </c>
      <c r="N13" s="127">
        <f t="shared" si="2"/>
        <v>6500</v>
      </c>
      <c r="O13" s="127">
        <f t="shared" si="3"/>
        <v>6000</v>
      </c>
      <c r="P13" s="51" t="s">
        <v>34</v>
      </c>
      <c r="Q13" s="51">
        <v>6500.0</v>
      </c>
      <c r="R13" s="51">
        <v>2885.0</v>
      </c>
      <c r="S13" s="58">
        <v>45754.0</v>
      </c>
      <c r="T13" s="46"/>
      <c r="U13" s="46"/>
      <c r="V13" s="46"/>
      <c r="W13" s="46"/>
      <c r="X13" s="46"/>
      <c r="Y13" s="46"/>
    </row>
    <row r="14">
      <c r="A14" s="127">
        <v>12.0</v>
      </c>
      <c r="B14" s="73" t="s">
        <v>469</v>
      </c>
      <c r="C14" s="73" t="s">
        <v>470</v>
      </c>
      <c r="D14" s="73" t="s">
        <v>440</v>
      </c>
      <c r="E14" s="127">
        <v>1800.0</v>
      </c>
      <c r="F14" s="46" t="s">
        <v>33</v>
      </c>
      <c r="G14" s="49">
        <v>8.003574706E9</v>
      </c>
      <c r="H14" s="49">
        <v>1000.0</v>
      </c>
      <c r="I14" s="49">
        <v>12500.0</v>
      </c>
      <c r="J14" s="49">
        <v>5000.0</v>
      </c>
      <c r="K14" s="49">
        <v>0.0</v>
      </c>
      <c r="L14" s="49">
        <v>6500.0</v>
      </c>
      <c r="M14" s="127">
        <f t="shared" si="1"/>
        <v>12000</v>
      </c>
      <c r="N14" s="127">
        <f t="shared" si="2"/>
        <v>4000</v>
      </c>
      <c r="O14" s="127">
        <f t="shared" si="3"/>
        <v>8000</v>
      </c>
      <c r="P14" s="46" t="s">
        <v>159</v>
      </c>
      <c r="Q14" s="69">
        <v>4000.0</v>
      </c>
      <c r="R14" s="69">
        <v>2896.0</v>
      </c>
      <c r="S14" s="71">
        <v>45784.0</v>
      </c>
      <c r="T14" s="128"/>
      <c r="U14" s="128"/>
      <c r="V14" s="128"/>
      <c r="W14" s="128"/>
      <c r="X14" s="128"/>
      <c r="Y14" s="128"/>
    </row>
    <row r="15">
      <c r="A15" s="127">
        <v>13.0</v>
      </c>
      <c r="B15" s="73" t="s">
        <v>471</v>
      </c>
      <c r="C15" s="73" t="s">
        <v>472</v>
      </c>
      <c r="D15" s="73" t="s">
        <v>455</v>
      </c>
      <c r="E15" s="127">
        <v>1692.0</v>
      </c>
      <c r="F15" s="73" t="s">
        <v>354</v>
      </c>
      <c r="G15" s="74">
        <v>8.00351367E9</v>
      </c>
      <c r="H15" s="46"/>
      <c r="I15" s="49">
        <v>12500.0</v>
      </c>
      <c r="J15" s="51">
        <v>8000.0</v>
      </c>
      <c r="K15" s="127">
        <v>0.0</v>
      </c>
      <c r="L15" s="46"/>
      <c r="M15" s="127">
        <f t="shared" si="1"/>
        <v>20500</v>
      </c>
      <c r="N15" s="127">
        <f t="shared" si="2"/>
        <v>0</v>
      </c>
      <c r="O15" s="127">
        <f t="shared" si="3"/>
        <v>20500</v>
      </c>
      <c r="P15" s="46"/>
      <c r="Q15" s="46"/>
      <c r="R15" s="46"/>
      <c r="S15" s="128"/>
      <c r="T15" s="128"/>
      <c r="U15" s="128"/>
      <c r="V15" s="128"/>
      <c r="W15" s="128"/>
      <c r="X15" s="128"/>
      <c r="Y15" s="128"/>
      <c r="Z15" s="17"/>
      <c r="AA15" s="17"/>
      <c r="AB15" s="17"/>
      <c r="AC15" s="17"/>
    </row>
    <row r="16">
      <c r="A16" s="127">
        <v>14.0</v>
      </c>
      <c r="B16" s="73" t="s">
        <v>151</v>
      </c>
      <c r="C16" s="73" t="s">
        <v>473</v>
      </c>
      <c r="D16" s="73" t="s">
        <v>455</v>
      </c>
      <c r="E16" s="127">
        <v>1670.0</v>
      </c>
      <c r="F16" s="73" t="s">
        <v>474</v>
      </c>
      <c r="G16" s="74">
        <v>9.783514021E9</v>
      </c>
      <c r="H16" s="46"/>
      <c r="I16" s="49">
        <v>12500.0</v>
      </c>
      <c r="J16" s="51">
        <v>5000.0</v>
      </c>
      <c r="K16" s="127">
        <v>0.0</v>
      </c>
      <c r="L16" s="46"/>
      <c r="M16" s="127">
        <f t="shared" si="1"/>
        <v>17500</v>
      </c>
      <c r="N16" s="127">
        <f t="shared" si="2"/>
        <v>0</v>
      </c>
      <c r="O16" s="127">
        <f t="shared" si="3"/>
        <v>17500</v>
      </c>
      <c r="P16" s="46"/>
      <c r="Q16" s="46"/>
      <c r="R16" s="46"/>
      <c r="S16" s="46"/>
      <c r="T16" s="46"/>
      <c r="U16" s="46"/>
      <c r="V16" s="46"/>
      <c r="W16" s="46"/>
      <c r="X16" s="46"/>
      <c r="Y16" s="46"/>
    </row>
    <row r="17">
      <c r="A17" s="127">
        <v>15.0</v>
      </c>
      <c r="B17" s="73" t="s">
        <v>475</v>
      </c>
      <c r="C17" s="73" t="s">
        <v>476</v>
      </c>
      <c r="D17" s="73" t="s">
        <v>455</v>
      </c>
      <c r="E17" s="127">
        <v>1620.0</v>
      </c>
      <c r="F17" s="73" t="s">
        <v>30</v>
      </c>
      <c r="G17" s="74">
        <v>9.414553436E9</v>
      </c>
      <c r="H17" s="46"/>
      <c r="I17" s="49">
        <v>12500.0</v>
      </c>
      <c r="J17" s="69">
        <v>8500.0</v>
      </c>
      <c r="K17" s="127">
        <v>0.0</v>
      </c>
      <c r="L17" s="69">
        <v>3000.0</v>
      </c>
      <c r="M17" s="127">
        <f t="shared" si="1"/>
        <v>18000</v>
      </c>
      <c r="N17" s="127">
        <f t="shared" si="2"/>
        <v>11000</v>
      </c>
      <c r="O17" s="127">
        <f t="shared" si="3"/>
        <v>7000</v>
      </c>
      <c r="P17" s="46" t="s">
        <v>34</v>
      </c>
      <c r="Q17" s="69">
        <v>5000.0</v>
      </c>
      <c r="R17" s="51">
        <v>3340.0</v>
      </c>
      <c r="S17" s="46" t="s">
        <v>140</v>
      </c>
      <c r="T17" s="129">
        <v>6000.0</v>
      </c>
      <c r="U17" s="129">
        <v>3875.0</v>
      </c>
      <c r="V17" s="72">
        <v>45972.0</v>
      </c>
      <c r="W17" s="46"/>
      <c r="X17" s="46"/>
      <c r="Y17" s="46"/>
    </row>
    <row r="18">
      <c r="A18" s="127">
        <v>16.0</v>
      </c>
      <c r="B18" s="73" t="s">
        <v>477</v>
      </c>
      <c r="C18" s="73" t="s">
        <v>478</v>
      </c>
      <c r="D18" s="73" t="s">
        <v>443</v>
      </c>
      <c r="E18" s="127">
        <v>1674.0</v>
      </c>
      <c r="F18" s="73" t="s">
        <v>426</v>
      </c>
      <c r="G18" s="74">
        <v>8.003621651E9</v>
      </c>
      <c r="H18" s="46"/>
      <c r="I18" s="49">
        <v>12500.0</v>
      </c>
      <c r="J18" s="74">
        <v>5000.0</v>
      </c>
      <c r="K18" s="127">
        <v>0.0</v>
      </c>
      <c r="L18" s="74">
        <v>2500.0</v>
      </c>
      <c r="M18" s="127">
        <f t="shared" si="1"/>
        <v>15000</v>
      </c>
      <c r="N18" s="127">
        <f t="shared" si="2"/>
        <v>3000</v>
      </c>
      <c r="O18" s="127">
        <f t="shared" si="3"/>
        <v>12000</v>
      </c>
      <c r="P18" s="73"/>
      <c r="Q18" s="51">
        <v>3000.0</v>
      </c>
      <c r="R18" s="51">
        <v>3535.0</v>
      </c>
      <c r="S18" s="58">
        <v>45818.0</v>
      </c>
      <c r="T18" s="73"/>
      <c r="U18" s="73"/>
      <c r="V18" s="73"/>
      <c r="W18" s="46"/>
      <c r="X18" s="46"/>
      <c r="Y18" s="46"/>
    </row>
    <row r="19">
      <c r="A19" s="127">
        <v>17.0</v>
      </c>
      <c r="B19" s="130" t="s">
        <v>479</v>
      </c>
      <c r="C19" s="130" t="s">
        <v>480</v>
      </c>
      <c r="D19" s="130" t="s">
        <v>443</v>
      </c>
      <c r="E19" s="131">
        <v>1991.0</v>
      </c>
      <c r="F19" s="132" t="s">
        <v>145</v>
      </c>
      <c r="G19" s="131" t="s">
        <v>481</v>
      </c>
      <c r="H19" s="133">
        <v>0.0</v>
      </c>
      <c r="I19" s="49">
        <v>12500.0</v>
      </c>
      <c r="J19" s="131">
        <v>0.0</v>
      </c>
      <c r="K19" s="131">
        <v>0.0</v>
      </c>
      <c r="L19" s="131">
        <v>2500.0</v>
      </c>
      <c r="M19" s="127">
        <f t="shared" si="1"/>
        <v>10000</v>
      </c>
      <c r="N19" s="127">
        <f t="shared" si="2"/>
        <v>2000</v>
      </c>
      <c r="O19" s="127">
        <f t="shared" si="3"/>
        <v>8000</v>
      </c>
      <c r="P19" s="132" t="s">
        <v>159</v>
      </c>
      <c r="Q19" s="134">
        <v>2000.0</v>
      </c>
      <c r="R19" s="134">
        <v>3877.0</v>
      </c>
      <c r="S19" s="135">
        <v>46002.0</v>
      </c>
      <c r="T19" s="132"/>
      <c r="U19" s="132"/>
      <c r="V19" s="132"/>
      <c r="W19" s="132"/>
      <c r="X19" s="132"/>
      <c r="Y19" s="132"/>
    </row>
    <row r="20" ht="15.0" customHeight="1">
      <c r="A20" s="127">
        <v>18.0</v>
      </c>
      <c r="B20" s="73" t="s">
        <v>482</v>
      </c>
      <c r="C20" s="73" t="s">
        <v>483</v>
      </c>
      <c r="D20" s="73" t="s">
        <v>446</v>
      </c>
      <c r="E20" s="127">
        <v>2.0220026E7</v>
      </c>
      <c r="F20" s="73" t="s">
        <v>361</v>
      </c>
      <c r="G20" s="74">
        <v>8.95504928E9</v>
      </c>
      <c r="H20" s="46"/>
      <c r="I20" s="49">
        <v>12500.0</v>
      </c>
      <c r="J20" s="51">
        <v>5000.0</v>
      </c>
      <c r="K20" s="127">
        <v>0.0</v>
      </c>
      <c r="L20" s="46"/>
      <c r="M20" s="127">
        <f t="shared" si="1"/>
        <v>17500</v>
      </c>
      <c r="N20" s="127">
        <f t="shared" si="2"/>
        <v>0</v>
      </c>
      <c r="O20" s="127">
        <f t="shared" si="3"/>
        <v>17500</v>
      </c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19"/>
      <c r="AA20" s="19"/>
      <c r="AB20" s="19"/>
      <c r="AC20" s="19"/>
    </row>
    <row r="21">
      <c r="A21" s="127">
        <v>19.0</v>
      </c>
      <c r="B21" s="73" t="s">
        <v>484</v>
      </c>
      <c r="C21" s="73" t="s">
        <v>485</v>
      </c>
      <c r="D21" s="73" t="s">
        <v>446</v>
      </c>
      <c r="E21" s="127">
        <v>1745.0</v>
      </c>
      <c r="F21" s="73" t="s">
        <v>305</v>
      </c>
      <c r="G21" s="74">
        <v>9.929406104E9</v>
      </c>
      <c r="H21" s="46"/>
      <c r="I21" s="49">
        <v>12500.0</v>
      </c>
      <c r="J21" s="51">
        <v>6500.0</v>
      </c>
      <c r="K21" s="127">
        <v>0.0</v>
      </c>
      <c r="L21" s="46"/>
      <c r="M21" s="127">
        <f t="shared" si="1"/>
        <v>19000</v>
      </c>
      <c r="N21" s="127">
        <f t="shared" si="2"/>
        <v>6000</v>
      </c>
      <c r="O21" s="127">
        <f t="shared" si="3"/>
        <v>13000</v>
      </c>
      <c r="P21" s="46"/>
      <c r="Q21" s="69">
        <v>3000.0</v>
      </c>
      <c r="R21" s="69">
        <v>3385.0</v>
      </c>
      <c r="S21" s="71">
        <v>45909.0</v>
      </c>
      <c r="T21" s="51">
        <v>3000.0</v>
      </c>
      <c r="U21" s="51">
        <v>3504.0</v>
      </c>
      <c r="V21" s="58">
        <v>45757.0</v>
      </c>
      <c r="W21" s="46"/>
      <c r="X21" s="46"/>
      <c r="Y21" s="46"/>
    </row>
    <row r="22">
      <c r="A22" s="127">
        <v>20.0</v>
      </c>
      <c r="B22" s="73" t="s">
        <v>486</v>
      </c>
      <c r="C22" s="73" t="s">
        <v>487</v>
      </c>
      <c r="D22" s="73" t="s">
        <v>446</v>
      </c>
      <c r="E22" s="127">
        <v>1806.0</v>
      </c>
      <c r="F22" s="46" t="s">
        <v>3</v>
      </c>
      <c r="G22" s="74">
        <v>8.003707137E9</v>
      </c>
      <c r="H22" s="49">
        <v>1000.0</v>
      </c>
      <c r="I22" s="49">
        <v>12500.0</v>
      </c>
      <c r="J22" s="51">
        <v>6500.0</v>
      </c>
      <c r="K22" s="127">
        <v>0.0</v>
      </c>
      <c r="L22" s="46"/>
      <c r="M22" s="127">
        <f t="shared" si="1"/>
        <v>20000</v>
      </c>
      <c r="N22" s="127">
        <f t="shared" si="2"/>
        <v>12500</v>
      </c>
      <c r="O22" s="127">
        <f t="shared" si="3"/>
        <v>7500</v>
      </c>
      <c r="P22" s="46" t="s">
        <v>131</v>
      </c>
      <c r="Q22" s="74">
        <v>6500.0</v>
      </c>
      <c r="R22" s="74">
        <v>2870.0</v>
      </c>
      <c r="S22" s="71">
        <v>45695.0</v>
      </c>
      <c r="T22" s="51">
        <v>6000.0</v>
      </c>
      <c r="U22" s="51">
        <v>3826.0</v>
      </c>
      <c r="V22" s="58">
        <v>45941.0</v>
      </c>
      <c r="W22" s="128"/>
      <c r="X22" s="128"/>
      <c r="Y22" s="128"/>
    </row>
    <row r="23">
      <c r="A23" s="127">
        <v>21.0</v>
      </c>
      <c r="B23" s="73" t="s">
        <v>488</v>
      </c>
      <c r="C23" s="73" t="s">
        <v>489</v>
      </c>
      <c r="D23" s="127" t="s">
        <v>455</v>
      </c>
      <c r="E23" s="127">
        <v>2014.0</v>
      </c>
      <c r="F23" s="46" t="s">
        <v>264</v>
      </c>
      <c r="G23" s="74">
        <v>9.251390954E9</v>
      </c>
      <c r="H23" s="49">
        <v>1000.0</v>
      </c>
      <c r="I23" s="49">
        <v>12500.0</v>
      </c>
      <c r="J23" s="129">
        <v>6500.0</v>
      </c>
      <c r="K23" s="127">
        <v>0.0</v>
      </c>
      <c r="L23" s="46"/>
      <c r="M23" s="127">
        <f t="shared" si="1"/>
        <v>20000</v>
      </c>
      <c r="N23" s="127">
        <f t="shared" si="2"/>
        <v>10000</v>
      </c>
      <c r="O23" s="127">
        <f t="shared" si="3"/>
        <v>10000</v>
      </c>
      <c r="P23" s="46"/>
      <c r="Q23" s="69">
        <v>5000.0</v>
      </c>
      <c r="R23" s="69">
        <v>3111.0</v>
      </c>
      <c r="S23" s="128" t="s">
        <v>490</v>
      </c>
      <c r="T23" s="51">
        <v>2000.0</v>
      </c>
      <c r="U23" s="51">
        <v>3776.0</v>
      </c>
      <c r="V23" s="58">
        <v>45849.0</v>
      </c>
      <c r="W23" s="51">
        <v>3000.0</v>
      </c>
      <c r="X23" s="51">
        <v>3985.0</v>
      </c>
      <c r="Y23" s="51" t="s">
        <v>312</v>
      </c>
      <c r="Z23" s="17"/>
      <c r="AA23" s="17"/>
      <c r="AB23" s="17"/>
      <c r="AC23" s="17"/>
    </row>
    <row r="24">
      <c r="A24" s="127">
        <v>22.0</v>
      </c>
      <c r="B24" s="73" t="s">
        <v>491</v>
      </c>
      <c r="C24" s="73" t="s">
        <v>492</v>
      </c>
      <c r="D24" s="73" t="s">
        <v>455</v>
      </c>
      <c r="E24" s="46"/>
      <c r="F24" s="73" t="s">
        <v>30</v>
      </c>
      <c r="G24" s="74">
        <v>9.983026769E9</v>
      </c>
      <c r="H24" s="73"/>
      <c r="I24" s="49">
        <v>12500.0</v>
      </c>
      <c r="J24" s="51">
        <v>9500.0</v>
      </c>
      <c r="K24" s="73"/>
      <c r="L24" s="46"/>
      <c r="M24" s="127">
        <f t="shared" si="1"/>
        <v>22000</v>
      </c>
      <c r="N24" s="127">
        <f t="shared" si="2"/>
        <v>5000</v>
      </c>
      <c r="O24" s="127">
        <f t="shared" si="3"/>
        <v>17000</v>
      </c>
      <c r="P24" s="46"/>
      <c r="Q24" s="51">
        <v>5000.0</v>
      </c>
      <c r="R24" s="51">
        <v>3423.0</v>
      </c>
      <c r="S24" s="51" t="s">
        <v>331</v>
      </c>
      <c r="T24" s="46"/>
      <c r="U24" s="46"/>
      <c r="V24" s="46"/>
      <c r="W24" s="46"/>
      <c r="X24" s="46"/>
      <c r="Y24" s="46"/>
      <c r="Z24" s="10"/>
      <c r="AA24" s="10"/>
      <c r="AB24" s="10"/>
      <c r="AC24" s="10"/>
    </row>
    <row r="25">
      <c r="A25" s="127">
        <v>23.0</v>
      </c>
      <c r="B25" s="51" t="s">
        <v>493</v>
      </c>
      <c r="C25" s="130" t="s">
        <v>494</v>
      </c>
      <c r="D25" s="130" t="s">
        <v>446</v>
      </c>
      <c r="E25" s="131">
        <v>1982.0</v>
      </c>
      <c r="F25" s="132" t="s">
        <v>169</v>
      </c>
      <c r="G25" s="131" t="s">
        <v>495</v>
      </c>
      <c r="H25" s="133">
        <v>1000.0</v>
      </c>
      <c r="I25" s="49">
        <v>12500.0</v>
      </c>
      <c r="J25" s="133">
        <v>7000.0</v>
      </c>
      <c r="K25" s="133">
        <v>0.0</v>
      </c>
      <c r="L25" s="133">
        <v>4500.0</v>
      </c>
      <c r="M25" s="127">
        <f t="shared" si="1"/>
        <v>16000</v>
      </c>
      <c r="N25" s="127">
        <f t="shared" si="2"/>
        <v>16000</v>
      </c>
      <c r="O25" s="127">
        <f t="shared" si="3"/>
        <v>0</v>
      </c>
      <c r="P25" s="132" t="s">
        <v>44</v>
      </c>
      <c r="Q25" s="136">
        <v>16000.0</v>
      </c>
      <c r="R25" s="136">
        <v>3100.0</v>
      </c>
      <c r="S25" s="132" t="s">
        <v>496</v>
      </c>
      <c r="T25" s="132"/>
      <c r="U25" s="132"/>
      <c r="V25" s="132"/>
      <c r="W25" s="132"/>
      <c r="X25" s="132"/>
      <c r="Y25" s="132"/>
    </row>
    <row r="26" ht="15.75" customHeight="1">
      <c r="A26" s="127">
        <v>24.0</v>
      </c>
      <c r="B26" s="73" t="s">
        <v>497</v>
      </c>
      <c r="C26" s="73" t="s">
        <v>498</v>
      </c>
      <c r="D26" s="73" t="s">
        <v>446</v>
      </c>
      <c r="E26" s="127">
        <v>1685.0</v>
      </c>
      <c r="F26" s="73" t="s">
        <v>188</v>
      </c>
      <c r="G26" s="74">
        <v>7.89164263E9</v>
      </c>
      <c r="H26" s="46"/>
      <c r="I26" s="49">
        <v>12500.0</v>
      </c>
      <c r="J26" s="51">
        <v>5000.0</v>
      </c>
      <c r="K26" s="127">
        <v>0.0</v>
      </c>
      <c r="L26" s="46"/>
      <c r="M26" s="127">
        <f t="shared" si="1"/>
        <v>17500</v>
      </c>
      <c r="N26" s="127">
        <f t="shared" si="2"/>
        <v>0</v>
      </c>
      <c r="O26" s="127">
        <f t="shared" si="3"/>
        <v>17500</v>
      </c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19"/>
      <c r="AA26" s="19"/>
      <c r="AB26" s="19"/>
      <c r="AC26" s="19"/>
    </row>
    <row r="27">
      <c r="A27" s="127">
        <v>25.0</v>
      </c>
      <c r="B27" s="73" t="s">
        <v>499</v>
      </c>
      <c r="C27" s="73" t="s">
        <v>500</v>
      </c>
      <c r="D27" s="73" t="s">
        <v>446</v>
      </c>
      <c r="E27" s="46"/>
      <c r="F27" s="73" t="s">
        <v>451</v>
      </c>
      <c r="G27" s="74">
        <v>7.35783127E9</v>
      </c>
      <c r="H27" s="46"/>
      <c r="I27" s="49">
        <v>12500.0</v>
      </c>
      <c r="J27" s="51">
        <v>6500.0</v>
      </c>
      <c r="K27" s="73"/>
      <c r="L27" s="46"/>
      <c r="M27" s="127">
        <f t="shared" si="1"/>
        <v>19000</v>
      </c>
      <c r="N27" s="127">
        <f t="shared" si="2"/>
        <v>0</v>
      </c>
      <c r="O27" s="127">
        <f t="shared" si="3"/>
        <v>19000</v>
      </c>
      <c r="P27" s="46"/>
      <c r="Q27" s="46"/>
      <c r="R27" s="46"/>
      <c r="S27" s="46"/>
      <c r="T27" s="46"/>
      <c r="U27" s="46"/>
      <c r="V27" s="46"/>
      <c r="W27" s="46"/>
      <c r="X27" s="46"/>
      <c r="Y27" s="46"/>
    </row>
    <row r="28">
      <c r="A28" s="127">
        <v>26.0</v>
      </c>
      <c r="B28" s="73" t="s">
        <v>501</v>
      </c>
      <c r="C28" s="73" t="s">
        <v>502</v>
      </c>
      <c r="D28" s="73" t="s">
        <v>443</v>
      </c>
      <c r="E28" s="127">
        <v>1970.0</v>
      </c>
      <c r="F28" s="46" t="s">
        <v>126</v>
      </c>
      <c r="G28" s="74">
        <v>9.303610822E9</v>
      </c>
      <c r="H28" s="46"/>
      <c r="I28" s="49">
        <v>12500.0</v>
      </c>
      <c r="J28" s="51">
        <v>5000.0</v>
      </c>
      <c r="K28" s="49">
        <v>0.0</v>
      </c>
      <c r="L28" s="46"/>
      <c r="M28" s="127">
        <f t="shared" si="1"/>
        <v>17500</v>
      </c>
      <c r="N28" s="127">
        <f t="shared" si="2"/>
        <v>2000</v>
      </c>
      <c r="O28" s="127">
        <f t="shared" si="3"/>
        <v>15500</v>
      </c>
      <c r="P28" s="46"/>
      <c r="Q28" s="69">
        <v>2000.0</v>
      </c>
      <c r="R28" s="69">
        <v>3135.0</v>
      </c>
      <c r="S28" s="71">
        <v>45696.0</v>
      </c>
      <c r="T28" s="46"/>
      <c r="U28" s="46"/>
      <c r="V28" s="46"/>
      <c r="W28" s="46"/>
      <c r="X28" s="46"/>
      <c r="Y28" s="46"/>
    </row>
    <row r="29">
      <c r="A29" s="127">
        <v>27.0</v>
      </c>
      <c r="B29" s="73" t="s">
        <v>503</v>
      </c>
      <c r="C29" s="73" t="s">
        <v>504</v>
      </c>
      <c r="D29" s="73" t="s">
        <v>446</v>
      </c>
      <c r="E29" s="127">
        <v>1718.0</v>
      </c>
      <c r="F29" s="73" t="s">
        <v>169</v>
      </c>
      <c r="G29" s="74">
        <v>8.302205864E9</v>
      </c>
      <c r="H29" s="46"/>
      <c r="I29" s="49">
        <v>12500.0</v>
      </c>
      <c r="J29" s="51">
        <v>7000.0</v>
      </c>
      <c r="K29" s="127">
        <v>0.0</v>
      </c>
      <c r="L29" s="46"/>
      <c r="M29" s="127">
        <f t="shared" si="1"/>
        <v>19500</v>
      </c>
      <c r="N29" s="127">
        <f t="shared" si="2"/>
        <v>3000</v>
      </c>
      <c r="O29" s="127">
        <f t="shared" si="3"/>
        <v>16500</v>
      </c>
      <c r="P29" s="46"/>
      <c r="Q29" s="51">
        <v>3000.0</v>
      </c>
      <c r="R29" s="51">
        <v>3765.0</v>
      </c>
      <c r="S29" s="58">
        <v>45727.0</v>
      </c>
      <c r="T29" s="46"/>
      <c r="U29" s="46"/>
      <c r="V29" s="46"/>
      <c r="W29" s="46"/>
      <c r="X29" s="46"/>
      <c r="Y29" s="46"/>
    </row>
    <row r="30">
      <c r="A30" s="127">
        <v>28.0</v>
      </c>
      <c r="B30" s="73" t="s">
        <v>505</v>
      </c>
      <c r="C30" s="73" t="s">
        <v>506</v>
      </c>
      <c r="D30" s="73" t="s">
        <v>446</v>
      </c>
      <c r="E30" s="46"/>
      <c r="F30" s="73" t="s">
        <v>188</v>
      </c>
      <c r="G30" s="74">
        <v>9.116461516E9</v>
      </c>
      <c r="H30" s="46"/>
      <c r="I30" s="49">
        <v>12500.0</v>
      </c>
      <c r="J30" s="51">
        <v>5000.0</v>
      </c>
      <c r="K30" s="46"/>
      <c r="L30" s="46"/>
      <c r="M30" s="127">
        <f t="shared" si="1"/>
        <v>17500</v>
      </c>
      <c r="N30" s="127">
        <f t="shared" si="2"/>
        <v>0</v>
      </c>
      <c r="O30" s="127">
        <f t="shared" si="3"/>
        <v>17500</v>
      </c>
      <c r="P30" s="46"/>
      <c r="Q30" s="46"/>
      <c r="R30" s="46"/>
      <c r="S30" s="46"/>
      <c r="T30" s="46"/>
      <c r="U30" s="46"/>
      <c r="V30" s="46"/>
      <c r="W30" s="46"/>
      <c r="X30" s="46"/>
      <c r="Y30" s="46"/>
    </row>
    <row r="31">
      <c r="A31" s="127">
        <v>29.0</v>
      </c>
      <c r="B31" s="73" t="s">
        <v>507</v>
      </c>
      <c r="C31" s="73" t="s">
        <v>508</v>
      </c>
      <c r="D31" s="73" t="s">
        <v>440</v>
      </c>
      <c r="E31" s="127">
        <v>1732.0</v>
      </c>
      <c r="F31" s="73" t="s">
        <v>30</v>
      </c>
      <c r="G31" s="49">
        <v>9.799926254E9</v>
      </c>
      <c r="H31" s="49">
        <v>1000.0</v>
      </c>
      <c r="I31" s="49">
        <v>12500.0</v>
      </c>
      <c r="J31" s="49">
        <v>9500.0</v>
      </c>
      <c r="K31" s="49">
        <v>0.0</v>
      </c>
      <c r="L31" s="49">
        <v>3000.0</v>
      </c>
      <c r="M31" s="127">
        <f t="shared" si="1"/>
        <v>20000</v>
      </c>
      <c r="N31" s="127">
        <f t="shared" si="2"/>
        <v>15000</v>
      </c>
      <c r="O31" s="127">
        <f t="shared" si="3"/>
        <v>5000</v>
      </c>
      <c r="P31" s="46" t="s">
        <v>44</v>
      </c>
      <c r="Q31" s="51">
        <v>5000.0</v>
      </c>
      <c r="R31" s="51">
        <v>3488.0</v>
      </c>
      <c r="S31" s="58">
        <v>45757.0</v>
      </c>
      <c r="T31" s="51">
        <v>10000.0</v>
      </c>
      <c r="U31" s="51">
        <v>3721.0</v>
      </c>
      <c r="V31" s="51" t="s">
        <v>509</v>
      </c>
      <c r="W31" s="46"/>
      <c r="X31" s="46"/>
      <c r="Y31" s="46"/>
    </row>
    <row r="32">
      <c r="A32" s="127">
        <v>30.0</v>
      </c>
      <c r="B32" s="73" t="s">
        <v>510</v>
      </c>
      <c r="C32" s="73" t="s">
        <v>511</v>
      </c>
      <c r="D32" s="73" t="s">
        <v>446</v>
      </c>
      <c r="E32" s="127">
        <v>1707.0</v>
      </c>
      <c r="F32" s="46" t="s">
        <v>188</v>
      </c>
      <c r="G32" s="49">
        <v>9.680664453E9</v>
      </c>
      <c r="H32" s="49">
        <v>0.0</v>
      </c>
      <c r="I32" s="49">
        <v>12500.0</v>
      </c>
      <c r="J32" s="49">
        <v>5000.0</v>
      </c>
      <c r="K32" s="127">
        <v>0.0</v>
      </c>
      <c r="L32" s="46"/>
      <c r="M32" s="127">
        <f t="shared" si="1"/>
        <v>17500</v>
      </c>
      <c r="N32" s="127">
        <f t="shared" si="2"/>
        <v>10000</v>
      </c>
      <c r="O32" s="127">
        <f t="shared" si="3"/>
        <v>7500</v>
      </c>
      <c r="P32" s="46" t="s">
        <v>44</v>
      </c>
      <c r="Q32" s="69">
        <v>5000.0</v>
      </c>
      <c r="R32" s="69">
        <v>2841.0</v>
      </c>
      <c r="S32" s="46" t="s">
        <v>512</v>
      </c>
      <c r="T32" s="51">
        <v>5000.0</v>
      </c>
      <c r="U32" s="51">
        <v>3731.0</v>
      </c>
      <c r="V32" s="72">
        <v>45971.0</v>
      </c>
      <c r="W32" s="46"/>
      <c r="X32" s="46"/>
      <c r="Y32" s="46"/>
    </row>
    <row r="33">
      <c r="A33" s="127">
        <v>31.0</v>
      </c>
      <c r="B33" s="73" t="s">
        <v>332</v>
      </c>
      <c r="C33" s="73" t="s">
        <v>513</v>
      </c>
      <c r="D33" s="73" t="s">
        <v>455</v>
      </c>
      <c r="E33" s="46"/>
      <c r="F33" s="73" t="s">
        <v>282</v>
      </c>
      <c r="G33" s="74">
        <v>7.424845655E9</v>
      </c>
      <c r="H33" s="46"/>
      <c r="I33" s="49">
        <v>12500.0</v>
      </c>
      <c r="J33" s="51">
        <v>11000.0</v>
      </c>
      <c r="K33" s="73"/>
      <c r="L33" s="46"/>
      <c r="M33" s="127">
        <f t="shared" si="1"/>
        <v>23500</v>
      </c>
      <c r="N33" s="127">
        <f t="shared" si="2"/>
        <v>9000</v>
      </c>
      <c r="O33" s="127">
        <f t="shared" si="3"/>
        <v>14500</v>
      </c>
      <c r="P33" s="46"/>
      <c r="Q33" s="69">
        <v>4000.0</v>
      </c>
      <c r="R33" s="69">
        <v>3244.0</v>
      </c>
      <c r="S33" s="46" t="s">
        <v>220</v>
      </c>
      <c r="T33" s="51">
        <v>5000.0</v>
      </c>
      <c r="U33" s="51">
        <v>3674.0</v>
      </c>
      <c r="V33" s="58">
        <v>45910.0</v>
      </c>
      <c r="W33" s="46"/>
      <c r="X33" s="46"/>
      <c r="Y33" s="46"/>
    </row>
    <row r="34">
      <c r="A34" s="127">
        <v>32.0</v>
      </c>
      <c r="B34" s="73" t="s">
        <v>514</v>
      </c>
      <c r="C34" s="73" t="s">
        <v>515</v>
      </c>
      <c r="D34" s="73" t="s">
        <v>446</v>
      </c>
      <c r="E34" s="127">
        <v>2.0220028E7</v>
      </c>
      <c r="F34" s="73" t="s">
        <v>145</v>
      </c>
      <c r="G34" s="74">
        <v>9.769905419E9</v>
      </c>
      <c r="H34" s="46"/>
      <c r="I34" s="49">
        <v>12500.0</v>
      </c>
      <c r="J34" s="51">
        <v>0.0</v>
      </c>
      <c r="K34" s="49">
        <v>0.0</v>
      </c>
      <c r="L34" s="46"/>
      <c r="M34" s="127">
        <f t="shared" si="1"/>
        <v>12500</v>
      </c>
      <c r="N34" s="127">
        <f t="shared" si="2"/>
        <v>0</v>
      </c>
      <c r="O34" s="127">
        <f t="shared" si="3"/>
        <v>12500</v>
      </c>
      <c r="P34" s="46"/>
      <c r="Q34" s="73"/>
      <c r="R34" s="73"/>
      <c r="S34" s="73"/>
      <c r="T34" s="46"/>
      <c r="U34" s="46"/>
      <c r="V34" s="46"/>
      <c r="W34" s="46"/>
      <c r="X34" s="46"/>
      <c r="Y34" s="46"/>
    </row>
    <row r="35">
      <c r="A35" s="127">
        <v>33.0</v>
      </c>
      <c r="B35" s="73" t="s">
        <v>516</v>
      </c>
      <c r="C35" s="73" t="s">
        <v>517</v>
      </c>
      <c r="D35" s="73" t="s">
        <v>446</v>
      </c>
      <c r="E35" s="127">
        <v>1567.0</v>
      </c>
      <c r="F35" s="73" t="s">
        <v>145</v>
      </c>
      <c r="G35" s="74">
        <v>9.950985518E9</v>
      </c>
      <c r="H35" s="46"/>
      <c r="I35" s="49">
        <v>12500.0</v>
      </c>
      <c r="J35" s="51">
        <v>0.0</v>
      </c>
      <c r="K35" s="127">
        <v>0.0</v>
      </c>
      <c r="L35" s="46"/>
      <c r="M35" s="127">
        <f t="shared" si="1"/>
        <v>12500</v>
      </c>
      <c r="N35" s="127">
        <f t="shared" si="2"/>
        <v>7500</v>
      </c>
      <c r="O35" s="127">
        <f t="shared" si="3"/>
        <v>5000</v>
      </c>
      <c r="P35" s="46"/>
      <c r="Q35" s="51">
        <v>7500.0</v>
      </c>
      <c r="R35" s="51">
        <v>3590.0</v>
      </c>
      <c r="S35" s="51" t="s">
        <v>518</v>
      </c>
      <c r="T35" s="46"/>
      <c r="U35" s="46"/>
      <c r="V35" s="46"/>
      <c r="W35" s="46"/>
      <c r="X35" s="46"/>
      <c r="Y35" s="46"/>
    </row>
    <row r="36">
      <c r="A36" s="137">
        <v>34.0</v>
      </c>
      <c r="B36" s="138" t="s">
        <v>519</v>
      </c>
      <c r="C36" s="138" t="s">
        <v>520</v>
      </c>
      <c r="D36" s="138" t="s">
        <v>446</v>
      </c>
      <c r="E36" s="137">
        <v>1587.0</v>
      </c>
      <c r="F36" s="138" t="s">
        <v>264</v>
      </c>
      <c r="G36" s="139">
        <v>8.529082459E9</v>
      </c>
      <c r="H36" s="140"/>
      <c r="I36" s="141">
        <v>12500.0</v>
      </c>
      <c r="J36" s="142">
        <v>6500.0</v>
      </c>
      <c r="K36" s="137">
        <v>0.0</v>
      </c>
      <c r="L36" s="142">
        <v>4000.0</v>
      </c>
      <c r="M36" s="137">
        <f t="shared" si="1"/>
        <v>15000</v>
      </c>
      <c r="N36" s="137">
        <f t="shared" si="2"/>
        <v>0</v>
      </c>
      <c r="O36" s="137">
        <f t="shared" si="3"/>
        <v>15000</v>
      </c>
      <c r="P36" s="142" t="s">
        <v>131</v>
      </c>
      <c r="Q36" s="140"/>
      <c r="R36" s="140"/>
      <c r="S36" s="140"/>
      <c r="T36" s="140"/>
      <c r="U36" s="140"/>
      <c r="V36" s="140"/>
      <c r="W36" s="140"/>
      <c r="X36" s="140"/>
      <c r="Y36" s="140"/>
      <c r="Z36" s="143"/>
      <c r="AA36" s="143"/>
      <c r="AB36" s="143"/>
      <c r="AC36" s="143"/>
    </row>
    <row r="37">
      <c r="A37" s="127">
        <v>35.0</v>
      </c>
      <c r="B37" s="73" t="s">
        <v>521</v>
      </c>
      <c r="C37" s="73" t="s">
        <v>522</v>
      </c>
      <c r="D37" s="73" t="s">
        <v>455</v>
      </c>
      <c r="E37" s="46"/>
      <c r="F37" s="73" t="s">
        <v>264</v>
      </c>
      <c r="G37" s="74">
        <v>9.983249624E9</v>
      </c>
      <c r="H37" s="49">
        <v>1000.0</v>
      </c>
      <c r="I37" s="49">
        <v>12500.0</v>
      </c>
      <c r="J37" s="69">
        <v>6500.0</v>
      </c>
      <c r="K37" s="127">
        <v>0.0</v>
      </c>
      <c r="L37" s="69">
        <v>2000.0</v>
      </c>
      <c r="M37" s="127">
        <f t="shared" si="1"/>
        <v>18000</v>
      </c>
      <c r="N37" s="127">
        <f t="shared" si="2"/>
        <v>3000</v>
      </c>
      <c r="O37" s="127">
        <f t="shared" si="3"/>
        <v>15000</v>
      </c>
      <c r="P37" s="46"/>
      <c r="Q37" s="51">
        <v>3000.0</v>
      </c>
      <c r="R37" s="51">
        <v>3608.0</v>
      </c>
      <c r="S37" s="58">
        <v>45879.0</v>
      </c>
      <c r="T37" s="46"/>
      <c r="U37" s="46"/>
      <c r="V37" s="46"/>
      <c r="W37" s="46"/>
      <c r="X37" s="46"/>
      <c r="Y37" s="46"/>
    </row>
    <row r="38">
      <c r="A38" s="127">
        <v>36.0</v>
      </c>
      <c r="B38" s="73" t="s">
        <v>523</v>
      </c>
      <c r="C38" s="73" t="s">
        <v>524</v>
      </c>
      <c r="D38" s="73" t="s">
        <v>455</v>
      </c>
      <c r="E38" s="127">
        <v>1691.0</v>
      </c>
      <c r="F38" s="46" t="s">
        <v>240</v>
      </c>
      <c r="G38" s="74">
        <v>9.784494695E9</v>
      </c>
      <c r="H38" s="49">
        <v>0.0</v>
      </c>
      <c r="I38" s="49">
        <v>12500.0</v>
      </c>
      <c r="J38" s="49">
        <v>9000.0</v>
      </c>
      <c r="K38" s="49">
        <v>0.0</v>
      </c>
      <c r="L38" s="49">
        <v>3000.0</v>
      </c>
      <c r="M38" s="127">
        <f t="shared" si="1"/>
        <v>18500</v>
      </c>
      <c r="N38" s="127">
        <f t="shared" si="2"/>
        <v>10000</v>
      </c>
      <c r="O38" s="127">
        <f t="shared" si="3"/>
        <v>8500</v>
      </c>
      <c r="P38" s="46" t="s">
        <v>159</v>
      </c>
      <c r="Q38" s="51">
        <v>5000.0</v>
      </c>
      <c r="R38" s="51">
        <v>3483.0</v>
      </c>
      <c r="S38" s="58">
        <v>45757.0</v>
      </c>
      <c r="T38" s="51">
        <v>5000.0</v>
      </c>
      <c r="U38" s="51">
        <v>3918.0</v>
      </c>
      <c r="V38" s="51" t="s">
        <v>525</v>
      </c>
      <c r="W38" s="46"/>
      <c r="X38" s="46"/>
      <c r="Y38" s="46"/>
    </row>
    <row r="39">
      <c r="A39" s="127">
        <v>37.0</v>
      </c>
      <c r="B39" s="73" t="s">
        <v>526</v>
      </c>
      <c r="C39" s="73" t="s">
        <v>527</v>
      </c>
      <c r="D39" s="73" t="s">
        <v>446</v>
      </c>
      <c r="E39" s="127">
        <v>1743.0</v>
      </c>
      <c r="F39" s="73" t="s">
        <v>169</v>
      </c>
      <c r="G39" s="74">
        <v>8.875474242E9</v>
      </c>
      <c r="H39" s="46"/>
      <c r="I39" s="49">
        <v>12500.0</v>
      </c>
      <c r="J39" s="69">
        <v>6500.0</v>
      </c>
      <c r="K39" s="127">
        <v>0.0</v>
      </c>
      <c r="L39" s="69">
        <v>2000.0</v>
      </c>
      <c r="M39" s="127">
        <f t="shared" si="1"/>
        <v>17000</v>
      </c>
      <c r="N39" s="127">
        <f t="shared" si="2"/>
        <v>5000</v>
      </c>
      <c r="O39" s="127">
        <f t="shared" si="3"/>
        <v>12000</v>
      </c>
      <c r="P39" s="46"/>
      <c r="Q39" s="51">
        <v>5000.0</v>
      </c>
      <c r="R39" s="51">
        <v>3869.0</v>
      </c>
      <c r="S39" s="72">
        <v>45972.0</v>
      </c>
      <c r="T39" s="46"/>
      <c r="U39" s="46"/>
      <c r="V39" s="46"/>
      <c r="W39" s="46"/>
      <c r="X39" s="46"/>
      <c r="Y39" s="46"/>
    </row>
    <row r="40">
      <c r="A40" s="144" t="s">
        <v>131</v>
      </c>
      <c r="B40" s="138" t="s">
        <v>528</v>
      </c>
      <c r="C40" s="138" t="s">
        <v>346</v>
      </c>
      <c r="D40" s="138" t="s">
        <v>446</v>
      </c>
      <c r="E40" s="137">
        <v>1684.0</v>
      </c>
      <c r="F40" s="138" t="s">
        <v>529</v>
      </c>
      <c r="G40" s="139">
        <v>9.672639235E9</v>
      </c>
      <c r="H40" s="140"/>
      <c r="I40" s="141">
        <v>12500.0</v>
      </c>
      <c r="J40" s="142">
        <v>7000.0</v>
      </c>
      <c r="K40" s="137">
        <v>0.0</v>
      </c>
      <c r="L40" s="142">
        <v>4500.0</v>
      </c>
      <c r="M40" s="137">
        <f t="shared" si="1"/>
        <v>15000</v>
      </c>
      <c r="N40" s="137">
        <f t="shared" si="2"/>
        <v>2500</v>
      </c>
      <c r="O40" s="137">
        <f t="shared" si="3"/>
        <v>12500</v>
      </c>
      <c r="P40" s="142" t="s">
        <v>131</v>
      </c>
      <c r="Q40" s="142">
        <v>2500.0</v>
      </c>
      <c r="R40" s="142">
        <v>3806.0</v>
      </c>
      <c r="S40" s="145">
        <v>45880.0</v>
      </c>
      <c r="T40" s="140"/>
      <c r="U40" s="140"/>
      <c r="V40" s="140"/>
      <c r="W40" s="140"/>
      <c r="X40" s="140"/>
      <c r="Y40" s="140"/>
      <c r="Z40" s="143"/>
      <c r="AA40" s="143"/>
      <c r="AB40" s="143"/>
      <c r="AC40" s="143"/>
    </row>
    <row r="41">
      <c r="A41" s="127">
        <v>39.0</v>
      </c>
      <c r="B41" s="46" t="s">
        <v>530</v>
      </c>
      <c r="C41" s="46" t="s">
        <v>531</v>
      </c>
      <c r="D41" s="127" t="s">
        <v>455</v>
      </c>
      <c r="E41" s="69">
        <v>1964.0</v>
      </c>
      <c r="F41" s="46" t="s">
        <v>30</v>
      </c>
      <c r="G41" s="69">
        <v>7.02404107E9</v>
      </c>
      <c r="H41" s="49">
        <v>1000.0</v>
      </c>
      <c r="I41" s="49">
        <v>12500.0</v>
      </c>
      <c r="J41" s="49">
        <v>9500.0</v>
      </c>
      <c r="K41" s="127">
        <v>0.0</v>
      </c>
      <c r="L41" s="69">
        <v>3400.0</v>
      </c>
      <c r="M41" s="127">
        <f t="shared" si="1"/>
        <v>19600</v>
      </c>
      <c r="N41" s="127">
        <f t="shared" si="2"/>
        <v>9000</v>
      </c>
      <c r="O41" s="127">
        <f t="shared" si="3"/>
        <v>10600</v>
      </c>
      <c r="P41" s="46" t="s">
        <v>177</v>
      </c>
      <c r="Q41" s="69">
        <v>5000.0</v>
      </c>
      <c r="R41" s="69">
        <v>2945.0</v>
      </c>
      <c r="S41" s="71">
        <v>45876.0</v>
      </c>
      <c r="T41" s="51">
        <v>4000.0</v>
      </c>
      <c r="U41" s="51">
        <v>4066.0</v>
      </c>
      <c r="V41" s="58">
        <v>45669.0</v>
      </c>
      <c r="W41" s="46"/>
      <c r="X41" s="46"/>
      <c r="Y41" s="46"/>
    </row>
    <row r="42">
      <c r="A42" s="127">
        <v>40.0</v>
      </c>
      <c r="B42" s="73" t="s">
        <v>532</v>
      </c>
      <c r="C42" s="73" t="s">
        <v>533</v>
      </c>
      <c r="D42" s="73" t="s">
        <v>440</v>
      </c>
      <c r="E42" s="127">
        <v>1619.0</v>
      </c>
      <c r="F42" s="46" t="s">
        <v>534</v>
      </c>
      <c r="G42" s="49">
        <v>8.824874356E9</v>
      </c>
      <c r="H42" s="49">
        <v>0.0</v>
      </c>
      <c r="I42" s="49">
        <v>12500.0</v>
      </c>
      <c r="J42" s="49">
        <v>5000.0</v>
      </c>
      <c r="K42" s="49">
        <v>0.0</v>
      </c>
      <c r="L42" s="49">
        <v>2500.0</v>
      </c>
      <c r="M42" s="127">
        <f t="shared" si="1"/>
        <v>15000</v>
      </c>
      <c r="N42" s="127">
        <f t="shared" si="2"/>
        <v>12000</v>
      </c>
      <c r="O42" s="127">
        <f t="shared" si="3"/>
        <v>3000</v>
      </c>
      <c r="P42" s="46" t="s">
        <v>44</v>
      </c>
      <c r="Q42" s="69">
        <v>2000.0</v>
      </c>
      <c r="R42" s="69">
        <v>3052.0</v>
      </c>
      <c r="S42" s="128" t="s">
        <v>275</v>
      </c>
      <c r="T42" s="51">
        <v>10000.0</v>
      </c>
      <c r="U42" s="51">
        <v>3835.0</v>
      </c>
      <c r="V42" s="72">
        <v>45941.0</v>
      </c>
      <c r="W42" s="46"/>
      <c r="X42" s="46"/>
      <c r="Y42" s="46"/>
      <c r="Z42" s="10"/>
      <c r="AA42" s="10"/>
      <c r="AB42" s="10"/>
      <c r="AC42" s="10"/>
    </row>
    <row r="43">
      <c r="A43" s="127">
        <v>41.0</v>
      </c>
      <c r="B43" s="73" t="s">
        <v>535</v>
      </c>
      <c r="C43" s="73" t="s">
        <v>536</v>
      </c>
      <c r="D43" s="73" t="s">
        <v>440</v>
      </c>
      <c r="E43" s="127">
        <v>1646.0</v>
      </c>
      <c r="F43" s="46" t="s">
        <v>289</v>
      </c>
      <c r="G43" s="49">
        <v>9.358079582E9</v>
      </c>
      <c r="H43" s="49">
        <v>0.0</v>
      </c>
      <c r="I43" s="49">
        <v>12500.0</v>
      </c>
      <c r="J43" s="49">
        <v>9000.0</v>
      </c>
      <c r="K43" s="127">
        <v>0.0</v>
      </c>
      <c r="L43" s="49">
        <v>2500.0</v>
      </c>
      <c r="M43" s="127">
        <f t="shared" si="1"/>
        <v>19000</v>
      </c>
      <c r="N43" s="127">
        <f t="shared" si="2"/>
        <v>7500</v>
      </c>
      <c r="O43" s="127">
        <f t="shared" si="3"/>
        <v>11500</v>
      </c>
      <c r="P43" s="46" t="s">
        <v>44</v>
      </c>
      <c r="Q43" s="69">
        <v>2500.0</v>
      </c>
      <c r="R43" s="69">
        <v>3049.0</v>
      </c>
      <c r="S43" s="46" t="s">
        <v>275</v>
      </c>
      <c r="T43" s="51">
        <v>5000.0</v>
      </c>
      <c r="U43" s="51">
        <v>3916.0</v>
      </c>
      <c r="V43" s="51" t="s">
        <v>525</v>
      </c>
      <c r="W43" s="46"/>
      <c r="X43" s="46"/>
      <c r="Y43" s="46"/>
    </row>
    <row r="44">
      <c r="A44" s="127">
        <v>42.0</v>
      </c>
      <c r="B44" s="73" t="s">
        <v>537</v>
      </c>
      <c r="C44" s="73" t="s">
        <v>538</v>
      </c>
      <c r="D44" s="73" t="s">
        <v>446</v>
      </c>
      <c r="E44" s="127">
        <v>1882.0</v>
      </c>
      <c r="F44" s="51" t="s">
        <v>30</v>
      </c>
      <c r="G44" s="49">
        <v>9.82883554E9</v>
      </c>
      <c r="H44" s="49">
        <v>1000.0</v>
      </c>
      <c r="I44" s="49">
        <v>12500.0</v>
      </c>
      <c r="J44" s="49">
        <v>9500.0</v>
      </c>
      <c r="K44" s="127">
        <v>0.0</v>
      </c>
      <c r="L44" s="49">
        <v>3400.0</v>
      </c>
      <c r="M44" s="127">
        <f t="shared" si="1"/>
        <v>19600</v>
      </c>
      <c r="N44" s="127">
        <f t="shared" si="2"/>
        <v>1000</v>
      </c>
      <c r="O44" s="127">
        <f t="shared" si="3"/>
        <v>18600</v>
      </c>
      <c r="P44" s="46" t="s">
        <v>131</v>
      </c>
      <c r="Q44" s="69">
        <v>1000.0</v>
      </c>
      <c r="R44" s="69">
        <v>2915.0</v>
      </c>
      <c r="S44" s="71">
        <v>45845.0</v>
      </c>
      <c r="T44" s="128"/>
      <c r="U44" s="128"/>
      <c r="V44" s="128"/>
      <c r="W44" s="128"/>
      <c r="X44" s="128"/>
      <c r="Y44" s="128"/>
    </row>
    <row r="45">
      <c r="A45" s="127">
        <v>43.0</v>
      </c>
      <c r="B45" s="46" t="s">
        <v>539</v>
      </c>
      <c r="C45" s="46" t="s">
        <v>540</v>
      </c>
      <c r="D45" s="127" t="s">
        <v>440</v>
      </c>
      <c r="E45" s="46"/>
      <c r="F45" s="46" t="s">
        <v>286</v>
      </c>
      <c r="G45" s="127">
        <v>7.075509764E9</v>
      </c>
      <c r="H45" s="49">
        <v>0.0</v>
      </c>
      <c r="I45" s="49">
        <v>12500.0</v>
      </c>
      <c r="J45" s="49">
        <v>0.0</v>
      </c>
      <c r="K45" s="127">
        <v>0.0</v>
      </c>
      <c r="L45" s="69">
        <v>4000.0</v>
      </c>
      <c r="M45" s="127">
        <f t="shared" si="1"/>
        <v>8500</v>
      </c>
      <c r="N45" s="127">
        <f t="shared" si="2"/>
        <v>6000</v>
      </c>
      <c r="O45" s="127">
        <f t="shared" si="3"/>
        <v>2500</v>
      </c>
      <c r="P45" s="46" t="s">
        <v>44</v>
      </c>
      <c r="Q45" s="69">
        <v>3000.0</v>
      </c>
      <c r="R45" s="69">
        <v>3025.0</v>
      </c>
      <c r="S45" s="128" t="s">
        <v>290</v>
      </c>
      <c r="T45" s="51">
        <v>3000.0</v>
      </c>
      <c r="U45" s="51">
        <v>3914.0</v>
      </c>
      <c r="V45" s="51" t="s">
        <v>525</v>
      </c>
      <c r="W45" s="128"/>
      <c r="X45" s="128"/>
      <c r="Y45" s="128"/>
      <c r="Z45" s="17"/>
      <c r="AA45" s="17"/>
      <c r="AB45" s="17"/>
      <c r="AC45" s="17"/>
    </row>
    <row r="46">
      <c r="A46" s="127">
        <v>44.0</v>
      </c>
      <c r="B46" s="73" t="s">
        <v>541</v>
      </c>
      <c r="C46" s="73" t="s">
        <v>542</v>
      </c>
      <c r="D46" s="73" t="s">
        <v>446</v>
      </c>
      <c r="E46" s="127">
        <v>1917.0</v>
      </c>
      <c r="F46" s="46" t="s">
        <v>145</v>
      </c>
      <c r="G46" s="127">
        <v>6.350690978E9</v>
      </c>
      <c r="H46" s="49">
        <v>1000.0</v>
      </c>
      <c r="I46" s="49">
        <v>12500.0</v>
      </c>
      <c r="J46" s="51">
        <v>0.0</v>
      </c>
      <c r="K46" s="127">
        <v>0.0</v>
      </c>
      <c r="L46" s="127">
        <v>1500.0</v>
      </c>
      <c r="M46" s="127">
        <f t="shared" si="1"/>
        <v>12000</v>
      </c>
      <c r="N46" s="127">
        <f t="shared" si="2"/>
        <v>8000</v>
      </c>
      <c r="O46" s="127">
        <f t="shared" si="3"/>
        <v>4000</v>
      </c>
      <c r="P46" s="46" t="s">
        <v>44</v>
      </c>
      <c r="Q46" s="69">
        <v>3000.0</v>
      </c>
      <c r="R46" s="69">
        <v>3090.0</v>
      </c>
      <c r="S46" s="46" t="s">
        <v>206</v>
      </c>
      <c r="T46" s="51">
        <v>5000.0</v>
      </c>
      <c r="U46" s="51">
        <v>3769.0</v>
      </c>
      <c r="V46" s="58">
        <v>45819.0</v>
      </c>
      <c r="W46" s="46"/>
      <c r="X46" s="46"/>
      <c r="Y46" s="46"/>
      <c r="Z46" s="10"/>
      <c r="AA46" s="10"/>
      <c r="AB46" s="10"/>
      <c r="AC46" s="10"/>
    </row>
    <row r="47">
      <c r="A47" s="127">
        <v>45.0</v>
      </c>
      <c r="B47" s="73" t="s">
        <v>543</v>
      </c>
      <c r="C47" s="73" t="s">
        <v>544</v>
      </c>
      <c r="D47" s="73" t="s">
        <v>440</v>
      </c>
      <c r="E47" s="127">
        <v>1734.0</v>
      </c>
      <c r="F47" s="73" t="s">
        <v>145</v>
      </c>
      <c r="G47" s="51">
        <v>7.849963055E9</v>
      </c>
      <c r="H47" s="46"/>
      <c r="I47" s="49">
        <v>12500.0</v>
      </c>
      <c r="J47" s="51">
        <v>0.0</v>
      </c>
      <c r="K47" s="127">
        <v>0.0</v>
      </c>
      <c r="L47" s="46"/>
      <c r="M47" s="127">
        <f t="shared" si="1"/>
        <v>12500</v>
      </c>
      <c r="N47" s="127">
        <f t="shared" si="2"/>
        <v>6500</v>
      </c>
      <c r="O47" s="127">
        <f t="shared" si="3"/>
        <v>6000</v>
      </c>
      <c r="P47" s="46"/>
      <c r="Q47" s="51">
        <v>3500.0</v>
      </c>
      <c r="R47" s="51">
        <v>3487.0</v>
      </c>
      <c r="S47" s="58">
        <v>45757.0</v>
      </c>
      <c r="T47" s="51">
        <v>3000.0</v>
      </c>
      <c r="U47" s="51">
        <v>3986.0</v>
      </c>
      <c r="V47" s="51" t="s">
        <v>312</v>
      </c>
      <c r="W47" s="46"/>
      <c r="X47" s="46"/>
      <c r="Y47" s="46"/>
    </row>
    <row r="48">
      <c r="A48" s="127">
        <v>46.0</v>
      </c>
      <c r="B48" s="73" t="s">
        <v>543</v>
      </c>
      <c r="C48" s="73" t="s">
        <v>368</v>
      </c>
      <c r="D48" s="73" t="s">
        <v>446</v>
      </c>
      <c r="E48" s="127">
        <v>1648.0</v>
      </c>
      <c r="F48" s="73" t="s">
        <v>305</v>
      </c>
      <c r="G48" s="74">
        <v>7.339867559E9</v>
      </c>
      <c r="H48" s="51">
        <v>0.0</v>
      </c>
      <c r="I48" s="49">
        <v>12500.0</v>
      </c>
      <c r="J48" s="51">
        <v>6500.0</v>
      </c>
      <c r="K48" s="127">
        <v>0.0</v>
      </c>
      <c r="L48" s="51">
        <v>3000.0</v>
      </c>
      <c r="M48" s="127">
        <f t="shared" si="1"/>
        <v>16000</v>
      </c>
      <c r="N48" s="127">
        <f t="shared" si="2"/>
        <v>10000</v>
      </c>
      <c r="O48" s="127">
        <f t="shared" si="3"/>
        <v>6000</v>
      </c>
      <c r="P48" s="51" t="s">
        <v>44</v>
      </c>
      <c r="Q48" s="51">
        <v>6000.0</v>
      </c>
      <c r="R48" s="51">
        <v>3472.0</v>
      </c>
      <c r="S48" s="58">
        <v>45726.0</v>
      </c>
      <c r="T48" s="51">
        <v>4000.0</v>
      </c>
      <c r="U48" s="51">
        <v>3927.0</v>
      </c>
      <c r="V48" s="51" t="s">
        <v>349</v>
      </c>
      <c r="W48" s="46"/>
      <c r="X48" s="46"/>
      <c r="Y48" s="46"/>
    </row>
    <row r="49">
      <c r="A49" s="127">
        <v>47.0</v>
      </c>
      <c r="B49" s="73" t="s">
        <v>545</v>
      </c>
      <c r="C49" s="73" t="s">
        <v>546</v>
      </c>
      <c r="D49" s="73" t="s">
        <v>443</v>
      </c>
      <c r="E49" s="127">
        <v>1675.0</v>
      </c>
      <c r="F49" s="73" t="s">
        <v>165</v>
      </c>
      <c r="G49" s="74">
        <v>9.950409257E9</v>
      </c>
      <c r="H49" s="46"/>
      <c r="I49" s="49">
        <v>12500.0</v>
      </c>
      <c r="J49" s="51">
        <v>7000.0</v>
      </c>
      <c r="K49" s="127">
        <v>0.0</v>
      </c>
      <c r="L49" s="46"/>
      <c r="M49" s="127">
        <f t="shared" si="1"/>
        <v>19500</v>
      </c>
      <c r="N49" s="127">
        <f t="shared" si="2"/>
        <v>7000</v>
      </c>
      <c r="O49" s="127">
        <f t="shared" si="3"/>
        <v>12500</v>
      </c>
      <c r="P49" s="46"/>
      <c r="Q49" s="51">
        <v>7000.0</v>
      </c>
      <c r="R49" s="51">
        <v>3601.0</v>
      </c>
      <c r="S49" s="58">
        <v>45848.0</v>
      </c>
      <c r="T49" s="46"/>
      <c r="U49" s="46"/>
      <c r="V49" s="46"/>
      <c r="W49" s="46"/>
      <c r="X49" s="46"/>
      <c r="Y49" s="46"/>
    </row>
    <row r="50">
      <c r="A50" s="127">
        <v>48.0</v>
      </c>
      <c r="B50" s="73" t="s">
        <v>547</v>
      </c>
      <c r="C50" s="73" t="s">
        <v>548</v>
      </c>
      <c r="D50" s="73" t="s">
        <v>446</v>
      </c>
      <c r="E50" s="127">
        <v>1744.0</v>
      </c>
      <c r="F50" s="73" t="s">
        <v>361</v>
      </c>
      <c r="G50" s="74">
        <v>9.588982575E9</v>
      </c>
      <c r="H50" s="46"/>
      <c r="I50" s="49">
        <v>12500.0</v>
      </c>
      <c r="J50" s="51"/>
      <c r="K50" s="127">
        <v>0.0</v>
      </c>
      <c r="L50" s="46"/>
      <c r="M50" s="127">
        <f t="shared" si="1"/>
        <v>12500</v>
      </c>
      <c r="N50" s="127">
        <f t="shared" si="2"/>
        <v>0</v>
      </c>
      <c r="O50" s="127">
        <f t="shared" si="3"/>
        <v>12500</v>
      </c>
      <c r="P50" s="46"/>
      <c r="Q50" s="46"/>
      <c r="R50" s="46"/>
      <c r="S50" s="46"/>
      <c r="T50" s="46"/>
      <c r="U50" s="46"/>
      <c r="V50" s="46"/>
      <c r="W50" s="46"/>
      <c r="X50" s="46"/>
      <c r="Y50" s="46"/>
    </row>
    <row r="51" ht="15.75" customHeight="1">
      <c r="A51" s="127">
        <v>49.0</v>
      </c>
      <c r="B51" s="130" t="s">
        <v>549</v>
      </c>
      <c r="C51" s="130" t="s">
        <v>550</v>
      </c>
      <c r="D51" s="130" t="s">
        <v>443</v>
      </c>
      <c r="E51" s="131">
        <v>1622.0</v>
      </c>
      <c r="F51" s="132" t="s">
        <v>165</v>
      </c>
      <c r="G51" s="131" t="s">
        <v>551</v>
      </c>
      <c r="H51" s="133">
        <v>0.0</v>
      </c>
      <c r="I51" s="49">
        <v>12500.0</v>
      </c>
      <c r="J51" s="133">
        <v>3500.0</v>
      </c>
      <c r="K51" s="131">
        <v>0.0</v>
      </c>
      <c r="L51" s="133">
        <v>3500.0</v>
      </c>
      <c r="M51" s="127">
        <f t="shared" si="1"/>
        <v>12500</v>
      </c>
      <c r="N51" s="127">
        <f t="shared" si="2"/>
        <v>10000</v>
      </c>
      <c r="O51" s="127">
        <f t="shared" si="3"/>
        <v>2500</v>
      </c>
      <c r="P51" s="132" t="s">
        <v>44</v>
      </c>
      <c r="Q51" s="134">
        <v>10000.0</v>
      </c>
      <c r="R51" s="134">
        <v>3173.0</v>
      </c>
      <c r="S51" s="146">
        <v>45816.0</v>
      </c>
      <c r="T51" s="132"/>
      <c r="U51" s="132"/>
      <c r="V51" s="132"/>
      <c r="W51" s="132"/>
      <c r="X51" s="132"/>
      <c r="Y51" s="132"/>
    </row>
    <row r="52">
      <c r="A52" s="127">
        <v>50.0</v>
      </c>
      <c r="B52" s="73" t="s">
        <v>41</v>
      </c>
      <c r="C52" s="73" t="s">
        <v>320</v>
      </c>
      <c r="D52" s="73" t="s">
        <v>455</v>
      </c>
      <c r="E52" s="127">
        <v>1827.0</v>
      </c>
      <c r="F52" s="73" t="s">
        <v>289</v>
      </c>
      <c r="G52" s="74">
        <v>9.799459005E9</v>
      </c>
      <c r="H52" s="46"/>
      <c r="I52" s="49">
        <v>12500.0</v>
      </c>
      <c r="J52" s="51">
        <v>9000.0</v>
      </c>
      <c r="K52" s="127">
        <v>0.0</v>
      </c>
      <c r="L52" s="46"/>
      <c r="M52" s="127">
        <f t="shared" si="1"/>
        <v>21500</v>
      </c>
      <c r="N52" s="127">
        <f t="shared" si="2"/>
        <v>5000</v>
      </c>
      <c r="O52" s="127">
        <f t="shared" si="3"/>
        <v>16500</v>
      </c>
      <c r="P52" s="46"/>
      <c r="Q52" s="51">
        <v>5000.0</v>
      </c>
      <c r="R52" s="51">
        <v>3663.0</v>
      </c>
      <c r="S52" s="58">
        <v>45910.0</v>
      </c>
      <c r="T52" s="46"/>
      <c r="U52" s="46"/>
      <c r="V52" s="46"/>
      <c r="W52" s="46"/>
      <c r="X52" s="46"/>
      <c r="Y52" s="46"/>
      <c r="Z52" s="19"/>
      <c r="AA52" s="19"/>
      <c r="AB52" s="19"/>
      <c r="AC52" s="19"/>
    </row>
    <row r="53">
      <c r="A53" s="127">
        <v>51.0</v>
      </c>
      <c r="B53" s="73" t="s">
        <v>552</v>
      </c>
      <c r="C53" s="73" t="s">
        <v>553</v>
      </c>
      <c r="D53" s="73" t="s">
        <v>446</v>
      </c>
      <c r="E53" s="127">
        <v>1585.0</v>
      </c>
      <c r="F53" s="73" t="s">
        <v>554</v>
      </c>
      <c r="G53" s="74">
        <v>8.770133021E9</v>
      </c>
      <c r="H53" s="46"/>
      <c r="I53" s="49">
        <v>12500.0</v>
      </c>
      <c r="J53" s="69">
        <v>5000.0</v>
      </c>
      <c r="K53" s="127">
        <v>0.0</v>
      </c>
      <c r="L53" s="69">
        <v>3000.0</v>
      </c>
      <c r="M53" s="127">
        <f t="shared" si="1"/>
        <v>14500</v>
      </c>
      <c r="N53" s="127">
        <f t="shared" si="2"/>
        <v>10000</v>
      </c>
      <c r="O53" s="127">
        <f t="shared" si="3"/>
        <v>4500</v>
      </c>
      <c r="P53" s="46" t="s">
        <v>44</v>
      </c>
      <c r="Q53" s="69">
        <v>6000.0</v>
      </c>
      <c r="R53" s="46"/>
      <c r="S53" s="46" t="s">
        <v>331</v>
      </c>
      <c r="T53" s="51">
        <v>4000.0</v>
      </c>
      <c r="U53" s="51">
        <v>3995.0</v>
      </c>
      <c r="V53" s="51" t="s">
        <v>312</v>
      </c>
      <c r="W53" s="46"/>
      <c r="X53" s="46"/>
      <c r="Y53" s="46"/>
    </row>
    <row r="54">
      <c r="A54" s="127">
        <v>52.0</v>
      </c>
      <c r="B54" s="73" t="s">
        <v>555</v>
      </c>
      <c r="C54" s="73" t="s">
        <v>556</v>
      </c>
      <c r="D54" s="73" t="s">
        <v>455</v>
      </c>
      <c r="E54" s="127">
        <v>2.0220024E7</v>
      </c>
      <c r="F54" s="73" t="s">
        <v>145</v>
      </c>
      <c r="G54" s="74">
        <v>9.799668914E9</v>
      </c>
      <c r="H54" s="46"/>
      <c r="I54" s="49">
        <v>12500.0</v>
      </c>
      <c r="J54" s="51">
        <v>0.0</v>
      </c>
      <c r="K54" s="127">
        <v>0.0</v>
      </c>
      <c r="L54" s="46"/>
      <c r="M54" s="127">
        <f t="shared" si="1"/>
        <v>12500</v>
      </c>
      <c r="N54" s="127">
        <f t="shared" si="2"/>
        <v>0</v>
      </c>
      <c r="O54" s="127">
        <f t="shared" si="3"/>
        <v>12500</v>
      </c>
      <c r="P54" s="46"/>
      <c r="Q54" s="46"/>
      <c r="R54" s="46"/>
      <c r="S54" s="46"/>
      <c r="T54" s="46"/>
      <c r="U54" s="46"/>
      <c r="V54" s="46"/>
      <c r="W54" s="46"/>
      <c r="X54" s="46"/>
      <c r="Y54" s="46"/>
    </row>
    <row r="55">
      <c r="A55" s="127">
        <v>53.0</v>
      </c>
      <c r="B55" s="73" t="s">
        <v>557</v>
      </c>
      <c r="C55" s="73" t="s">
        <v>558</v>
      </c>
      <c r="D55" s="73" t="s">
        <v>455</v>
      </c>
      <c r="E55" s="127">
        <v>2.0220025E7</v>
      </c>
      <c r="F55" s="73" t="s">
        <v>145</v>
      </c>
      <c r="G55" s="74">
        <v>6.36743989E9</v>
      </c>
      <c r="H55" s="46"/>
      <c r="I55" s="49">
        <v>12500.0</v>
      </c>
      <c r="J55" s="51">
        <v>0.0</v>
      </c>
      <c r="K55" s="127">
        <v>0.0</v>
      </c>
      <c r="L55" s="46"/>
      <c r="M55" s="127">
        <f t="shared" si="1"/>
        <v>12500</v>
      </c>
      <c r="N55" s="127">
        <f t="shared" si="2"/>
        <v>0</v>
      </c>
      <c r="O55" s="127">
        <f t="shared" si="3"/>
        <v>12500</v>
      </c>
      <c r="P55" s="46"/>
      <c r="Q55" s="46"/>
      <c r="R55" s="46"/>
      <c r="S55" s="46"/>
      <c r="T55" s="46"/>
      <c r="U55" s="46"/>
      <c r="V55" s="46"/>
      <c r="W55" s="46"/>
      <c r="X55" s="46"/>
      <c r="Y55" s="46"/>
    </row>
    <row r="56">
      <c r="A56" s="127">
        <v>54.0</v>
      </c>
      <c r="B56" s="73" t="s">
        <v>559</v>
      </c>
      <c r="C56" s="73" t="s">
        <v>560</v>
      </c>
      <c r="D56" s="73" t="s">
        <v>446</v>
      </c>
      <c r="E56" s="127">
        <v>1574.0</v>
      </c>
      <c r="F56" s="46" t="s">
        <v>561</v>
      </c>
      <c r="G56" s="69">
        <v>9.66433897E9</v>
      </c>
      <c r="H56" s="46"/>
      <c r="I56" s="49">
        <v>12500.0</v>
      </c>
      <c r="J56" s="51">
        <v>9500.0</v>
      </c>
      <c r="K56" s="127">
        <v>0.0</v>
      </c>
      <c r="L56" s="46"/>
      <c r="M56" s="127">
        <f t="shared" si="1"/>
        <v>22000</v>
      </c>
      <c r="N56" s="127">
        <f t="shared" si="2"/>
        <v>5000</v>
      </c>
      <c r="O56" s="127">
        <f t="shared" si="3"/>
        <v>17000</v>
      </c>
      <c r="P56" s="46"/>
      <c r="Q56" s="69">
        <v>2000.0</v>
      </c>
      <c r="R56" s="69">
        <v>3220.0</v>
      </c>
      <c r="S56" s="46" t="s">
        <v>562</v>
      </c>
      <c r="T56" s="51">
        <v>3000.0</v>
      </c>
      <c r="U56" s="51">
        <v>3565.0</v>
      </c>
      <c r="V56" s="58">
        <v>45848.0</v>
      </c>
      <c r="W56" s="46"/>
      <c r="X56" s="46"/>
      <c r="Y56" s="46"/>
    </row>
    <row r="57">
      <c r="A57" s="127">
        <v>55.0</v>
      </c>
      <c r="B57" s="73" t="s">
        <v>563</v>
      </c>
      <c r="C57" s="73" t="s">
        <v>564</v>
      </c>
      <c r="D57" s="73" t="s">
        <v>446</v>
      </c>
      <c r="E57" s="127">
        <v>2.0220029E7</v>
      </c>
      <c r="F57" s="73" t="s">
        <v>145</v>
      </c>
      <c r="G57" s="74">
        <v>9.929458041E9</v>
      </c>
      <c r="H57" s="46"/>
      <c r="I57" s="49">
        <v>12500.0</v>
      </c>
      <c r="J57" s="51">
        <v>0.0</v>
      </c>
      <c r="K57" s="127">
        <v>0.0</v>
      </c>
      <c r="L57" s="46"/>
      <c r="M57" s="127">
        <f t="shared" si="1"/>
        <v>12500</v>
      </c>
      <c r="N57" s="127">
        <f t="shared" si="2"/>
        <v>0</v>
      </c>
      <c r="O57" s="127">
        <f t="shared" si="3"/>
        <v>12500</v>
      </c>
      <c r="P57" s="46"/>
      <c r="Q57" s="46"/>
      <c r="R57" s="46"/>
      <c r="S57" s="46"/>
      <c r="T57" s="46"/>
      <c r="U57" s="46"/>
      <c r="V57" s="46"/>
      <c r="W57" s="46"/>
      <c r="X57" s="46"/>
      <c r="Y57" s="46"/>
    </row>
    <row r="58">
      <c r="A58" s="127">
        <v>56.0</v>
      </c>
      <c r="B58" s="73" t="s">
        <v>565</v>
      </c>
      <c r="C58" s="73" t="s">
        <v>566</v>
      </c>
      <c r="D58" s="73" t="s">
        <v>567</v>
      </c>
      <c r="E58" s="127">
        <v>1582.0</v>
      </c>
      <c r="F58" s="73" t="s">
        <v>568</v>
      </c>
      <c r="G58" s="74">
        <v>9.772977179E9</v>
      </c>
      <c r="H58" s="46"/>
      <c r="I58" s="49">
        <v>12500.0</v>
      </c>
      <c r="J58" s="74">
        <v>9000.0</v>
      </c>
      <c r="K58" s="127">
        <v>0.0</v>
      </c>
      <c r="L58" s="74">
        <v>2500.0</v>
      </c>
      <c r="M58" s="127">
        <f t="shared" si="1"/>
        <v>19000</v>
      </c>
      <c r="N58" s="127">
        <f t="shared" si="2"/>
        <v>10000</v>
      </c>
      <c r="O58" s="127">
        <f t="shared" si="3"/>
        <v>9000</v>
      </c>
      <c r="P58" s="73" t="s">
        <v>44</v>
      </c>
      <c r="Q58" s="51">
        <v>10000.0</v>
      </c>
      <c r="R58" s="51">
        <v>3530.0</v>
      </c>
      <c r="S58" s="58">
        <v>45818.0</v>
      </c>
      <c r="T58" s="46"/>
      <c r="U58" s="46"/>
      <c r="V58" s="46"/>
      <c r="W58" s="46"/>
      <c r="X58" s="46"/>
      <c r="Y58" s="46"/>
    </row>
    <row r="59">
      <c r="A59" s="127">
        <v>57.0</v>
      </c>
      <c r="B59" s="73" t="s">
        <v>569</v>
      </c>
      <c r="C59" s="73" t="s">
        <v>570</v>
      </c>
      <c r="D59" s="73" t="s">
        <v>440</v>
      </c>
      <c r="E59" s="127">
        <v>1637.0</v>
      </c>
      <c r="F59" s="73" t="s">
        <v>130</v>
      </c>
      <c r="G59" s="74">
        <v>9.660516355E9</v>
      </c>
      <c r="H59" s="46"/>
      <c r="I59" s="49">
        <v>12500.0</v>
      </c>
      <c r="J59" s="51">
        <v>5000.0</v>
      </c>
      <c r="K59" s="127">
        <v>0.0</v>
      </c>
      <c r="L59" s="46"/>
      <c r="M59" s="127">
        <f t="shared" si="1"/>
        <v>17500</v>
      </c>
      <c r="N59" s="127">
        <f t="shared" si="2"/>
        <v>5000</v>
      </c>
      <c r="O59" s="127">
        <f t="shared" si="3"/>
        <v>12500</v>
      </c>
      <c r="P59" s="46"/>
      <c r="Q59" s="51">
        <v>5000.0</v>
      </c>
      <c r="R59" s="51">
        <v>4017.0</v>
      </c>
      <c r="S59" s="51" t="s">
        <v>312</v>
      </c>
      <c r="T59" s="46"/>
      <c r="U59" s="46"/>
      <c r="V59" s="46"/>
      <c r="W59" s="46"/>
      <c r="X59" s="46"/>
      <c r="Y59" s="46"/>
    </row>
    <row r="60">
      <c r="A60" s="127">
        <v>58.0</v>
      </c>
      <c r="B60" s="73" t="s">
        <v>571</v>
      </c>
      <c r="C60" s="73" t="s">
        <v>572</v>
      </c>
      <c r="D60" s="127" t="s">
        <v>440</v>
      </c>
      <c r="E60" s="46"/>
      <c r="F60" s="73" t="s">
        <v>361</v>
      </c>
      <c r="G60" s="74">
        <v>7.357917627E9</v>
      </c>
      <c r="H60" s="46"/>
      <c r="I60" s="49">
        <v>12500.0</v>
      </c>
      <c r="J60" s="51">
        <v>5000.0</v>
      </c>
      <c r="K60" s="51">
        <v>0.0</v>
      </c>
      <c r="L60" s="51">
        <v>3500.0</v>
      </c>
      <c r="M60" s="127">
        <f t="shared" si="1"/>
        <v>14000</v>
      </c>
      <c r="N60" s="127">
        <f t="shared" si="2"/>
        <v>10000</v>
      </c>
      <c r="O60" s="127">
        <f t="shared" si="3"/>
        <v>4000</v>
      </c>
      <c r="P60" s="51" t="s">
        <v>131</v>
      </c>
      <c r="Q60" s="127">
        <v>5000.0</v>
      </c>
      <c r="R60" s="127">
        <v>3349.0</v>
      </c>
      <c r="S60" s="127" t="s">
        <v>452</v>
      </c>
      <c r="T60" s="51">
        <v>5000.0</v>
      </c>
      <c r="U60" s="51">
        <v>3498.0</v>
      </c>
      <c r="V60" s="58">
        <v>45757.0</v>
      </c>
      <c r="W60" s="46"/>
      <c r="X60" s="46"/>
      <c r="Y60" s="46"/>
    </row>
    <row r="61">
      <c r="A61" s="127">
        <v>59.0</v>
      </c>
      <c r="B61" s="73" t="s">
        <v>573</v>
      </c>
      <c r="C61" s="73" t="s">
        <v>574</v>
      </c>
      <c r="D61" s="73" t="s">
        <v>446</v>
      </c>
      <c r="E61" s="127">
        <v>1694.0</v>
      </c>
      <c r="F61" s="73" t="s">
        <v>188</v>
      </c>
      <c r="G61" s="74">
        <v>9.928518389E9</v>
      </c>
      <c r="H61" s="127"/>
      <c r="I61" s="49">
        <v>12500.0</v>
      </c>
      <c r="J61" s="74">
        <v>5000.0</v>
      </c>
      <c r="K61" s="127">
        <v>0.0</v>
      </c>
      <c r="L61" s="74">
        <v>2500.0</v>
      </c>
      <c r="M61" s="127">
        <f t="shared" si="1"/>
        <v>15000</v>
      </c>
      <c r="N61" s="127">
        <f t="shared" si="2"/>
        <v>11000</v>
      </c>
      <c r="O61" s="127">
        <f t="shared" si="3"/>
        <v>4000</v>
      </c>
      <c r="P61" s="73" t="s">
        <v>44</v>
      </c>
      <c r="Q61" s="74">
        <v>5000.0</v>
      </c>
      <c r="R61" s="46"/>
      <c r="S61" s="73" t="s">
        <v>452</v>
      </c>
      <c r="T61" s="51">
        <v>6000.0</v>
      </c>
      <c r="U61" s="51">
        <v>4052.0</v>
      </c>
      <c r="V61" s="51" t="s">
        <v>575</v>
      </c>
      <c r="W61" s="46"/>
      <c r="X61" s="46"/>
      <c r="Y61" s="46"/>
    </row>
    <row r="62">
      <c r="A62" s="127">
        <v>60.0</v>
      </c>
      <c r="B62" s="73" t="s">
        <v>576</v>
      </c>
      <c r="C62" s="73" t="s">
        <v>577</v>
      </c>
      <c r="D62" s="73" t="s">
        <v>446</v>
      </c>
      <c r="E62" s="46"/>
      <c r="F62" s="73" t="s">
        <v>361</v>
      </c>
      <c r="G62" s="74">
        <v>9.571688967E9</v>
      </c>
      <c r="H62" s="46"/>
      <c r="I62" s="49">
        <v>12500.0</v>
      </c>
      <c r="J62" s="51">
        <v>5000.0</v>
      </c>
      <c r="K62" s="46"/>
      <c r="L62" s="46"/>
      <c r="M62" s="127">
        <f t="shared" si="1"/>
        <v>17500</v>
      </c>
      <c r="N62" s="127">
        <f t="shared" si="2"/>
        <v>2000</v>
      </c>
      <c r="O62" s="127">
        <f t="shared" si="3"/>
        <v>15500</v>
      </c>
      <c r="P62" s="46"/>
      <c r="Q62" s="74">
        <v>2000.0</v>
      </c>
      <c r="R62" s="74">
        <v>3360.0</v>
      </c>
      <c r="S62" s="71">
        <v>45725.0</v>
      </c>
      <c r="T62" s="46"/>
      <c r="U62" s="46"/>
      <c r="V62" s="46"/>
      <c r="W62" s="46"/>
      <c r="X62" s="46"/>
      <c r="Y62" s="46"/>
    </row>
    <row r="63">
      <c r="A63" s="127">
        <v>61.0</v>
      </c>
      <c r="B63" s="52" t="s">
        <v>578</v>
      </c>
      <c r="C63" s="52" t="s">
        <v>579</v>
      </c>
      <c r="D63" s="52" t="s">
        <v>455</v>
      </c>
      <c r="E63" s="54"/>
      <c r="F63" s="52" t="s">
        <v>580</v>
      </c>
      <c r="G63" s="52">
        <v>9.783633435E9</v>
      </c>
      <c r="H63" s="45">
        <v>1000.0</v>
      </c>
      <c r="I63" s="49">
        <v>12500.0</v>
      </c>
      <c r="J63" s="52">
        <v>7000.0</v>
      </c>
      <c r="K63" s="45">
        <v>0.0</v>
      </c>
      <c r="L63" s="52">
        <v>3500.0</v>
      </c>
      <c r="M63" s="127">
        <f t="shared" si="1"/>
        <v>17000</v>
      </c>
      <c r="N63" s="127">
        <f t="shared" si="2"/>
        <v>1000</v>
      </c>
      <c r="O63" s="127">
        <f t="shared" si="3"/>
        <v>16000</v>
      </c>
      <c r="P63" s="48"/>
      <c r="Q63" s="52">
        <v>1000.0</v>
      </c>
      <c r="R63" s="48"/>
      <c r="S63" s="70">
        <v>45757.0</v>
      </c>
      <c r="T63" s="48"/>
      <c r="U63" s="48"/>
      <c r="V63" s="48"/>
      <c r="W63" s="48"/>
      <c r="X63" s="48"/>
      <c r="Y63" s="48"/>
    </row>
    <row r="64">
      <c r="A64" s="127">
        <v>62.0</v>
      </c>
      <c r="B64" s="52" t="s">
        <v>41</v>
      </c>
      <c r="C64" s="52" t="s">
        <v>42</v>
      </c>
      <c r="D64" s="45" t="s">
        <v>581</v>
      </c>
      <c r="E64" s="53"/>
      <c r="F64" s="52" t="s">
        <v>43</v>
      </c>
      <c r="G64" s="52">
        <v>6.367089257E9</v>
      </c>
      <c r="H64" s="54"/>
      <c r="I64" s="49">
        <v>12500.0</v>
      </c>
      <c r="J64" s="45">
        <v>9500.0</v>
      </c>
      <c r="K64" s="54"/>
      <c r="L64" s="48"/>
      <c r="M64" s="127">
        <f t="shared" si="1"/>
        <v>22000</v>
      </c>
      <c r="N64" s="127">
        <f t="shared" si="2"/>
        <v>0</v>
      </c>
      <c r="O64" s="127">
        <f t="shared" si="3"/>
        <v>22000</v>
      </c>
      <c r="P64" s="48"/>
      <c r="Q64" s="54"/>
      <c r="R64" s="54"/>
      <c r="S64" s="54"/>
    </row>
    <row r="65">
      <c r="E65" s="9"/>
      <c r="H65" s="9"/>
      <c r="I65" s="9"/>
      <c r="K65" s="9"/>
      <c r="M65" s="9"/>
      <c r="N65" s="9"/>
      <c r="O65" s="9"/>
    </row>
    <row r="66">
      <c r="E66" s="9"/>
      <c r="H66" s="9"/>
      <c r="I66" s="9"/>
      <c r="K66" s="9"/>
      <c r="M66" s="9"/>
      <c r="N66" s="9"/>
      <c r="O66" s="9"/>
    </row>
    <row r="67">
      <c r="E67" s="9"/>
      <c r="H67" s="9"/>
      <c r="I67" s="9"/>
      <c r="K67" s="9"/>
      <c r="M67" s="9"/>
      <c r="N67" s="9"/>
      <c r="O67" s="9"/>
    </row>
    <row r="68">
      <c r="E68" s="9"/>
      <c r="H68" s="9"/>
      <c r="I68" s="9"/>
      <c r="K68" s="9"/>
      <c r="M68" s="9"/>
      <c r="N68" s="9"/>
      <c r="O68" s="9"/>
    </row>
    <row r="69">
      <c r="E69" s="9"/>
      <c r="H69" s="9"/>
      <c r="I69" s="9"/>
      <c r="K69" s="9"/>
      <c r="M69" s="9"/>
      <c r="N69" s="9"/>
      <c r="O69" s="9"/>
    </row>
    <row r="70">
      <c r="E70" s="9"/>
      <c r="H70" s="9"/>
      <c r="I70" s="9"/>
      <c r="K70" s="9"/>
      <c r="M70" s="9"/>
      <c r="N70" s="9"/>
      <c r="O70" s="9"/>
    </row>
    <row r="71">
      <c r="E71" s="9"/>
      <c r="H71" s="9"/>
      <c r="I71" s="9"/>
      <c r="K71" s="9"/>
      <c r="M71" s="9"/>
      <c r="N71" s="9"/>
      <c r="O71" s="9"/>
    </row>
    <row r="72">
      <c r="E72" s="9"/>
      <c r="H72" s="9"/>
      <c r="I72" s="9"/>
      <c r="K72" s="9"/>
      <c r="M72" s="9"/>
      <c r="N72" s="9"/>
      <c r="O72" s="9"/>
    </row>
    <row r="73">
      <c r="E73" s="9"/>
      <c r="H73" s="9"/>
      <c r="I73" s="9"/>
      <c r="K73" s="9"/>
      <c r="M73" s="9"/>
      <c r="N73" s="9"/>
      <c r="O73" s="9"/>
    </row>
    <row r="74">
      <c r="E74" s="9"/>
      <c r="H74" s="9"/>
      <c r="I74" s="9"/>
      <c r="K74" s="9"/>
      <c r="M74" s="9"/>
      <c r="N74" s="9"/>
      <c r="O74" s="9"/>
    </row>
    <row r="75">
      <c r="E75" s="9"/>
      <c r="H75" s="9"/>
      <c r="I75" s="9"/>
      <c r="K75" s="9"/>
      <c r="M75" s="9"/>
      <c r="N75" s="9"/>
      <c r="O75" s="9"/>
    </row>
    <row r="76">
      <c r="E76" s="9"/>
      <c r="H76" s="9"/>
      <c r="I76" s="9"/>
      <c r="K76" s="9"/>
      <c r="M76" s="9"/>
      <c r="N76" s="9"/>
      <c r="O76" s="9"/>
    </row>
    <row r="77">
      <c r="E77" s="9"/>
      <c r="H77" s="9"/>
      <c r="I77" s="9"/>
      <c r="K77" s="9"/>
      <c r="M77" s="9"/>
      <c r="N77" s="9"/>
      <c r="O77" s="9"/>
    </row>
    <row r="78">
      <c r="E78" s="9"/>
      <c r="H78" s="9"/>
      <c r="I78" s="9"/>
      <c r="K78" s="9"/>
      <c r="M78" s="9"/>
      <c r="N78" s="9"/>
      <c r="O78" s="9"/>
    </row>
    <row r="79">
      <c r="E79" s="9"/>
      <c r="H79" s="9"/>
      <c r="I79" s="9"/>
      <c r="K79" s="9"/>
      <c r="M79" s="9"/>
      <c r="N79" s="9"/>
      <c r="O79" s="9"/>
    </row>
    <row r="80">
      <c r="E80" s="9"/>
      <c r="H80" s="9"/>
      <c r="I80" s="9"/>
      <c r="K80" s="9"/>
      <c r="M80" s="9"/>
      <c r="N80" s="9"/>
      <c r="O80" s="9"/>
    </row>
    <row r="81">
      <c r="E81" s="9"/>
      <c r="H81" s="9"/>
      <c r="I81" s="9"/>
      <c r="K81" s="9"/>
      <c r="M81" s="9"/>
      <c r="N81" s="9"/>
      <c r="O81" s="9"/>
    </row>
    <row r="82">
      <c r="E82" s="9"/>
      <c r="H82" s="9"/>
      <c r="I82" s="9"/>
      <c r="K82" s="9"/>
      <c r="M82" s="9"/>
      <c r="N82" s="9"/>
      <c r="O82" s="9"/>
    </row>
    <row r="83">
      <c r="E83" s="9"/>
      <c r="H83" s="9"/>
      <c r="I83" s="9"/>
      <c r="K83" s="9"/>
      <c r="M83" s="9"/>
      <c r="N83" s="9"/>
      <c r="O83" s="9"/>
    </row>
    <row r="84">
      <c r="E84" s="9"/>
      <c r="H84" s="9"/>
      <c r="I84" s="9"/>
      <c r="K84" s="9"/>
      <c r="M84" s="9"/>
      <c r="N84" s="9"/>
      <c r="O84" s="9"/>
    </row>
    <row r="85">
      <c r="E85" s="9"/>
      <c r="H85" s="9"/>
      <c r="I85" s="9"/>
      <c r="K85" s="9"/>
      <c r="M85" s="9"/>
      <c r="N85" s="9"/>
      <c r="O85" s="9"/>
    </row>
    <row r="86">
      <c r="E86" s="9"/>
      <c r="H86" s="9"/>
      <c r="I86" s="9"/>
      <c r="K86" s="9"/>
      <c r="M86" s="9"/>
      <c r="N86" s="9"/>
      <c r="O86" s="9"/>
    </row>
    <row r="87">
      <c r="E87" s="9"/>
      <c r="H87" s="9"/>
      <c r="I87" s="9"/>
      <c r="K87" s="9"/>
      <c r="M87" s="9"/>
      <c r="N87" s="9"/>
      <c r="O87" s="9"/>
    </row>
    <row r="88">
      <c r="E88" s="9"/>
      <c r="H88" s="9"/>
      <c r="I88" s="9"/>
      <c r="K88" s="9"/>
      <c r="M88" s="9"/>
      <c r="N88" s="9"/>
      <c r="O88" s="9"/>
    </row>
    <row r="89">
      <c r="E89" s="9"/>
      <c r="H89" s="9"/>
      <c r="I89" s="9"/>
      <c r="K89" s="9"/>
      <c r="M89" s="9"/>
      <c r="N89" s="9"/>
      <c r="O89" s="9"/>
    </row>
    <row r="90">
      <c r="E90" s="9"/>
      <c r="H90" s="9"/>
      <c r="I90" s="9"/>
      <c r="K90" s="9"/>
      <c r="M90" s="9"/>
      <c r="N90" s="9"/>
      <c r="O90" s="9"/>
    </row>
    <row r="91">
      <c r="E91" s="9"/>
      <c r="H91" s="9"/>
      <c r="I91" s="9"/>
      <c r="K91" s="9"/>
      <c r="M91" s="9"/>
      <c r="N91" s="9"/>
      <c r="O91" s="9"/>
    </row>
    <row r="92">
      <c r="E92" s="9"/>
      <c r="H92" s="9"/>
      <c r="I92" s="9"/>
      <c r="K92" s="9"/>
      <c r="M92" s="9"/>
      <c r="N92" s="9"/>
      <c r="O92" s="9"/>
    </row>
    <row r="93">
      <c r="E93" s="9"/>
      <c r="H93" s="9"/>
      <c r="I93" s="9"/>
      <c r="K93" s="9"/>
      <c r="M93" s="9"/>
      <c r="N93" s="9"/>
      <c r="O93" s="9"/>
    </row>
    <row r="94">
      <c r="E94" s="9"/>
      <c r="H94" s="9"/>
      <c r="I94" s="9"/>
      <c r="K94" s="9"/>
      <c r="M94" s="9"/>
      <c r="N94" s="9"/>
      <c r="O94" s="9"/>
    </row>
    <row r="95">
      <c r="E95" s="9"/>
      <c r="H95" s="9"/>
      <c r="I95" s="9"/>
      <c r="K95" s="9"/>
      <c r="M95" s="9"/>
      <c r="N95" s="9"/>
      <c r="O95" s="9"/>
    </row>
    <row r="96">
      <c r="E96" s="9"/>
      <c r="H96" s="9"/>
      <c r="I96" s="9"/>
      <c r="K96" s="9"/>
      <c r="M96" s="9"/>
      <c r="N96" s="9"/>
      <c r="O96" s="9"/>
    </row>
    <row r="97">
      <c r="E97" s="9"/>
      <c r="H97" s="9"/>
      <c r="I97" s="9"/>
      <c r="K97" s="9"/>
      <c r="M97" s="9"/>
      <c r="N97" s="9"/>
      <c r="O97" s="9"/>
    </row>
    <row r="98">
      <c r="E98" s="9"/>
      <c r="H98" s="9"/>
      <c r="I98" s="9"/>
      <c r="K98" s="9"/>
      <c r="M98" s="9"/>
      <c r="N98" s="9"/>
      <c r="O98" s="9"/>
    </row>
    <row r="99">
      <c r="E99" s="9"/>
      <c r="H99" s="9"/>
      <c r="I99" s="9"/>
      <c r="K99" s="9"/>
      <c r="M99" s="9"/>
      <c r="N99" s="9"/>
      <c r="O99" s="9"/>
    </row>
    <row r="100">
      <c r="E100" s="9"/>
      <c r="H100" s="9"/>
      <c r="I100" s="9"/>
      <c r="K100" s="9"/>
      <c r="M100" s="9"/>
      <c r="N100" s="9"/>
      <c r="O100" s="9"/>
    </row>
    <row r="101">
      <c r="E101" s="9"/>
      <c r="H101" s="9"/>
      <c r="I101" s="9"/>
      <c r="K101" s="9"/>
      <c r="M101" s="9"/>
      <c r="N101" s="9"/>
      <c r="O101" s="9"/>
    </row>
    <row r="102">
      <c r="E102" s="9"/>
      <c r="H102" s="9"/>
      <c r="I102" s="9"/>
      <c r="K102" s="9"/>
      <c r="M102" s="9"/>
      <c r="N102" s="9"/>
      <c r="O102" s="9"/>
    </row>
    <row r="103">
      <c r="E103" s="9"/>
      <c r="H103" s="9"/>
      <c r="I103" s="9"/>
      <c r="K103" s="9"/>
      <c r="M103" s="9"/>
      <c r="N103" s="9"/>
      <c r="O103" s="9"/>
    </row>
    <row r="104">
      <c r="E104" s="9"/>
      <c r="H104" s="9"/>
      <c r="I104" s="9"/>
      <c r="K104" s="9"/>
      <c r="M104" s="9"/>
      <c r="N104" s="9"/>
      <c r="O104" s="9"/>
    </row>
    <row r="105">
      <c r="E105" s="9"/>
      <c r="H105" s="9"/>
      <c r="I105" s="9"/>
      <c r="K105" s="9"/>
      <c r="M105" s="9"/>
      <c r="N105" s="9"/>
      <c r="O105" s="9"/>
    </row>
    <row r="106">
      <c r="E106" s="9"/>
      <c r="H106" s="9"/>
      <c r="I106" s="9"/>
      <c r="K106" s="9"/>
      <c r="M106" s="9"/>
      <c r="N106" s="9"/>
      <c r="O106" s="9"/>
    </row>
    <row r="107">
      <c r="E107" s="9"/>
      <c r="H107" s="9"/>
      <c r="I107" s="9"/>
      <c r="K107" s="9"/>
      <c r="M107" s="9"/>
      <c r="N107" s="9"/>
      <c r="O107" s="9"/>
    </row>
    <row r="108">
      <c r="E108" s="9"/>
      <c r="H108" s="9"/>
      <c r="I108" s="9"/>
      <c r="K108" s="9"/>
      <c r="M108" s="9"/>
      <c r="N108" s="9"/>
      <c r="O108" s="9"/>
    </row>
    <row r="109">
      <c r="E109" s="9"/>
      <c r="H109" s="9"/>
      <c r="I109" s="9"/>
      <c r="K109" s="9"/>
      <c r="M109" s="9"/>
      <c r="N109" s="9"/>
      <c r="O109" s="9"/>
    </row>
    <row r="110">
      <c r="E110" s="9"/>
      <c r="H110" s="9"/>
      <c r="I110" s="9"/>
      <c r="K110" s="9"/>
      <c r="M110" s="9"/>
      <c r="N110" s="9"/>
      <c r="O110" s="9"/>
    </row>
    <row r="111">
      <c r="E111" s="9"/>
      <c r="H111" s="9"/>
      <c r="I111" s="9"/>
      <c r="K111" s="9"/>
      <c r="M111" s="9"/>
      <c r="N111" s="9"/>
      <c r="O111" s="9"/>
    </row>
    <row r="112">
      <c r="E112" s="9"/>
      <c r="H112" s="9"/>
      <c r="I112" s="9"/>
      <c r="K112" s="9"/>
      <c r="M112" s="9"/>
      <c r="N112" s="9"/>
      <c r="O112" s="9"/>
    </row>
    <row r="113">
      <c r="E113" s="9"/>
      <c r="H113" s="9"/>
      <c r="I113" s="9"/>
      <c r="K113" s="9"/>
      <c r="M113" s="9"/>
      <c r="N113" s="9"/>
      <c r="O113" s="9"/>
    </row>
    <row r="114">
      <c r="E114" s="9"/>
      <c r="H114" s="9"/>
      <c r="I114" s="9"/>
      <c r="K114" s="9"/>
      <c r="M114" s="9"/>
      <c r="N114" s="9"/>
      <c r="O114" s="9"/>
    </row>
    <row r="115">
      <c r="E115" s="9"/>
      <c r="H115" s="9"/>
      <c r="I115" s="9"/>
      <c r="K115" s="9"/>
      <c r="M115" s="9"/>
      <c r="N115" s="9"/>
      <c r="O115" s="9"/>
    </row>
    <row r="116">
      <c r="E116" s="9"/>
      <c r="H116" s="9"/>
      <c r="I116" s="9"/>
      <c r="K116" s="9"/>
      <c r="M116" s="9"/>
      <c r="N116" s="9"/>
      <c r="O116" s="9"/>
    </row>
    <row r="117">
      <c r="E117" s="9"/>
      <c r="H117" s="9"/>
      <c r="I117" s="9"/>
      <c r="K117" s="9"/>
      <c r="M117" s="9"/>
      <c r="N117" s="9"/>
      <c r="O117" s="9"/>
    </row>
    <row r="118">
      <c r="E118" s="9"/>
      <c r="H118" s="9"/>
      <c r="I118" s="9"/>
      <c r="K118" s="9"/>
      <c r="M118" s="9"/>
      <c r="N118" s="9"/>
      <c r="O118" s="9"/>
    </row>
    <row r="119">
      <c r="E119" s="9"/>
      <c r="H119" s="9"/>
      <c r="I119" s="9"/>
      <c r="K119" s="9"/>
      <c r="M119" s="9"/>
      <c r="N119" s="9"/>
      <c r="O119" s="9"/>
    </row>
    <row r="120">
      <c r="E120" s="9"/>
      <c r="H120" s="9"/>
      <c r="I120" s="9"/>
      <c r="K120" s="9"/>
      <c r="M120" s="9"/>
      <c r="N120" s="9"/>
      <c r="O120" s="9"/>
    </row>
    <row r="121">
      <c r="E121" s="9"/>
      <c r="H121" s="9"/>
      <c r="I121" s="9"/>
      <c r="K121" s="9"/>
      <c r="M121" s="9"/>
      <c r="N121" s="9"/>
      <c r="O121" s="9"/>
    </row>
    <row r="122">
      <c r="E122" s="9"/>
      <c r="H122" s="9"/>
      <c r="I122" s="9"/>
      <c r="K122" s="9"/>
      <c r="M122" s="9"/>
      <c r="N122" s="9"/>
      <c r="O122" s="9"/>
    </row>
    <row r="123">
      <c r="E123" s="9"/>
      <c r="H123" s="9"/>
      <c r="I123" s="9"/>
      <c r="K123" s="9"/>
      <c r="M123" s="9"/>
      <c r="N123" s="9"/>
      <c r="O123" s="9"/>
    </row>
    <row r="124">
      <c r="E124" s="9"/>
      <c r="H124" s="9"/>
      <c r="I124" s="9"/>
      <c r="K124" s="9"/>
      <c r="M124" s="9"/>
      <c r="N124" s="9"/>
      <c r="O124" s="9"/>
    </row>
    <row r="125">
      <c r="E125" s="9"/>
      <c r="H125" s="9"/>
      <c r="I125" s="9"/>
      <c r="K125" s="9"/>
      <c r="M125" s="9"/>
      <c r="N125" s="9"/>
      <c r="O125" s="9"/>
    </row>
    <row r="126">
      <c r="E126" s="9"/>
      <c r="H126" s="9"/>
      <c r="I126" s="9"/>
      <c r="K126" s="9"/>
      <c r="M126" s="9"/>
      <c r="N126" s="9"/>
      <c r="O126" s="9"/>
    </row>
    <row r="127">
      <c r="E127" s="9"/>
      <c r="H127" s="9"/>
      <c r="I127" s="9"/>
      <c r="K127" s="9"/>
      <c r="M127" s="9"/>
      <c r="N127" s="9"/>
      <c r="O127" s="9"/>
    </row>
    <row r="128">
      <c r="E128" s="9"/>
      <c r="H128" s="9"/>
      <c r="I128" s="9"/>
      <c r="K128" s="9"/>
      <c r="M128" s="9"/>
      <c r="N128" s="9"/>
      <c r="O128" s="9"/>
    </row>
    <row r="129">
      <c r="E129" s="9"/>
      <c r="H129" s="9"/>
      <c r="I129" s="9"/>
      <c r="K129" s="9"/>
      <c r="M129" s="9"/>
      <c r="N129" s="9"/>
      <c r="O129" s="9"/>
    </row>
    <row r="130">
      <c r="E130" s="9"/>
      <c r="H130" s="9"/>
      <c r="I130" s="9"/>
      <c r="K130" s="9"/>
      <c r="M130" s="9"/>
      <c r="N130" s="9"/>
      <c r="O130" s="9"/>
    </row>
    <row r="131">
      <c r="E131" s="9"/>
      <c r="H131" s="9"/>
      <c r="I131" s="9"/>
      <c r="K131" s="9"/>
      <c r="M131" s="9"/>
      <c r="N131" s="9"/>
      <c r="O131" s="9"/>
    </row>
    <row r="132">
      <c r="E132" s="9"/>
      <c r="H132" s="9"/>
      <c r="I132" s="9"/>
      <c r="K132" s="9"/>
      <c r="M132" s="9"/>
      <c r="N132" s="9"/>
      <c r="O132" s="9"/>
    </row>
    <row r="133">
      <c r="E133" s="9"/>
      <c r="H133" s="9"/>
      <c r="I133" s="9"/>
      <c r="K133" s="9"/>
      <c r="M133" s="9"/>
      <c r="N133" s="9"/>
      <c r="O133" s="9"/>
    </row>
    <row r="134">
      <c r="E134" s="9"/>
      <c r="H134" s="9"/>
      <c r="I134" s="9"/>
      <c r="K134" s="9"/>
      <c r="M134" s="9"/>
      <c r="N134" s="9"/>
      <c r="O134" s="9"/>
    </row>
    <row r="135">
      <c r="E135" s="9"/>
      <c r="H135" s="9"/>
      <c r="I135" s="9"/>
      <c r="K135" s="9"/>
      <c r="M135" s="9"/>
      <c r="N135" s="9"/>
      <c r="O135" s="9"/>
    </row>
    <row r="136">
      <c r="E136" s="9"/>
      <c r="H136" s="9"/>
      <c r="I136" s="9"/>
      <c r="K136" s="9"/>
      <c r="M136" s="9"/>
      <c r="N136" s="9"/>
      <c r="O136" s="9"/>
    </row>
    <row r="137">
      <c r="E137" s="9"/>
      <c r="H137" s="9"/>
      <c r="I137" s="9"/>
      <c r="K137" s="9"/>
      <c r="M137" s="9"/>
      <c r="N137" s="9"/>
      <c r="O137" s="9"/>
    </row>
    <row r="138">
      <c r="E138" s="9"/>
      <c r="H138" s="9"/>
      <c r="I138" s="9"/>
      <c r="K138" s="9"/>
      <c r="M138" s="9"/>
      <c r="N138" s="9"/>
      <c r="O138" s="9"/>
    </row>
    <row r="139">
      <c r="E139" s="9"/>
      <c r="H139" s="9"/>
      <c r="I139" s="9"/>
      <c r="K139" s="9"/>
      <c r="M139" s="9"/>
      <c r="N139" s="9"/>
      <c r="O139" s="9"/>
    </row>
    <row r="140">
      <c r="E140" s="9"/>
      <c r="H140" s="9"/>
      <c r="I140" s="9"/>
      <c r="K140" s="9"/>
      <c r="M140" s="9"/>
      <c r="N140" s="9"/>
      <c r="O140" s="9"/>
    </row>
    <row r="141">
      <c r="E141" s="9"/>
      <c r="H141" s="9"/>
      <c r="I141" s="9"/>
      <c r="K141" s="9"/>
      <c r="M141" s="9"/>
      <c r="N141" s="9"/>
      <c r="O141" s="9"/>
    </row>
    <row r="142">
      <c r="E142" s="9"/>
      <c r="H142" s="9"/>
      <c r="I142" s="9"/>
      <c r="K142" s="9"/>
      <c r="M142" s="9"/>
      <c r="N142" s="9"/>
      <c r="O142" s="9"/>
    </row>
    <row r="143">
      <c r="E143" s="9"/>
      <c r="H143" s="9"/>
      <c r="I143" s="9"/>
      <c r="K143" s="9"/>
      <c r="M143" s="9"/>
      <c r="N143" s="9"/>
      <c r="O143" s="9"/>
    </row>
    <row r="144">
      <c r="E144" s="9"/>
      <c r="H144" s="9"/>
      <c r="I144" s="9"/>
      <c r="K144" s="9"/>
      <c r="M144" s="9"/>
      <c r="N144" s="9"/>
      <c r="O144" s="9"/>
    </row>
    <row r="145">
      <c r="E145" s="9"/>
      <c r="H145" s="9"/>
      <c r="I145" s="9"/>
      <c r="K145" s="9"/>
      <c r="M145" s="9"/>
      <c r="N145" s="9"/>
      <c r="O145" s="9"/>
    </row>
    <row r="146">
      <c r="E146" s="9"/>
      <c r="H146" s="9"/>
      <c r="I146" s="9"/>
      <c r="K146" s="9"/>
      <c r="M146" s="9"/>
      <c r="N146" s="9"/>
      <c r="O146" s="9"/>
    </row>
    <row r="147">
      <c r="E147" s="9"/>
      <c r="H147" s="9"/>
      <c r="I147" s="9"/>
      <c r="K147" s="9"/>
      <c r="M147" s="9"/>
      <c r="N147" s="9"/>
      <c r="O147" s="9"/>
    </row>
    <row r="148">
      <c r="E148" s="9"/>
      <c r="H148" s="9"/>
      <c r="I148" s="9"/>
      <c r="K148" s="9"/>
      <c r="M148" s="9"/>
      <c r="N148" s="9"/>
      <c r="O148" s="9"/>
    </row>
    <row r="149">
      <c r="E149" s="9"/>
      <c r="H149" s="9"/>
      <c r="I149" s="9"/>
      <c r="K149" s="9"/>
      <c r="M149" s="9"/>
      <c r="N149" s="9"/>
      <c r="O149" s="9"/>
    </row>
    <row r="150">
      <c r="E150" s="9"/>
      <c r="H150" s="9"/>
      <c r="I150" s="9"/>
      <c r="K150" s="9"/>
      <c r="M150" s="9"/>
      <c r="N150" s="9"/>
      <c r="O150" s="9"/>
    </row>
    <row r="151">
      <c r="E151" s="9"/>
      <c r="H151" s="9"/>
      <c r="I151" s="9"/>
      <c r="K151" s="9"/>
      <c r="M151" s="9"/>
      <c r="N151" s="9"/>
      <c r="O151" s="9"/>
    </row>
    <row r="152">
      <c r="E152" s="9"/>
      <c r="H152" s="9"/>
      <c r="I152" s="9"/>
      <c r="K152" s="9"/>
      <c r="M152" s="9"/>
      <c r="N152" s="9"/>
      <c r="O152" s="9"/>
    </row>
    <row r="153">
      <c r="E153" s="9"/>
      <c r="H153" s="9"/>
      <c r="I153" s="9"/>
      <c r="K153" s="9"/>
      <c r="M153" s="9"/>
      <c r="N153" s="9"/>
      <c r="O153" s="9"/>
    </row>
    <row r="154">
      <c r="E154" s="9"/>
      <c r="H154" s="9"/>
      <c r="I154" s="9"/>
      <c r="K154" s="9"/>
      <c r="M154" s="9"/>
      <c r="N154" s="9"/>
      <c r="O154" s="9"/>
    </row>
    <row r="155">
      <c r="E155" s="9"/>
      <c r="H155" s="9"/>
      <c r="I155" s="9"/>
      <c r="K155" s="9"/>
      <c r="M155" s="9"/>
      <c r="N155" s="9"/>
      <c r="O155" s="9"/>
    </row>
    <row r="156">
      <c r="E156" s="9"/>
      <c r="H156" s="9"/>
      <c r="I156" s="9"/>
      <c r="K156" s="9"/>
      <c r="M156" s="9"/>
      <c r="N156" s="9"/>
      <c r="O156" s="9"/>
    </row>
    <row r="157">
      <c r="E157" s="9"/>
      <c r="H157" s="9"/>
      <c r="I157" s="9"/>
      <c r="K157" s="9"/>
      <c r="M157" s="9"/>
      <c r="N157" s="9"/>
      <c r="O157" s="9"/>
    </row>
    <row r="158">
      <c r="E158" s="9"/>
      <c r="H158" s="9"/>
      <c r="I158" s="9"/>
      <c r="K158" s="9"/>
      <c r="M158" s="9"/>
      <c r="N158" s="9"/>
      <c r="O158" s="9"/>
    </row>
    <row r="159">
      <c r="E159" s="9"/>
      <c r="H159" s="9"/>
      <c r="I159" s="9"/>
      <c r="K159" s="9"/>
      <c r="M159" s="9"/>
      <c r="N159" s="9"/>
      <c r="O159" s="9"/>
    </row>
    <row r="160">
      <c r="E160" s="9"/>
      <c r="H160" s="9"/>
      <c r="I160" s="9"/>
      <c r="K160" s="9"/>
      <c r="M160" s="9"/>
      <c r="N160" s="9"/>
      <c r="O160" s="9"/>
    </row>
    <row r="161">
      <c r="E161" s="9"/>
      <c r="H161" s="9"/>
      <c r="I161" s="9"/>
      <c r="K161" s="9"/>
      <c r="M161" s="9"/>
      <c r="N161" s="9"/>
      <c r="O161" s="9"/>
    </row>
    <row r="162">
      <c r="E162" s="9"/>
      <c r="H162" s="9"/>
      <c r="I162" s="9"/>
      <c r="K162" s="9"/>
      <c r="M162" s="9"/>
      <c r="N162" s="9"/>
      <c r="O162" s="9"/>
    </row>
    <row r="163">
      <c r="E163" s="9"/>
      <c r="H163" s="9"/>
      <c r="I163" s="9"/>
      <c r="K163" s="9"/>
      <c r="M163" s="9"/>
      <c r="N163" s="9"/>
      <c r="O163" s="9"/>
    </row>
    <row r="164">
      <c r="E164" s="9"/>
      <c r="H164" s="9"/>
      <c r="I164" s="9"/>
      <c r="K164" s="9"/>
      <c r="M164" s="9"/>
      <c r="N164" s="9"/>
      <c r="O164" s="9"/>
    </row>
    <row r="165">
      <c r="E165" s="9"/>
      <c r="H165" s="9"/>
      <c r="I165" s="9"/>
      <c r="K165" s="9"/>
      <c r="M165" s="9"/>
      <c r="N165" s="9"/>
      <c r="O165" s="9"/>
    </row>
    <row r="166">
      <c r="E166" s="9"/>
      <c r="H166" s="9"/>
      <c r="I166" s="9"/>
      <c r="K166" s="9"/>
      <c r="M166" s="9"/>
      <c r="N166" s="9"/>
      <c r="O166" s="9"/>
    </row>
    <row r="167">
      <c r="E167" s="9"/>
      <c r="H167" s="9"/>
      <c r="I167" s="9"/>
      <c r="K167" s="9"/>
      <c r="M167" s="9"/>
      <c r="N167" s="9"/>
      <c r="O167" s="9"/>
    </row>
    <row r="168">
      <c r="E168" s="9"/>
      <c r="H168" s="9"/>
      <c r="I168" s="9"/>
      <c r="K168" s="9"/>
      <c r="M168" s="9"/>
      <c r="N168" s="9"/>
      <c r="O168" s="9"/>
    </row>
    <row r="169">
      <c r="E169" s="9"/>
      <c r="H169" s="9"/>
      <c r="I169" s="9"/>
      <c r="K169" s="9"/>
      <c r="M169" s="9"/>
      <c r="N169" s="9"/>
      <c r="O169" s="9"/>
    </row>
    <row r="170">
      <c r="E170" s="9"/>
      <c r="H170" s="9"/>
      <c r="I170" s="9"/>
      <c r="K170" s="9"/>
      <c r="M170" s="9"/>
      <c r="N170" s="9"/>
      <c r="O170" s="9"/>
    </row>
    <row r="171">
      <c r="E171" s="9"/>
      <c r="H171" s="9"/>
      <c r="I171" s="9"/>
      <c r="K171" s="9"/>
      <c r="M171" s="9"/>
      <c r="N171" s="9"/>
      <c r="O171" s="9"/>
    </row>
    <row r="172">
      <c r="E172" s="9"/>
      <c r="H172" s="9"/>
      <c r="I172" s="9"/>
      <c r="K172" s="9"/>
      <c r="M172" s="9"/>
      <c r="N172" s="9"/>
      <c r="O172" s="9"/>
    </row>
    <row r="173">
      <c r="E173" s="9"/>
      <c r="H173" s="9"/>
      <c r="I173" s="9"/>
      <c r="K173" s="9"/>
      <c r="M173" s="9"/>
      <c r="N173" s="9"/>
      <c r="O173" s="9"/>
    </row>
    <row r="174">
      <c r="E174" s="9"/>
      <c r="H174" s="9"/>
      <c r="I174" s="9"/>
      <c r="K174" s="9"/>
      <c r="M174" s="9"/>
      <c r="N174" s="9"/>
      <c r="O174" s="9"/>
    </row>
    <row r="175">
      <c r="E175" s="9"/>
      <c r="H175" s="9"/>
      <c r="I175" s="9"/>
      <c r="K175" s="9"/>
      <c r="M175" s="9"/>
      <c r="N175" s="9"/>
      <c r="O175" s="9"/>
    </row>
    <row r="176">
      <c r="E176" s="9"/>
      <c r="H176" s="9"/>
      <c r="I176" s="9"/>
      <c r="K176" s="9"/>
      <c r="M176" s="9"/>
      <c r="N176" s="9"/>
      <c r="O176" s="9"/>
    </row>
    <row r="177">
      <c r="E177" s="9"/>
      <c r="H177" s="9"/>
      <c r="I177" s="9"/>
      <c r="K177" s="9"/>
      <c r="M177" s="9"/>
      <c r="N177" s="9"/>
      <c r="O177" s="9"/>
    </row>
    <row r="178">
      <c r="E178" s="9"/>
      <c r="H178" s="9"/>
      <c r="I178" s="9"/>
      <c r="K178" s="9"/>
      <c r="M178" s="9"/>
      <c r="N178" s="9"/>
      <c r="O178" s="9"/>
    </row>
    <row r="179">
      <c r="E179" s="9"/>
      <c r="H179" s="9"/>
      <c r="I179" s="9"/>
      <c r="K179" s="9"/>
      <c r="M179" s="9"/>
      <c r="N179" s="9"/>
      <c r="O179" s="9"/>
    </row>
    <row r="180">
      <c r="E180" s="9"/>
      <c r="H180" s="9"/>
      <c r="I180" s="9"/>
      <c r="K180" s="9"/>
      <c r="M180" s="9"/>
      <c r="N180" s="9"/>
      <c r="O180" s="9"/>
    </row>
    <row r="181">
      <c r="E181" s="9"/>
      <c r="H181" s="9"/>
      <c r="I181" s="9"/>
      <c r="K181" s="9"/>
      <c r="M181" s="9"/>
      <c r="N181" s="9"/>
      <c r="O181" s="9"/>
    </row>
    <row r="182">
      <c r="E182" s="9"/>
      <c r="H182" s="9"/>
      <c r="I182" s="9"/>
      <c r="K182" s="9"/>
      <c r="M182" s="9"/>
      <c r="N182" s="9"/>
      <c r="O182" s="9"/>
    </row>
    <row r="183">
      <c r="E183" s="9"/>
      <c r="H183" s="9"/>
      <c r="I183" s="9"/>
      <c r="K183" s="9"/>
      <c r="M183" s="9"/>
      <c r="N183" s="9"/>
      <c r="O183" s="9"/>
    </row>
    <row r="184">
      <c r="E184" s="9"/>
      <c r="H184" s="9"/>
      <c r="I184" s="9"/>
      <c r="K184" s="9"/>
      <c r="M184" s="9"/>
      <c r="N184" s="9"/>
      <c r="O184" s="9"/>
    </row>
    <row r="185">
      <c r="E185" s="9"/>
      <c r="H185" s="9"/>
      <c r="I185" s="9"/>
      <c r="K185" s="9"/>
      <c r="M185" s="9"/>
      <c r="N185" s="9"/>
      <c r="O185" s="9"/>
    </row>
    <row r="186">
      <c r="E186" s="9"/>
      <c r="H186" s="9"/>
      <c r="I186" s="9"/>
      <c r="K186" s="9"/>
      <c r="M186" s="9"/>
      <c r="N186" s="9"/>
      <c r="O186" s="9"/>
    </row>
    <row r="187">
      <c r="E187" s="9"/>
      <c r="H187" s="9"/>
      <c r="I187" s="9"/>
      <c r="K187" s="9"/>
      <c r="M187" s="9"/>
      <c r="N187" s="9"/>
      <c r="O187" s="9"/>
    </row>
    <row r="188">
      <c r="E188" s="9"/>
      <c r="H188" s="9"/>
      <c r="I188" s="9"/>
      <c r="K188" s="9"/>
      <c r="M188" s="9"/>
      <c r="N188" s="9"/>
      <c r="O188" s="9"/>
    </row>
    <row r="189">
      <c r="E189" s="9"/>
      <c r="H189" s="9"/>
      <c r="I189" s="9"/>
      <c r="K189" s="9"/>
      <c r="M189" s="9"/>
      <c r="N189" s="9"/>
      <c r="O189" s="9"/>
    </row>
    <row r="190">
      <c r="E190" s="9"/>
      <c r="H190" s="9"/>
      <c r="I190" s="9"/>
      <c r="K190" s="9"/>
      <c r="M190" s="9"/>
      <c r="N190" s="9"/>
      <c r="O190" s="9"/>
    </row>
    <row r="191">
      <c r="E191" s="9"/>
      <c r="H191" s="9"/>
      <c r="I191" s="9"/>
      <c r="K191" s="9"/>
      <c r="M191" s="9"/>
      <c r="N191" s="9"/>
      <c r="O191" s="9"/>
    </row>
    <row r="192">
      <c r="E192" s="9"/>
      <c r="H192" s="9"/>
      <c r="I192" s="9"/>
      <c r="K192" s="9"/>
      <c r="M192" s="9"/>
      <c r="N192" s="9"/>
      <c r="O192" s="9"/>
    </row>
    <row r="193">
      <c r="E193" s="9"/>
      <c r="H193" s="9"/>
      <c r="I193" s="9"/>
      <c r="K193" s="9"/>
      <c r="M193" s="9"/>
      <c r="N193" s="9"/>
      <c r="O193" s="9"/>
    </row>
    <row r="194">
      <c r="E194" s="9"/>
      <c r="H194" s="9"/>
      <c r="I194" s="9"/>
      <c r="K194" s="9"/>
      <c r="M194" s="9"/>
      <c r="N194" s="9"/>
      <c r="O194" s="9"/>
    </row>
    <row r="195">
      <c r="E195" s="9"/>
      <c r="H195" s="9"/>
      <c r="I195" s="9"/>
      <c r="K195" s="9"/>
      <c r="M195" s="9"/>
      <c r="N195" s="9"/>
      <c r="O195" s="9"/>
    </row>
    <row r="196">
      <c r="E196" s="9"/>
      <c r="H196" s="9"/>
      <c r="I196" s="9"/>
      <c r="K196" s="9"/>
      <c r="M196" s="9"/>
      <c r="N196" s="9"/>
      <c r="O196" s="9"/>
    </row>
    <row r="197">
      <c r="E197" s="9"/>
      <c r="H197" s="9"/>
      <c r="I197" s="9"/>
      <c r="K197" s="9"/>
      <c r="M197" s="9"/>
      <c r="N197" s="9"/>
      <c r="O197" s="9"/>
    </row>
    <row r="198">
      <c r="E198" s="9"/>
      <c r="H198" s="9"/>
      <c r="I198" s="9"/>
      <c r="K198" s="9"/>
      <c r="M198" s="9"/>
      <c r="N198" s="9"/>
      <c r="O198" s="9"/>
    </row>
    <row r="199">
      <c r="E199" s="9"/>
      <c r="H199" s="9"/>
      <c r="I199" s="9"/>
      <c r="K199" s="9"/>
      <c r="M199" s="9"/>
      <c r="N199" s="9"/>
      <c r="O199" s="9"/>
    </row>
    <row r="200">
      <c r="E200" s="9"/>
      <c r="H200" s="9"/>
      <c r="I200" s="9"/>
      <c r="K200" s="9"/>
      <c r="M200" s="9"/>
      <c r="N200" s="9"/>
      <c r="O200" s="9"/>
    </row>
    <row r="201">
      <c r="E201" s="9"/>
      <c r="H201" s="9"/>
      <c r="I201" s="9"/>
      <c r="K201" s="9"/>
      <c r="M201" s="9"/>
      <c r="N201" s="9"/>
      <c r="O201" s="9"/>
    </row>
    <row r="202">
      <c r="E202" s="9"/>
      <c r="H202" s="9"/>
      <c r="I202" s="9"/>
      <c r="K202" s="9"/>
      <c r="M202" s="9"/>
      <c r="N202" s="9"/>
      <c r="O202" s="9"/>
    </row>
    <row r="203">
      <c r="E203" s="9"/>
      <c r="H203" s="9"/>
      <c r="I203" s="9"/>
      <c r="K203" s="9"/>
      <c r="M203" s="9"/>
      <c r="N203" s="9"/>
      <c r="O203" s="9"/>
    </row>
    <row r="204">
      <c r="E204" s="9"/>
      <c r="H204" s="9"/>
      <c r="I204" s="9"/>
      <c r="K204" s="9"/>
      <c r="M204" s="9"/>
      <c r="N204" s="9"/>
      <c r="O204" s="9"/>
    </row>
    <row r="205">
      <c r="E205" s="9"/>
      <c r="H205" s="9"/>
      <c r="I205" s="9"/>
      <c r="K205" s="9"/>
      <c r="M205" s="9"/>
      <c r="N205" s="9"/>
      <c r="O205" s="9"/>
    </row>
    <row r="206">
      <c r="E206" s="9"/>
      <c r="H206" s="9"/>
      <c r="I206" s="9"/>
      <c r="K206" s="9"/>
      <c r="M206" s="9"/>
      <c r="N206" s="9"/>
      <c r="O206" s="9"/>
    </row>
    <row r="207">
      <c r="E207" s="9"/>
      <c r="H207" s="9"/>
      <c r="I207" s="9"/>
      <c r="K207" s="9"/>
      <c r="M207" s="9"/>
      <c r="N207" s="9"/>
      <c r="O207" s="9"/>
    </row>
    <row r="208">
      <c r="E208" s="9"/>
      <c r="H208" s="9"/>
      <c r="I208" s="9"/>
      <c r="K208" s="9"/>
      <c r="M208" s="9"/>
      <c r="N208" s="9"/>
      <c r="O208" s="9"/>
    </row>
    <row r="209">
      <c r="E209" s="9"/>
      <c r="H209" s="9"/>
      <c r="I209" s="9"/>
      <c r="K209" s="9"/>
      <c r="M209" s="9"/>
      <c r="N209" s="9"/>
      <c r="O209" s="9"/>
    </row>
    <row r="210">
      <c r="E210" s="9"/>
      <c r="H210" s="9"/>
      <c r="I210" s="9"/>
      <c r="K210" s="9"/>
      <c r="M210" s="9"/>
      <c r="N210" s="9"/>
      <c r="O210" s="9"/>
    </row>
    <row r="211">
      <c r="E211" s="9"/>
      <c r="H211" s="9"/>
      <c r="I211" s="9"/>
      <c r="K211" s="9"/>
      <c r="M211" s="9"/>
      <c r="N211" s="9"/>
      <c r="O211" s="9"/>
    </row>
    <row r="212">
      <c r="E212" s="9"/>
      <c r="H212" s="9"/>
      <c r="I212" s="9"/>
      <c r="K212" s="9"/>
      <c r="M212" s="9"/>
      <c r="N212" s="9"/>
      <c r="O212" s="9"/>
    </row>
    <row r="213">
      <c r="E213" s="9"/>
      <c r="H213" s="9"/>
      <c r="I213" s="9"/>
      <c r="K213" s="9"/>
      <c r="M213" s="9"/>
      <c r="N213" s="9"/>
      <c r="O213" s="9"/>
    </row>
    <row r="214">
      <c r="E214" s="9"/>
      <c r="H214" s="9"/>
      <c r="I214" s="9"/>
      <c r="K214" s="9"/>
      <c r="M214" s="9"/>
      <c r="N214" s="9"/>
      <c r="O214" s="9"/>
    </row>
    <row r="215">
      <c r="E215" s="9"/>
      <c r="H215" s="9"/>
      <c r="I215" s="9"/>
      <c r="K215" s="9"/>
      <c r="M215" s="9"/>
      <c r="N215" s="9"/>
      <c r="O215" s="9"/>
    </row>
    <row r="216">
      <c r="E216" s="9"/>
      <c r="H216" s="9"/>
      <c r="I216" s="9"/>
      <c r="K216" s="9"/>
      <c r="M216" s="9"/>
      <c r="N216" s="9"/>
      <c r="O216" s="9"/>
    </row>
    <row r="217">
      <c r="E217" s="9"/>
      <c r="H217" s="9"/>
      <c r="I217" s="9"/>
      <c r="K217" s="9"/>
      <c r="M217" s="9"/>
      <c r="N217" s="9"/>
      <c r="O217" s="9"/>
    </row>
    <row r="218">
      <c r="E218" s="9"/>
      <c r="H218" s="9"/>
      <c r="I218" s="9"/>
      <c r="K218" s="9"/>
      <c r="M218" s="9"/>
      <c r="N218" s="9"/>
      <c r="O218" s="9"/>
    </row>
    <row r="219">
      <c r="E219" s="9"/>
      <c r="H219" s="9"/>
      <c r="I219" s="9"/>
      <c r="K219" s="9"/>
      <c r="M219" s="9"/>
      <c r="N219" s="9"/>
      <c r="O219" s="9"/>
    </row>
    <row r="220">
      <c r="E220" s="9"/>
      <c r="H220" s="9"/>
      <c r="I220" s="9"/>
      <c r="K220" s="9"/>
      <c r="M220" s="9"/>
      <c r="N220" s="9"/>
      <c r="O220" s="9"/>
    </row>
    <row r="221">
      <c r="E221" s="9"/>
      <c r="H221" s="9"/>
      <c r="I221" s="9"/>
      <c r="K221" s="9"/>
      <c r="M221" s="9"/>
      <c r="N221" s="9"/>
      <c r="O221" s="9"/>
    </row>
    <row r="222">
      <c r="E222" s="9"/>
      <c r="H222" s="9"/>
      <c r="I222" s="9"/>
      <c r="K222" s="9"/>
      <c r="M222" s="9"/>
      <c r="N222" s="9"/>
      <c r="O222" s="9"/>
    </row>
    <row r="223">
      <c r="E223" s="9"/>
      <c r="H223" s="9"/>
      <c r="I223" s="9"/>
      <c r="K223" s="9"/>
      <c r="M223" s="9"/>
      <c r="N223" s="9"/>
      <c r="O223" s="9"/>
    </row>
    <row r="224">
      <c r="E224" s="9"/>
      <c r="H224" s="9"/>
      <c r="I224" s="9"/>
      <c r="K224" s="9"/>
      <c r="M224" s="9"/>
      <c r="N224" s="9"/>
      <c r="O224" s="9"/>
    </row>
    <row r="225">
      <c r="E225" s="9"/>
      <c r="H225" s="9"/>
      <c r="I225" s="9"/>
      <c r="K225" s="9"/>
      <c r="M225" s="9"/>
      <c r="N225" s="9"/>
      <c r="O225" s="9"/>
    </row>
    <row r="226">
      <c r="E226" s="9"/>
      <c r="H226" s="9"/>
      <c r="I226" s="9"/>
      <c r="K226" s="9"/>
      <c r="M226" s="9"/>
      <c r="N226" s="9"/>
      <c r="O226" s="9"/>
    </row>
    <row r="227">
      <c r="E227" s="9"/>
      <c r="H227" s="9"/>
      <c r="I227" s="9"/>
      <c r="K227" s="9"/>
      <c r="M227" s="9"/>
      <c r="N227" s="9"/>
      <c r="O227" s="9"/>
    </row>
    <row r="228">
      <c r="E228" s="9"/>
      <c r="H228" s="9"/>
      <c r="I228" s="9"/>
      <c r="K228" s="9"/>
      <c r="M228" s="9"/>
      <c r="N228" s="9"/>
      <c r="O228" s="9"/>
    </row>
    <row r="229">
      <c r="E229" s="9"/>
      <c r="H229" s="9"/>
      <c r="I229" s="9"/>
      <c r="K229" s="9"/>
      <c r="M229" s="9"/>
      <c r="N229" s="9"/>
      <c r="O229" s="9"/>
    </row>
    <row r="230">
      <c r="E230" s="9"/>
      <c r="H230" s="9"/>
      <c r="I230" s="9"/>
      <c r="K230" s="9"/>
      <c r="M230" s="9"/>
      <c r="N230" s="9"/>
      <c r="O230" s="9"/>
    </row>
    <row r="231">
      <c r="E231" s="9"/>
      <c r="H231" s="9"/>
      <c r="I231" s="9"/>
      <c r="K231" s="9"/>
      <c r="M231" s="9"/>
      <c r="N231" s="9"/>
      <c r="O231" s="9"/>
    </row>
    <row r="232">
      <c r="E232" s="9"/>
      <c r="H232" s="9"/>
      <c r="I232" s="9"/>
      <c r="K232" s="9"/>
      <c r="M232" s="9"/>
      <c r="N232" s="9"/>
      <c r="O232" s="9"/>
    </row>
    <row r="233">
      <c r="E233" s="9"/>
      <c r="H233" s="9"/>
      <c r="I233" s="9"/>
      <c r="K233" s="9"/>
      <c r="M233" s="9"/>
      <c r="N233" s="9"/>
      <c r="O233" s="9"/>
    </row>
    <row r="234">
      <c r="E234" s="9"/>
      <c r="H234" s="9"/>
      <c r="I234" s="9"/>
      <c r="K234" s="9"/>
      <c r="M234" s="9"/>
      <c r="N234" s="9"/>
      <c r="O234" s="9"/>
    </row>
    <row r="235">
      <c r="E235" s="9"/>
      <c r="H235" s="9"/>
      <c r="I235" s="9"/>
      <c r="K235" s="9"/>
      <c r="M235" s="9"/>
      <c r="N235" s="9"/>
      <c r="O235" s="9"/>
    </row>
    <row r="236">
      <c r="E236" s="9"/>
      <c r="H236" s="9"/>
      <c r="I236" s="9"/>
      <c r="K236" s="9"/>
      <c r="M236" s="9"/>
      <c r="N236" s="9"/>
      <c r="O236" s="9"/>
    </row>
    <row r="237">
      <c r="E237" s="9"/>
      <c r="H237" s="9"/>
      <c r="I237" s="9"/>
      <c r="K237" s="9"/>
      <c r="M237" s="9"/>
      <c r="N237" s="9"/>
      <c r="O237" s="9"/>
    </row>
    <row r="238">
      <c r="E238" s="9"/>
      <c r="H238" s="9"/>
      <c r="I238" s="9"/>
      <c r="K238" s="9"/>
      <c r="M238" s="9"/>
      <c r="N238" s="9"/>
      <c r="O238" s="9"/>
    </row>
    <row r="239">
      <c r="E239" s="9"/>
      <c r="H239" s="9"/>
      <c r="I239" s="9"/>
      <c r="K239" s="9"/>
      <c r="M239" s="9"/>
      <c r="N239" s="9"/>
      <c r="O239" s="9"/>
    </row>
    <row r="240">
      <c r="E240" s="9"/>
      <c r="H240" s="9"/>
      <c r="I240" s="9"/>
      <c r="K240" s="9"/>
      <c r="M240" s="9"/>
      <c r="N240" s="9"/>
      <c r="O240" s="9"/>
    </row>
    <row r="241">
      <c r="E241" s="9"/>
      <c r="H241" s="9"/>
      <c r="I241" s="9"/>
      <c r="K241" s="9"/>
      <c r="M241" s="9"/>
      <c r="N241" s="9"/>
      <c r="O241" s="9"/>
    </row>
    <row r="242">
      <c r="E242" s="9"/>
      <c r="H242" s="9"/>
      <c r="I242" s="9"/>
      <c r="K242" s="9"/>
      <c r="M242" s="9"/>
      <c r="N242" s="9"/>
      <c r="O242" s="9"/>
    </row>
    <row r="243">
      <c r="E243" s="9"/>
      <c r="H243" s="9"/>
      <c r="I243" s="9"/>
      <c r="K243" s="9"/>
      <c r="M243" s="9"/>
      <c r="N243" s="9"/>
      <c r="O243" s="9"/>
    </row>
    <row r="244">
      <c r="E244" s="9"/>
      <c r="H244" s="9"/>
      <c r="I244" s="9"/>
      <c r="K244" s="9"/>
      <c r="M244" s="9"/>
      <c r="N244" s="9"/>
      <c r="O244" s="9"/>
    </row>
    <row r="245">
      <c r="E245" s="9"/>
      <c r="H245" s="9"/>
      <c r="I245" s="9"/>
      <c r="K245" s="9"/>
      <c r="M245" s="9"/>
      <c r="N245" s="9"/>
      <c r="O245" s="9"/>
    </row>
    <row r="246">
      <c r="E246" s="9"/>
      <c r="H246" s="9"/>
      <c r="I246" s="9"/>
      <c r="K246" s="9"/>
      <c r="M246" s="9"/>
      <c r="N246" s="9"/>
      <c r="O246" s="9"/>
    </row>
    <row r="247">
      <c r="E247" s="9"/>
      <c r="H247" s="9"/>
      <c r="I247" s="9"/>
      <c r="K247" s="9"/>
      <c r="M247" s="9"/>
      <c r="N247" s="9"/>
      <c r="O247" s="9"/>
    </row>
    <row r="248">
      <c r="E248" s="9"/>
      <c r="H248" s="9"/>
      <c r="I248" s="9"/>
      <c r="K248" s="9"/>
      <c r="M248" s="9"/>
      <c r="N248" s="9"/>
      <c r="O248" s="9"/>
    </row>
    <row r="249">
      <c r="E249" s="9"/>
      <c r="H249" s="9"/>
      <c r="I249" s="9"/>
      <c r="K249" s="9"/>
      <c r="M249" s="9"/>
      <c r="N249" s="9"/>
      <c r="O249" s="9"/>
    </row>
    <row r="250">
      <c r="E250" s="9"/>
      <c r="H250" s="9"/>
      <c r="I250" s="9"/>
      <c r="K250" s="9"/>
      <c r="M250" s="9"/>
      <c r="N250" s="9"/>
      <c r="O250" s="9"/>
    </row>
    <row r="251">
      <c r="E251" s="9"/>
      <c r="H251" s="9"/>
      <c r="I251" s="9"/>
      <c r="K251" s="9"/>
      <c r="M251" s="9"/>
      <c r="N251" s="9"/>
      <c r="O251" s="9"/>
    </row>
    <row r="252">
      <c r="E252" s="9"/>
      <c r="H252" s="9"/>
      <c r="I252" s="9"/>
      <c r="K252" s="9"/>
      <c r="M252" s="9"/>
      <c r="N252" s="9"/>
      <c r="O252" s="9"/>
    </row>
    <row r="253">
      <c r="E253" s="9"/>
      <c r="H253" s="9"/>
      <c r="I253" s="9"/>
      <c r="K253" s="9"/>
      <c r="M253" s="9"/>
      <c r="N253" s="9"/>
      <c r="O253" s="9"/>
    </row>
    <row r="254">
      <c r="E254" s="9"/>
      <c r="H254" s="9"/>
      <c r="I254" s="9"/>
      <c r="K254" s="9"/>
      <c r="M254" s="9"/>
      <c r="N254" s="9"/>
      <c r="O254" s="9"/>
    </row>
    <row r="255">
      <c r="E255" s="9"/>
      <c r="H255" s="9"/>
      <c r="I255" s="9"/>
      <c r="K255" s="9"/>
      <c r="M255" s="9"/>
      <c r="N255" s="9"/>
      <c r="O255" s="9"/>
    </row>
    <row r="256">
      <c r="E256" s="9"/>
      <c r="H256" s="9"/>
      <c r="I256" s="9"/>
      <c r="K256" s="9"/>
      <c r="M256" s="9"/>
      <c r="N256" s="9"/>
      <c r="O256" s="9"/>
    </row>
    <row r="257">
      <c r="E257" s="9"/>
      <c r="H257" s="9"/>
      <c r="I257" s="9"/>
      <c r="K257" s="9"/>
      <c r="M257" s="9"/>
      <c r="N257" s="9"/>
      <c r="O257" s="9"/>
    </row>
    <row r="258">
      <c r="E258" s="9"/>
      <c r="H258" s="9"/>
      <c r="I258" s="9"/>
      <c r="K258" s="9"/>
      <c r="M258" s="9"/>
      <c r="N258" s="9"/>
      <c r="O258" s="9"/>
    </row>
    <row r="259">
      <c r="E259" s="9"/>
      <c r="H259" s="9"/>
      <c r="I259" s="9"/>
      <c r="K259" s="9"/>
      <c r="M259" s="9"/>
      <c r="N259" s="9"/>
      <c r="O259" s="9"/>
    </row>
    <row r="260">
      <c r="E260" s="9"/>
      <c r="H260" s="9"/>
      <c r="I260" s="9"/>
      <c r="K260" s="9"/>
      <c r="M260" s="9"/>
      <c r="N260" s="9"/>
      <c r="O260" s="9"/>
    </row>
    <row r="261">
      <c r="E261" s="9"/>
      <c r="H261" s="9"/>
      <c r="I261" s="9"/>
      <c r="K261" s="9"/>
      <c r="M261" s="9"/>
      <c r="N261" s="9"/>
      <c r="O261" s="9"/>
    </row>
    <row r="262">
      <c r="E262" s="9"/>
      <c r="H262" s="9"/>
      <c r="I262" s="9"/>
      <c r="K262" s="9"/>
      <c r="M262" s="9"/>
      <c r="N262" s="9"/>
      <c r="O262" s="9"/>
    </row>
    <row r="263">
      <c r="E263" s="9"/>
      <c r="H263" s="9"/>
      <c r="I263" s="9"/>
      <c r="K263" s="9"/>
      <c r="M263" s="9"/>
      <c r="N263" s="9"/>
      <c r="O263" s="9"/>
    </row>
    <row r="264">
      <c r="E264" s="9"/>
      <c r="H264" s="9"/>
      <c r="I264" s="9"/>
      <c r="K264" s="9"/>
      <c r="M264" s="9"/>
      <c r="N264" s="9"/>
      <c r="O264" s="9"/>
    </row>
    <row r="265">
      <c r="E265" s="9"/>
      <c r="H265" s="9"/>
      <c r="I265" s="9"/>
      <c r="K265" s="9"/>
      <c r="M265" s="9"/>
      <c r="N265" s="9"/>
      <c r="O265" s="9"/>
    </row>
    <row r="266">
      <c r="E266" s="9"/>
      <c r="H266" s="9"/>
      <c r="I266" s="9"/>
      <c r="K266" s="9"/>
      <c r="M266" s="9"/>
      <c r="N266" s="9"/>
      <c r="O266" s="9"/>
    </row>
    <row r="267">
      <c r="E267" s="9"/>
      <c r="H267" s="9"/>
      <c r="I267" s="9"/>
      <c r="K267" s="9"/>
      <c r="M267" s="9"/>
      <c r="N267" s="9"/>
      <c r="O267" s="9"/>
    </row>
    <row r="268">
      <c r="E268" s="9"/>
      <c r="H268" s="9"/>
      <c r="I268" s="9"/>
      <c r="K268" s="9"/>
      <c r="M268" s="9"/>
      <c r="N268" s="9"/>
      <c r="O268" s="9"/>
    </row>
    <row r="269">
      <c r="E269" s="9"/>
      <c r="H269" s="9"/>
      <c r="I269" s="9"/>
      <c r="K269" s="9"/>
      <c r="M269" s="9"/>
      <c r="N269" s="9"/>
      <c r="O269" s="9"/>
    </row>
    <row r="270">
      <c r="E270" s="9"/>
      <c r="H270" s="9"/>
      <c r="I270" s="9"/>
      <c r="K270" s="9"/>
      <c r="M270" s="9"/>
      <c r="N270" s="9"/>
      <c r="O270" s="9"/>
    </row>
    <row r="271">
      <c r="E271" s="9"/>
      <c r="H271" s="9"/>
      <c r="I271" s="9"/>
      <c r="K271" s="9"/>
      <c r="M271" s="9"/>
      <c r="N271" s="9"/>
      <c r="O271" s="9"/>
    </row>
    <row r="272">
      <c r="E272" s="9"/>
      <c r="H272" s="9"/>
      <c r="I272" s="9"/>
      <c r="K272" s="9"/>
      <c r="M272" s="9"/>
      <c r="N272" s="9"/>
      <c r="O272" s="9"/>
    </row>
    <row r="273">
      <c r="E273" s="9"/>
      <c r="H273" s="9"/>
      <c r="I273" s="9"/>
      <c r="K273" s="9"/>
      <c r="M273" s="9"/>
      <c r="N273" s="9"/>
      <c r="O273" s="9"/>
    </row>
    <row r="274">
      <c r="E274" s="9"/>
      <c r="H274" s="9"/>
      <c r="I274" s="9"/>
      <c r="K274" s="9"/>
      <c r="M274" s="9"/>
      <c r="N274" s="9"/>
      <c r="O274" s="9"/>
    </row>
    <row r="275">
      <c r="E275" s="9"/>
      <c r="H275" s="9"/>
      <c r="I275" s="9"/>
      <c r="K275" s="9"/>
      <c r="M275" s="9"/>
      <c r="N275" s="9"/>
      <c r="O275" s="9"/>
    </row>
    <row r="276">
      <c r="E276" s="9"/>
      <c r="H276" s="9"/>
      <c r="I276" s="9"/>
      <c r="K276" s="9"/>
      <c r="M276" s="9"/>
      <c r="N276" s="9"/>
      <c r="O276" s="9"/>
    </row>
    <row r="277">
      <c r="E277" s="9"/>
      <c r="H277" s="9"/>
      <c r="I277" s="9"/>
      <c r="K277" s="9"/>
      <c r="M277" s="9"/>
      <c r="N277" s="9"/>
      <c r="O277" s="9"/>
    </row>
    <row r="278">
      <c r="E278" s="9"/>
      <c r="H278" s="9"/>
      <c r="I278" s="9"/>
      <c r="K278" s="9"/>
      <c r="M278" s="9"/>
      <c r="N278" s="9"/>
      <c r="O278" s="9"/>
    </row>
    <row r="279">
      <c r="E279" s="9"/>
      <c r="H279" s="9"/>
      <c r="I279" s="9"/>
      <c r="K279" s="9"/>
      <c r="M279" s="9"/>
      <c r="N279" s="9"/>
      <c r="O279" s="9"/>
    </row>
    <row r="280">
      <c r="E280" s="9"/>
      <c r="H280" s="9"/>
      <c r="I280" s="9"/>
      <c r="K280" s="9"/>
      <c r="M280" s="9"/>
      <c r="N280" s="9"/>
      <c r="O280" s="9"/>
    </row>
    <row r="281">
      <c r="E281" s="9"/>
      <c r="H281" s="9"/>
      <c r="I281" s="9"/>
      <c r="K281" s="9"/>
      <c r="M281" s="9"/>
      <c r="N281" s="9"/>
      <c r="O281" s="9"/>
    </row>
    <row r="282">
      <c r="E282" s="9"/>
      <c r="H282" s="9"/>
      <c r="I282" s="9"/>
      <c r="K282" s="9"/>
      <c r="M282" s="9"/>
      <c r="N282" s="9"/>
      <c r="O282" s="9"/>
    </row>
    <row r="283">
      <c r="E283" s="9"/>
      <c r="H283" s="9"/>
      <c r="I283" s="9"/>
      <c r="K283" s="9"/>
      <c r="M283" s="9"/>
      <c r="N283" s="9"/>
      <c r="O283" s="9"/>
    </row>
    <row r="284">
      <c r="E284" s="9"/>
      <c r="H284" s="9"/>
      <c r="I284" s="9"/>
      <c r="K284" s="9"/>
      <c r="M284" s="9"/>
      <c r="N284" s="9"/>
      <c r="O284" s="9"/>
    </row>
    <row r="285">
      <c r="E285" s="9"/>
      <c r="H285" s="9"/>
      <c r="I285" s="9"/>
      <c r="K285" s="9"/>
      <c r="M285" s="9"/>
      <c r="N285" s="9"/>
      <c r="O285" s="9"/>
    </row>
    <row r="286">
      <c r="E286" s="9"/>
      <c r="H286" s="9"/>
      <c r="I286" s="9"/>
      <c r="K286" s="9"/>
      <c r="M286" s="9"/>
      <c r="N286" s="9"/>
      <c r="O286" s="9"/>
    </row>
    <row r="287">
      <c r="E287" s="9"/>
      <c r="H287" s="9"/>
      <c r="I287" s="9"/>
      <c r="K287" s="9"/>
      <c r="M287" s="9"/>
      <c r="N287" s="9"/>
      <c r="O287" s="9"/>
    </row>
    <row r="288">
      <c r="E288" s="9"/>
      <c r="H288" s="9"/>
      <c r="I288" s="9"/>
      <c r="K288" s="9"/>
      <c r="M288" s="9"/>
      <c r="N288" s="9"/>
      <c r="O288" s="9"/>
    </row>
    <row r="289">
      <c r="E289" s="9"/>
      <c r="H289" s="9"/>
      <c r="I289" s="9"/>
      <c r="K289" s="9"/>
      <c r="M289" s="9"/>
      <c r="N289" s="9"/>
      <c r="O289" s="9"/>
    </row>
    <row r="290">
      <c r="E290" s="9"/>
      <c r="H290" s="9"/>
      <c r="I290" s="9"/>
      <c r="K290" s="9"/>
      <c r="M290" s="9"/>
      <c r="N290" s="9"/>
      <c r="O290" s="9"/>
    </row>
    <row r="291">
      <c r="E291" s="9"/>
      <c r="H291" s="9"/>
      <c r="I291" s="9"/>
      <c r="K291" s="9"/>
      <c r="M291" s="9"/>
      <c r="N291" s="9"/>
      <c r="O291" s="9"/>
    </row>
    <row r="292">
      <c r="E292" s="9"/>
      <c r="H292" s="9"/>
      <c r="I292" s="9"/>
      <c r="K292" s="9"/>
      <c r="M292" s="9"/>
      <c r="N292" s="9"/>
      <c r="O292" s="9"/>
    </row>
    <row r="293">
      <c r="E293" s="9"/>
      <c r="H293" s="9"/>
      <c r="I293" s="9"/>
      <c r="K293" s="9"/>
      <c r="M293" s="9"/>
      <c r="N293" s="9"/>
      <c r="O293" s="9"/>
    </row>
    <row r="294">
      <c r="E294" s="9"/>
      <c r="H294" s="9"/>
      <c r="I294" s="9"/>
      <c r="K294" s="9"/>
      <c r="M294" s="9"/>
      <c r="N294" s="9"/>
      <c r="O294" s="9"/>
    </row>
    <row r="295">
      <c r="E295" s="9"/>
      <c r="H295" s="9"/>
      <c r="I295" s="9"/>
      <c r="K295" s="9"/>
      <c r="M295" s="9"/>
      <c r="N295" s="9"/>
      <c r="O295" s="9"/>
    </row>
    <row r="296">
      <c r="E296" s="9"/>
      <c r="H296" s="9"/>
      <c r="I296" s="9"/>
      <c r="K296" s="9"/>
      <c r="M296" s="9"/>
      <c r="N296" s="9"/>
      <c r="O296" s="9"/>
    </row>
    <row r="297">
      <c r="E297" s="9"/>
      <c r="H297" s="9"/>
      <c r="I297" s="9"/>
      <c r="K297" s="9"/>
      <c r="M297" s="9"/>
      <c r="N297" s="9"/>
      <c r="O297" s="9"/>
    </row>
    <row r="298">
      <c r="E298" s="9"/>
      <c r="H298" s="9"/>
      <c r="I298" s="9"/>
      <c r="K298" s="9"/>
      <c r="M298" s="9"/>
      <c r="N298" s="9"/>
      <c r="O298" s="9"/>
    </row>
    <row r="299">
      <c r="E299" s="9"/>
      <c r="H299" s="9"/>
      <c r="I299" s="9"/>
      <c r="K299" s="9"/>
      <c r="M299" s="9"/>
      <c r="N299" s="9"/>
      <c r="O299" s="9"/>
    </row>
    <row r="300">
      <c r="E300" s="9"/>
      <c r="H300" s="9"/>
      <c r="I300" s="9"/>
      <c r="K300" s="9"/>
      <c r="M300" s="9"/>
      <c r="N300" s="9"/>
      <c r="O300" s="9"/>
    </row>
    <row r="301">
      <c r="E301" s="9"/>
      <c r="H301" s="9"/>
      <c r="I301" s="9"/>
      <c r="K301" s="9"/>
      <c r="M301" s="9"/>
      <c r="N301" s="9"/>
      <c r="O301" s="9"/>
    </row>
    <row r="302">
      <c r="E302" s="9"/>
      <c r="H302" s="9"/>
      <c r="I302" s="9"/>
      <c r="K302" s="9"/>
      <c r="M302" s="9"/>
      <c r="N302" s="9"/>
      <c r="O302" s="9"/>
    </row>
    <row r="303">
      <c r="E303" s="9"/>
      <c r="H303" s="9"/>
      <c r="I303" s="9"/>
      <c r="K303" s="9"/>
      <c r="M303" s="9"/>
      <c r="N303" s="9"/>
      <c r="O303" s="9"/>
    </row>
    <row r="304">
      <c r="E304" s="9"/>
      <c r="H304" s="9"/>
      <c r="I304" s="9"/>
      <c r="K304" s="9"/>
      <c r="M304" s="9"/>
      <c r="N304" s="9"/>
      <c r="O304" s="9"/>
    </row>
    <row r="305">
      <c r="E305" s="9"/>
      <c r="H305" s="9"/>
      <c r="I305" s="9"/>
      <c r="K305" s="9"/>
      <c r="M305" s="9"/>
      <c r="N305" s="9"/>
      <c r="O305" s="9"/>
    </row>
    <row r="306">
      <c r="E306" s="9"/>
      <c r="H306" s="9"/>
      <c r="I306" s="9"/>
      <c r="K306" s="9"/>
      <c r="M306" s="9"/>
      <c r="N306" s="9"/>
      <c r="O306" s="9"/>
    </row>
    <row r="307">
      <c r="E307" s="9"/>
      <c r="H307" s="9"/>
      <c r="I307" s="9"/>
      <c r="K307" s="9"/>
      <c r="M307" s="9"/>
      <c r="N307" s="9"/>
      <c r="O307" s="9"/>
    </row>
    <row r="308">
      <c r="E308" s="9"/>
      <c r="H308" s="9"/>
      <c r="I308" s="9"/>
      <c r="K308" s="9"/>
      <c r="M308" s="9"/>
      <c r="N308" s="9"/>
      <c r="O308" s="9"/>
    </row>
    <row r="309">
      <c r="E309" s="9"/>
      <c r="H309" s="9"/>
      <c r="I309" s="9"/>
      <c r="K309" s="9"/>
      <c r="M309" s="9"/>
      <c r="N309" s="9"/>
      <c r="O309" s="9"/>
    </row>
    <row r="310">
      <c r="E310" s="9"/>
      <c r="H310" s="9"/>
      <c r="I310" s="9"/>
      <c r="K310" s="9"/>
      <c r="M310" s="9"/>
      <c r="N310" s="9"/>
      <c r="O310" s="9"/>
    </row>
    <row r="311">
      <c r="E311" s="9"/>
      <c r="H311" s="9"/>
      <c r="I311" s="9"/>
      <c r="K311" s="9"/>
      <c r="M311" s="9"/>
      <c r="N311" s="9"/>
      <c r="O311" s="9"/>
    </row>
    <row r="312">
      <c r="E312" s="9"/>
      <c r="H312" s="9"/>
      <c r="I312" s="9"/>
      <c r="K312" s="9"/>
      <c r="M312" s="9"/>
      <c r="N312" s="9"/>
      <c r="O312" s="9"/>
    </row>
    <row r="313">
      <c r="E313" s="9"/>
      <c r="H313" s="9"/>
      <c r="I313" s="9"/>
      <c r="K313" s="9"/>
      <c r="M313" s="9"/>
      <c r="N313" s="9"/>
      <c r="O313" s="9"/>
    </row>
    <row r="314">
      <c r="E314" s="9"/>
      <c r="H314" s="9"/>
      <c r="I314" s="9"/>
      <c r="K314" s="9"/>
      <c r="M314" s="9"/>
      <c r="N314" s="9"/>
      <c r="O314" s="9"/>
    </row>
    <row r="315">
      <c r="E315" s="9"/>
      <c r="H315" s="9"/>
      <c r="I315" s="9"/>
      <c r="K315" s="9"/>
      <c r="M315" s="9"/>
      <c r="N315" s="9"/>
      <c r="O315" s="9"/>
    </row>
    <row r="316">
      <c r="E316" s="9"/>
      <c r="H316" s="9"/>
      <c r="I316" s="9"/>
      <c r="K316" s="9"/>
      <c r="M316" s="9"/>
      <c r="N316" s="9"/>
      <c r="O316" s="9"/>
    </row>
    <row r="317">
      <c r="E317" s="9"/>
      <c r="H317" s="9"/>
      <c r="I317" s="9"/>
      <c r="K317" s="9"/>
      <c r="M317" s="9"/>
      <c r="N317" s="9"/>
      <c r="O317" s="9"/>
    </row>
    <row r="318">
      <c r="E318" s="9"/>
      <c r="H318" s="9"/>
      <c r="I318" s="9"/>
      <c r="K318" s="9"/>
      <c r="M318" s="9"/>
      <c r="N318" s="9"/>
      <c r="O318" s="9"/>
    </row>
    <row r="319">
      <c r="E319" s="9"/>
      <c r="H319" s="9"/>
      <c r="I319" s="9"/>
      <c r="K319" s="9"/>
      <c r="M319" s="9"/>
      <c r="N319" s="9"/>
      <c r="O319" s="9"/>
    </row>
    <row r="320">
      <c r="E320" s="9"/>
      <c r="H320" s="9"/>
      <c r="I320" s="9"/>
      <c r="K320" s="9"/>
      <c r="M320" s="9"/>
      <c r="N320" s="9"/>
      <c r="O320" s="9"/>
    </row>
    <row r="321">
      <c r="E321" s="9"/>
      <c r="H321" s="9"/>
      <c r="I321" s="9"/>
      <c r="K321" s="9"/>
      <c r="M321" s="9"/>
      <c r="N321" s="9"/>
      <c r="O321" s="9"/>
    </row>
    <row r="322">
      <c r="E322" s="9"/>
      <c r="H322" s="9"/>
      <c r="I322" s="9"/>
      <c r="K322" s="9"/>
      <c r="M322" s="9"/>
      <c r="N322" s="9"/>
      <c r="O322" s="9"/>
    </row>
    <row r="323">
      <c r="E323" s="9"/>
      <c r="H323" s="9"/>
      <c r="I323" s="9"/>
      <c r="K323" s="9"/>
      <c r="M323" s="9"/>
      <c r="N323" s="9"/>
      <c r="O323" s="9"/>
    </row>
    <row r="324">
      <c r="E324" s="9"/>
      <c r="H324" s="9"/>
      <c r="I324" s="9"/>
      <c r="K324" s="9"/>
      <c r="M324" s="9"/>
      <c r="N324" s="9"/>
      <c r="O324" s="9"/>
    </row>
    <row r="325">
      <c r="E325" s="9"/>
      <c r="H325" s="9"/>
      <c r="I325" s="9"/>
      <c r="K325" s="9"/>
      <c r="M325" s="9"/>
      <c r="N325" s="9"/>
      <c r="O325" s="9"/>
    </row>
    <row r="326">
      <c r="E326" s="9"/>
      <c r="H326" s="9"/>
      <c r="I326" s="9"/>
      <c r="K326" s="9"/>
      <c r="M326" s="9"/>
      <c r="N326" s="9"/>
      <c r="O326" s="9"/>
    </row>
    <row r="327">
      <c r="E327" s="9"/>
      <c r="H327" s="9"/>
      <c r="I327" s="9"/>
      <c r="K327" s="9"/>
      <c r="M327" s="9"/>
      <c r="N327" s="9"/>
      <c r="O327" s="9"/>
    </row>
    <row r="328">
      <c r="E328" s="9"/>
      <c r="H328" s="9"/>
      <c r="I328" s="9"/>
      <c r="K328" s="9"/>
      <c r="M328" s="9"/>
      <c r="N328" s="9"/>
      <c r="O328" s="9"/>
    </row>
    <row r="329">
      <c r="E329" s="9"/>
      <c r="H329" s="9"/>
      <c r="I329" s="9"/>
      <c r="K329" s="9"/>
      <c r="M329" s="9"/>
      <c r="N329" s="9"/>
      <c r="O329" s="9"/>
    </row>
    <row r="330">
      <c r="E330" s="9"/>
      <c r="H330" s="9"/>
      <c r="I330" s="9"/>
      <c r="K330" s="9"/>
      <c r="M330" s="9"/>
      <c r="N330" s="9"/>
      <c r="O330" s="9"/>
    </row>
    <row r="331">
      <c r="E331" s="9"/>
      <c r="H331" s="9"/>
      <c r="I331" s="9"/>
      <c r="K331" s="9"/>
      <c r="M331" s="9"/>
      <c r="N331" s="9"/>
      <c r="O331" s="9"/>
    </row>
    <row r="332">
      <c r="E332" s="9"/>
      <c r="H332" s="9"/>
      <c r="I332" s="9"/>
      <c r="K332" s="9"/>
      <c r="M332" s="9"/>
      <c r="N332" s="9"/>
      <c r="O332" s="9"/>
    </row>
    <row r="333">
      <c r="E333" s="9"/>
      <c r="H333" s="9"/>
      <c r="I333" s="9"/>
      <c r="K333" s="9"/>
      <c r="M333" s="9"/>
      <c r="N333" s="9"/>
      <c r="O333" s="9"/>
    </row>
    <row r="334">
      <c r="E334" s="9"/>
      <c r="H334" s="9"/>
      <c r="I334" s="9"/>
      <c r="K334" s="9"/>
      <c r="M334" s="9"/>
      <c r="N334" s="9"/>
      <c r="O334" s="9"/>
    </row>
    <row r="335">
      <c r="E335" s="9"/>
      <c r="H335" s="9"/>
      <c r="I335" s="9"/>
      <c r="K335" s="9"/>
      <c r="M335" s="9"/>
      <c r="N335" s="9"/>
      <c r="O335" s="9"/>
    </row>
    <row r="336">
      <c r="E336" s="9"/>
      <c r="H336" s="9"/>
      <c r="I336" s="9"/>
      <c r="K336" s="9"/>
      <c r="M336" s="9"/>
      <c r="N336" s="9"/>
      <c r="O336" s="9"/>
    </row>
    <row r="337">
      <c r="E337" s="9"/>
      <c r="H337" s="9"/>
      <c r="I337" s="9"/>
      <c r="K337" s="9"/>
      <c r="M337" s="9"/>
      <c r="N337" s="9"/>
      <c r="O337" s="9"/>
    </row>
    <row r="338">
      <c r="E338" s="9"/>
      <c r="H338" s="9"/>
      <c r="I338" s="9"/>
      <c r="K338" s="9"/>
      <c r="M338" s="9"/>
      <c r="N338" s="9"/>
      <c r="O338" s="9"/>
    </row>
    <row r="339">
      <c r="E339" s="9"/>
      <c r="H339" s="9"/>
      <c r="I339" s="9"/>
      <c r="K339" s="9"/>
      <c r="M339" s="9"/>
      <c r="N339" s="9"/>
      <c r="O339" s="9"/>
    </row>
    <row r="340">
      <c r="E340" s="9"/>
      <c r="H340" s="9"/>
      <c r="I340" s="9"/>
      <c r="K340" s="9"/>
      <c r="M340" s="9"/>
      <c r="N340" s="9"/>
      <c r="O340" s="9"/>
    </row>
    <row r="341">
      <c r="E341" s="9"/>
      <c r="H341" s="9"/>
      <c r="I341" s="9"/>
      <c r="K341" s="9"/>
      <c r="M341" s="9"/>
      <c r="N341" s="9"/>
      <c r="O341" s="9"/>
    </row>
    <row r="342">
      <c r="E342" s="9"/>
      <c r="H342" s="9"/>
      <c r="I342" s="9"/>
      <c r="K342" s="9"/>
      <c r="M342" s="9"/>
      <c r="N342" s="9"/>
      <c r="O342" s="9"/>
    </row>
    <row r="343">
      <c r="E343" s="9"/>
      <c r="H343" s="9"/>
      <c r="I343" s="9"/>
      <c r="K343" s="9"/>
      <c r="M343" s="9"/>
      <c r="N343" s="9"/>
      <c r="O343" s="9"/>
    </row>
    <row r="344">
      <c r="E344" s="9"/>
      <c r="H344" s="9"/>
      <c r="I344" s="9"/>
      <c r="K344" s="9"/>
      <c r="M344" s="9"/>
      <c r="N344" s="9"/>
      <c r="O344" s="9"/>
    </row>
    <row r="345">
      <c r="E345" s="9"/>
      <c r="H345" s="9"/>
      <c r="I345" s="9"/>
      <c r="K345" s="9"/>
      <c r="M345" s="9"/>
      <c r="N345" s="9"/>
      <c r="O345" s="9"/>
    </row>
    <row r="346">
      <c r="E346" s="9"/>
      <c r="H346" s="9"/>
      <c r="I346" s="9"/>
      <c r="K346" s="9"/>
      <c r="M346" s="9"/>
      <c r="N346" s="9"/>
      <c r="O346" s="9"/>
    </row>
    <row r="347">
      <c r="E347" s="9"/>
      <c r="H347" s="9"/>
      <c r="I347" s="9"/>
      <c r="K347" s="9"/>
      <c r="M347" s="9"/>
      <c r="N347" s="9"/>
      <c r="O347" s="9"/>
    </row>
    <row r="348">
      <c r="E348" s="9"/>
      <c r="H348" s="9"/>
      <c r="I348" s="9"/>
      <c r="K348" s="9"/>
      <c r="M348" s="9"/>
      <c r="N348" s="9"/>
      <c r="O348" s="9"/>
    </row>
    <row r="349">
      <c r="E349" s="9"/>
      <c r="H349" s="9"/>
      <c r="I349" s="9"/>
      <c r="K349" s="9"/>
      <c r="M349" s="9"/>
      <c r="N349" s="9"/>
      <c r="O349" s="9"/>
    </row>
    <row r="350">
      <c r="E350" s="9"/>
      <c r="H350" s="9"/>
      <c r="I350" s="9"/>
      <c r="K350" s="9"/>
      <c r="M350" s="9"/>
      <c r="N350" s="9"/>
      <c r="O350" s="9"/>
    </row>
    <row r="351">
      <c r="E351" s="9"/>
      <c r="H351" s="9"/>
      <c r="I351" s="9"/>
      <c r="K351" s="9"/>
      <c r="M351" s="9"/>
      <c r="N351" s="9"/>
      <c r="O351" s="9"/>
    </row>
    <row r="352">
      <c r="E352" s="9"/>
      <c r="H352" s="9"/>
      <c r="I352" s="9"/>
      <c r="K352" s="9"/>
      <c r="M352" s="9"/>
      <c r="N352" s="9"/>
      <c r="O352" s="9"/>
    </row>
    <row r="353">
      <c r="E353" s="9"/>
      <c r="H353" s="9"/>
      <c r="I353" s="9"/>
      <c r="K353" s="9"/>
      <c r="M353" s="9"/>
      <c r="N353" s="9"/>
      <c r="O353" s="9"/>
    </row>
    <row r="354">
      <c r="E354" s="9"/>
      <c r="H354" s="9"/>
      <c r="I354" s="9"/>
      <c r="K354" s="9"/>
      <c r="M354" s="9"/>
      <c r="N354" s="9"/>
      <c r="O354" s="9"/>
    </row>
    <row r="355">
      <c r="E355" s="9"/>
      <c r="H355" s="9"/>
      <c r="I355" s="9"/>
      <c r="K355" s="9"/>
      <c r="M355" s="9"/>
      <c r="N355" s="9"/>
      <c r="O355" s="9"/>
    </row>
    <row r="356">
      <c r="E356" s="9"/>
      <c r="H356" s="9"/>
      <c r="I356" s="9"/>
      <c r="K356" s="9"/>
      <c r="M356" s="9"/>
      <c r="N356" s="9"/>
      <c r="O356" s="9"/>
    </row>
    <row r="357">
      <c r="E357" s="9"/>
      <c r="H357" s="9"/>
      <c r="I357" s="9"/>
      <c r="K357" s="9"/>
      <c r="M357" s="9"/>
      <c r="N357" s="9"/>
      <c r="O357" s="9"/>
    </row>
    <row r="358">
      <c r="E358" s="9"/>
      <c r="H358" s="9"/>
      <c r="I358" s="9"/>
      <c r="K358" s="9"/>
      <c r="M358" s="9"/>
      <c r="N358" s="9"/>
      <c r="O358" s="9"/>
    </row>
    <row r="359">
      <c r="E359" s="9"/>
      <c r="H359" s="9"/>
      <c r="I359" s="9"/>
      <c r="K359" s="9"/>
      <c r="M359" s="9"/>
      <c r="N359" s="9"/>
      <c r="O359" s="9"/>
    </row>
    <row r="360">
      <c r="E360" s="9"/>
      <c r="H360" s="9"/>
      <c r="I360" s="9"/>
      <c r="K360" s="9"/>
      <c r="M360" s="9"/>
      <c r="N360" s="9"/>
      <c r="O360" s="9"/>
    </row>
    <row r="361">
      <c r="E361" s="9"/>
      <c r="H361" s="9"/>
      <c r="I361" s="9"/>
      <c r="K361" s="9"/>
      <c r="M361" s="9"/>
      <c r="N361" s="9"/>
      <c r="O361" s="9"/>
    </row>
    <row r="362">
      <c r="E362" s="9"/>
      <c r="H362" s="9"/>
      <c r="I362" s="9"/>
      <c r="K362" s="9"/>
      <c r="M362" s="9"/>
      <c r="N362" s="9"/>
      <c r="O362" s="9"/>
    </row>
    <row r="363">
      <c r="E363" s="9"/>
      <c r="H363" s="9"/>
      <c r="I363" s="9"/>
      <c r="K363" s="9"/>
      <c r="M363" s="9"/>
      <c r="N363" s="9"/>
      <c r="O363" s="9"/>
    </row>
    <row r="364">
      <c r="E364" s="9"/>
      <c r="H364" s="9"/>
      <c r="I364" s="9"/>
      <c r="K364" s="9"/>
      <c r="M364" s="9"/>
      <c r="N364" s="9"/>
      <c r="O364" s="9"/>
    </row>
    <row r="365">
      <c r="E365" s="9"/>
      <c r="H365" s="9"/>
      <c r="I365" s="9"/>
      <c r="K365" s="9"/>
      <c r="M365" s="9"/>
      <c r="N365" s="9"/>
      <c r="O365" s="9"/>
    </row>
    <row r="366">
      <c r="E366" s="9"/>
      <c r="H366" s="9"/>
      <c r="I366" s="9"/>
      <c r="K366" s="9"/>
      <c r="M366" s="9"/>
      <c r="N366" s="9"/>
      <c r="O366" s="9"/>
    </row>
    <row r="367">
      <c r="E367" s="9"/>
      <c r="H367" s="9"/>
      <c r="I367" s="9"/>
      <c r="K367" s="9"/>
      <c r="M367" s="9"/>
      <c r="N367" s="9"/>
      <c r="O367" s="9"/>
    </row>
    <row r="368">
      <c r="E368" s="9"/>
      <c r="H368" s="9"/>
      <c r="I368" s="9"/>
      <c r="K368" s="9"/>
      <c r="M368" s="9"/>
      <c r="N368" s="9"/>
      <c r="O368" s="9"/>
    </row>
    <row r="369">
      <c r="E369" s="9"/>
      <c r="H369" s="9"/>
      <c r="I369" s="9"/>
      <c r="K369" s="9"/>
      <c r="M369" s="9"/>
      <c r="N369" s="9"/>
      <c r="O369" s="9"/>
    </row>
    <row r="370">
      <c r="E370" s="9"/>
      <c r="H370" s="9"/>
      <c r="I370" s="9"/>
      <c r="K370" s="9"/>
      <c r="M370" s="9"/>
      <c r="N370" s="9"/>
      <c r="O370" s="9"/>
    </row>
    <row r="371">
      <c r="E371" s="9"/>
      <c r="H371" s="9"/>
      <c r="I371" s="9"/>
      <c r="K371" s="9"/>
      <c r="M371" s="9"/>
      <c r="N371" s="9"/>
      <c r="O371" s="9"/>
    </row>
    <row r="372">
      <c r="E372" s="9"/>
      <c r="H372" s="9"/>
      <c r="I372" s="9"/>
      <c r="K372" s="9"/>
      <c r="M372" s="9"/>
      <c r="N372" s="9"/>
      <c r="O372" s="9"/>
    </row>
    <row r="373">
      <c r="E373" s="9"/>
      <c r="H373" s="9"/>
      <c r="I373" s="9"/>
      <c r="K373" s="9"/>
      <c r="M373" s="9"/>
      <c r="N373" s="9"/>
      <c r="O373" s="9"/>
    </row>
    <row r="374">
      <c r="E374" s="9"/>
      <c r="H374" s="9"/>
      <c r="I374" s="9"/>
      <c r="K374" s="9"/>
      <c r="M374" s="9"/>
      <c r="N374" s="9"/>
      <c r="O374" s="9"/>
    </row>
    <row r="375">
      <c r="E375" s="9"/>
      <c r="H375" s="9"/>
      <c r="I375" s="9"/>
      <c r="K375" s="9"/>
      <c r="M375" s="9"/>
      <c r="N375" s="9"/>
      <c r="O375" s="9"/>
    </row>
    <row r="376">
      <c r="E376" s="9"/>
      <c r="H376" s="9"/>
      <c r="I376" s="9"/>
      <c r="K376" s="9"/>
      <c r="M376" s="9"/>
      <c r="N376" s="9"/>
      <c r="O376" s="9"/>
    </row>
    <row r="377">
      <c r="E377" s="9"/>
      <c r="H377" s="9"/>
      <c r="I377" s="9"/>
      <c r="K377" s="9"/>
      <c r="M377" s="9"/>
      <c r="N377" s="9"/>
      <c r="O377" s="9"/>
    </row>
    <row r="378">
      <c r="E378" s="9"/>
      <c r="H378" s="9"/>
      <c r="I378" s="9"/>
      <c r="K378" s="9"/>
      <c r="M378" s="9"/>
      <c r="N378" s="9"/>
      <c r="O378" s="9"/>
    </row>
    <row r="379">
      <c r="E379" s="9"/>
      <c r="H379" s="9"/>
      <c r="I379" s="9"/>
      <c r="K379" s="9"/>
      <c r="M379" s="9"/>
      <c r="N379" s="9"/>
      <c r="O379" s="9"/>
    </row>
    <row r="380">
      <c r="E380" s="9"/>
      <c r="H380" s="9"/>
      <c r="I380" s="9"/>
      <c r="K380" s="9"/>
      <c r="M380" s="9"/>
      <c r="N380" s="9"/>
      <c r="O380" s="9"/>
    </row>
    <row r="381">
      <c r="E381" s="9"/>
      <c r="H381" s="9"/>
      <c r="I381" s="9"/>
      <c r="K381" s="9"/>
      <c r="M381" s="9"/>
      <c r="N381" s="9"/>
      <c r="O381" s="9"/>
    </row>
    <row r="382">
      <c r="E382" s="9"/>
      <c r="H382" s="9"/>
      <c r="I382" s="9"/>
      <c r="K382" s="9"/>
      <c r="M382" s="9"/>
      <c r="N382" s="9"/>
      <c r="O382" s="9"/>
    </row>
    <row r="383">
      <c r="E383" s="9"/>
      <c r="H383" s="9"/>
      <c r="I383" s="9"/>
      <c r="K383" s="9"/>
      <c r="M383" s="9"/>
      <c r="N383" s="9"/>
      <c r="O383" s="9"/>
    </row>
    <row r="384">
      <c r="E384" s="9"/>
      <c r="H384" s="9"/>
      <c r="I384" s="9"/>
      <c r="K384" s="9"/>
      <c r="M384" s="9"/>
      <c r="N384" s="9"/>
      <c r="O384" s="9"/>
    </row>
    <row r="385">
      <c r="E385" s="9"/>
      <c r="H385" s="9"/>
      <c r="I385" s="9"/>
      <c r="K385" s="9"/>
      <c r="M385" s="9"/>
      <c r="N385" s="9"/>
      <c r="O385" s="9"/>
    </row>
    <row r="386">
      <c r="E386" s="9"/>
      <c r="H386" s="9"/>
      <c r="I386" s="9"/>
      <c r="K386" s="9"/>
      <c r="M386" s="9"/>
      <c r="N386" s="9"/>
      <c r="O386" s="9"/>
    </row>
    <row r="387">
      <c r="E387" s="9"/>
      <c r="H387" s="9"/>
      <c r="I387" s="9"/>
      <c r="K387" s="9"/>
      <c r="M387" s="9"/>
      <c r="N387" s="9"/>
      <c r="O387" s="9"/>
    </row>
    <row r="388">
      <c r="E388" s="9"/>
      <c r="H388" s="9"/>
      <c r="I388" s="9"/>
      <c r="K388" s="9"/>
      <c r="M388" s="9"/>
      <c r="N388" s="9"/>
      <c r="O388" s="9"/>
    </row>
    <row r="389">
      <c r="E389" s="9"/>
      <c r="H389" s="9"/>
      <c r="I389" s="9"/>
      <c r="K389" s="9"/>
      <c r="M389" s="9"/>
      <c r="N389" s="9"/>
      <c r="O389" s="9"/>
    </row>
    <row r="390">
      <c r="E390" s="9"/>
      <c r="H390" s="9"/>
      <c r="I390" s="9"/>
      <c r="K390" s="9"/>
      <c r="M390" s="9"/>
      <c r="N390" s="9"/>
      <c r="O390" s="9"/>
    </row>
    <row r="391">
      <c r="E391" s="9"/>
      <c r="H391" s="9"/>
      <c r="I391" s="9"/>
      <c r="K391" s="9"/>
      <c r="M391" s="9"/>
      <c r="N391" s="9"/>
      <c r="O391" s="9"/>
    </row>
    <row r="392">
      <c r="E392" s="9"/>
      <c r="H392" s="9"/>
      <c r="I392" s="9"/>
      <c r="K392" s="9"/>
      <c r="M392" s="9"/>
      <c r="N392" s="9"/>
      <c r="O392" s="9"/>
    </row>
    <row r="393">
      <c r="E393" s="9"/>
      <c r="H393" s="9"/>
      <c r="I393" s="9"/>
      <c r="K393" s="9"/>
      <c r="M393" s="9"/>
      <c r="N393" s="9"/>
      <c r="O393" s="9"/>
    </row>
    <row r="394">
      <c r="E394" s="9"/>
      <c r="H394" s="9"/>
      <c r="I394" s="9"/>
      <c r="K394" s="9"/>
      <c r="M394" s="9"/>
      <c r="N394" s="9"/>
      <c r="O394" s="9"/>
    </row>
    <row r="395">
      <c r="E395" s="9"/>
      <c r="H395" s="9"/>
      <c r="I395" s="9"/>
      <c r="K395" s="9"/>
      <c r="M395" s="9"/>
      <c r="N395" s="9"/>
      <c r="O395" s="9"/>
    </row>
    <row r="396">
      <c r="E396" s="9"/>
      <c r="H396" s="9"/>
      <c r="I396" s="9"/>
      <c r="K396" s="9"/>
      <c r="M396" s="9"/>
      <c r="N396" s="9"/>
      <c r="O396" s="9"/>
    </row>
    <row r="397">
      <c r="E397" s="9"/>
      <c r="H397" s="9"/>
      <c r="I397" s="9"/>
      <c r="K397" s="9"/>
      <c r="M397" s="9"/>
      <c r="N397" s="9"/>
      <c r="O397" s="9"/>
    </row>
    <row r="398">
      <c r="E398" s="9"/>
      <c r="H398" s="9"/>
      <c r="I398" s="9"/>
      <c r="K398" s="9"/>
      <c r="M398" s="9"/>
      <c r="N398" s="9"/>
      <c r="O398" s="9"/>
    </row>
    <row r="399">
      <c r="E399" s="9"/>
      <c r="H399" s="9"/>
      <c r="I399" s="9"/>
      <c r="K399" s="9"/>
      <c r="M399" s="9"/>
      <c r="N399" s="9"/>
      <c r="O399" s="9"/>
    </row>
    <row r="400">
      <c r="E400" s="9"/>
      <c r="H400" s="9"/>
      <c r="I400" s="9"/>
      <c r="K400" s="9"/>
      <c r="M400" s="9"/>
      <c r="N400" s="9"/>
      <c r="O400" s="9"/>
    </row>
    <row r="401">
      <c r="E401" s="9"/>
      <c r="H401" s="9"/>
      <c r="I401" s="9"/>
      <c r="K401" s="9"/>
      <c r="M401" s="9"/>
      <c r="N401" s="9"/>
      <c r="O401" s="9"/>
    </row>
    <row r="402">
      <c r="E402" s="9"/>
      <c r="H402" s="9"/>
      <c r="I402" s="9"/>
      <c r="K402" s="9"/>
      <c r="M402" s="9"/>
      <c r="N402" s="9"/>
      <c r="O402" s="9"/>
    </row>
    <row r="403">
      <c r="E403" s="9"/>
      <c r="H403" s="9"/>
      <c r="I403" s="9"/>
      <c r="K403" s="9"/>
      <c r="M403" s="9"/>
      <c r="N403" s="9"/>
      <c r="O403" s="9"/>
    </row>
    <row r="404">
      <c r="E404" s="9"/>
      <c r="H404" s="9"/>
      <c r="I404" s="9"/>
      <c r="K404" s="9"/>
      <c r="M404" s="9"/>
      <c r="N404" s="9"/>
      <c r="O404" s="9"/>
    </row>
    <row r="405">
      <c r="E405" s="9"/>
      <c r="H405" s="9"/>
      <c r="I405" s="9"/>
      <c r="K405" s="9"/>
      <c r="M405" s="9"/>
      <c r="N405" s="9"/>
      <c r="O405" s="9"/>
    </row>
    <row r="406">
      <c r="E406" s="9"/>
      <c r="H406" s="9"/>
      <c r="I406" s="9"/>
      <c r="K406" s="9"/>
      <c r="M406" s="9"/>
      <c r="N406" s="9"/>
      <c r="O406" s="9"/>
    </row>
    <row r="407">
      <c r="E407" s="9"/>
      <c r="H407" s="9"/>
      <c r="I407" s="9"/>
      <c r="K407" s="9"/>
      <c r="M407" s="9"/>
      <c r="N407" s="9"/>
      <c r="O407" s="9"/>
    </row>
    <row r="408">
      <c r="E408" s="9"/>
      <c r="H408" s="9"/>
      <c r="I408" s="9"/>
      <c r="K408" s="9"/>
      <c r="M408" s="9"/>
      <c r="N408" s="9"/>
      <c r="O408" s="9"/>
    </row>
    <row r="409">
      <c r="E409" s="9"/>
      <c r="H409" s="9"/>
      <c r="I409" s="9"/>
      <c r="K409" s="9"/>
      <c r="M409" s="9"/>
      <c r="N409" s="9"/>
      <c r="O409" s="9"/>
    </row>
    <row r="410">
      <c r="E410" s="9"/>
      <c r="H410" s="9"/>
      <c r="I410" s="9"/>
      <c r="K410" s="9"/>
      <c r="M410" s="9"/>
      <c r="N410" s="9"/>
      <c r="O410" s="9"/>
    </row>
    <row r="411">
      <c r="E411" s="9"/>
      <c r="H411" s="9"/>
      <c r="I411" s="9"/>
      <c r="K411" s="9"/>
      <c r="M411" s="9"/>
      <c r="N411" s="9"/>
      <c r="O411" s="9"/>
    </row>
    <row r="412">
      <c r="E412" s="9"/>
      <c r="H412" s="9"/>
      <c r="I412" s="9"/>
      <c r="K412" s="9"/>
      <c r="M412" s="9"/>
      <c r="N412" s="9"/>
      <c r="O412" s="9"/>
    </row>
    <row r="413">
      <c r="E413" s="9"/>
      <c r="H413" s="9"/>
      <c r="I413" s="9"/>
      <c r="K413" s="9"/>
      <c r="M413" s="9"/>
      <c r="N413" s="9"/>
      <c r="O413" s="9"/>
    </row>
    <row r="414">
      <c r="E414" s="9"/>
      <c r="H414" s="9"/>
      <c r="I414" s="9"/>
      <c r="K414" s="9"/>
      <c r="M414" s="9"/>
      <c r="N414" s="9"/>
      <c r="O414" s="9"/>
    </row>
    <row r="415">
      <c r="E415" s="9"/>
      <c r="H415" s="9"/>
      <c r="I415" s="9"/>
      <c r="K415" s="9"/>
      <c r="M415" s="9"/>
      <c r="N415" s="9"/>
      <c r="O415" s="9"/>
    </row>
    <row r="416">
      <c r="E416" s="9"/>
      <c r="H416" s="9"/>
      <c r="I416" s="9"/>
      <c r="K416" s="9"/>
      <c r="M416" s="9"/>
      <c r="N416" s="9"/>
      <c r="O416" s="9"/>
    </row>
    <row r="417">
      <c r="E417" s="9"/>
      <c r="H417" s="9"/>
      <c r="I417" s="9"/>
      <c r="K417" s="9"/>
      <c r="M417" s="9"/>
      <c r="N417" s="9"/>
      <c r="O417" s="9"/>
    </row>
    <row r="418">
      <c r="E418" s="9"/>
      <c r="H418" s="9"/>
      <c r="I418" s="9"/>
      <c r="K418" s="9"/>
      <c r="M418" s="9"/>
      <c r="N418" s="9"/>
      <c r="O418" s="9"/>
    </row>
    <row r="419">
      <c r="E419" s="9"/>
      <c r="H419" s="9"/>
      <c r="I419" s="9"/>
      <c r="K419" s="9"/>
      <c r="M419" s="9"/>
      <c r="N419" s="9"/>
      <c r="O419" s="9"/>
    </row>
    <row r="420">
      <c r="E420" s="9"/>
      <c r="H420" s="9"/>
      <c r="I420" s="9"/>
      <c r="K420" s="9"/>
      <c r="M420" s="9"/>
      <c r="N420" s="9"/>
      <c r="O420" s="9"/>
    </row>
    <row r="421">
      <c r="E421" s="9"/>
      <c r="H421" s="9"/>
      <c r="I421" s="9"/>
      <c r="K421" s="9"/>
      <c r="M421" s="9"/>
      <c r="N421" s="9"/>
      <c r="O421" s="9"/>
    </row>
    <row r="422">
      <c r="E422" s="9"/>
      <c r="H422" s="9"/>
      <c r="I422" s="9"/>
      <c r="K422" s="9"/>
      <c r="M422" s="9"/>
      <c r="N422" s="9"/>
      <c r="O422" s="9"/>
    </row>
    <row r="423">
      <c r="E423" s="9"/>
      <c r="H423" s="9"/>
      <c r="I423" s="9"/>
      <c r="K423" s="9"/>
      <c r="M423" s="9"/>
      <c r="N423" s="9"/>
      <c r="O423" s="9"/>
    </row>
    <row r="424">
      <c r="E424" s="9"/>
      <c r="H424" s="9"/>
      <c r="I424" s="9"/>
      <c r="K424" s="9"/>
      <c r="M424" s="9"/>
      <c r="N424" s="9"/>
      <c r="O424" s="9"/>
    </row>
    <row r="425">
      <c r="E425" s="9"/>
      <c r="H425" s="9"/>
      <c r="I425" s="9"/>
      <c r="K425" s="9"/>
      <c r="M425" s="9"/>
      <c r="N425" s="9"/>
      <c r="O425" s="9"/>
    </row>
    <row r="426">
      <c r="E426" s="9"/>
      <c r="H426" s="9"/>
      <c r="I426" s="9"/>
      <c r="K426" s="9"/>
      <c r="M426" s="9"/>
      <c r="N426" s="9"/>
      <c r="O426" s="9"/>
    </row>
    <row r="427">
      <c r="E427" s="9"/>
      <c r="H427" s="9"/>
      <c r="I427" s="9"/>
      <c r="K427" s="9"/>
      <c r="M427" s="9"/>
      <c r="N427" s="9"/>
      <c r="O427" s="9"/>
    </row>
    <row r="428">
      <c r="E428" s="9"/>
      <c r="H428" s="9"/>
      <c r="I428" s="9"/>
      <c r="K428" s="9"/>
      <c r="M428" s="9"/>
      <c r="N428" s="9"/>
      <c r="O428" s="9"/>
    </row>
    <row r="429">
      <c r="E429" s="9"/>
      <c r="H429" s="9"/>
      <c r="I429" s="9"/>
      <c r="K429" s="9"/>
      <c r="M429" s="9"/>
      <c r="N429" s="9"/>
      <c r="O429" s="9"/>
    </row>
    <row r="430">
      <c r="E430" s="9"/>
      <c r="H430" s="9"/>
      <c r="I430" s="9"/>
      <c r="K430" s="9"/>
      <c r="M430" s="9"/>
      <c r="N430" s="9"/>
      <c r="O430" s="9"/>
    </row>
    <row r="431">
      <c r="E431" s="9"/>
      <c r="H431" s="9"/>
      <c r="I431" s="9"/>
      <c r="K431" s="9"/>
      <c r="M431" s="9"/>
      <c r="N431" s="9"/>
      <c r="O431" s="9"/>
    </row>
    <row r="432">
      <c r="E432" s="9"/>
      <c r="H432" s="9"/>
      <c r="I432" s="9"/>
      <c r="K432" s="9"/>
      <c r="M432" s="9"/>
      <c r="N432" s="9"/>
      <c r="O432" s="9"/>
    </row>
    <row r="433">
      <c r="E433" s="9"/>
      <c r="H433" s="9"/>
      <c r="I433" s="9"/>
      <c r="K433" s="9"/>
      <c r="M433" s="9"/>
      <c r="N433" s="9"/>
      <c r="O433" s="9"/>
    </row>
    <row r="434">
      <c r="E434" s="9"/>
      <c r="H434" s="9"/>
      <c r="I434" s="9"/>
      <c r="K434" s="9"/>
      <c r="M434" s="9"/>
      <c r="N434" s="9"/>
      <c r="O434" s="9"/>
    </row>
    <row r="435">
      <c r="E435" s="9"/>
      <c r="H435" s="9"/>
      <c r="I435" s="9"/>
      <c r="K435" s="9"/>
      <c r="M435" s="9"/>
      <c r="N435" s="9"/>
      <c r="O435" s="9"/>
    </row>
    <row r="436">
      <c r="E436" s="9"/>
      <c r="H436" s="9"/>
      <c r="I436" s="9"/>
      <c r="K436" s="9"/>
      <c r="M436" s="9"/>
      <c r="N436" s="9"/>
      <c r="O436" s="9"/>
    </row>
    <row r="437">
      <c r="E437" s="9"/>
      <c r="H437" s="9"/>
      <c r="I437" s="9"/>
      <c r="K437" s="9"/>
      <c r="M437" s="9"/>
      <c r="N437" s="9"/>
      <c r="O437" s="9"/>
    </row>
    <row r="438">
      <c r="E438" s="9"/>
      <c r="H438" s="9"/>
      <c r="I438" s="9"/>
      <c r="K438" s="9"/>
      <c r="M438" s="9"/>
      <c r="N438" s="9"/>
      <c r="O438" s="9"/>
    </row>
    <row r="439">
      <c r="E439" s="9"/>
      <c r="H439" s="9"/>
      <c r="I439" s="9"/>
      <c r="K439" s="9"/>
      <c r="M439" s="9"/>
      <c r="N439" s="9"/>
      <c r="O439" s="9"/>
    </row>
    <row r="440">
      <c r="E440" s="9"/>
      <c r="H440" s="9"/>
      <c r="I440" s="9"/>
      <c r="K440" s="9"/>
      <c r="M440" s="9"/>
      <c r="N440" s="9"/>
      <c r="O440" s="9"/>
    </row>
    <row r="441">
      <c r="E441" s="9"/>
      <c r="H441" s="9"/>
      <c r="I441" s="9"/>
      <c r="K441" s="9"/>
      <c r="M441" s="9"/>
      <c r="N441" s="9"/>
      <c r="O441" s="9"/>
    </row>
    <row r="442">
      <c r="E442" s="9"/>
      <c r="H442" s="9"/>
      <c r="I442" s="9"/>
      <c r="K442" s="9"/>
      <c r="M442" s="9"/>
      <c r="N442" s="9"/>
      <c r="O442" s="9"/>
    </row>
    <row r="443">
      <c r="E443" s="9"/>
      <c r="H443" s="9"/>
      <c r="I443" s="9"/>
      <c r="K443" s="9"/>
      <c r="M443" s="9"/>
      <c r="N443" s="9"/>
      <c r="O443" s="9"/>
    </row>
    <row r="444">
      <c r="E444" s="9"/>
      <c r="H444" s="9"/>
      <c r="I444" s="9"/>
      <c r="K444" s="9"/>
      <c r="M444" s="9"/>
      <c r="N444" s="9"/>
      <c r="O444" s="9"/>
    </row>
    <row r="445">
      <c r="E445" s="9"/>
      <c r="H445" s="9"/>
      <c r="I445" s="9"/>
      <c r="K445" s="9"/>
      <c r="M445" s="9"/>
      <c r="N445" s="9"/>
      <c r="O445" s="9"/>
    </row>
    <row r="446">
      <c r="E446" s="9"/>
      <c r="H446" s="9"/>
      <c r="I446" s="9"/>
      <c r="K446" s="9"/>
      <c r="M446" s="9"/>
      <c r="N446" s="9"/>
      <c r="O446" s="9"/>
    </row>
    <row r="447">
      <c r="E447" s="9"/>
      <c r="H447" s="9"/>
      <c r="I447" s="9"/>
      <c r="K447" s="9"/>
      <c r="M447" s="9"/>
      <c r="N447" s="9"/>
      <c r="O447" s="9"/>
    </row>
    <row r="448">
      <c r="E448" s="9"/>
      <c r="H448" s="9"/>
      <c r="I448" s="9"/>
      <c r="K448" s="9"/>
      <c r="M448" s="9"/>
      <c r="N448" s="9"/>
      <c r="O448" s="9"/>
    </row>
    <row r="449">
      <c r="E449" s="9"/>
      <c r="H449" s="9"/>
      <c r="I449" s="9"/>
      <c r="K449" s="9"/>
      <c r="M449" s="9"/>
      <c r="N449" s="9"/>
      <c r="O449" s="9"/>
    </row>
    <row r="450">
      <c r="E450" s="9"/>
      <c r="H450" s="9"/>
      <c r="I450" s="9"/>
      <c r="K450" s="9"/>
      <c r="M450" s="9"/>
      <c r="N450" s="9"/>
      <c r="O450" s="9"/>
    </row>
    <row r="451">
      <c r="E451" s="9"/>
      <c r="H451" s="9"/>
      <c r="I451" s="9"/>
      <c r="K451" s="9"/>
      <c r="M451" s="9"/>
      <c r="N451" s="9"/>
      <c r="O451" s="9"/>
    </row>
    <row r="452">
      <c r="E452" s="9"/>
      <c r="H452" s="9"/>
      <c r="I452" s="9"/>
      <c r="K452" s="9"/>
      <c r="M452" s="9"/>
      <c r="N452" s="9"/>
      <c r="O452" s="9"/>
    </row>
    <row r="453">
      <c r="E453" s="9"/>
      <c r="H453" s="9"/>
      <c r="I453" s="9"/>
      <c r="K453" s="9"/>
      <c r="M453" s="9"/>
      <c r="N453" s="9"/>
      <c r="O453" s="9"/>
    </row>
    <row r="454">
      <c r="E454" s="9"/>
      <c r="H454" s="9"/>
      <c r="I454" s="9"/>
      <c r="K454" s="9"/>
      <c r="M454" s="9"/>
      <c r="N454" s="9"/>
      <c r="O454" s="9"/>
    </row>
    <row r="455">
      <c r="E455" s="9"/>
      <c r="H455" s="9"/>
      <c r="I455" s="9"/>
      <c r="K455" s="9"/>
      <c r="M455" s="9"/>
      <c r="N455" s="9"/>
      <c r="O455" s="9"/>
    </row>
    <row r="456">
      <c r="E456" s="9"/>
      <c r="H456" s="9"/>
      <c r="I456" s="9"/>
      <c r="K456" s="9"/>
      <c r="M456" s="9"/>
      <c r="N456" s="9"/>
      <c r="O456" s="9"/>
    </row>
    <row r="457">
      <c r="E457" s="9"/>
      <c r="H457" s="9"/>
      <c r="I457" s="9"/>
      <c r="K457" s="9"/>
      <c r="M457" s="9"/>
      <c r="N457" s="9"/>
      <c r="O457" s="9"/>
    </row>
    <row r="458">
      <c r="E458" s="9"/>
      <c r="H458" s="9"/>
      <c r="I458" s="9"/>
      <c r="K458" s="9"/>
      <c r="M458" s="9"/>
      <c r="N458" s="9"/>
      <c r="O458" s="9"/>
    </row>
    <row r="459">
      <c r="E459" s="9"/>
      <c r="H459" s="9"/>
      <c r="I459" s="9"/>
      <c r="K459" s="9"/>
      <c r="M459" s="9"/>
      <c r="N459" s="9"/>
      <c r="O459" s="9"/>
    </row>
    <row r="460">
      <c r="E460" s="9"/>
      <c r="H460" s="9"/>
      <c r="I460" s="9"/>
      <c r="K460" s="9"/>
      <c r="M460" s="9"/>
      <c r="N460" s="9"/>
      <c r="O460" s="9"/>
    </row>
    <row r="461">
      <c r="E461" s="9"/>
      <c r="H461" s="9"/>
      <c r="I461" s="9"/>
      <c r="K461" s="9"/>
      <c r="M461" s="9"/>
      <c r="N461" s="9"/>
      <c r="O461" s="9"/>
    </row>
    <row r="462">
      <c r="E462" s="9"/>
      <c r="H462" s="9"/>
      <c r="I462" s="9"/>
      <c r="K462" s="9"/>
      <c r="M462" s="9"/>
      <c r="N462" s="9"/>
      <c r="O462" s="9"/>
    </row>
    <row r="463">
      <c r="E463" s="9"/>
      <c r="H463" s="9"/>
      <c r="I463" s="9"/>
      <c r="K463" s="9"/>
      <c r="M463" s="9"/>
      <c r="N463" s="9"/>
      <c r="O463" s="9"/>
    </row>
    <row r="464">
      <c r="E464" s="9"/>
      <c r="H464" s="9"/>
      <c r="I464" s="9"/>
      <c r="K464" s="9"/>
      <c r="M464" s="9"/>
      <c r="N464" s="9"/>
      <c r="O464" s="9"/>
    </row>
    <row r="465">
      <c r="E465" s="9"/>
      <c r="H465" s="9"/>
      <c r="I465" s="9"/>
      <c r="K465" s="9"/>
      <c r="M465" s="9"/>
      <c r="N465" s="9"/>
      <c r="O465" s="9"/>
    </row>
    <row r="466">
      <c r="E466" s="9"/>
      <c r="H466" s="9"/>
      <c r="I466" s="9"/>
      <c r="K466" s="9"/>
      <c r="M466" s="9"/>
      <c r="N466" s="9"/>
      <c r="O466" s="9"/>
    </row>
    <row r="467">
      <c r="E467" s="9"/>
      <c r="H467" s="9"/>
      <c r="I467" s="9"/>
      <c r="K467" s="9"/>
      <c r="M467" s="9"/>
      <c r="N467" s="9"/>
      <c r="O467" s="9"/>
    </row>
    <row r="468">
      <c r="E468" s="9"/>
      <c r="H468" s="9"/>
      <c r="I468" s="9"/>
      <c r="K468" s="9"/>
      <c r="M468" s="9"/>
      <c r="N468" s="9"/>
      <c r="O468" s="9"/>
    </row>
    <row r="469">
      <c r="E469" s="9"/>
      <c r="H469" s="9"/>
      <c r="I469" s="9"/>
      <c r="K469" s="9"/>
      <c r="M469" s="9"/>
      <c r="N469" s="9"/>
      <c r="O469" s="9"/>
    </row>
    <row r="470">
      <c r="E470" s="9"/>
      <c r="H470" s="9"/>
      <c r="I470" s="9"/>
      <c r="K470" s="9"/>
      <c r="M470" s="9"/>
      <c r="N470" s="9"/>
      <c r="O470" s="9"/>
    </row>
    <row r="471">
      <c r="E471" s="9"/>
      <c r="H471" s="9"/>
      <c r="I471" s="9"/>
      <c r="K471" s="9"/>
      <c r="M471" s="9"/>
      <c r="N471" s="9"/>
      <c r="O471" s="9"/>
    </row>
    <row r="472">
      <c r="E472" s="9"/>
      <c r="H472" s="9"/>
      <c r="I472" s="9"/>
      <c r="K472" s="9"/>
      <c r="M472" s="9"/>
      <c r="N472" s="9"/>
      <c r="O472" s="9"/>
    </row>
    <row r="473">
      <c r="E473" s="9"/>
      <c r="H473" s="9"/>
      <c r="I473" s="9"/>
      <c r="K473" s="9"/>
      <c r="M473" s="9"/>
      <c r="N473" s="9"/>
      <c r="O473" s="9"/>
    </row>
    <row r="474">
      <c r="E474" s="9"/>
      <c r="H474" s="9"/>
      <c r="I474" s="9"/>
      <c r="K474" s="9"/>
      <c r="M474" s="9"/>
      <c r="N474" s="9"/>
      <c r="O474" s="9"/>
    </row>
    <row r="475">
      <c r="E475" s="9"/>
      <c r="H475" s="9"/>
      <c r="I475" s="9"/>
      <c r="K475" s="9"/>
      <c r="M475" s="9"/>
      <c r="N475" s="9"/>
      <c r="O475" s="9"/>
    </row>
    <row r="476">
      <c r="E476" s="9"/>
      <c r="H476" s="9"/>
      <c r="I476" s="9"/>
      <c r="K476" s="9"/>
      <c r="M476" s="9"/>
      <c r="N476" s="9"/>
      <c r="O476" s="9"/>
    </row>
    <row r="477">
      <c r="E477" s="9"/>
      <c r="H477" s="9"/>
      <c r="I477" s="9"/>
      <c r="K477" s="9"/>
      <c r="M477" s="9"/>
      <c r="N477" s="9"/>
      <c r="O477" s="9"/>
    </row>
    <row r="478">
      <c r="E478" s="9"/>
      <c r="H478" s="9"/>
      <c r="I478" s="9"/>
      <c r="K478" s="9"/>
      <c r="M478" s="9"/>
      <c r="N478" s="9"/>
      <c r="O478" s="9"/>
    </row>
    <row r="479">
      <c r="E479" s="9"/>
      <c r="H479" s="9"/>
      <c r="I479" s="9"/>
      <c r="K479" s="9"/>
      <c r="M479" s="9"/>
      <c r="N479" s="9"/>
      <c r="O479" s="9"/>
    </row>
    <row r="480">
      <c r="E480" s="9"/>
      <c r="H480" s="9"/>
      <c r="I480" s="9"/>
      <c r="K480" s="9"/>
      <c r="M480" s="9"/>
      <c r="N480" s="9"/>
      <c r="O480" s="9"/>
    </row>
    <row r="481">
      <c r="E481" s="9"/>
      <c r="H481" s="9"/>
      <c r="I481" s="9"/>
      <c r="K481" s="9"/>
      <c r="M481" s="9"/>
      <c r="N481" s="9"/>
      <c r="O481" s="9"/>
    </row>
    <row r="482">
      <c r="E482" s="9"/>
      <c r="H482" s="9"/>
      <c r="I482" s="9"/>
      <c r="K482" s="9"/>
      <c r="M482" s="9"/>
      <c r="N482" s="9"/>
      <c r="O482" s="9"/>
    </row>
    <row r="483">
      <c r="E483" s="9"/>
      <c r="H483" s="9"/>
      <c r="I483" s="9"/>
      <c r="K483" s="9"/>
      <c r="M483" s="9"/>
      <c r="N483" s="9"/>
      <c r="O483" s="9"/>
    </row>
    <row r="484">
      <c r="E484" s="9"/>
      <c r="H484" s="9"/>
      <c r="I484" s="9"/>
      <c r="K484" s="9"/>
      <c r="M484" s="9"/>
      <c r="N484" s="9"/>
      <c r="O484" s="9"/>
    </row>
    <row r="485">
      <c r="E485" s="9"/>
      <c r="H485" s="9"/>
      <c r="I485" s="9"/>
      <c r="K485" s="9"/>
      <c r="M485" s="9"/>
      <c r="N485" s="9"/>
      <c r="O485" s="9"/>
    </row>
    <row r="486">
      <c r="E486" s="9"/>
      <c r="H486" s="9"/>
      <c r="I486" s="9"/>
      <c r="K486" s="9"/>
      <c r="M486" s="9"/>
      <c r="N486" s="9"/>
      <c r="O486" s="9"/>
    </row>
    <row r="487">
      <c r="E487" s="9"/>
      <c r="H487" s="9"/>
      <c r="I487" s="9"/>
      <c r="K487" s="9"/>
      <c r="M487" s="9"/>
      <c r="N487" s="9"/>
      <c r="O487" s="9"/>
    </row>
    <row r="488">
      <c r="E488" s="9"/>
      <c r="H488" s="9"/>
      <c r="I488" s="9"/>
      <c r="K488" s="9"/>
      <c r="M488" s="9"/>
      <c r="N488" s="9"/>
      <c r="O488" s="9"/>
    </row>
    <row r="489">
      <c r="E489" s="9"/>
      <c r="H489" s="9"/>
      <c r="I489" s="9"/>
      <c r="K489" s="9"/>
      <c r="M489" s="9"/>
      <c r="N489" s="9"/>
      <c r="O489" s="9"/>
    </row>
    <row r="490">
      <c r="E490" s="9"/>
      <c r="H490" s="9"/>
      <c r="I490" s="9"/>
      <c r="K490" s="9"/>
      <c r="M490" s="9"/>
      <c r="N490" s="9"/>
      <c r="O490" s="9"/>
    </row>
    <row r="491">
      <c r="E491" s="9"/>
      <c r="H491" s="9"/>
      <c r="I491" s="9"/>
      <c r="K491" s="9"/>
      <c r="M491" s="9"/>
      <c r="N491" s="9"/>
      <c r="O491" s="9"/>
    </row>
    <row r="492">
      <c r="E492" s="9"/>
      <c r="H492" s="9"/>
      <c r="I492" s="9"/>
      <c r="K492" s="9"/>
      <c r="M492" s="9"/>
      <c r="N492" s="9"/>
      <c r="O492" s="9"/>
    </row>
    <row r="493">
      <c r="E493" s="9"/>
      <c r="H493" s="9"/>
      <c r="I493" s="9"/>
      <c r="K493" s="9"/>
      <c r="M493" s="9"/>
      <c r="N493" s="9"/>
      <c r="O493" s="9"/>
    </row>
    <row r="494">
      <c r="E494" s="9"/>
      <c r="H494" s="9"/>
      <c r="I494" s="9"/>
      <c r="K494" s="9"/>
      <c r="M494" s="9"/>
      <c r="N494" s="9"/>
      <c r="O494" s="9"/>
    </row>
    <row r="495">
      <c r="E495" s="9"/>
      <c r="H495" s="9"/>
      <c r="I495" s="9"/>
      <c r="K495" s="9"/>
      <c r="M495" s="9"/>
      <c r="N495" s="9"/>
      <c r="O495" s="9"/>
    </row>
    <row r="496">
      <c r="E496" s="9"/>
      <c r="H496" s="9"/>
      <c r="I496" s="9"/>
      <c r="K496" s="9"/>
      <c r="M496" s="9"/>
      <c r="N496" s="9"/>
      <c r="O496" s="9"/>
    </row>
    <row r="497">
      <c r="E497" s="9"/>
      <c r="H497" s="9"/>
      <c r="I497" s="9"/>
      <c r="K497" s="9"/>
      <c r="M497" s="9"/>
      <c r="N497" s="9"/>
      <c r="O497" s="9"/>
    </row>
    <row r="498">
      <c r="E498" s="9"/>
      <c r="H498" s="9"/>
      <c r="I498" s="9"/>
      <c r="K498" s="9"/>
      <c r="M498" s="9"/>
      <c r="N498" s="9"/>
      <c r="O498" s="9"/>
    </row>
    <row r="499">
      <c r="E499" s="9"/>
      <c r="H499" s="9"/>
      <c r="I499" s="9"/>
      <c r="K499" s="9"/>
      <c r="M499" s="9"/>
      <c r="N499" s="9"/>
      <c r="O499" s="9"/>
    </row>
    <row r="500">
      <c r="E500" s="9"/>
      <c r="H500" s="9"/>
      <c r="I500" s="9"/>
      <c r="K500" s="9"/>
      <c r="M500" s="9"/>
      <c r="N500" s="9"/>
      <c r="O500" s="9"/>
    </row>
    <row r="501">
      <c r="E501" s="9"/>
      <c r="H501" s="9"/>
      <c r="I501" s="9"/>
      <c r="K501" s="9"/>
      <c r="M501" s="9"/>
      <c r="N501" s="9"/>
      <c r="O501" s="9"/>
    </row>
    <row r="502">
      <c r="E502" s="9"/>
      <c r="H502" s="9"/>
      <c r="I502" s="9"/>
      <c r="K502" s="9"/>
      <c r="M502" s="9"/>
      <c r="N502" s="9"/>
      <c r="O502" s="9"/>
    </row>
    <row r="503">
      <c r="E503" s="9"/>
      <c r="H503" s="9"/>
      <c r="I503" s="9"/>
      <c r="K503" s="9"/>
      <c r="M503" s="9"/>
      <c r="N503" s="9"/>
      <c r="O503" s="9"/>
    </row>
    <row r="504">
      <c r="E504" s="9"/>
      <c r="H504" s="9"/>
      <c r="I504" s="9"/>
      <c r="K504" s="9"/>
      <c r="M504" s="9"/>
      <c r="N504" s="9"/>
      <c r="O504" s="9"/>
    </row>
    <row r="505">
      <c r="E505" s="9"/>
      <c r="H505" s="9"/>
      <c r="I505" s="9"/>
      <c r="K505" s="9"/>
      <c r="M505" s="9"/>
      <c r="N505" s="9"/>
      <c r="O505" s="9"/>
    </row>
    <row r="506">
      <c r="E506" s="9"/>
      <c r="H506" s="9"/>
      <c r="I506" s="9"/>
      <c r="K506" s="9"/>
      <c r="M506" s="9"/>
      <c r="N506" s="9"/>
      <c r="O506" s="9"/>
    </row>
    <row r="507">
      <c r="E507" s="9"/>
      <c r="H507" s="9"/>
      <c r="I507" s="9"/>
      <c r="K507" s="9"/>
      <c r="M507" s="9"/>
      <c r="N507" s="9"/>
      <c r="O507" s="9"/>
    </row>
    <row r="508">
      <c r="E508" s="9"/>
      <c r="H508" s="9"/>
      <c r="I508" s="9"/>
      <c r="K508" s="9"/>
      <c r="M508" s="9"/>
      <c r="N508" s="9"/>
      <c r="O508" s="9"/>
    </row>
    <row r="509">
      <c r="E509" s="9"/>
      <c r="H509" s="9"/>
      <c r="I509" s="9"/>
      <c r="K509" s="9"/>
      <c r="M509" s="9"/>
      <c r="N509" s="9"/>
      <c r="O509" s="9"/>
    </row>
    <row r="510">
      <c r="E510" s="9"/>
      <c r="H510" s="9"/>
      <c r="I510" s="9"/>
      <c r="K510" s="9"/>
      <c r="M510" s="9"/>
      <c r="N510" s="9"/>
      <c r="O510" s="9"/>
    </row>
    <row r="511">
      <c r="E511" s="9"/>
      <c r="H511" s="9"/>
      <c r="I511" s="9"/>
      <c r="K511" s="9"/>
      <c r="M511" s="9"/>
      <c r="N511" s="9"/>
      <c r="O511" s="9"/>
    </row>
    <row r="512">
      <c r="E512" s="9"/>
      <c r="H512" s="9"/>
      <c r="I512" s="9"/>
      <c r="K512" s="9"/>
      <c r="M512" s="9"/>
      <c r="N512" s="9"/>
      <c r="O512" s="9"/>
    </row>
    <row r="513">
      <c r="E513" s="9"/>
      <c r="H513" s="9"/>
      <c r="I513" s="9"/>
      <c r="K513" s="9"/>
      <c r="M513" s="9"/>
      <c r="N513" s="9"/>
      <c r="O513" s="9"/>
    </row>
    <row r="514">
      <c r="E514" s="9"/>
      <c r="H514" s="9"/>
      <c r="I514" s="9"/>
      <c r="K514" s="9"/>
      <c r="M514" s="9"/>
      <c r="N514" s="9"/>
      <c r="O514" s="9"/>
    </row>
    <row r="515">
      <c r="E515" s="9"/>
      <c r="H515" s="9"/>
      <c r="I515" s="9"/>
      <c r="K515" s="9"/>
      <c r="M515" s="9"/>
      <c r="N515" s="9"/>
      <c r="O515" s="9"/>
    </row>
    <row r="516">
      <c r="E516" s="9"/>
      <c r="H516" s="9"/>
      <c r="I516" s="9"/>
      <c r="K516" s="9"/>
      <c r="M516" s="9"/>
      <c r="N516" s="9"/>
      <c r="O516" s="9"/>
    </row>
    <row r="517">
      <c r="E517" s="9"/>
      <c r="H517" s="9"/>
      <c r="I517" s="9"/>
      <c r="K517" s="9"/>
      <c r="M517" s="9"/>
      <c r="N517" s="9"/>
      <c r="O517" s="9"/>
    </row>
    <row r="518">
      <c r="E518" s="9"/>
      <c r="H518" s="9"/>
      <c r="I518" s="9"/>
      <c r="K518" s="9"/>
      <c r="M518" s="9"/>
      <c r="N518" s="9"/>
      <c r="O518" s="9"/>
    </row>
    <row r="519">
      <c r="E519" s="9"/>
      <c r="H519" s="9"/>
      <c r="I519" s="9"/>
      <c r="K519" s="9"/>
      <c r="M519" s="9"/>
      <c r="N519" s="9"/>
      <c r="O519" s="9"/>
    </row>
    <row r="520">
      <c r="E520" s="9"/>
      <c r="H520" s="9"/>
      <c r="I520" s="9"/>
      <c r="K520" s="9"/>
      <c r="M520" s="9"/>
      <c r="N520" s="9"/>
      <c r="O520" s="9"/>
    </row>
    <row r="521">
      <c r="E521" s="9"/>
      <c r="H521" s="9"/>
      <c r="I521" s="9"/>
      <c r="K521" s="9"/>
      <c r="M521" s="9"/>
      <c r="N521" s="9"/>
      <c r="O521" s="9"/>
    </row>
    <row r="522">
      <c r="E522" s="9"/>
      <c r="H522" s="9"/>
      <c r="I522" s="9"/>
      <c r="K522" s="9"/>
      <c r="M522" s="9"/>
      <c r="N522" s="9"/>
      <c r="O522" s="9"/>
    </row>
    <row r="523">
      <c r="E523" s="9"/>
      <c r="H523" s="9"/>
      <c r="I523" s="9"/>
      <c r="K523" s="9"/>
      <c r="M523" s="9"/>
      <c r="N523" s="9"/>
      <c r="O523" s="9"/>
    </row>
    <row r="524">
      <c r="E524" s="9"/>
      <c r="H524" s="9"/>
      <c r="I524" s="9"/>
      <c r="K524" s="9"/>
      <c r="M524" s="9"/>
      <c r="N524" s="9"/>
      <c r="O524" s="9"/>
    </row>
    <row r="525">
      <c r="E525" s="9"/>
      <c r="H525" s="9"/>
      <c r="I525" s="9"/>
      <c r="K525" s="9"/>
      <c r="M525" s="9"/>
      <c r="N525" s="9"/>
      <c r="O525" s="9"/>
    </row>
    <row r="526">
      <c r="E526" s="9"/>
      <c r="H526" s="9"/>
      <c r="I526" s="9"/>
      <c r="K526" s="9"/>
      <c r="M526" s="9"/>
      <c r="N526" s="9"/>
      <c r="O526" s="9"/>
    </row>
    <row r="527">
      <c r="E527" s="9"/>
      <c r="H527" s="9"/>
      <c r="I527" s="9"/>
      <c r="K527" s="9"/>
      <c r="M527" s="9"/>
      <c r="N527" s="9"/>
      <c r="O527" s="9"/>
    </row>
    <row r="528">
      <c r="E528" s="9"/>
      <c r="H528" s="9"/>
      <c r="I528" s="9"/>
      <c r="K528" s="9"/>
      <c r="M528" s="9"/>
      <c r="N528" s="9"/>
      <c r="O528" s="9"/>
    </row>
    <row r="529">
      <c r="E529" s="9"/>
      <c r="H529" s="9"/>
      <c r="I529" s="9"/>
      <c r="K529" s="9"/>
      <c r="M529" s="9"/>
      <c r="N529" s="9"/>
      <c r="O529" s="9"/>
    </row>
    <row r="530">
      <c r="E530" s="9"/>
      <c r="H530" s="9"/>
      <c r="I530" s="9"/>
      <c r="K530" s="9"/>
      <c r="M530" s="9"/>
      <c r="N530" s="9"/>
      <c r="O530" s="9"/>
    </row>
    <row r="531">
      <c r="E531" s="9"/>
      <c r="H531" s="9"/>
      <c r="I531" s="9"/>
      <c r="K531" s="9"/>
      <c r="M531" s="9"/>
      <c r="N531" s="9"/>
      <c r="O531" s="9"/>
    </row>
    <row r="532">
      <c r="E532" s="9"/>
      <c r="H532" s="9"/>
      <c r="I532" s="9"/>
      <c r="K532" s="9"/>
      <c r="M532" s="9"/>
      <c r="N532" s="9"/>
      <c r="O532" s="9"/>
    </row>
    <row r="533">
      <c r="E533" s="9"/>
      <c r="H533" s="9"/>
      <c r="I533" s="9"/>
      <c r="K533" s="9"/>
      <c r="M533" s="9"/>
      <c r="N533" s="9"/>
      <c r="O533" s="9"/>
    </row>
    <row r="534">
      <c r="E534" s="9"/>
      <c r="H534" s="9"/>
      <c r="I534" s="9"/>
      <c r="K534" s="9"/>
      <c r="M534" s="9"/>
      <c r="N534" s="9"/>
      <c r="O534" s="9"/>
    </row>
    <row r="535">
      <c r="E535" s="9"/>
      <c r="H535" s="9"/>
      <c r="I535" s="9"/>
      <c r="K535" s="9"/>
      <c r="M535" s="9"/>
      <c r="N535" s="9"/>
      <c r="O535" s="9"/>
    </row>
    <row r="536">
      <c r="E536" s="9"/>
      <c r="H536" s="9"/>
      <c r="I536" s="9"/>
      <c r="K536" s="9"/>
      <c r="M536" s="9"/>
      <c r="N536" s="9"/>
      <c r="O536" s="9"/>
    </row>
    <row r="537">
      <c r="E537" s="9"/>
      <c r="H537" s="9"/>
      <c r="I537" s="9"/>
      <c r="K537" s="9"/>
      <c r="M537" s="9"/>
      <c r="N537" s="9"/>
      <c r="O537" s="9"/>
    </row>
    <row r="538">
      <c r="E538" s="9"/>
      <c r="H538" s="9"/>
      <c r="I538" s="9"/>
      <c r="K538" s="9"/>
      <c r="M538" s="9"/>
      <c r="N538" s="9"/>
      <c r="O538" s="9"/>
    </row>
    <row r="539">
      <c r="E539" s="9"/>
      <c r="H539" s="9"/>
      <c r="I539" s="9"/>
      <c r="K539" s="9"/>
      <c r="M539" s="9"/>
      <c r="N539" s="9"/>
      <c r="O539" s="9"/>
    </row>
    <row r="540">
      <c r="E540" s="9"/>
      <c r="H540" s="9"/>
      <c r="I540" s="9"/>
      <c r="K540" s="9"/>
      <c r="M540" s="9"/>
      <c r="N540" s="9"/>
      <c r="O540" s="9"/>
    </row>
    <row r="541">
      <c r="E541" s="9"/>
      <c r="H541" s="9"/>
      <c r="I541" s="9"/>
      <c r="K541" s="9"/>
      <c r="M541" s="9"/>
      <c r="N541" s="9"/>
      <c r="O541" s="9"/>
    </row>
    <row r="542">
      <c r="E542" s="9"/>
      <c r="H542" s="9"/>
      <c r="I542" s="9"/>
      <c r="K542" s="9"/>
      <c r="M542" s="9"/>
      <c r="N542" s="9"/>
      <c r="O542" s="9"/>
    </row>
    <row r="543">
      <c r="E543" s="9"/>
      <c r="H543" s="9"/>
      <c r="I543" s="9"/>
      <c r="K543" s="9"/>
      <c r="M543" s="9"/>
      <c r="N543" s="9"/>
      <c r="O543" s="9"/>
    </row>
    <row r="544">
      <c r="E544" s="9"/>
      <c r="H544" s="9"/>
      <c r="I544" s="9"/>
      <c r="K544" s="9"/>
      <c r="M544" s="9"/>
      <c r="N544" s="9"/>
      <c r="O544" s="9"/>
    </row>
    <row r="545">
      <c r="E545" s="9"/>
      <c r="H545" s="9"/>
      <c r="I545" s="9"/>
      <c r="K545" s="9"/>
      <c r="M545" s="9"/>
      <c r="N545" s="9"/>
      <c r="O545" s="9"/>
    </row>
    <row r="546">
      <c r="E546" s="9"/>
      <c r="H546" s="9"/>
      <c r="I546" s="9"/>
      <c r="K546" s="9"/>
      <c r="M546" s="9"/>
      <c r="N546" s="9"/>
      <c r="O546" s="9"/>
    </row>
    <row r="547">
      <c r="E547" s="9"/>
      <c r="H547" s="9"/>
      <c r="I547" s="9"/>
      <c r="K547" s="9"/>
      <c r="M547" s="9"/>
      <c r="N547" s="9"/>
      <c r="O547" s="9"/>
    </row>
    <row r="548">
      <c r="E548" s="9"/>
      <c r="H548" s="9"/>
      <c r="I548" s="9"/>
      <c r="K548" s="9"/>
      <c r="M548" s="9"/>
      <c r="N548" s="9"/>
      <c r="O548" s="9"/>
    </row>
    <row r="549">
      <c r="E549" s="9"/>
      <c r="H549" s="9"/>
      <c r="I549" s="9"/>
      <c r="K549" s="9"/>
      <c r="M549" s="9"/>
      <c r="N549" s="9"/>
      <c r="O549" s="9"/>
    </row>
    <row r="550">
      <c r="E550" s="9"/>
      <c r="H550" s="9"/>
      <c r="I550" s="9"/>
      <c r="K550" s="9"/>
      <c r="M550" s="9"/>
      <c r="N550" s="9"/>
      <c r="O550" s="9"/>
    </row>
    <row r="551">
      <c r="E551" s="9"/>
      <c r="H551" s="9"/>
      <c r="I551" s="9"/>
      <c r="K551" s="9"/>
      <c r="M551" s="9"/>
      <c r="N551" s="9"/>
      <c r="O551" s="9"/>
    </row>
    <row r="552">
      <c r="E552" s="9"/>
      <c r="H552" s="9"/>
      <c r="I552" s="9"/>
      <c r="K552" s="9"/>
      <c r="M552" s="9"/>
      <c r="N552" s="9"/>
      <c r="O552" s="9"/>
    </row>
    <row r="553">
      <c r="E553" s="9"/>
      <c r="H553" s="9"/>
      <c r="I553" s="9"/>
      <c r="K553" s="9"/>
      <c r="M553" s="9"/>
      <c r="N553" s="9"/>
      <c r="O553" s="9"/>
    </row>
    <row r="554">
      <c r="E554" s="9"/>
      <c r="H554" s="9"/>
      <c r="I554" s="9"/>
      <c r="K554" s="9"/>
      <c r="M554" s="9"/>
      <c r="N554" s="9"/>
      <c r="O554" s="9"/>
    </row>
    <row r="555">
      <c r="E555" s="9"/>
      <c r="H555" s="9"/>
      <c r="I555" s="9"/>
      <c r="K555" s="9"/>
      <c r="M555" s="9"/>
      <c r="N555" s="9"/>
      <c r="O555" s="9"/>
    </row>
    <row r="556">
      <c r="E556" s="9"/>
      <c r="H556" s="9"/>
      <c r="I556" s="9"/>
      <c r="K556" s="9"/>
      <c r="M556" s="9"/>
      <c r="N556" s="9"/>
      <c r="O556" s="9"/>
    </row>
    <row r="557">
      <c r="E557" s="9"/>
      <c r="H557" s="9"/>
      <c r="I557" s="9"/>
      <c r="K557" s="9"/>
      <c r="M557" s="9"/>
      <c r="N557" s="9"/>
      <c r="O557" s="9"/>
    </row>
    <row r="558">
      <c r="E558" s="9"/>
      <c r="H558" s="9"/>
      <c r="I558" s="9"/>
      <c r="K558" s="9"/>
      <c r="M558" s="9"/>
      <c r="N558" s="9"/>
      <c r="O558" s="9"/>
    </row>
    <row r="559">
      <c r="E559" s="9"/>
      <c r="H559" s="9"/>
      <c r="I559" s="9"/>
      <c r="K559" s="9"/>
      <c r="M559" s="9"/>
      <c r="N559" s="9"/>
      <c r="O559" s="9"/>
    </row>
    <row r="560">
      <c r="E560" s="9"/>
      <c r="H560" s="9"/>
      <c r="I560" s="9"/>
      <c r="K560" s="9"/>
      <c r="M560" s="9"/>
      <c r="N560" s="9"/>
      <c r="O560" s="9"/>
    </row>
    <row r="561">
      <c r="E561" s="9"/>
      <c r="H561" s="9"/>
      <c r="I561" s="9"/>
      <c r="K561" s="9"/>
      <c r="M561" s="9"/>
      <c r="N561" s="9"/>
      <c r="O561" s="9"/>
    </row>
    <row r="562">
      <c r="E562" s="9"/>
      <c r="H562" s="9"/>
      <c r="I562" s="9"/>
      <c r="K562" s="9"/>
      <c r="M562" s="9"/>
      <c r="N562" s="9"/>
      <c r="O562" s="9"/>
    </row>
    <row r="563">
      <c r="E563" s="9"/>
      <c r="H563" s="9"/>
      <c r="I563" s="9"/>
      <c r="K563" s="9"/>
      <c r="M563" s="9"/>
      <c r="N563" s="9"/>
      <c r="O563" s="9"/>
    </row>
    <row r="564">
      <c r="E564" s="9"/>
      <c r="H564" s="9"/>
      <c r="I564" s="9"/>
      <c r="K564" s="9"/>
      <c r="M564" s="9"/>
      <c r="N564" s="9"/>
      <c r="O564" s="9"/>
    </row>
    <row r="565">
      <c r="E565" s="9"/>
      <c r="H565" s="9"/>
      <c r="I565" s="9"/>
      <c r="K565" s="9"/>
      <c r="M565" s="9"/>
      <c r="N565" s="9"/>
      <c r="O565" s="9"/>
    </row>
    <row r="566">
      <c r="E566" s="9"/>
      <c r="H566" s="9"/>
      <c r="I566" s="9"/>
      <c r="K566" s="9"/>
      <c r="M566" s="9"/>
      <c r="N566" s="9"/>
      <c r="O566" s="9"/>
    </row>
    <row r="567">
      <c r="E567" s="9"/>
      <c r="H567" s="9"/>
      <c r="I567" s="9"/>
      <c r="K567" s="9"/>
      <c r="M567" s="9"/>
      <c r="N567" s="9"/>
      <c r="O567" s="9"/>
    </row>
    <row r="568">
      <c r="E568" s="9"/>
      <c r="H568" s="9"/>
      <c r="I568" s="9"/>
      <c r="K568" s="9"/>
      <c r="M568" s="9"/>
      <c r="N568" s="9"/>
      <c r="O568" s="9"/>
    </row>
    <row r="569">
      <c r="E569" s="9"/>
      <c r="H569" s="9"/>
      <c r="I569" s="9"/>
      <c r="K569" s="9"/>
      <c r="M569" s="9"/>
      <c r="N569" s="9"/>
      <c r="O569" s="9"/>
    </row>
    <row r="570">
      <c r="E570" s="9"/>
      <c r="H570" s="9"/>
      <c r="I570" s="9"/>
      <c r="K570" s="9"/>
      <c r="M570" s="9"/>
      <c r="N570" s="9"/>
      <c r="O570" s="9"/>
    </row>
    <row r="571">
      <c r="E571" s="9"/>
      <c r="H571" s="9"/>
      <c r="I571" s="9"/>
      <c r="K571" s="9"/>
      <c r="M571" s="9"/>
      <c r="N571" s="9"/>
      <c r="O571" s="9"/>
    </row>
    <row r="572">
      <c r="E572" s="9"/>
      <c r="H572" s="9"/>
      <c r="I572" s="9"/>
      <c r="K572" s="9"/>
      <c r="M572" s="9"/>
      <c r="N572" s="9"/>
      <c r="O572" s="9"/>
    </row>
    <row r="573">
      <c r="E573" s="9"/>
      <c r="H573" s="9"/>
      <c r="I573" s="9"/>
      <c r="K573" s="9"/>
      <c r="M573" s="9"/>
      <c r="N573" s="9"/>
      <c r="O573" s="9"/>
    </row>
    <row r="574">
      <c r="E574" s="9"/>
      <c r="H574" s="9"/>
      <c r="I574" s="9"/>
      <c r="K574" s="9"/>
      <c r="M574" s="9"/>
      <c r="N574" s="9"/>
      <c r="O574" s="9"/>
    </row>
    <row r="575">
      <c r="E575" s="9"/>
      <c r="H575" s="9"/>
      <c r="I575" s="9"/>
      <c r="K575" s="9"/>
      <c r="M575" s="9"/>
      <c r="N575" s="9"/>
      <c r="O575" s="9"/>
    </row>
    <row r="576">
      <c r="E576" s="9"/>
      <c r="H576" s="9"/>
      <c r="I576" s="9"/>
      <c r="K576" s="9"/>
      <c r="M576" s="9"/>
      <c r="N576" s="9"/>
      <c r="O576" s="9"/>
    </row>
    <row r="577">
      <c r="E577" s="9"/>
      <c r="H577" s="9"/>
      <c r="I577" s="9"/>
      <c r="K577" s="9"/>
      <c r="M577" s="9"/>
      <c r="N577" s="9"/>
      <c r="O577" s="9"/>
    </row>
    <row r="578">
      <c r="E578" s="9"/>
      <c r="H578" s="9"/>
      <c r="I578" s="9"/>
      <c r="K578" s="9"/>
      <c r="M578" s="9"/>
      <c r="N578" s="9"/>
      <c r="O578" s="9"/>
    </row>
    <row r="579">
      <c r="E579" s="9"/>
      <c r="H579" s="9"/>
      <c r="I579" s="9"/>
      <c r="K579" s="9"/>
      <c r="M579" s="9"/>
      <c r="N579" s="9"/>
      <c r="O579" s="9"/>
    </row>
    <row r="580">
      <c r="E580" s="9"/>
      <c r="H580" s="9"/>
      <c r="I580" s="9"/>
      <c r="K580" s="9"/>
      <c r="M580" s="9"/>
      <c r="N580" s="9"/>
      <c r="O580" s="9"/>
    </row>
    <row r="581">
      <c r="E581" s="9"/>
      <c r="H581" s="9"/>
      <c r="I581" s="9"/>
      <c r="K581" s="9"/>
      <c r="M581" s="9"/>
      <c r="N581" s="9"/>
      <c r="O581" s="9"/>
    </row>
    <row r="582">
      <c r="E582" s="9"/>
      <c r="H582" s="9"/>
      <c r="I582" s="9"/>
      <c r="K582" s="9"/>
      <c r="M582" s="9"/>
      <c r="N582" s="9"/>
      <c r="O582" s="9"/>
    </row>
    <row r="583">
      <c r="E583" s="9"/>
      <c r="H583" s="9"/>
      <c r="I583" s="9"/>
      <c r="K583" s="9"/>
      <c r="M583" s="9"/>
      <c r="N583" s="9"/>
      <c r="O583" s="9"/>
    </row>
    <row r="584">
      <c r="E584" s="9"/>
      <c r="H584" s="9"/>
      <c r="I584" s="9"/>
      <c r="K584" s="9"/>
      <c r="M584" s="9"/>
      <c r="N584" s="9"/>
      <c r="O584" s="9"/>
    </row>
    <row r="585">
      <c r="E585" s="9"/>
      <c r="H585" s="9"/>
      <c r="I585" s="9"/>
      <c r="K585" s="9"/>
      <c r="M585" s="9"/>
      <c r="N585" s="9"/>
      <c r="O585" s="9"/>
    </row>
    <row r="586">
      <c r="E586" s="9"/>
      <c r="H586" s="9"/>
      <c r="I586" s="9"/>
      <c r="K586" s="9"/>
      <c r="M586" s="9"/>
      <c r="N586" s="9"/>
      <c r="O586" s="9"/>
    </row>
    <row r="587">
      <c r="E587" s="9"/>
      <c r="H587" s="9"/>
      <c r="I587" s="9"/>
      <c r="K587" s="9"/>
      <c r="M587" s="9"/>
      <c r="N587" s="9"/>
      <c r="O587" s="9"/>
    </row>
    <row r="588">
      <c r="E588" s="9"/>
      <c r="H588" s="9"/>
      <c r="I588" s="9"/>
      <c r="K588" s="9"/>
      <c r="M588" s="9"/>
      <c r="N588" s="9"/>
      <c r="O588" s="9"/>
    </row>
    <row r="589">
      <c r="E589" s="9"/>
      <c r="H589" s="9"/>
      <c r="I589" s="9"/>
      <c r="K589" s="9"/>
      <c r="M589" s="9"/>
      <c r="N589" s="9"/>
      <c r="O589" s="9"/>
    </row>
    <row r="590">
      <c r="E590" s="9"/>
      <c r="H590" s="9"/>
      <c r="I590" s="9"/>
      <c r="K590" s="9"/>
      <c r="M590" s="9"/>
      <c r="N590" s="9"/>
      <c r="O590" s="9"/>
    </row>
    <row r="591">
      <c r="E591" s="9"/>
      <c r="H591" s="9"/>
      <c r="I591" s="9"/>
      <c r="K591" s="9"/>
      <c r="M591" s="9"/>
      <c r="N591" s="9"/>
      <c r="O591" s="9"/>
    </row>
    <row r="592">
      <c r="E592" s="9"/>
      <c r="H592" s="9"/>
      <c r="I592" s="9"/>
      <c r="K592" s="9"/>
      <c r="M592" s="9"/>
      <c r="N592" s="9"/>
      <c r="O592" s="9"/>
    </row>
    <row r="593">
      <c r="E593" s="9"/>
      <c r="H593" s="9"/>
      <c r="I593" s="9"/>
      <c r="K593" s="9"/>
      <c r="M593" s="9"/>
      <c r="N593" s="9"/>
      <c r="O593" s="9"/>
    </row>
    <row r="594">
      <c r="E594" s="9"/>
      <c r="H594" s="9"/>
      <c r="I594" s="9"/>
      <c r="K594" s="9"/>
      <c r="M594" s="9"/>
      <c r="N594" s="9"/>
      <c r="O594" s="9"/>
    </row>
    <row r="595">
      <c r="E595" s="9"/>
      <c r="H595" s="9"/>
      <c r="I595" s="9"/>
      <c r="K595" s="9"/>
      <c r="M595" s="9"/>
      <c r="N595" s="9"/>
      <c r="O595" s="9"/>
    </row>
    <row r="596">
      <c r="E596" s="9"/>
      <c r="H596" s="9"/>
      <c r="I596" s="9"/>
      <c r="K596" s="9"/>
      <c r="M596" s="9"/>
      <c r="N596" s="9"/>
      <c r="O596" s="9"/>
    </row>
    <row r="597">
      <c r="E597" s="9"/>
      <c r="H597" s="9"/>
      <c r="I597" s="9"/>
      <c r="K597" s="9"/>
      <c r="M597" s="9"/>
      <c r="N597" s="9"/>
      <c r="O597" s="9"/>
    </row>
    <row r="598">
      <c r="E598" s="9"/>
      <c r="H598" s="9"/>
      <c r="I598" s="9"/>
      <c r="K598" s="9"/>
      <c r="M598" s="9"/>
      <c r="N598" s="9"/>
      <c r="O598" s="9"/>
    </row>
    <row r="599">
      <c r="E599" s="9"/>
      <c r="H599" s="9"/>
      <c r="I599" s="9"/>
      <c r="K599" s="9"/>
      <c r="M599" s="9"/>
      <c r="N599" s="9"/>
      <c r="O599" s="9"/>
    </row>
    <row r="600">
      <c r="E600" s="9"/>
      <c r="H600" s="9"/>
      <c r="I600" s="9"/>
      <c r="K600" s="9"/>
      <c r="M600" s="9"/>
      <c r="N600" s="9"/>
      <c r="O600" s="9"/>
    </row>
    <row r="601">
      <c r="E601" s="9"/>
      <c r="H601" s="9"/>
      <c r="I601" s="9"/>
      <c r="K601" s="9"/>
      <c r="M601" s="9"/>
      <c r="N601" s="9"/>
      <c r="O601" s="9"/>
    </row>
    <row r="602">
      <c r="E602" s="9"/>
      <c r="H602" s="9"/>
      <c r="I602" s="9"/>
      <c r="K602" s="9"/>
      <c r="M602" s="9"/>
      <c r="N602" s="9"/>
      <c r="O602" s="9"/>
    </row>
    <row r="603">
      <c r="E603" s="9"/>
      <c r="H603" s="9"/>
      <c r="I603" s="9"/>
      <c r="K603" s="9"/>
      <c r="M603" s="9"/>
      <c r="N603" s="9"/>
      <c r="O603" s="9"/>
    </row>
    <row r="604">
      <c r="E604" s="9"/>
      <c r="H604" s="9"/>
      <c r="I604" s="9"/>
      <c r="K604" s="9"/>
      <c r="M604" s="9"/>
      <c r="N604" s="9"/>
      <c r="O604" s="9"/>
    </row>
    <row r="605">
      <c r="E605" s="9"/>
      <c r="H605" s="9"/>
      <c r="I605" s="9"/>
      <c r="K605" s="9"/>
      <c r="M605" s="9"/>
      <c r="N605" s="9"/>
      <c r="O605" s="9"/>
    </row>
    <row r="606">
      <c r="E606" s="9"/>
      <c r="H606" s="9"/>
      <c r="I606" s="9"/>
      <c r="K606" s="9"/>
      <c r="M606" s="9"/>
      <c r="N606" s="9"/>
      <c r="O606" s="9"/>
    </row>
    <row r="607">
      <c r="E607" s="9"/>
      <c r="H607" s="9"/>
      <c r="I607" s="9"/>
      <c r="K607" s="9"/>
      <c r="M607" s="9"/>
      <c r="N607" s="9"/>
      <c r="O607" s="9"/>
    </row>
    <row r="608">
      <c r="E608" s="9"/>
      <c r="H608" s="9"/>
      <c r="I608" s="9"/>
      <c r="K608" s="9"/>
      <c r="M608" s="9"/>
      <c r="N608" s="9"/>
      <c r="O608" s="9"/>
    </row>
    <row r="609">
      <c r="E609" s="9"/>
      <c r="H609" s="9"/>
      <c r="I609" s="9"/>
      <c r="K609" s="9"/>
      <c r="M609" s="9"/>
      <c r="N609" s="9"/>
      <c r="O609" s="9"/>
    </row>
    <row r="610">
      <c r="E610" s="9"/>
      <c r="H610" s="9"/>
      <c r="I610" s="9"/>
      <c r="K610" s="9"/>
      <c r="M610" s="9"/>
      <c r="N610" s="9"/>
      <c r="O610" s="9"/>
    </row>
    <row r="611">
      <c r="E611" s="9"/>
      <c r="H611" s="9"/>
      <c r="I611" s="9"/>
      <c r="K611" s="9"/>
      <c r="M611" s="9"/>
      <c r="N611" s="9"/>
      <c r="O611" s="9"/>
    </row>
    <row r="612">
      <c r="E612" s="9"/>
      <c r="H612" s="9"/>
      <c r="I612" s="9"/>
      <c r="K612" s="9"/>
      <c r="M612" s="9"/>
      <c r="N612" s="9"/>
      <c r="O612" s="9"/>
    </row>
    <row r="613">
      <c r="E613" s="9"/>
      <c r="H613" s="9"/>
      <c r="I613" s="9"/>
      <c r="K613" s="9"/>
      <c r="M613" s="9"/>
      <c r="N613" s="9"/>
      <c r="O613" s="9"/>
    </row>
    <row r="614">
      <c r="E614" s="9"/>
      <c r="H614" s="9"/>
      <c r="I614" s="9"/>
      <c r="K614" s="9"/>
      <c r="M614" s="9"/>
      <c r="N614" s="9"/>
      <c r="O614" s="9"/>
    </row>
    <row r="615">
      <c r="E615" s="9"/>
      <c r="H615" s="9"/>
      <c r="I615" s="9"/>
      <c r="K615" s="9"/>
      <c r="M615" s="9"/>
      <c r="N615" s="9"/>
      <c r="O615" s="9"/>
    </row>
    <row r="616">
      <c r="E616" s="9"/>
      <c r="H616" s="9"/>
      <c r="I616" s="9"/>
      <c r="K616" s="9"/>
      <c r="M616" s="9"/>
      <c r="N616" s="9"/>
      <c r="O616" s="9"/>
    </row>
    <row r="617">
      <c r="E617" s="9"/>
      <c r="H617" s="9"/>
      <c r="I617" s="9"/>
      <c r="K617" s="9"/>
      <c r="M617" s="9"/>
      <c r="N617" s="9"/>
      <c r="O617" s="9"/>
    </row>
    <row r="618">
      <c r="E618" s="9"/>
      <c r="H618" s="9"/>
      <c r="I618" s="9"/>
      <c r="K618" s="9"/>
      <c r="M618" s="9"/>
      <c r="N618" s="9"/>
      <c r="O618" s="9"/>
    </row>
    <row r="619">
      <c r="E619" s="9"/>
      <c r="H619" s="9"/>
      <c r="I619" s="9"/>
      <c r="K619" s="9"/>
      <c r="M619" s="9"/>
      <c r="N619" s="9"/>
      <c r="O619" s="9"/>
    </row>
    <row r="620">
      <c r="E620" s="9"/>
      <c r="H620" s="9"/>
      <c r="I620" s="9"/>
      <c r="K620" s="9"/>
      <c r="M620" s="9"/>
      <c r="N620" s="9"/>
      <c r="O620" s="9"/>
    </row>
    <row r="621">
      <c r="E621" s="9"/>
      <c r="H621" s="9"/>
      <c r="I621" s="9"/>
      <c r="K621" s="9"/>
      <c r="M621" s="9"/>
      <c r="N621" s="9"/>
      <c r="O621" s="9"/>
    </row>
    <row r="622">
      <c r="E622" s="9"/>
      <c r="H622" s="9"/>
      <c r="I622" s="9"/>
      <c r="K622" s="9"/>
      <c r="M622" s="9"/>
      <c r="N622" s="9"/>
      <c r="O622" s="9"/>
    </row>
    <row r="623">
      <c r="E623" s="9"/>
      <c r="H623" s="9"/>
      <c r="I623" s="9"/>
      <c r="K623" s="9"/>
      <c r="M623" s="9"/>
      <c r="N623" s="9"/>
      <c r="O623" s="9"/>
    </row>
    <row r="624">
      <c r="E624" s="9"/>
      <c r="H624" s="9"/>
      <c r="I624" s="9"/>
      <c r="K624" s="9"/>
      <c r="M624" s="9"/>
      <c r="N624" s="9"/>
      <c r="O624" s="9"/>
    </row>
    <row r="625">
      <c r="E625" s="9"/>
      <c r="H625" s="9"/>
      <c r="I625" s="9"/>
      <c r="K625" s="9"/>
      <c r="M625" s="9"/>
      <c r="N625" s="9"/>
      <c r="O625" s="9"/>
    </row>
    <row r="626">
      <c r="E626" s="9"/>
      <c r="H626" s="9"/>
      <c r="I626" s="9"/>
      <c r="K626" s="9"/>
      <c r="M626" s="9"/>
      <c r="N626" s="9"/>
      <c r="O626" s="9"/>
    </row>
    <row r="627">
      <c r="E627" s="9"/>
      <c r="H627" s="9"/>
      <c r="I627" s="9"/>
      <c r="K627" s="9"/>
      <c r="M627" s="9"/>
      <c r="N627" s="9"/>
      <c r="O627" s="9"/>
    </row>
    <row r="628">
      <c r="E628" s="9"/>
      <c r="H628" s="9"/>
      <c r="I628" s="9"/>
      <c r="K628" s="9"/>
      <c r="M628" s="9"/>
      <c r="N628" s="9"/>
      <c r="O628" s="9"/>
    </row>
    <row r="629">
      <c r="E629" s="9"/>
      <c r="H629" s="9"/>
      <c r="I629" s="9"/>
      <c r="K629" s="9"/>
      <c r="M629" s="9"/>
      <c r="N629" s="9"/>
      <c r="O629" s="9"/>
    </row>
    <row r="630">
      <c r="E630" s="9"/>
      <c r="H630" s="9"/>
      <c r="I630" s="9"/>
      <c r="K630" s="9"/>
      <c r="M630" s="9"/>
      <c r="N630" s="9"/>
      <c r="O630" s="9"/>
    </row>
    <row r="631">
      <c r="E631" s="9"/>
      <c r="H631" s="9"/>
      <c r="I631" s="9"/>
      <c r="K631" s="9"/>
      <c r="M631" s="9"/>
      <c r="N631" s="9"/>
      <c r="O631" s="9"/>
    </row>
    <row r="632">
      <c r="E632" s="9"/>
      <c r="H632" s="9"/>
      <c r="I632" s="9"/>
      <c r="K632" s="9"/>
      <c r="M632" s="9"/>
      <c r="N632" s="9"/>
      <c r="O632" s="9"/>
    </row>
    <row r="633">
      <c r="E633" s="9"/>
      <c r="H633" s="9"/>
      <c r="I633" s="9"/>
      <c r="K633" s="9"/>
      <c r="M633" s="9"/>
      <c r="N633" s="9"/>
      <c r="O633" s="9"/>
    </row>
    <row r="634">
      <c r="E634" s="9"/>
      <c r="H634" s="9"/>
      <c r="I634" s="9"/>
      <c r="K634" s="9"/>
      <c r="M634" s="9"/>
      <c r="N634" s="9"/>
      <c r="O634" s="9"/>
    </row>
    <row r="635">
      <c r="E635" s="9"/>
      <c r="H635" s="9"/>
      <c r="I635" s="9"/>
      <c r="K635" s="9"/>
      <c r="M635" s="9"/>
      <c r="N635" s="9"/>
      <c r="O635" s="9"/>
    </row>
    <row r="636">
      <c r="E636" s="9"/>
      <c r="H636" s="9"/>
      <c r="I636" s="9"/>
      <c r="K636" s="9"/>
      <c r="M636" s="9"/>
      <c r="N636" s="9"/>
      <c r="O636" s="9"/>
    </row>
    <row r="637">
      <c r="E637" s="9"/>
      <c r="H637" s="9"/>
      <c r="I637" s="9"/>
      <c r="K637" s="9"/>
      <c r="M637" s="9"/>
      <c r="N637" s="9"/>
      <c r="O637" s="9"/>
    </row>
    <row r="638">
      <c r="E638" s="9"/>
      <c r="H638" s="9"/>
      <c r="I638" s="9"/>
      <c r="K638" s="9"/>
      <c r="M638" s="9"/>
      <c r="N638" s="9"/>
      <c r="O638" s="9"/>
    </row>
    <row r="639">
      <c r="E639" s="9"/>
      <c r="H639" s="9"/>
      <c r="I639" s="9"/>
      <c r="K639" s="9"/>
      <c r="M639" s="9"/>
      <c r="N639" s="9"/>
      <c r="O639" s="9"/>
    </row>
    <row r="640">
      <c r="E640" s="9"/>
      <c r="H640" s="9"/>
      <c r="I640" s="9"/>
      <c r="K640" s="9"/>
      <c r="M640" s="9"/>
      <c r="N640" s="9"/>
      <c r="O640" s="9"/>
    </row>
    <row r="641">
      <c r="E641" s="9"/>
      <c r="H641" s="9"/>
      <c r="I641" s="9"/>
      <c r="K641" s="9"/>
      <c r="M641" s="9"/>
      <c r="N641" s="9"/>
      <c r="O641" s="9"/>
    </row>
    <row r="642">
      <c r="E642" s="9"/>
      <c r="H642" s="9"/>
      <c r="I642" s="9"/>
      <c r="K642" s="9"/>
      <c r="M642" s="9"/>
      <c r="N642" s="9"/>
      <c r="O642" s="9"/>
    </row>
    <row r="643">
      <c r="E643" s="9"/>
      <c r="H643" s="9"/>
      <c r="I643" s="9"/>
      <c r="K643" s="9"/>
      <c r="M643" s="9"/>
      <c r="N643" s="9"/>
      <c r="O643" s="9"/>
    </row>
    <row r="644">
      <c r="E644" s="9"/>
      <c r="H644" s="9"/>
      <c r="I644" s="9"/>
      <c r="K644" s="9"/>
      <c r="M644" s="9"/>
      <c r="N644" s="9"/>
      <c r="O644" s="9"/>
    </row>
    <row r="645">
      <c r="E645" s="9"/>
      <c r="H645" s="9"/>
      <c r="I645" s="9"/>
      <c r="K645" s="9"/>
      <c r="M645" s="9"/>
      <c r="N645" s="9"/>
      <c r="O645" s="9"/>
    </row>
    <row r="646">
      <c r="E646" s="9"/>
      <c r="H646" s="9"/>
      <c r="I646" s="9"/>
      <c r="K646" s="9"/>
      <c r="M646" s="9"/>
      <c r="N646" s="9"/>
      <c r="O646" s="9"/>
    </row>
    <row r="647">
      <c r="E647" s="9"/>
      <c r="H647" s="9"/>
      <c r="I647" s="9"/>
      <c r="K647" s="9"/>
      <c r="M647" s="9"/>
      <c r="N647" s="9"/>
      <c r="O647" s="9"/>
    </row>
    <row r="648">
      <c r="E648" s="9"/>
      <c r="H648" s="9"/>
      <c r="I648" s="9"/>
      <c r="K648" s="9"/>
      <c r="M648" s="9"/>
      <c r="N648" s="9"/>
      <c r="O648" s="9"/>
    </row>
    <row r="649">
      <c r="E649" s="9"/>
      <c r="H649" s="9"/>
      <c r="I649" s="9"/>
      <c r="K649" s="9"/>
      <c r="M649" s="9"/>
      <c r="N649" s="9"/>
      <c r="O649" s="9"/>
    </row>
    <row r="650">
      <c r="E650" s="9"/>
      <c r="H650" s="9"/>
      <c r="I650" s="9"/>
      <c r="K650" s="9"/>
      <c r="M650" s="9"/>
      <c r="N650" s="9"/>
      <c r="O650" s="9"/>
    </row>
    <row r="651">
      <c r="E651" s="9"/>
      <c r="H651" s="9"/>
      <c r="I651" s="9"/>
      <c r="K651" s="9"/>
      <c r="M651" s="9"/>
      <c r="N651" s="9"/>
      <c r="O651" s="9"/>
    </row>
    <row r="652">
      <c r="E652" s="9"/>
      <c r="H652" s="9"/>
      <c r="I652" s="9"/>
      <c r="K652" s="9"/>
      <c r="M652" s="9"/>
      <c r="N652" s="9"/>
      <c r="O652" s="9"/>
    </row>
    <row r="653">
      <c r="E653" s="9"/>
      <c r="H653" s="9"/>
      <c r="I653" s="9"/>
      <c r="K653" s="9"/>
      <c r="M653" s="9"/>
      <c r="N653" s="9"/>
      <c r="O653" s="9"/>
    </row>
    <row r="654">
      <c r="E654" s="9"/>
      <c r="H654" s="9"/>
      <c r="I654" s="9"/>
      <c r="K654" s="9"/>
      <c r="M654" s="9"/>
      <c r="N654" s="9"/>
      <c r="O654" s="9"/>
    </row>
    <row r="655">
      <c r="E655" s="9"/>
      <c r="H655" s="9"/>
      <c r="I655" s="9"/>
      <c r="K655" s="9"/>
      <c r="M655" s="9"/>
      <c r="N655" s="9"/>
      <c r="O655" s="9"/>
    </row>
    <row r="656">
      <c r="E656" s="9"/>
      <c r="H656" s="9"/>
      <c r="I656" s="9"/>
      <c r="K656" s="9"/>
      <c r="M656" s="9"/>
      <c r="N656" s="9"/>
      <c r="O656" s="9"/>
    </row>
    <row r="657">
      <c r="E657" s="9"/>
      <c r="H657" s="9"/>
      <c r="I657" s="9"/>
      <c r="K657" s="9"/>
      <c r="M657" s="9"/>
      <c r="N657" s="9"/>
      <c r="O657" s="9"/>
    </row>
    <row r="658">
      <c r="E658" s="9"/>
      <c r="H658" s="9"/>
      <c r="I658" s="9"/>
      <c r="K658" s="9"/>
      <c r="M658" s="9"/>
      <c r="N658" s="9"/>
      <c r="O658" s="9"/>
    </row>
    <row r="659">
      <c r="E659" s="9"/>
      <c r="H659" s="9"/>
      <c r="I659" s="9"/>
      <c r="K659" s="9"/>
      <c r="M659" s="9"/>
      <c r="N659" s="9"/>
      <c r="O659" s="9"/>
    </row>
    <row r="660">
      <c r="E660" s="9"/>
      <c r="H660" s="9"/>
      <c r="I660" s="9"/>
      <c r="K660" s="9"/>
      <c r="M660" s="9"/>
      <c r="N660" s="9"/>
      <c r="O660" s="9"/>
    </row>
    <row r="661">
      <c r="E661" s="9"/>
      <c r="H661" s="9"/>
      <c r="I661" s="9"/>
      <c r="K661" s="9"/>
      <c r="M661" s="9"/>
      <c r="N661" s="9"/>
      <c r="O661" s="9"/>
    </row>
    <row r="662">
      <c r="E662" s="9"/>
      <c r="H662" s="9"/>
      <c r="I662" s="9"/>
      <c r="K662" s="9"/>
      <c r="M662" s="9"/>
      <c r="N662" s="9"/>
      <c r="O662" s="9"/>
    </row>
    <row r="663">
      <c r="E663" s="9"/>
      <c r="H663" s="9"/>
      <c r="I663" s="9"/>
      <c r="K663" s="9"/>
      <c r="M663" s="9"/>
      <c r="N663" s="9"/>
      <c r="O663" s="9"/>
    </row>
    <row r="664">
      <c r="E664" s="9"/>
      <c r="H664" s="9"/>
      <c r="I664" s="9"/>
      <c r="K664" s="9"/>
      <c r="M664" s="9"/>
      <c r="N664" s="9"/>
      <c r="O664" s="9"/>
    </row>
    <row r="665">
      <c r="E665" s="9"/>
      <c r="H665" s="9"/>
      <c r="I665" s="9"/>
      <c r="K665" s="9"/>
      <c r="M665" s="9"/>
      <c r="N665" s="9"/>
      <c r="O665" s="9"/>
    </row>
    <row r="666">
      <c r="E666" s="9"/>
      <c r="H666" s="9"/>
      <c r="I666" s="9"/>
      <c r="K666" s="9"/>
      <c r="M666" s="9"/>
      <c r="N666" s="9"/>
      <c r="O666" s="9"/>
    </row>
    <row r="667">
      <c r="E667" s="9"/>
      <c r="H667" s="9"/>
      <c r="I667" s="9"/>
      <c r="K667" s="9"/>
      <c r="M667" s="9"/>
      <c r="N667" s="9"/>
      <c r="O667" s="9"/>
    </row>
    <row r="668">
      <c r="E668" s="9"/>
      <c r="H668" s="9"/>
      <c r="I668" s="9"/>
      <c r="K668" s="9"/>
      <c r="M668" s="9"/>
      <c r="N668" s="9"/>
      <c r="O668" s="9"/>
    </row>
    <row r="669">
      <c r="E669" s="9"/>
      <c r="H669" s="9"/>
      <c r="I669" s="9"/>
      <c r="K669" s="9"/>
      <c r="M669" s="9"/>
      <c r="N669" s="9"/>
      <c r="O669" s="9"/>
    </row>
    <row r="670">
      <c r="E670" s="9"/>
      <c r="H670" s="9"/>
      <c r="I670" s="9"/>
      <c r="K670" s="9"/>
      <c r="M670" s="9"/>
      <c r="N670" s="9"/>
      <c r="O670" s="9"/>
    </row>
    <row r="671">
      <c r="E671" s="9"/>
      <c r="H671" s="9"/>
      <c r="I671" s="9"/>
      <c r="K671" s="9"/>
      <c r="M671" s="9"/>
      <c r="N671" s="9"/>
      <c r="O671" s="9"/>
    </row>
    <row r="672">
      <c r="E672" s="9"/>
      <c r="H672" s="9"/>
      <c r="I672" s="9"/>
      <c r="K672" s="9"/>
      <c r="M672" s="9"/>
      <c r="N672" s="9"/>
      <c r="O672" s="9"/>
    </row>
    <row r="673">
      <c r="E673" s="9"/>
      <c r="H673" s="9"/>
      <c r="I673" s="9"/>
      <c r="K673" s="9"/>
      <c r="M673" s="9"/>
      <c r="N673" s="9"/>
      <c r="O673" s="9"/>
    </row>
    <row r="674">
      <c r="E674" s="9"/>
      <c r="H674" s="9"/>
      <c r="I674" s="9"/>
      <c r="K674" s="9"/>
      <c r="M674" s="9"/>
      <c r="N674" s="9"/>
      <c r="O674" s="9"/>
    </row>
    <row r="675">
      <c r="E675" s="9"/>
      <c r="H675" s="9"/>
      <c r="I675" s="9"/>
      <c r="K675" s="9"/>
      <c r="M675" s="9"/>
      <c r="N675" s="9"/>
      <c r="O675" s="9"/>
    </row>
    <row r="676">
      <c r="E676" s="9"/>
      <c r="H676" s="9"/>
      <c r="I676" s="9"/>
      <c r="K676" s="9"/>
      <c r="M676" s="9"/>
      <c r="N676" s="9"/>
      <c r="O676" s="9"/>
    </row>
    <row r="677">
      <c r="E677" s="9"/>
      <c r="H677" s="9"/>
      <c r="I677" s="9"/>
      <c r="K677" s="9"/>
      <c r="M677" s="9"/>
      <c r="N677" s="9"/>
      <c r="O677" s="9"/>
    </row>
    <row r="678">
      <c r="E678" s="9"/>
      <c r="H678" s="9"/>
      <c r="I678" s="9"/>
      <c r="K678" s="9"/>
      <c r="M678" s="9"/>
      <c r="N678" s="9"/>
      <c r="O678" s="9"/>
    </row>
    <row r="679">
      <c r="E679" s="9"/>
      <c r="H679" s="9"/>
      <c r="I679" s="9"/>
      <c r="K679" s="9"/>
      <c r="M679" s="9"/>
      <c r="N679" s="9"/>
      <c r="O679" s="9"/>
    </row>
    <row r="680">
      <c r="E680" s="9"/>
      <c r="H680" s="9"/>
      <c r="I680" s="9"/>
      <c r="K680" s="9"/>
      <c r="M680" s="9"/>
      <c r="N680" s="9"/>
      <c r="O680" s="9"/>
    </row>
    <row r="681">
      <c r="E681" s="9"/>
      <c r="H681" s="9"/>
      <c r="I681" s="9"/>
      <c r="K681" s="9"/>
      <c r="M681" s="9"/>
      <c r="N681" s="9"/>
      <c r="O681" s="9"/>
    </row>
    <row r="682">
      <c r="E682" s="9"/>
      <c r="H682" s="9"/>
      <c r="I682" s="9"/>
      <c r="K682" s="9"/>
      <c r="M682" s="9"/>
      <c r="N682" s="9"/>
      <c r="O682" s="9"/>
    </row>
    <row r="683">
      <c r="E683" s="9"/>
      <c r="H683" s="9"/>
      <c r="I683" s="9"/>
      <c r="K683" s="9"/>
      <c r="M683" s="9"/>
      <c r="N683" s="9"/>
      <c r="O683" s="9"/>
    </row>
    <row r="684">
      <c r="E684" s="9"/>
      <c r="H684" s="9"/>
      <c r="I684" s="9"/>
      <c r="K684" s="9"/>
      <c r="M684" s="9"/>
      <c r="N684" s="9"/>
      <c r="O684" s="9"/>
    </row>
    <row r="685">
      <c r="E685" s="9"/>
      <c r="H685" s="9"/>
      <c r="I685" s="9"/>
      <c r="K685" s="9"/>
      <c r="M685" s="9"/>
      <c r="N685" s="9"/>
      <c r="O685" s="9"/>
    </row>
    <row r="686">
      <c r="E686" s="9"/>
      <c r="H686" s="9"/>
      <c r="I686" s="9"/>
      <c r="K686" s="9"/>
      <c r="M686" s="9"/>
      <c r="N686" s="9"/>
      <c r="O686" s="9"/>
    </row>
    <row r="687">
      <c r="E687" s="9"/>
      <c r="H687" s="9"/>
      <c r="I687" s="9"/>
      <c r="K687" s="9"/>
      <c r="M687" s="9"/>
      <c r="N687" s="9"/>
      <c r="O687" s="9"/>
    </row>
    <row r="688">
      <c r="E688" s="9"/>
      <c r="H688" s="9"/>
      <c r="I688" s="9"/>
      <c r="K688" s="9"/>
      <c r="M688" s="9"/>
      <c r="N688" s="9"/>
      <c r="O688" s="9"/>
    </row>
    <row r="689">
      <c r="E689" s="9"/>
      <c r="H689" s="9"/>
      <c r="I689" s="9"/>
      <c r="K689" s="9"/>
      <c r="M689" s="9"/>
      <c r="N689" s="9"/>
      <c r="O689" s="9"/>
    </row>
    <row r="690">
      <c r="E690" s="9"/>
      <c r="H690" s="9"/>
      <c r="I690" s="9"/>
      <c r="K690" s="9"/>
      <c r="M690" s="9"/>
      <c r="N690" s="9"/>
      <c r="O690" s="9"/>
    </row>
    <row r="691">
      <c r="E691" s="9"/>
      <c r="H691" s="9"/>
      <c r="I691" s="9"/>
      <c r="K691" s="9"/>
      <c r="M691" s="9"/>
      <c r="N691" s="9"/>
      <c r="O691" s="9"/>
    </row>
    <row r="692">
      <c r="E692" s="9"/>
      <c r="H692" s="9"/>
      <c r="I692" s="9"/>
      <c r="K692" s="9"/>
      <c r="M692" s="9"/>
      <c r="N692" s="9"/>
      <c r="O692" s="9"/>
    </row>
    <row r="693">
      <c r="E693" s="9"/>
      <c r="H693" s="9"/>
      <c r="I693" s="9"/>
      <c r="K693" s="9"/>
      <c r="M693" s="9"/>
      <c r="N693" s="9"/>
      <c r="O693" s="9"/>
    </row>
    <row r="694">
      <c r="E694" s="9"/>
      <c r="H694" s="9"/>
      <c r="I694" s="9"/>
      <c r="K694" s="9"/>
      <c r="M694" s="9"/>
      <c r="N694" s="9"/>
      <c r="O694" s="9"/>
    </row>
    <row r="695">
      <c r="E695" s="9"/>
      <c r="H695" s="9"/>
      <c r="I695" s="9"/>
      <c r="K695" s="9"/>
      <c r="M695" s="9"/>
      <c r="N695" s="9"/>
      <c r="O695" s="9"/>
    </row>
    <row r="696">
      <c r="E696" s="9"/>
      <c r="H696" s="9"/>
      <c r="I696" s="9"/>
      <c r="K696" s="9"/>
      <c r="M696" s="9"/>
      <c r="N696" s="9"/>
      <c r="O696" s="9"/>
    </row>
    <row r="697">
      <c r="E697" s="9"/>
      <c r="H697" s="9"/>
      <c r="I697" s="9"/>
      <c r="K697" s="9"/>
      <c r="M697" s="9"/>
      <c r="N697" s="9"/>
      <c r="O697" s="9"/>
    </row>
    <row r="698">
      <c r="E698" s="9"/>
      <c r="H698" s="9"/>
      <c r="I698" s="9"/>
      <c r="K698" s="9"/>
      <c r="M698" s="9"/>
      <c r="N698" s="9"/>
      <c r="O698" s="9"/>
    </row>
    <row r="699">
      <c r="E699" s="9"/>
      <c r="H699" s="9"/>
      <c r="I699" s="9"/>
      <c r="K699" s="9"/>
      <c r="M699" s="9"/>
      <c r="N699" s="9"/>
      <c r="O699" s="9"/>
    </row>
    <row r="700">
      <c r="E700" s="9"/>
      <c r="H700" s="9"/>
      <c r="I700" s="9"/>
      <c r="K700" s="9"/>
      <c r="M700" s="9"/>
      <c r="N700" s="9"/>
      <c r="O700" s="9"/>
    </row>
    <row r="701">
      <c r="E701" s="9"/>
      <c r="H701" s="9"/>
      <c r="I701" s="9"/>
      <c r="K701" s="9"/>
      <c r="M701" s="9"/>
      <c r="N701" s="9"/>
      <c r="O701" s="9"/>
    </row>
    <row r="702">
      <c r="E702" s="9"/>
      <c r="H702" s="9"/>
      <c r="I702" s="9"/>
      <c r="K702" s="9"/>
      <c r="M702" s="9"/>
      <c r="N702" s="9"/>
      <c r="O702" s="9"/>
    </row>
    <row r="703">
      <c r="E703" s="9"/>
      <c r="H703" s="9"/>
      <c r="I703" s="9"/>
      <c r="K703" s="9"/>
      <c r="M703" s="9"/>
      <c r="N703" s="9"/>
      <c r="O703" s="9"/>
    </row>
    <row r="704">
      <c r="E704" s="9"/>
      <c r="H704" s="9"/>
      <c r="I704" s="9"/>
      <c r="K704" s="9"/>
      <c r="M704" s="9"/>
      <c r="N704" s="9"/>
      <c r="O704" s="9"/>
    </row>
    <row r="705">
      <c r="E705" s="9"/>
      <c r="H705" s="9"/>
      <c r="I705" s="9"/>
      <c r="K705" s="9"/>
      <c r="M705" s="9"/>
      <c r="N705" s="9"/>
      <c r="O705" s="9"/>
    </row>
    <row r="706">
      <c r="E706" s="9"/>
      <c r="H706" s="9"/>
      <c r="I706" s="9"/>
      <c r="K706" s="9"/>
      <c r="M706" s="9"/>
      <c r="N706" s="9"/>
      <c r="O706" s="9"/>
    </row>
    <row r="707">
      <c r="E707" s="9"/>
      <c r="H707" s="9"/>
      <c r="I707" s="9"/>
      <c r="K707" s="9"/>
      <c r="M707" s="9"/>
      <c r="N707" s="9"/>
      <c r="O707" s="9"/>
    </row>
    <row r="708">
      <c r="E708" s="9"/>
      <c r="H708" s="9"/>
      <c r="I708" s="9"/>
      <c r="K708" s="9"/>
      <c r="M708" s="9"/>
      <c r="N708" s="9"/>
      <c r="O708" s="9"/>
    </row>
    <row r="709">
      <c r="E709" s="9"/>
      <c r="H709" s="9"/>
      <c r="I709" s="9"/>
      <c r="K709" s="9"/>
      <c r="M709" s="9"/>
      <c r="N709" s="9"/>
      <c r="O709" s="9"/>
    </row>
    <row r="710">
      <c r="E710" s="9"/>
      <c r="H710" s="9"/>
      <c r="I710" s="9"/>
      <c r="K710" s="9"/>
      <c r="M710" s="9"/>
      <c r="N710" s="9"/>
      <c r="O710" s="9"/>
    </row>
    <row r="711">
      <c r="E711" s="9"/>
      <c r="H711" s="9"/>
      <c r="I711" s="9"/>
      <c r="K711" s="9"/>
      <c r="M711" s="9"/>
      <c r="N711" s="9"/>
      <c r="O711" s="9"/>
    </row>
    <row r="712">
      <c r="E712" s="9"/>
      <c r="H712" s="9"/>
      <c r="I712" s="9"/>
      <c r="K712" s="9"/>
      <c r="M712" s="9"/>
      <c r="N712" s="9"/>
      <c r="O712" s="9"/>
    </row>
    <row r="713">
      <c r="E713" s="9"/>
      <c r="H713" s="9"/>
      <c r="I713" s="9"/>
      <c r="K713" s="9"/>
      <c r="M713" s="9"/>
      <c r="N713" s="9"/>
      <c r="O713" s="9"/>
    </row>
    <row r="714">
      <c r="E714" s="9"/>
      <c r="H714" s="9"/>
      <c r="I714" s="9"/>
      <c r="K714" s="9"/>
      <c r="M714" s="9"/>
      <c r="N714" s="9"/>
      <c r="O714" s="9"/>
    </row>
    <row r="715">
      <c r="E715" s="9"/>
      <c r="H715" s="9"/>
      <c r="I715" s="9"/>
      <c r="K715" s="9"/>
      <c r="M715" s="9"/>
      <c r="N715" s="9"/>
      <c r="O715" s="9"/>
    </row>
    <row r="716">
      <c r="E716" s="9"/>
      <c r="H716" s="9"/>
      <c r="I716" s="9"/>
      <c r="K716" s="9"/>
      <c r="M716" s="9"/>
      <c r="N716" s="9"/>
      <c r="O716" s="9"/>
    </row>
    <row r="717">
      <c r="E717" s="9"/>
      <c r="H717" s="9"/>
      <c r="I717" s="9"/>
      <c r="K717" s="9"/>
      <c r="M717" s="9"/>
      <c r="N717" s="9"/>
      <c r="O717" s="9"/>
    </row>
    <row r="718">
      <c r="E718" s="9"/>
      <c r="H718" s="9"/>
      <c r="I718" s="9"/>
      <c r="K718" s="9"/>
      <c r="M718" s="9"/>
      <c r="N718" s="9"/>
      <c r="O718" s="9"/>
    </row>
    <row r="719">
      <c r="E719" s="9"/>
      <c r="H719" s="9"/>
      <c r="I719" s="9"/>
      <c r="K719" s="9"/>
      <c r="M719" s="9"/>
      <c r="N719" s="9"/>
      <c r="O719" s="9"/>
    </row>
    <row r="720">
      <c r="E720" s="9"/>
      <c r="H720" s="9"/>
      <c r="I720" s="9"/>
      <c r="K720" s="9"/>
      <c r="M720" s="9"/>
      <c r="N720" s="9"/>
      <c r="O720" s="9"/>
    </row>
    <row r="721">
      <c r="E721" s="9"/>
      <c r="H721" s="9"/>
      <c r="I721" s="9"/>
      <c r="K721" s="9"/>
      <c r="M721" s="9"/>
      <c r="N721" s="9"/>
      <c r="O721" s="9"/>
    </row>
    <row r="722">
      <c r="E722" s="9"/>
      <c r="H722" s="9"/>
      <c r="I722" s="9"/>
      <c r="K722" s="9"/>
      <c r="M722" s="9"/>
      <c r="N722" s="9"/>
      <c r="O722" s="9"/>
    </row>
    <row r="723">
      <c r="E723" s="9"/>
      <c r="H723" s="9"/>
      <c r="I723" s="9"/>
      <c r="K723" s="9"/>
      <c r="M723" s="9"/>
      <c r="N723" s="9"/>
      <c r="O723" s="9"/>
    </row>
    <row r="724">
      <c r="E724" s="9"/>
      <c r="H724" s="9"/>
      <c r="I724" s="9"/>
      <c r="K724" s="9"/>
      <c r="M724" s="9"/>
      <c r="N724" s="9"/>
      <c r="O724" s="9"/>
    </row>
    <row r="725">
      <c r="E725" s="9"/>
      <c r="H725" s="9"/>
      <c r="I725" s="9"/>
      <c r="K725" s="9"/>
      <c r="M725" s="9"/>
      <c r="N725" s="9"/>
      <c r="O725" s="9"/>
    </row>
    <row r="726">
      <c r="E726" s="9"/>
      <c r="H726" s="9"/>
      <c r="I726" s="9"/>
      <c r="K726" s="9"/>
      <c r="M726" s="9"/>
      <c r="N726" s="9"/>
      <c r="O726" s="9"/>
    </row>
    <row r="727">
      <c r="E727" s="9"/>
      <c r="H727" s="9"/>
      <c r="I727" s="9"/>
      <c r="K727" s="9"/>
      <c r="M727" s="9"/>
      <c r="N727" s="9"/>
      <c r="O727" s="9"/>
    </row>
    <row r="728">
      <c r="E728" s="9"/>
      <c r="H728" s="9"/>
      <c r="I728" s="9"/>
      <c r="K728" s="9"/>
      <c r="M728" s="9"/>
      <c r="N728" s="9"/>
      <c r="O728" s="9"/>
    </row>
    <row r="729">
      <c r="E729" s="9"/>
      <c r="H729" s="9"/>
      <c r="I729" s="9"/>
      <c r="K729" s="9"/>
      <c r="M729" s="9"/>
      <c r="N729" s="9"/>
      <c r="O729" s="9"/>
    </row>
    <row r="730">
      <c r="E730" s="9"/>
      <c r="H730" s="9"/>
      <c r="I730" s="9"/>
      <c r="K730" s="9"/>
      <c r="M730" s="9"/>
      <c r="N730" s="9"/>
      <c r="O730" s="9"/>
    </row>
    <row r="731">
      <c r="E731" s="9"/>
      <c r="H731" s="9"/>
      <c r="I731" s="9"/>
      <c r="K731" s="9"/>
      <c r="M731" s="9"/>
      <c r="N731" s="9"/>
      <c r="O731" s="9"/>
    </row>
    <row r="732">
      <c r="E732" s="9"/>
      <c r="H732" s="9"/>
      <c r="I732" s="9"/>
      <c r="K732" s="9"/>
      <c r="M732" s="9"/>
      <c r="N732" s="9"/>
      <c r="O732" s="9"/>
    </row>
    <row r="733">
      <c r="E733" s="9"/>
      <c r="H733" s="9"/>
      <c r="I733" s="9"/>
      <c r="K733" s="9"/>
      <c r="M733" s="9"/>
      <c r="N733" s="9"/>
      <c r="O733" s="9"/>
    </row>
    <row r="734">
      <c r="E734" s="9"/>
      <c r="H734" s="9"/>
      <c r="I734" s="9"/>
      <c r="K734" s="9"/>
      <c r="M734" s="9"/>
      <c r="N734" s="9"/>
      <c r="O734" s="9"/>
    </row>
    <row r="735">
      <c r="E735" s="9"/>
      <c r="H735" s="9"/>
      <c r="I735" s="9"/>
      <c r="K735" s="9"/>
      <c r="M735" s="9"/>
      <c r="N735" s="9"/>
      <c r="O735" s="9"/>
    </row>
    <row r="736">
      <c r="E736" s="9"/>
      <c r="H736" s="9"/>
      <c r="I736" s="9"/>
      <c r="K736" s="9"/>
      <c r="M736" s="9"/>
      <c r="N736" s="9"/>
      <c r="O736" s="9"/>
    </row>
    <row r="737">
      <c r="E737" s="9"/>
      <c r="H737" s="9"/>
      <c r="I737" s="9"/>
      <c r="K737" s="9"/>
      <c r="M737" s="9"/>
      <c r="N737" s="9"/>
      <c r="O737" s="9"/>
    </row>
    <row r="738">
      <c r="E738" s="9"/>
      <c r="H738" s="9"/>
      <c r="I738" s="9"/>
      <c r="K738" s="9"/>
      <c r="M738" s="9"/>
      <c r="N738" s="9"/>
      <c r="O738" s="9"/>
    </row>
    <row r="739">
      <c r="E739" s="9"/>
      <c r="H739" s="9"/>
      <c r="I739" s="9"/>
      <c r="K739" s="9"/>
      <c r="M739" s="9"/>
      <c r="N739" s="9"/>
      <c r="O739" s="9"/>
    </row>
    <row r="740">
      <c r="E740" s="9"/>
      <c r="H740" s="9"/>
      <c r="I740" s="9"/>
      <c r="K740" s="9"/>
      <c r="M740" s="9"/>
      <c r="N740" s="9"/>
      <c r="O740" s="9"/>
    </row>
    <row r="741">
      <c r="E741" s="9"/>
      <c r="H741" s="9"/>
      <c r="I741" s="9"/>
      <c r="K741" s="9"/>
      <c r="M741" s="9"/>
      <c r="N741" s="9"/>
      <c r="O741" s="9"/>
    </row>
    <row r="742">
      <c r="E742" s="9"/>
      <c r="H742" s="9"/>
      <c r="I742" s="9"/>
      <c r="K742" s="9"/>
      <c r="M742" s="9"/>
      <c r="N742" s="9"/>
      <c r="O742" s="9"/>
    </row>
    <row r="743">
      <c r="E743" s="9"/>
      <c r="H743" s="9"/>
      <c r="I743" s="9"/>
      <c r="K743" s="9"/>
      <c r="M743" s="9"/>
      <c r="N743" s="9"/>
      <c r="O743" s="9"/>
    </row>
    <row r="744">
      <c r="E744" s="9"/>
      <c r="H744" s="9"/>
      <c r="I744" s="9"/>
      <c r="K744" s="9"/>
      <c r="M744" s="9"/>
      <c r="N744" s="9"/>
      <c r="O744" s="9"/>
    </row>
    <row r="745">
      <c r="E745" s="9"/>
      <c r="H745" s="9"/>
      <c r="I745" s="9"/>
      <c r="K745" s="9"/>
      <c r="M745" s="9"/>
      <c r="N745" s="9"/>
      <c r="O745" s="9"/>
    </row>
    <row r="746">
      <c r="E746" s="9"/>
      <c r="H746" s="9"/>
      <c r="I746" s="9"/>
      <c r="K746" s="9"/>
      <c r="M746" s="9"/>
      <c r="N746" s="9"/>
      <c r="O746" s="9"/>
    </row>
    <row r="747">
      <c r="E747" s="9"/>
      <c r="H747" s="9"/>
      <c r="I747" s="9"/>
      <c r="K747" s="9"/>
      <c r="M747" s="9"/>
      <c r="N747" s="9"/>
      <c r="O747" s="9"/>
    </row>
    <row r="748">
      <c r="E748" s="9"/>
      <c r="H748" s="9"/>
      <c r="I748" s="9"/>
      <c r="K748" s="9"/>
      <c r="M748" s="9"/>
      <c r="N748" s="9"/>
      <c r="O748" s="9"/>
    </row>
    <row r="749">
      <c r="E749" s="9"/>
      <c r="H749" s="9"/>
      <c r="I749" s="9"/>
      <c r="K749" s="9"/>
      <c r="M749" s="9"/>
      <c r="N749" s="9"/>
      <c r="O749" s="9"/>
    </row>
    <row r="750">
      <c r="E750" s="9"/>
      <c r="H750" s="9"/>
      <c r="I750" s="9"/>
      <c r="K750" s="9"/>
      <c r="M750" s="9"/>
      <c r="N750" s="9"/>
      <c r="O750" s="9"/>
    </row>
    <row r="751">
      <c r="E751" s="9"/>
      <c r="H751" s="9"/>
      <c r="I751" s="9"/>
      <c r="K751" s="9"/>
      <c r="M751" s="9"/>
      <c r="N751" s="9"/>
      <c r="O751" s="9"/>
    </row>
    <row r="752">
      <c r="E752" s="9"/>
      <c r="H752" s="9"/>
      <c r="I752" s="9"/>
      <c r="K752" s="9"/>
      <c r="M752" s="9"/>
      <c r="N752" s="9"/>
      <c r="O752" s="9"/>
    </row>
    <row r="753">
      <c r="E753" s="9"/>
      <c r="H753" s="9"/>
      <c r="I753" s="9"/>
      <c r="K753" s="9"/>
      <c r="M753" s="9"/>
      <c r="N753" s="9"/>
      <c r="O753" s="9"/>
    </row>
    <row r="754">
      <c r="E754" s="9"/>
      <c r="H754" s="9"/>
      <c r="I754" s="9"/>
      <c r="K754" s="9"/>
      <c r="M754" s="9"/>
      <c r="N754" s="9"/>
      <c r="O754" s="9"/>
    </row>
    <row r="755">
      <c r="E755" s="9"/>
      <c r="H755" s="9"/>
      <c r="I755" s="9"/>
      <c r="K755" s="9"/>
      <c r="M755" s="9"/>
      <c r="N755" s="9"/>
      <c r="O755" s="9"/>
    </row>
    <row r="756">
      <c r="E756" s="9"/>
      <c r="H756" s="9"/>
      <c r="I756" s="9"/>
      <c r="K756" s="9"/>
      <c r="M756" s="9"/>
      <c r="N756" s="9"/>
      <c r="O756" s="9"/>
    </row>
    <row r="757">
      <c r="E757" s="9"/>
      <c r="H757" s="9"/>
      <c r="I757" s="9"/>
      <c r="K757" s="9"/>
      <c r="M757" s="9"/>
      <c r="N757" s="9"/>
      <c r="O757" s="9"/>
    </row>
    <row r="758">
      <c r="E758" s="9"/>
      <c r="H758" s="9"/>
      <c r="I758" s="9"/>
      <c r="K758" s="9"/>
      <c r="M758" s="9"/>
      <c r="N758" s="9"/>
      <c r="O758" s="9"/>
    </row>
    <row r="759">
      <c r="E759" s="9"/>
      <c r="H759" s="9"/>
      <c r="I759" s="9"/>
      <c r="K759" s="9"/>
      <c r="M759" s="9"/>
      <c r="N759" s="9"/>
      <c r="O759" s="9"/>
    </row>
    <row r="760">
      <c r="E760" s="9"/>
      <c r="H760" s="9"/>
      <c r="I760" s="9"/>
      <c r="K760" s="9"/>
      <c r="M760" s="9"/>
      <c r="N760" s="9"/>
      <c r="O760" s="9"/>
    </row>
    <row r="761">
      <c r="E761" s="9"/>
      <c r="H761" s="9"/>
      <c r="I761" s="9"/>
      <c r="K761" s="9"/>
      <c r="M761" s="9"/>
      <c r="N761" s="9"/>
      <c r="O761" s="9"/>
    </row>
    <row r="762">
      <c r="E762" s="9"/>
      <c r="H762" s="9"/>
      <c r="I762" s="9"/>
      <c r="K762" s="9"/>
      <c r="M762" s="9"/>
      <c r="N762" s="9"/>
      <c r="O762" s="9"/>
    </row>
    <row r="763">
      <c r="E763" s="9"/>
      <c r="H763" s="9"/>
      <c r="I763" s="9"/>
      <c r="K763" s="9"/>
      <c r="M763" s="9"/>
      <c r="N763" s="9"/>
      <c r="O763" s="9"/>
    </row>
    <row r="764">
      <c r="E764" s="9"/>
      <c r="H764" s="9"/>
      <c r="I764" s="9"/>
      <c r="K764" s="9"/>
      <c r="M764" s="9"/>
      <c r="N764" s="9"/>
      <c r="O764" s="9"/>
    </row>
    <row r="765">
      <c r="E765" s="9"/>
      <c r="H765" s="9"/>
      <c r="I765" s="9"/>
      <c r="K765" s="9"/>
      <c r="M765" s="9"/>
      <c r="N765" s="9"/>
      <c r="O765" s="9"/>
    </row>
    <row r="766">
      <c r="E766" s="9"/>
      <c r="H766" s="9"/>
      <c r="I766" s="9"/>
      <c r="K766" s="9"/>
      <c r="M766" s="9"/>
      <c r="N766" s="9"/>
      <c r="O766" s="9"/>
    </row>
    <row r="767">
      <c r="E767" s="9"/>
      <c r="H767" s="9"/>
      <c r="I767" s="9"/>
      <c r="K767" s="9"/>
      <c r="M767" s="9"/>
      <c r="N767" s="9"/>
      <c r="O767" s="9"/>
    </row>
    <row r="768">
      <c r="E768" s="9"/>
      <c r="H768" s="9"/>
      <c r="I768" s="9"/>
      <c r="K768" s="9"/>
      <c r="M768" s="9"/>
      <c r="N768" s="9"/>
      <c r="O768" s="9"/>
    </row>
    <row r="769">
      <c r="E769" s="9"/>
      <c r="H769" s="9"/>
      <c r="I769" s="9"/>
      <c r="K769" s="9"/>
      <c r="M769" s="9"/>
      <c r="N769" s="9"/>
      <c r="O769" s="9"/>
    </row>
    <row r="770">
      <c r="E770" s="9"/>
      <c r="H770" s="9"/>
      <c r="I770" s="9"/>
      <c r="K770" s="9"/>
      <c r="M770" s="9"/>
      <c r="N770" s="9"/>
      <c r="O770" s="9"/>
    </row>
    <row r="771">
      <c r="E771" s="9"/>
      <c r="H771" s="9"/>
      <c r="I771" s="9"/>
      <c r="K771" s="9"/>
      <c r="M771" s="9"/>
      <c r="N771" s="9"/>
      <c r="O771" s="9"/>
    </row>
    <row r="772">
      <c r="E772" s="9"/>
      <c r="H772" s="9"/>
      <c r="I772" s="9"/>
      <c r="K772" s="9"/>
      <c r="M772" s="9"/>
      <c r="N772" s="9"/>
      <c r="O772" s="9"/>
    </row>
    <row r="773">
      <c r="E773" s="9"/>
      <c r="H773" s="9"/>
      <c r="I773" s="9"/>
      <c r="K773" s="9"/>
      <c r="M773" s="9"/>
      <c r="N773" s="9"/>
      <c r="O773" s="9"/>
    </row>
    <row r="774">
      <c r="E774" s="9"/>
      <c r="H774" s="9"/>
      <c r="I774" s="9"/>
      <c r="K774" s="9"/>
      <c r="M774" s="9"/>
      <c r="N774" s="9"/>
      <c r="O774" s="9"/>
    </row>
    <row r="775">
      <c r="E775" s="9"/>
      <c r="H775" s="9"/>
      <c r="I775" s="9"/>
      <c r="K775" s="9"/>
      <c r="M775" s="9"/>
      <c r="N775" s="9"/>
      <c r="O775" s="9"/>
    </row>
    <row r="776">
      <c r="E776" s="9"/>
      <c r="H776" s="9"/>
      <c r="I776" s="9"/>
      <c r="K776" s="9"/>
      <c r="M776" s="9"/>
      <c r="N776" s="9"/>
      <c r="O776" s="9"/>
    </row>
    <row r="777">
      <c r="E777" s="9"/>
      <c r="H777" s="9"/>
      <c r="I777" s="9"/>
      <c r="K777" s="9"/>
      <c r="M777" s="9"/>
      <c r="N777" s="9"/>
      <c r="O777" s="9"/>
    </row>
    <row r="778">
      <c r="E778" s="9"/>
      <c r="H778" s="9"/>
      <c r="I778" s="9"/>
      <c r="K778" s="9"/>
      <c r="M778" s="9"/>
      <c r="N778" s="9"/>
      <c r="O778" s="9"/>
    </row>
    <row r="779">
      <c r="E779" s="9"/>
      <c r="H779" s="9"/>
      <c r="I779" s="9"/>
      <c r="K779" s="9"/>
      <c r="M779" s="9"/>
      <c r="N779" s="9"/>
      <c r="O779" s="9"/>
    </row>
    <row r="780">
      <c r="E780" s="9"/>
      <c r="H780" s="9"/>
      <c r="I780" s="9"/>
      <c r="K780" s="9"/>
      <c r="M780" s="9"/>
      <c r="N780" s="9"/>
      <c r="O780" s="9"/>
    </row>
    <row r="781">
      <c r="E781" s="9"/>
      <c r="H781" s="9"/>
      <c r="I781" s="9"/>
      <c r="K781" s="9"/>
      <c r="M781" s="9"/>
      <c r="N781" s="9"/>
      <c r="O781" s="9"/>
    </row>
    <row r="782">
      <c r="E782" s="9"/>
      <c r="H782" s="9"/>
      <c r="I782" s="9"/>
      <c r="K782" s="9"/>
      <c r="M782" s="9"/>
      <c r="N782" s="9"/>
      <c r="O782" s="9"/>
    </row>
    <row r="783">
      <c r="E783" s="9"/>
      <c r="H783" s="9"/>
      <c r="I783" s="9"/>
      <c r="K783" s="9"/>
      <c r="M783" s="9"/>
      <c r="N783" s="9"/>
      <c r="O783" s="9"/>
    </row>
    <row r="784">
      <c r="E784" s="9"/>
      <c r="H784" s="9"/>
      <c r="I784" s="9"/>
      <c r="K784" s="9"/>
      <c r="M784" s="9"/>
      <c r="N784" s="9"/>
      <c r="O784" s="9"/>
    </row>
    <row r="785">
      <c r="E785" s="9"/>
      <c r="H785" s="9"/>
      <c r="I785" s="9"/>
      <c r="K785" s="9"/>
      <c r="M785" s="9"/>
      <c r="N785" s="9"/>
      <c r="O785" s="9"/>
    </row>
    <row r="786">
      <c r="E786" s="9"/>
      <c r="H786" s="9"/>
      <c r="I786" s="9"/>
      <c r="K786" s="9"/>
      <c r="M786" s="9"/>
      <c r="N786" s="9"/>
      <c r="O786" s="9"/>
    </row>
    <row r="787">
      <c r="E787" s="9"/>
      <c r="H787" s="9"/>
      <c r="I787" s="9"/>
      <c r="K787" s="9"/>
      <c r="M787" s="9"/>
      <c r="N787" s="9"/>
      <c r="O787" s="9"/>
    </row>
    <row r="788">
      <c r="E788" s="9"/>
      <c r="H788" s="9"/>
      <c r="I788" s="9"/>
      <c r="K788" s="9"/>
      <c r="M788" s="9"/>
      <c r="N788" s="9"/>
      <c r="O788" s="9"/>
    </row>
    <row r="789">
      <c r="E789" s="9"/>
      <c r="H789" s="9"/>
      <c r="I789" s="9"/>
      <c r="K789" s="9"/>
      <c r="M789" s="9"/>
      <c r="N789" s="9"/>
      <c r="O789" s="9"/>
    </row>
    <row r="790">
      <c r="E790" s="9"/>
      <c r="H790" s="9"/>
      <c r="I790" s="9"/>
      <c r="K790" s="9"/>
      <c r="M790" s="9"/>
      <c r="N790" s="9"/>
      <c r="O790" s="9"/>
    </row>
    <row r="791">
      <c r="E791" s="9"/>
      <c r="H791" s="9"/>
      <c r="I791" s="9"/>
      <c r="K791" s="9"/>
      <c r="M791" s="9"/>
      <c r="N791" s="9"/>
      <c r="O791" s="9"/>
    </row>
    <row r="792">
      <c r="E792" s="9"/>
      <c r="H792" s="9"/>
      <c r="I792" s="9"/>
      <c r="K792" s="9"/>
      <c r="M792" s="9"/>
      <c r="N792" s="9"/>
      <c r="O792" s="9"/>
    </row>
    <row r="793">
      <c r="E793" s="9"/>
      <c r="H793" s="9"/>
      <c r="I793" s="9"/>
      <c r="K793" s="9"/>
      <c r="M793" s="9"/>
      <c r="N793" s="9"/>
      <c r="O793" s="9"/>
    </row>
    <row r="794">
      <c r="E794" s="9"/>
      <c r="H794" s="9"/>
      <c r="I794" s="9"/>
      <c r="K794" s="9"/>
      <c r="M794" s="9"/>
      <c r="N794" s="9"/>
      <c r="O794" s="9"/>
    </row>
    <row r="795">
      <c r="E795" s="9"/>
      <c r="H795" s="9"/>
      <c r="I795" s="9"/>
      <c r="K795" s="9"/>
      <c r="M795" s="9"/>
      <c r="N795" s="9"/>
      <c r="O795" s="9"/>
    </row>
    <row r="796">
      <c r="E796" s="9"/>
      <c r="H796" s="9"/>
      <c r="I796" s="9"/>
      <c r="K796" s="9"/>
      <c r="M796" s="9"/>
      <c r="N796" s="9"/>
      <c r="O796" s="9"/>
    </row>
    <row r="797">
      <c r="E797" s="9"/>
      <c r="H797" s="9"/>
      <c r="I797" s="9"/>
      <c r="K797" s="9"/>
      <c r="M797" s="9"/>
      <c r="N797" s="9"/>
      <c r="O797" s="9"/>
    </row>
    <row r="798">
      <c r="E798" s="9"/>
      <c r="H798" s="9"/>
      <c r="I798" s="9"/>
      <c r="K798" s="9"/>
      <c r="M798" s="9"/>
      <c r="N798" s="9"/>
      <c r="O798" s="9"/>
    </row>
    <row r="799">
      <c r="E799" s="9"/>
      <c r="H799" s="9"/>
      <c r="I799" s="9"/>
      <c r="K799" s="9"/>
      <c r="M799" s="9"/>
      <c r="N799" s="9"/>
      <c r="O799" s="9"/>
    </row>
    <row r="800">
      <c r="E800" s="9"/>
      <c r="H800" s="9"/>
      <c r="I800" s="9"/>
      <c r="K800" s="9"/>
      <c r="M800" s="9"/>
      <c r="N800" s="9"/>
      <c r="O800" s="9"/>
    </row>
    <row r="801">
      <c r="E801" s="9"/>
      <c r="H801" s="9"/>
      <c r="I801" s="9"/>
      <c r="K801" s="9"/>
      <c r="M801" s="9"/>
      <c r="N801" s="9"/>
      <c r="O801" s="9"/>
    </row>
    <row r="802">
      <c r="E802" s="9"/>
      <c r="H802" s="9"/>
      <c r="I802" s="9"/>
      <c r="K802" s="9"/>
      <c r="M802" s="9"/>
      <c r="N802" s="9"/>
      <c r="O802" s="9"/>
    </row>
    <row r="803">
      <c r="E803" s="9"/>
      <c r="H803" s="9"/>
      <c r="I803" s="9"/>
      <c r="K803" s="9"/>
      <c r="M803" s="9"/>
      <c r="N803" s="9"/>
      <c r="O803" s="9"/>
    </row>
    <row r="804">
      <c r="E804" s="9"/>
      <c r="H804" s="9"/>
      <c r="I804" s="9"/>
      <c r="K804" s="9"/>
      <c r="M804" s="9"/>
      <c r="N804" s="9"/>
      <c r="O804" s="9"/>
    </row>
    <row r="805">
      <c r="E805" s="9"/>
      <c r="H805" s="9"/>
      <c r="I805" s="9"/>
      <c r="K805" s="9"/>
      <c r="M805" s="9"/>
      <c r="N805" s="9"/>
      <c r="O805" s="9"/>
    </row>
    <row r="806">
      <c r="E806" s="9"/>
      <c r="H806" s="9"/>
      <c r="I806" s="9"/>
      <c r="K806" s="9"/>
      <c r="M806" s="9"/>
      <c r="N806" s="9"/>
      <c r="O806" s="9"/>
    </row>
    <row r="807">
      <c r="E807" s="9"/>
      <c r="H807" s="9"/>
      <c r="I807" s="9"/>
      <c r="K807" s="9"/>
      <c r="M807" s="9"/>
      <c r="N807" s="9"/>
      <c r="O807" s="9"/>
    </row>
    <row r="808">
      <c r="E808" s="9"/>
      <c r="H808" s="9"/>
      <c r="I808" s="9"/>
      <c r="K808" s="9"/>
      <c r="M808" s="9"/>
      <c r="N808" s="9"/>
      <c r="O808" s="9"/>
    </row>
    <row r="809">
      <c r="E809" s="9"/>
      <c r="H809" s="9"/>
      <c r="I809" s="9"/>
      <c r="K809" s="9"/>
      <c r="M809" s="9"/>
      <c r="N809" s="9"/>
      <c r="O809" s="9"/>
    </row>
    <row r="810">
      <c r="E810" s="9"/>
      <c r="H810" s="9"/>
      <c r="I810" s="9"/>
      <c r="K810" s="9"/>
      <c r="M810" s="9"/>
      <c r="N810" s="9"/>
      <c r="O810" s="9"/>
    </row>
    <row r="811">
      <c r="E811" s="9"/>
      <c r="H811" s="9"/>
      <c r="I811" s="9"/>
      <c r="K811" s="9"/>
      <c r="M811" s="9"/>
      <c r="N811" s="9"/>
      <c r="O811" s="9"/>
    </row>
    <row r="812">
      <c r="E812" s="9"/>
      <c r="H812" s="9"/>
      <c r="I812" s="9"/>
      <c r="K812" s="9"/>
      <c r="M812" s="9"/>
      <c r="N812" s="9"/>
      <c r="O812" s="9"/>
    </row>
    <row r="813">
      <c r="E813" s="9"/>
      <c r="H813" s="9"/>
      <c r="I813" s="9"/>
      <c r="K813" s="9"/>
      <c r="M813" s="9"/>
      <c r="N813" s="9"/>
      <c r="O813" s="9"/>
    </row>
    <row r="814">
      <c r="E814" s="9"/>
      <c r="H814" s="9"/>
      <c r="I814" s="9"/>
      <c r="K814" s="9"/>
      <c r="M814" s="9"/>
      <c r="N814" s="9"/>
      <c r="O814" s="9"/>
    </row>
    <row r="815">
      <c r="E815" s="9"/>
      <c r="H815" s="9"/>
      <c r="I815" s="9"/>
      <c r="K815" s="9"/>
      <c r="M815" s="9"/>
      <c r="N815" s="9"/>
      <c r="O815" s="9"/>
    </row>
    <row r="816">
      <c r="E816" s="9"/>
      <c r="H816" s="9"/>
      <c r="I816" s="9"/>
      <c r="K816" s="9"/>
      <c r="M816" s="9"/>
      <c r="N816" s="9"/>
      <c r="O816" s="9"/>
    </row>
    <row r="817">
      <c r="E817" s="9"/>
      <c r="H817" s="9"/>
      <c r="I817" s="9"/>
      <c r="K817" s="9"/>
      <c r="M817" s="9"/>
      <c r="N817" s="9"/>
      <c r="O817" s="9"/>
    </row>
    <row r="818">
      <c r="E818" s="9"/>
      <c r="H818" s="9"/>
      <c r="I818" s="9"/>
      <c r="K818" s="9"/>
      <c r="M818" s="9"/>
      <c r="N818" s="9"/>
      <c r="O818" s="9"/>
    </row>
    <row r="819">
      <c r="E819" s="9"/>
      <c r="H819" s="9"/>
      <c r="I819" s="9"/>
      <c r="K819" s="9"/>
      <c r="M819" s="9"/>
      <c r="N819" s="9"/>
      <c r="O819" s="9"/>
    </row>
    <row r="820">
      <c r="E820" s="9"/>
      <c r="H820" s="9"/>
      <c r="I820" s="9"/>
      <c r="K820" s="9"/>
      <c r="M820" s="9"/>
      <c r="N820" s="9"/>
      <c r="O820" s="9"/>
    </row>
    <row r="821">
      <c r="E821" s="9"/>
      <c r="H821" s="9"/>
      <c r="I821" s="9"/>
      <c r="K821" s="9"/>
      <c r="M821" s="9"/>
      <c r="N821" s="9"/>
      <c r="O821" s="9"/>
    </row>
    <row r="822">
      <c r="E822" s="9"/>
      <c r="H822" s="9"/>
      <c r="I822" s="9"/>
      <c r="K822" s="9"/>
      <c r="M822" s="9"/>
      <c r="N822" s="9"/>
      <c r="O822" s="9"/>
    </row>
    <row r="823">
      <c r="E823" s="9"/>
      <c r="H823" s="9"/>
      <c r="I823" s="9"/>
      <c r="K823" s="9"/>
      <c r="M823" s="9"/>
      <c r="N823" s="9"/>
      <c r="O823" s="9"/>
    </row>
    <row r="824">
      <c r="E824" s="9"/>
      <c r="H824" s="9"/>
      <c r="I824" s="9"/>
      <c r="K824" s="9"/>
      <c r="M824" s="9"/>
      <c r="N824" s="9"/>
      <c r="O824" s="9"/>
    </row>
    <row r="825">
      <c r="E825" s="9"/>
      <c r="H825" s="9"/>
      <c r="I825" s="9"/>
      <c r="K825" s="9"/>
      <c r="M825" s="9"/>
      <c r="N825" s="9"/>
      <c r="O825" s="9"/>
    </row>
    <row r="826">
      <c r="E826" s="9"/>
      <c r="H826" s="9"/>
      <c r="I826" s="9"/>
      <c r="K826" s="9"/>
      <c r="M826" s="9"/>
      <c r="N826" s="9"/>
      <c r="O826" s="9"/>
    </row>
    <row r="827">
      <c r="E827" s="9"/>
      <c r="H827" s="9"/>
      <c r="I827" s="9"/>
      <c r="K827" s="9"/>
      <c r="M827" s="9"/>
      <c r="N827" s="9"/>
      <c r="O827" s="9"/>
    </row>
    <row r="828">
      <c r="E828" s="9"/>
      <c r="H828" s="9"/>
      <c r="I828" s="9"/>
      <c r="K828" s="9"/>
      <c r="M828" s="9"/>
      <c r="N828" s="9"/>
      <c r="O828" s="9"/>
    </row>
    <row r="829">
      <c r="E829" s="9"/>
      <c r="H829" s="9"/>
      <c r="I829" s="9"/>
      <c r="K829" s="9"/>
      <c r="M829" s="9"/>
      <c r="N829" s="9"/>
      <c r="O829" s="9"/>
    </row>
    <row r="830">
      <c r="E830" s="9"/>
      <c r="H830" s="9"/>
      <c r="I830" s="9"/>
      <c r="K830" s="9"/>
      <c r="M830" s="9"/>
      <c r="N830" s="9"/>
      <c r="O830" s="9"/>
    </row>
    <row r="831">
      <c r="E831" s="9"/>
      <c r="H831" s="9"/>
      <c r="I831" s="9"/>
      <c r="K831" s="9"/>
      <c r="M831" s="9"/>
      <c r="N831" s="9"/>
      <c r="O831" s="9"/>
    </row>
    <row r="832">
      <c r="E832" s="9"/>
      <c r="H832" s="9"/>
      <c r="I832" s="9"/>
      <c r="K832" s="9"/>
      <c r="M832" s="9"/>
      <c r="N832" s="9"/>
      <c r="O832" s="9"/>
    </row>
    <row r="833">
      <c r="E833" s="9"/>
      <c r="H833" s="9"/>
      <c r="I833" s="9"/>
      <c r="K833" s="9"/>
      <c r="M833" s="9"/>
      <c r="N833" s="9"/>
      <c r="O833" s="9"/>
    </row>
    <row r="834">
      <c r="E834" s="9"/>
      <c r="H834" s="9"/>
      <c r="I834" s="9"/>
      <c r="K834" s="9"/>
      <c r="M834" s="9"/>
      <c r="N834" s="9"/>
      <c r="O834" s="9"/>
    </row>
    <row r="835">
      <c r="E835" s="9"/>
      <c r="H835" s="9"/>
      <c r="I835" s="9"/>
      <c r="K835" s="9"/>
      <c r="M835" s="9"/>
      <c r="N835" s="9"/>
      <c r="O835" s="9"/>
    </row>
    <row r="836">
      <c r="E836" s="9"/>
      <c r="H836" s="9"/>
      <c r="I836" s="9"/>
      <c r="K836" s="9"/>
      <c r="M836" s="9"/>
      <c r="N836" s="9"/>
      <c r="O836" s="9"/>
    </row>
    <row r="837">
      <c r="E837" s="9"/>
      <c r="H837" s="9"/>
      <c r="I837" s="9"/>
      <c r="K837" s="9"/>
      <c r="M837" s="9"/>
      <c r="N837" s="9"/>
      <c r="O837" s="9"/>
    </row>
    <row r="838">
      <c r="E838" s="9"/>
      <c r="H838" s="9"/>
      <c r="I838" s="9"/>
      <c r="K838" s="9"/>
      <c r="M838" s="9"/>
      <c r="N838" s="9"/>
      <c r="O838" s="9"/>
    </row>
    <row r="839">
      <c r="E839" s="9"/>
      <c r="H839" s="9"/>
      <c r="I839" s="9"/>
      <c r="K839" s="9"/>
      <c r="M839" s="9"/>
      <c r="N839" s="9"/>
      <c r="O839" s="9"/>
    </row>
    <row r="840">
      <c r="E840" s="9"/>
      <c r="H840" s="9"/>
      <c r="I840" s="9"/>
      <c r="K840" s="9"/>
      <c r="M840" s="9"/>
      <c r="N840" s="9"/>
      <c r="O840" s="9"/>
    </row>
    <row r="841">
      <c r="E841" s="9"/>
      <c r="H841" s="9"/>
      <c r="I841" s="9"/>
      <c r="K841" s="9"/>
      <c r="M841" s="9"/>
      <c r="N841" s="9"/>
      <c r="O841" s="9"/>
    </row>
    <row r="842">
      <c r="E842" s="9"/>
      <c r="H842" s="9"/>
      <c r="I842" s="9"/>
      <c r="K842" s="9"/>
      <c r="M842" s="9"/>
      <c r="N842" s="9"/>
      <c r="O842" s="9"/>
    </row>
    <row r="843">
      <c r="E843" s="9"/>
      <c r="H843" s="9"/>
      <c r="I843" s="9"/>
      <c r="K843" s="9"/>
      <c r="M843" s="9"/>
      <c r="N843" s="9"/>
      <c r="O843" s="9"/>
    </row>
    <row r="844">
      <c r="E844" s="9"/>
      <c r="H844" s="9"/>
      <c r="I844" s="9"/>
      <c r="K844" s="9"/>
      <c r="M844" s="9"/>
      <c r="N844" s="9"/>
      <c r="O844" s="9"/>
    </row>
    <row r="845">
      <c r="E845" s="9"/>
      <c r="H845" s="9"/>
      <c r="I845" s="9"/>
      <c r="K845" s="9"/>
      <c r="M845" s="9"/>
      <c r="N845" s="9"/>
      <c r="O845" s="9"/>
    </row>
    <row r="846">
      <c r="E846" s="9"/>
      <c r="H846" s="9"/>
      <c r="I846" s="9"/>
      <c r="K846" s="9"/>
      <c r="M846" s="9"/>
      <c r="N846" s="9"/>
      <c r="O846" s="9"/>
    </row>
    <row r="847">
      <c r="E847" s="9"/>
      <c r="H847" s="9"/>
      <c r="I847" s="9"/>
      <c r="K847" s="9"/>
      <c r="M847" s="9"/>
      <c r="N847" s="9"/>
      <c r="O847" s="9"/>
    </row>
    <row r="848">
      <c r="E848" s="9"/>
      <c r="H848" s="9"/>
      <c r="I848" s="9"/>
      <c r="K848" s="9"/>
      <c r="M848" s="9"/>
      <c r="N848" s="9"/>
      <c r="O848" s="9"/>
    </row>
    <row r="849">
      <c r="E849" s="9"/>
      <c r="H849" s="9"/>
      <c r="I849" s="9"/>
      <c r="K849" s="9"/>
      <c r="M849" s="9"/>
      <c r="N849" s="9"/>
      <c r="O849" s="9"/>
    </row>
    <row r="850">
      <c r="E850" s="9"/>
      <c r="H850" s="9"/>
      <c r="I850" s="9"/>
      <c r="K850" s="9"/>
      <c r="M850" s="9"/>
      <c r="N850" s="9"/>
      <c r="O850" s="9"/>
    </row>
    <row r="851">
      <c r="E851" s="9"/>
      <c r="H851" s="9"/>
      <c r="I851" s="9"/>
      <c r="K851" s="9"/>
      <c r="M851" s="9"/>
      <c r="N851" s="9"/>
      <c r="O851" s="9"/>
    </row>
    <row r="852">
      <c r="E852" s="9"/>
      <c r="H852" s="9"/>
      <c r="I852" s="9"/>
      <c r="K852" s="9"/>
      <c r="M852" s="9"/>
      <c r="N852" s="9"/>
      <c r="O852" s="9"/>
    </row>
    <row r="853">
      <c r="E853" s="9"/>
      <c r="H853" s="9"/>
      <c r="I853" s="9"/>
      <c r="K853" s="9"/>
      <c r="M853" s="9"/>
      <c r="N853" s="9"/>
      <c r="O853" s="9"/>
    </row>
    <row r="854">
      <c r="E854" s="9"/>
      <c r="H854" s="9"/>
      <c r="I854" s="9"/>
      <c r="K854" s="9"/>
      <c r="M854" s="9"/>
      <c r="N854" s="9"/>
      <c r="O854" s="9"/>
    </row>
    <row r="855">
      <c r="E855" s="9"/>
      <c r="H855" s="9"/>
      <c r="I855" s="9"/>
      <c r="K855" s="9"/>
      <c r="M855" s="9"/>
      <c r="N855" s="9"/>
      <c r="O855" s="9"/>
    </row>
    <row r="856">
      <c r="E856" s="9"/>
      <c r="H856" s="9"/>
      <c r="I856" s="9"/>
      <c r="K856" s="9"/>
      <c r="M856" s="9"/>
      <c r="N856" s="9"/>
      <c r="O856" s="9"/>
    </row>
    <row r="857">
      <c r="E857" s="9"/>
      <c r="H857" s="9"/>
      <c r="I857" s="9"/>
      <c r="K857" s="9"/>
      <c r="M857" s="9"/>
      <c r="N857" s="9"/>
      <c r="O857" s="9"/>
    </row>
    <row r="858">
      <c r="E858" s="9"/>
      <c r="H858" s="9"/>
      <c r="I858" s="9"/>
      <c r="K858" s="9"/>
      <c r="M858" s="9"/>
      <c r="N858" s="9"/>
      <c r="O858" s="9"/>
    </row>
    <row r="859">
      <c r="E859" s="9"/>
      <c r="H859" s="9"/>
      <c r="I859" s="9"/>
      <c r="K859" s="9"/>
      <c r="M859" s="9"/>
      <c r="N859" s="9"/>
      <c r="O859" s="9"/>
    </row>
    <row r="860">
      <c r="E860" s="9"/>
      <c r="H860" s="9"/>
      <c r="I860" s="9"/>
      <c r="K860" s="9"/>
      <c r="M860" s="9"/>
      <c r="N860" s="9"/>
      <c r="O860" s="9"/>
    </row>
    <row r="861">
      <c r="E861" s="9"/>
      <c r="H861" s="9"/>
      <c r="I861" s="9"/>
      <c r="K861" s="9"/>
      <c r="M861" s="9"/>
      <c r="N861" s="9"/>
      <c r="O861" s="9"/>
    </row>
    <row r="862">
      <c r="E862" s="9"/>
      <c r="H862" s="9"/>
      <c r="I862" s="9"/>
      <c r="K862" s="9"/>
      <c r="M862" s="9"/>
      <c r="N862" s="9"/>
      <c r="O862" s="9"/>
    </row>
    <row r="863">
      <c r="E863" s="9"/>
      <c r="H863" s="9"/>
      <c r="I863" s="9"/>
      <c r="K863" s="9"/>
      <c r="M863" s="9"/>
      <c r="N863" s="9"/>
      <c r="O863" s="9"/>
    </row>
    <row r="864">
      <c r="E864" s="9"/>
      <c r="H864" s="9"/>
      <c r="I864" s="9"/>
      <c r="K864" s="9"/>
      <c r="M864" s="9"/>
      <c r="N864" s="9"/>
      <c r="O864" s="9"/>
    </row>
    <row r="865">
      <c r="E865" s="9"/>
      <c r="H865" s="9"/>
      <c r="I865" s="9"/>
      <c r="K865" s="9"/>
      <c r="M865" s="9"/>
      <c r="N865" s="9"/>
      <c r="O865" s="9"/>
    </row>
    <row r="866">
      <c r="E866" s="9"/>
      <c r="H866" s="9"/>
      <c r="I866" s="9"/>
      <c r="K866" s="9"/>
      <c r="M866" s="9"/>
      <c r="N866" s="9"/>
      <c r="O866" s="9"/>
    </row>
    <row r="867">
      <c r="E867" s="9"/>
      <c r="H867" s="9"/>
      <c r="I867" s="9"/>
      <c r="K867" s="9"/>
      <c r="M867" s="9"/>
      <c r="N867" s="9"/>
      <c r="O867" s="9"/>
    </row>
    <row r="868">
      <c r="E868" s="9"/>
      <c r="H868" s="9"/>
      <c r="I868" s="9"/>
      <c r="K868" s="9"/>
      <c r="M868" s="9"/>
      <c r="N868" s="9"/>
      <c r="O868" s="9"/>
    </row>
    <row r="869">
      <c r="E869" s="9"/>
      <c r="H869" s="9"/>
      <c r="I869" s="9"/>
      <c r="K869" s="9"/>
      <c r="M869" s="9"/>
      <c r="N869" s="9"/>
      <c r="O869" s="9"/>
    </row>
    <row r="870">
      <c r="E870" s="9"/>
      <c r="H870" s="9"/>
      <c r="I870" s="9"/>
      <c r="K870" s="9"/>
      <c r="M870" s="9"/>
      <c r="N870" s="9"/>
      <c r="O870" s="9"/>
    </row>
    <row r="871">
      <c r="E871" s="9"/>
      <c r="H871" s="9"/>
      <c r="I871" s="9"/>
      <c r="K871" s="9"/>
      <c r="M871" s="9"/>
      <c r="N871" s="9"/>
      <c r="O871" s="9"/>
    </row>
    <row r="872">
      <c r="E872" s="9"/>
      <c r="H872" s="9"/>
      <c r="I872" s="9"/>
      <c r="K872" s="9"/>
      <c r="M872" s="9"/>
      <c r="N872" s="9"/>
      <c r="O872" s="9"/>
    </row>
    <row r="873">
      <c r="E873" s="9"/>
      <c r="H873" s="9"/>
      <c r="I873" s="9"/>
      <c r="K873" s="9"/>
      <c r="M873" s="9"/>
      <c r="N873" s="9"/>
      <c r="O873" s="9"/>
    </row>
    <row r="874">
      <c r="E874" s="9"/>
      <c r="H874" s="9"/>
      <c r="I874" s="9"/>
      <c r="K874" s="9"/>
      <c r="M874" s="9"/>
      <c r="N874" s="9"/>
      <c r="O874" s="9"/>
    </row>
    <row r="875">
      <c r="E875" s="9"/>
      <c r="H875" s="9"/>
      <c r="I875" s="9"/>
      <c r="K875" s="9"/>
      <c r="M875" s="9"/>
      <c r="N875" s="9"/>
      <c r="O875" s="9"/>
    </row>
    <row r="876">
      <c r="E876" s="9"/>
      <c r="H876" s="9"/>
      <c r="I876" s="9"/>
      <c r="K876" s="9"/>
      <c r="M876" s="9"/>
      <c r="N876" s="9"/>
      <c r="O876" s="9"/>
    </row>
    <row r="877">
      <c r="E877" s="9"/>
      <c r="H877" s="9"/>
      <c r="I877" s="9"/>
      <c r="K877" s="9"/>
      <c r="M877" s="9"/>
      <c r="N877" s="9"/>
      <c r="O877" s="9"/>
    </row>
    <row r="878">
      <c r="E878" s="9"/>
      <c r="H878" s="9"/>
      <c r="I878" s="9"/>
      <c r="K878" s="9"/>
      <c r="M878" s="9"/>
      <c r="N878" s="9"/>
      <c r="O878" s="9"/>
    </row>
    <row r="879">
      <c r="E879" s="9"/>
      <c r="H879" s="9"/>
      <c r="I879" s="9"/>
      <c r="K879" s="9"/>
      <c r="M879" s="9"/>
      <c r="N879" s="9"/>
      <c r="O879" s="9"/>
    </row>
    <row r="880">
      <c r="E880" s="9"/>
      <c r="H880" s="9"/>
      <c r="I880" s="9"/>
      <c r="K880" s="9"/>
      <c r="M880" s="9"/>
      <c r="N880" s="9"/>
      <c r="O880" s="9"/>
    </row>
    <row r="881">
      <c r="E881" s="9"/>
      <c r="H881" s="9"/>
      <c r="I881" s="9"/>
      <c r="K881" s="9"/>
      <c r="M881" s="9"/>
      <c r="N881" s="9"/>
      <c r="O881" s="9"/>
    </row>
    <row r="882">
      <c r="E882" s="9"/>
      <c r="H882" s="9"/>
      <c r="I882" s="9"/>
      <c r="K882" s="9"/>
      <c r="M882" s="9"/>
      <c r="N882" s="9"/>
      <c r="O882" s="9"/>
    </row>
    <row r="883">
      <c r="E883" s="9"/>
      <c r="H883" s="9"/>
      <c r="I883" s="9"/>
      <c r="K883" s="9"/>
      <c r="M883" s="9"/>
      <c r="N883" s="9"/>
      <c r="O883" s="9"/>
    </row>
    <row r="884">
      <c r="E884" s="9"/>
      <c r="H884" s="9"/>
      <c r="I884" s="9"/>
      <c r="K884" s="9"/>
      <c r="M884" s="9"/>
      <c r="N884" s="9"/>
      <c r="O884" s="9"/>
    </row>
    <row r="885">
      <c r="E885" s="9"/>
      <c r="H885" s="9"/>
      <c r="I885" s="9"/>
      <c r="K885" s="9"/>
      <c r="M885" s="9"/>
      <c r="N885" s="9"/>
      <c r="O885" s="9"/>
    </row>
    <row r="886">
      <c r="E886" s="9"/>
      <c r="H886" s="9"/>
      <c r="I886" s="9"/>
      <c r="K886" s="9"/>
      <c r="M886" s="9"/>
      <c r="N886" s="9"/>
      <c r="O886" s="9"/>
    </row>
    <row r="887">
      <c r="E887" s="9"/>
      <c r="H887" s="9"/>
      <c r="I887" s="9"/>
      <c r="K887" s="9"/>
      <c r="M887" s="9"/>
      <c r="N887" s="9"/>
      <c r="O887" s="9"/>
    </row>
    <row r="888">
      <c r="E888" s="9"/>
      <c r="H888" s="9"/>
      <c r="I888" s="9"/>
      <c r="K888" s="9"/>
      <c r="M888" s="9"/>
      <c r="N888" s="9"/>
      <c r="O888" s="9"/>
    </row>
    <row r="889">
      <c r="E889" s="9"/>
      <c r="H889" s="9"/>
      <c r="I889" s="9"/>
      <c r="K889" s="9"/>
      <c r="M889" s="9"/>
      <c r="N889" s="9"/>
      <c r="O889" s="9"/>
    </row>
    <row r="890">
      <c r="E890" s="9"/>
      <c r="H890" s="9"/>
      <c r="I890" s="9"/>
      <c r="K890" s="9"/>
      <c r="M890" s="9"/>
      <c r="N890" s="9"/>
      <c r="O890" s="9"/>
    </row>
    <row r="891">
      <c r="E891" s="9"/>
      <c r="H891" s="9"/>
      <c r="I891" s="9"/>
      <c r="K891" s="9"/>
      <c r="M891" s="9"/>
      <c r="N891" s="9"/>
      <c r="O891" s="9"/>
    </row>
    <row r="892">
      <c r="E892" s="9"/>
      <c r="H892" s="9"/>
      <c r="I892" s="9"/>
      <c r="K892" s="9"/>
      <c r="M892" s="9"/>
      <c r="N892" s="9"/>
      <c r="O892" s="9"/>
    </row>
    <row r="893">
      <c r="E893" s="9"/>
      <c r="H893" s="9"/>
      <c r="I893" s="9"/>
      <c r="K893" s="9"/>
      <c r="M893" s="9"/>
      <c r="N893" s="9"/>
      <c r="O893" s="9"/>
    </row>
    <row r="894">
      <c r="E894" s="9"/>
      <c r="H894" s="9"/>
      <c r="I894" s="9"/>
      <c r="K894" s="9"/>
      <c r="M894" s="9"/>
      <c r="N894" s="9"/>
      <c r="O894" s="9"/>
    </row>
    <row r="895">
      <c r="E895" s="9"/>
      <c r="H895" s="9"/>
      <c r="I895" s="9"/>
      <c r="K895" s="9"/>
      <c r="M895" s="9"/>
      <c r="N895" s="9"/>
      <c r="O895" s="9"/>
    </row>
    <row r="896">
      <c r="E896" s="9"/>
      <c r="H896" s="9"/>
      <c r="I896" s="9"/>
      <c r="K896" s="9"/>
      <c r="M896" s="9"/>
      <c r="N896" s="9"/>
      <c r="O896" s="9"/>
    </row>
    <row r="897">
      <c r="E897" s="9"/>
      <c r="H897" s="9"/>
      <c r="I897" s="9"/>
      <c r="K897" s="9"/>
      <c r="M897" s="9"/>
      <c r="N897" s="9"/>
      <c r="O897" s="9"/>
    </row>
    <row r="898">
      <c r="E898" s="9"/>
      <c r="H898" s="9"/>
      <c r="I898" s="9"/>
      <c r="K898" s="9"/>
      <c r="M898" s="9"/>
      <c r="N898" s="9"/>
      <c r="O898" s="9"/>
    </row>
    <row r="899">
      <c r="E899" s="9"/>
      <c r="H899" s="9"/>
      <c r="I899" s="9"/>
      <c r="K899" s="9"/>
      <c r="M899" s="9"/>
      <c r="N899" s="9"/>
      <c r="O899" s="9"/>
    </row>
    <row r="900">
      <c r="E900" s="9"/>
      <c r="H900" s="9"/>
      <c r="I900" s="9"/>
      <c r="K900" s="9"/>
      <c r="M900" s="9"/>
      <c r="N900" s="9"/>
      <c r="O900" s="9"/>
    </row>
    <row r="901">
      <c r="E901" s="9"/>
      <c r="H901" s="9"/>
      <c r="I901" s="9"/>
      <c r="K901" s="9"/>
      <c r="M901" s="9"/>
      <c r="N901" s="9"/>
      <c r="O901" s="9"/>
    </row>
    <row r="902">
      <c r="E902" s="9"/>
      <c r="H902" s="9"/>
      <c r="I902" s="9"/>
      <c r="K902" s="9"/>
      <c r="M902" s="9"/>
      <c r="N902" s="9"/>
      <c r="O902" s="9"/>
    </row>
    <row r="903">
      <c r="E903" s="9"/>
      <c r="H903" s="9"/>
      <c r="I903" s="9"/>
      <c r="K903" s="9"/>
      <c r="M903" s="9"/>
      <c r="N903" s="9"/>
      <c r="O903" s="9"/>
    </row>
    <row r="904">
      <c r="E904" s="9"/>
      <c r="H904" s="9"/>
      <c r="I904" s="9"/>
      <c r="K904" s="9"/>
      <c r="M904" s="9"/>
      <c r="N904" s="9"/>
      <c r="O904" s="9"/>
    </row>
    <row r="905">
      <c r="E905" s="9"/>
      <c r="H905" s="9"/>
      <c r="I905" s="9"/>
      <c r="K905" s="9"/>
      <c r="M905" s="9"/>
      <c r="N905" s="9"/>
      <c r="O905" s="9"/>
    </row>
    <row r="906">
      <c r="E906" s="9"/>
      <c r="H906" s="9"/>
      <c r="I906" s="9"/>
      <c r="K906" s="9"/>
      <c r="M906" s="9"/>
      <c r="N906" s="9"/>
      <c r="O906" s="9"/>
    </row>
    <row r="907">
      <c r="E907" s="9"/>
      <c r="H907" s="9"/>
      <c r="I907" s="9"/>
      <c r="K907" s="9"/>
      <c r="M907" s="9"/>
      <c r="N907" s="9"/>
      <c r="O907" s="9"/>
    </row>
    <row r="908">
      <c r="E908" s="9"/>
      <c r="H908" s="9"/>
      <c r="I908" s="9"/>
      <c r="K908" s="9"/>
      <c r="M908" s="9"/>
      <c r="N908" s="9"/>
      <c r="O908" s="9"/>
    </row>
    <row r="909">
      <c r="E909" s="9"/>
      <c r="H909" s="9"/>
      <c r="I909" s="9"/>
      <c r="K909" s="9"/>
      <c r="M909" s="9"/>
      <c r="N909" s="9"/>
      <c r="O909" s="9"/>
    </row>
    <row r="910">
      <c r="E910" s="9"/>
      <c r="H910" s="9"/>
      <c r="I910" s="9"/>
      <c r="K910" s="9"/>
      <c r="M910" s="9"/>
      <c r="N910" s="9"/>
      <c r="O910" s="9"/>
    </row>
    <row r="911">
      <c r="E911" s="9"/>
      <c r="H911" s="9"/>
      <c r="I911" s="9"/>
      <c r="K911" s="9"/>
      <c r="M911" s="9"/>
      <c r="N911" s="9"/>
      <c r="O911" s="9"/>
    </row>
    <row r="912">
      <c r="E912" s="9"/>
      <c r="H912" s="9"/>
      <c r="I912" s="9"/>
      <c r="K912" s="9"/>
      <c r="M912" s="9"/>
      <c r="N912" s="9"/>
      <c r="O912" s="9"/>
    </row>
    <row r="913">
      <c r="E913" s="9"/>
      <c r="H913" s="9"/>
      <c r="I913" s="9"/>
      <c r="K913" s="9"/>
      <c r="M913" s="9"/>
      <c r="N913" s="9"/>
      <c r="O913" s="9"/>
    </row>
    <row r="914">
      <c r="E914" s="9"/>
      <c r="H914" s="9"/>
      <c r="I914" s="9"/>
      <c r="K914" s="9"/>
      <c r="M914" s="9"/>
      <c r="N914" s="9"/>
      <c r="O914" s="9"/>
    </row>
    <row r="915">
      <c r="E915" s="9"/>
      <c r="H915" s="9"/>
      <c r="I915" s="9"/>
      <c r="K915" s="9"/>
      <c r="M915" s="9"/>
      <c r="N915" s="9"/>
      <c r="O915" s="9"/>
    </row>
    <row r="916">
      <c r="E916" s="9"/>
      <c r="H916" s="9"/>
      <c r="I916" s="9"/>
      <c r="K916" s="9"/>
      <c r="M916" s="9"/>
      <c r="N916" s="9"/>
      <c r="O916" s="9"/>
    </row>
    <row r="917">
      <c r="E917" s="9"/>
      <c r="H917" s="9"/>
      <c r="I917" s="9"/>
      <c r="K917" s="9"/>
      <c r="M917" s="9"/>
      <c r="N917" s="9"/>
      <c r="O917" s="9"/>
    </row>
    <row r="918">
      <c r="E918" s="9"/>
      <c r="H918" s="9"/>
      <c r="I918" s="9"/>
      <c r="K918" s="9"/>
      <c r="M918" s="9"/>
      <c r="N918" s="9"/>
      <c r="O918" s="9"/>
    </row>
    <row r="919">
      <c r="E919" s="9"/>
      <c r="H919" s="9"/>
      <c r="I919" s="9"/>
      <c r="K919" s="9"/>
      <c r="M919" s="9"/>
      <c r="N919" s="9"/>
      <c r="O919" s="9"/>
    </row>
    <row r="920">
      <c r="E920" s="9"/>
      <c r="H920" s="9"/>
      <c r="I920" s="9"/>
      <c r="K920" s="9"/>
      <c r="M920" s="9"/>
      <c r="N920" s="9"/>
      <c r="O920" s="9"/>
    </row>
    <row r="921">
      <c r="E921" s="9"/>
      <c r="H921" s="9"/>
      <c r="I921" s="9"/>
      <c r="K921" s="9"/>
      <c r="M921" s="9"/>
      <c r="N921" s="9"/>
      <c r="O921" s="9"/>
    </row>
    <row r="922">
      <c r="E922" s="9"/>
      <c r="H922" s="9"/>
      <c r="I922" s="9"/>
      <c r="K922" s="9"/>
      <c r="M922" s="9"/>
      <c r="N922" s="9"/>
      <c r="O922" s="9"/>
    </row>
    <row r="923">
      <c r="E923" s="9"/>
      <c r="H923" s="9"/>
      <c r="I923" s="9"/>
      <c r="K923" s="9"/>
      <c r="M923" s="9"/>
      <c r="N923" s="9"/>
      <c r="O923" s="9"/>
    </row>
    <row r="924">
      <c r="E924" s="9"/>
      <c r="H924" s="9"/>
      <c r="I924" s="9"/>
      <c r="K924" s="9"/>
      <c r="M924" s="9"/>
      <c r="N924" s="9"/>
      <c r="O924" s="9"/>
    </row>
    <row r="925">
      <c r="E925" s="9"/>
      <c r="H925" s="9"/>
      <c r="I925" s="9"/>
      <c r="K925" s="9"/>
      <c r="M925" s="9"/>
      <c r="N925" s="9"/>
      <c r="O925" s="9"/>
    </row>
    <row r="926">
      <c r="E926" s="9"/>
      <c r="H926" s="9"/>
      <c r="I926" s="9"/>
      <c r="K926" s="9"/>
      <c r="M926" s="9"/>
      <c r="N926" s="9"/>
      <c r="O926" s="9"/>
    </row>
    <row r="927">
      <c r="E927" s="9"/>
      <c r="H927" s="9"/>
      <c r="I927" s="9"/>
      <c r="K927" s="9"/>
      <c r="M927" s="9"/>
      <c r="N927" s="9"/>
      <c r="O927" s="9"/>
    </row>
    <row r="928">
      <c r="E928" s="9"/>
      <c r="H928" s="9"/>
      <c r="I928" s="9"/>
      <c r="K928" s="9"/>
      <c r="M928" s="9"/>
      <c r="N928" s="9"/>
      <c r="O928" s="9"/>
    </row>
    <row r="929">
      <c r="E929" s="9"/>
      <c r="H929" s="9"/>
      <c r="I929" s="9"/>
      <c r="K929" s="9"/>
      <c r="M929" s="9"/>
      <c r="N929" s="9"/>
      <c r="O929" s="9"/>
    </row>
    <row r="930">
      <c r="E930" s="9"/>
      <c r="H930" s="9"/>
      <c r="I930" s="9"/>
      <c r="K930" s="9"/>
      <c r="M930" s="9"/>
      <c r="N930" s="9"/>
      <c r="O930" s="9"/>
    </row>
    <row r="931">
      <c r="E931" s="9"/>
      <c r="H931" s="9"/>
      <c r="I931" s="9"/>
      <c r="K931" s="9"/>
      <c r="M931" s="9"/>
      <c r="N931" s="9"/>
      <c r="O931" s="9"/>
    </row>
    <row r="932">
      <c r="E932" s="9"/>
      <c r="H932" s="9"/>
      <c r="I932" s="9"/>
      <c r="K932" s="9"/>
      <c r="M932" s="9"/>
      <c r="N932" s="9"/>
      <c r="O932" s="9"/>
    </row>
    <row r="933">
      <c r="E933" s="9"/>
      <c r="H933" s="9"/>
      <c r="I933" s="9"/>
      <c r="K933" s="9"/>
      <c r="M933" s="9"/>
      <c r="N933" s="9"/>
      <c r="O933" s="9"/>
    </row>
    <row r="934">
      <c r="E934" s="9"/>
      <c r="H934" s="9"/>
      <c r="I934" s="9"/>
      <c r="K934" s="9"/>
      <c r="M934" s="9"/>
      <c r="N934" s="9"/>
      <c r="O934" s="9"/>
    </row>
    <row r="935">
      <c r="E935" s="9"/>
      <c r="H935" s="9"/>
      <c r="I935" s="9"/>
      <c r="K935" s="9"/>
      <c r="M935" s="9"/>
      <c r="N935" s="9"/>
      <c r="O935" s="9"/>
    </row>
    <row r="936">
      <c r="E936" s="9"/>
      <c r="H936" s="9"/>
      <c r="I936" s="9"/>
      <c r="K936" s="9"/>
      <c r="M936" s="9"/>
      <c r="N936" s="9"/>
      <c r="O936" s="9"/>
    </row>
    <row r="937">
      <c r="E937" s="9"/>
      <c r="H937" s="9"/>
      <c r="I937" s="9"/>
      <c r="K937" s="9"/>
      <c r="M937" s="9"/>
      <c r="N937" s="9"/>
      <c r="O937" s="9"/>
    </row>
    <row r="938">
      <c r="E938" s="9"/>
      <c r="H938" s="9"/>
      <c r="I938" s="9"/>
      <c r="K938" s="9"/>
      <c r="M938" s="9"/>
      <c r="N938" s="9"/>
      <c r="O938" s="9"/>
    </row>
    <row r="939">
      <c r="E939" s="9"/>
      <c r="H939" s="9"/>
      <c r="I939" s="9"/>
      <c r="K939" s="9"/>
      <c r="M939" s="9"/>
      <c r="N939" s="9"/>
      <c r="O939" s="9"/>
    </row>
    <row r="940">
      <c r="E940" s="9"/>
      <c r="H940" s="9"/>
      <c r="I940" s="9"/>
      <c r="K940" s="9"/>
      <c r="M940" s="9"/>
      <c r="N940" s="9"/>
      <c r="O940" s="9"/>
    </row>
    <row r="941">
      <c r="E941" s="9"/>
      <c r="H941" s="9"/>
      <c r="I941" s="9"/>
      <c r="K941" s="9"/>
      <c r="M941" s="9"/>
      <c r="N941" s="9"/>
      <c r="O941" s="9"/>
    </row>
    <row r="942">
      <c r="E942" s="9"/>
      <c r="H942" s="9"/>
      <c r="I942" s="9"/>
      <c r="K942" s="9"/>
      <c r="M942" s="9"/>
      <c r="N942" s="9"/>
      <c r="O942" s="9"/>
    </row>
    <row r="943">
      <c r="E943" s="9"/>
      <c r="H943" s="9"/>
      <c r="I943" s="9"/>
      <c r="K943" s="9"/>
      <c r="M943" s="9"/>
      <c r="N943" s="9"/>
      <c r="O943" s="9"/>
    </row>
    <row r="944">
      <c r="E944" s="9"/>
      <c r="H944" s="9"/>
      <c r="I944" s="9"/>
      <c r="K944" s="9"/>
      <c r="M944" s="9"/>
      <c r="N944" s="9"/>
      <c r="O944" s="9"/>
    </row>
    <row r="945">
      <c r="E945" s="9"/>
      <c r="H945" s="9"/>
      <c r="I945" s="9"/>
      <c r="K945" s="9"/>
      <c r="M945" s="9"/>
      <c r="N945" s="9"/>
      <c r="O945" s="9"/>
    </row>
    <row r="946">
      <c r="E946" s="9"/>
      <c r="H946" s="9"/>
      <c r="I946" s="9"/>
      <c r="K946" s="9"/>
      <c r="M946" s="9"/>
      <c r="N946" s="9"/>
      <c r="O946" s="9"/>
    </row>
    <row r="947">
      <c r="E947" s="9"/>
      <c r="H947" s="9"/>
      <c r="I947" s="9"/>
      <c r="K947" s="9"/>
      <c r="M947" s="9"/>
      <c r="N947" s="9"/>
      <c r="O947" s="9"/>
    </row>
    <row r="948">
      <c r="E948" s="9"/>
      <c r="H948" s="9"/>
      <c r="I948" s="9"/>
      <c r="K948" s="9"/>
      <c r="M948" s="9"/>
      <c r="N948" s="9"/>
      <c r="O948" s="9"/>
    </row>
    <row r="949">
      <c r="E949" s="9"/>
      <c r="H949" s="9"/>
      <c r="I949" s="9"/>
      <c r="K949" s="9"/>
      <c r="M949" s="9"/>
      <c r="N949" s="9"/>
      <c r="O949" s="9"/>
    </row>
    <row r="950">
      <c r="E950" s="9"/>
      <c r="H950" s="9"/>
      <c r="I950" s="9"/>
      <c r="K950" s="9"/>
      <c r="M950" s="9"/>
      <c r="N950" s="9"/>
      <c r="O950" s="9"/>
    </row>
    <row r="951">
      <c r="E951" s="9"/>
      <c r="H951" s="9"/>
      <c r="I951" s="9"/>
      <c r="K951" s="9"/>
      <c r="M951" s="9"/>
      <c r="N951" s="9"/>
      <c r="O951" s="9"/>
    </row>
    <row r="952">
      <c r="E952" s="9"/>
      <c r="H952" s="9"/>
      <c r="I952" s="9"/>
      <c r="K952" s="9"/>
      <c r="M952" s="9"/>
      <c r="N952" s="9"/>
      <c r="O952" s="9"/>
    </row>
    <row r="953">
      <c r="E953" s="9"/>
      <c r="H953" s="9"/>
      <c r="I953" s="9"/>
      <c r="K953" s="9"/>
      <c r="M953" s="9"/>
      <c r="N953" s="9"/>
      <c r="O953" s="9"/>
    </row>
    <row r="954">
      <c r="E954" s="9"/>
      <c r="H954" s="9"/>
      <c r="I954" s="9"/>
      <c r="K954" s="9"/>
      <c r="M954" s="9"/>
      <c r="N954" s="9"/>
      <c r="O954" s="9"/>
    </row>
    <row r="955">
      <c r="E955" s="9"/>
      <c r="H955" s="9"/>
      <c r="I955" s="9"/>
      <c r="K955" s="9"/>
      <c r="M955" s="9"/>
      <c r="N955" s="9"/>
      <c r="O955" s="9"/>
    </row>
    <row r="956">
      <c r="E956" s="9"/>
      <c r="H956" s="9"/>
      <c r="I956" s="9"/>
      <c r="K956" s="9"/>
      <c r="M956" s="9"/>
      <c r="N956" s="9"/>
      <c r="O956" s="9"/>
    </row>
    <row r="957">
      <c r="E957" s="9"/>
      <c r="H957" s="9"/>
      <c r="I957" s="9"/>
      <c r="K957" s="9"/>
      <c r="M957" s="9"/>
      <c r="N957" s="9"/>
      <c r="O957" s="9"/>
    </row>
    <row r="958">
      <c r="E958" s="9"/>
      <c r="H958" s="9"/>
      <c r="I958" s="9"/>
      <c r="K958" s="9"/>
      <c r="M958" s="9"/>
      <c r="N958" s="9"/>
      <c r="O958" s="9"/>
    </row>
    <row r="959">
      <c r="E959" s="9"/>
      <c r="H959" s="9"/>
      <c r="I959" s="9"/>
      <c r="K959" s="9"/>
      <c r="M959" s="9"/>
      <c r="N959" s="9"/>
      <c r="O959" s="9"/>
    </row>
    <row r="960">
      <c r="E960" s="9"/>
      <c r="H960" s="9"/>
      <c r="I960" s="9"/>
      <c r="K960" s="9"/>
      <c r="M960" s="9"/>
      <c r="N960" s="9"/>
      <c r="O960" s="9"/>
    </row>
    <row r="961">
      <c r="E961" s="9"/>
      <c r="H961" s="9"/>
      <c r="I961" s="9"/>
      <c r="K961" s="9"/>
      <c r="M961" s="9"/>
      <c r="N961" s="9"/>
      <c r="O961" s="9"/>
    </row>
    <row r="962">
      <c r="E962" s="9"/>
      <c r="H962" s="9"/>
      <c r="I962" s="9"/>
      <c r="K962" s="9"/>
      <c r="M962" s="9"/>
      <c r="N962" s="9"/>
      <c r="O962" s="9"/>
    </row>
    <row r="963">
      <c r="E963" s="9"/>
      <c r="H963" s="9"/>
      <c r="I963" s="9"/>
      <c r="K963" s="9"/>
      <c r="M963" s="9"/>
      <c r="N963" s="9"/>
      <c r="O963" s="9"/>
    </row>
    <row r="964">
      <c r="E964" s="9"/>
      <c r="H964" s="9"/>
      <c r="I964" s="9"/>
      <c r="K964" s="9"/>
      <c r="M964" s="9"/>
      <c r="N964" s="9"/>
      <c r="O964" s="9"/>
    </row>
    <row r="965">
      <c r="E965" s="9"/>
      <c r="H965" s="9"/>
      <c r="I965" s="9"/>
      <c r="K965" s="9"/>
      <c r="M965" s="9"/>
      <c r="N965" s="9"/>
      <c r="O965" s="9"/>
    </row>
    <row r="966">
      <c r="E966" s="9"/>
      <c r="H966" s="9"/>
      <c r="I966" s="9"/>
      <c r="K966" s="9"/>
      <c r="M966" s="9"/>
      <c r="N966" s="9"/>
      <c r="O966" s="9"/>
    </row>
    <row r="967">
      <c r="E967" s="9"/>
      <c r="H967" s="9"/>
      <c r="I967" s="9"/>
      <c r="K967" s="9"/>
      <c r="M967" s="9"/>
      <c r="N967" s="9"/>
      <c r="O967" s="9"/>
    </row>
    <row r="968">
      <c r="E968" s="9"/>
      <c r="H968" s="9"/>
      <c r="I968" s="9"/>
      <c r="K968" s="9"/>
      <c r="M968" s="9"/>
      <c r="N968" s="9"/>
      <c r="O968" s="9"/>
    </row>
    <row r="969">
      <c r="E969" s="9"/>
      <c r="H969" s="9"/>
      <c r="I969" s="9"/>
      <c r="K969" s="9"/>
      <c r="M969" s="9"/>
      <c r="N969" s="9"/>
      <c r="O969" s="9"/>
    </row>
    <row r="970">
      <c r="E970" s="9"/>
      <c r="H970" s="9"/>
      <c r="I970" s="9"/>
      <c r="K970" s="9"/>
      <c r="M970" s="9"/>
      <c r="N970" s="9"/>
      <c r="O970" s="9"/>
    </row>
    <row r="971">
      <c r="E971" s="9"/>
      <c r="H971" s="9"/>
      <c r="I971" s="9"/>
      <c r="K971" s="9"/>
      <c r="M971" s="9"/>
      <c r="N971" s="9"/>
      <c r="O971" s="9"/>
    </row>
    <row r="972">
      <c r="E972" s="9"/>
      <c r="H972" s="9"/>
      <c r="I972" s="9"/>
      <c r="K972" s="9"/>
      <c r="M972" s="9"/>
      <c r="N972" s="9"/>
      <c r="O972" s="9"/>
    </row>
    <row r="973">
      <c r="E973" s="9"/>
      <c r="H973" s="9"/>
      <c r="I973" s="9"/>
      <c r="K973" s="9"/>
      <c r="M973" s="9"/>
      <c r="N973" s="9"/>
      <c r="O973" s="9"/>
    </row>
    <row r="974">
      <c r="E974" s="9"/>
      <c r="H974" s="9"/>
      <c r="I974" s="9"/>
      <c r="K974" s="9"/>
      <c r="M974" s="9"/>
      <c r="N974" s="9"/>
      <c r="O974" s="9"/>
    </row>
    <row r="975">
      <c r="E975" s="9"/>
      <c r="H975" s="9"/>
      <c r="I975" s="9"/>
      <c r="K975" s="9"/>
      <c r="M975" s="9"/>
      <c r="N975" s="9"/>
      <c r="O975" s="9"/>
    </row>
    <row r="976">
      <c r="E976" s="9"/>
      <c r="H976" s="9"/>
      <c r="I976" s="9"/>
      <c r="K976" s="9"/>
      <c r="M976" s="9"/>
      <c r="N976" s="9"/>
      <c r="O976" s="9"/>
    </row>
    <row r="977">
      <c r="E977" s="9"/>
      <c r="H977" s="9"/>
      <c r="I977" s="9"/>
      <c r="K977" s="9"/>
      <c r="M977" s="9"/>
      <c r="N977" s="9"/>
      <c r="O977" s="9"/>
    </row>
    <row r="978">
      <c r="E978" s="9"/>
      <c r="H978" s="9"/>
      <c r="I978" s="9"/>
      <c r="K978" s="9"/>
      <c r="M978" s="9"/>
      <c r="N978" s="9"/>
      <c r="O978" s="9"/>
    </row>
    <row r="979">
      <c r="E979" s="9"/>
      <c r="H979" s="9"/>
      <c r="I979" s="9"/>
      <c r="K979" s="9"/>
      <c r="M979" s="9"/>
      <c r="N979" s="9"/>
      <c r="O979" s="9"/>
    </row>
    <row r="980">
      <c r="E980" s="9"/>
      <c r="H980" s="9"/>
      <c r="I980" s="9"/>
      <c r="K980" s="9"/>
      <c r="M980" s="9"/>
      <c r="N980" s="9"/>
      <c r="O980" s="9"/>
    </row>
    <row r="981">
      <c r="E981" s="9"/>
      <c r="H981" s="9"/>
      <c r="I981" s="9"/>
      <c r="K981" s="9"/>
      <c r="M981" s="9"/>
      <c r="N981" s="9"/>
      <c r="O981" s="9"/>
    </row>
    <row r="982">
      <c r="E982" s="9"/>
      <c r="H982" s="9"/>
      <c r="I982" s="9"/>
      <c r="K982" s="9"/>
      <c r="M982" s="9"/>
      <c r="N982" s="9"/>
      <c r="O982" s="9"/>
    </row>
    <row r="983">
      <c r="E983" s="9"/>
      <c r="H983" s="9"/>
      <c r="I983" s="9"/>
      <c r="K983" s="9"/>
      <c r="M983" s="9"/>
      <c r="N983" s="9"/>
      <c r="O983" s="9"/>
    </row>
    <row r="984">
      <c r="E984" s="9"/>
      <c r="H984" s="9"/>
      <c r="I984" s="9"/>
      <c r="K984" s="9"/>
      <c r="M984" s="9"/>
      <c r="N984" s="9"/>
      <c r="O984" s="9"/>
    </row>
    <row r="985">
      <c r="E985" s="9"/>
      <c r="H985" s="9"/>
      <c r="I985" s="9"/>
      <c r="K985" s="9"/>
      <c r="M985" s="9"/>
      <c r="N985" s="9"/>
      <c r="O985" s="9"/>
    </row>
    <row r="986">
      <c r="E986" s="9"/>
      <c r="H986" s="9"/>
      <c r="I986" s="9"/>
      <c r="K986" s="9"/>
      <c r="M986" s="9"/>
      <c r="N986" s="9"/>
      <c r="O986" s="9"/>
    </row>
  </sheetData>
  <mergeCells count="1">
    <mergeCell ref="A1:G1"/>
  </mergeCells>
  <printOptions gridLines="1" horizontalCentered="1"/>
  <pageMargins bottom="0.25" footer="0.0" header="0.0" left="0.14208826695371368" right="0.10656620021528525" top="0.25"/>
  <pageSetup fitToHeight="0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63"/>
    <col customWidth="1" min="2" max="2" width="23.63"/>
    <col customWidth="1" min="3" max="3" width="24.25"/>
    <col customWidth="1" min="4" max="4" width="7.0"/>
    <col customWidth="1" min="5" max="5" width="8.88"/>
    <col customWidth="1" min="6" max="6" width="15.25"/>
    <col customWidth="1" min="7" max="7" width="10.25"/>
    <col customWidth="1" min="8" max="8" width="4.75"/>
    <col customWidth="1" min="9" max="9" width="5.63"/>
    <col customWidth="1" min="10" max="10" width="5.0"/>
    <col customWidth="1" min="11" max="11" width="8.25"/>
    <col customWidth="1" min="12" max="12" width="5.63"/>
    <col customWidth="1" min="13" max="13" width="6.88"/>
    <col customWidth="1" min="14" max="14" width="6.5"/>
    <col customWidth="1" min="15" max="15" width="5.63"/>
    <col customWidth="1" min="16" max="16" width="11.38"/>
    <col customWidth="1" min="17" max="17" width="5.88"/>
    <col customWidth="1" min="18" max="18" width="4.75"/>
    <col customWidth="1" min="19" max="19" width="10.5"/>
    <col customWidth="1" min="20" max="20" width="5.88"/>
    <col customWidth="1" min="21" max="21" width="4.75"/>
    <col customWidth="1" min="22" max="22" width="9.38"/>
    <col customWidth="1" min="23" max="23" width="5.88"/>
    <col customWidth="1" min="24" max="24" width="4.75"/>
    <col customWidth="1" min="25" max="25" width="7.38"/>
    <col customWidth="1" min="26" max="28" width="5.38"/>
  </cols>
  <sheetData>
    <row r="1">
      <c r="A1" s="147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1"/>
      <c r="R1" s="41"/>
      <c r="S1" s="41"/>
      <c r="T1" s="41"/>
      <c r="U1" s="41"/>
      <c r="V1" s="41"/>
      <c r="W1" s="41"/>
      <c r="X1" s="41"/>
      <c r="Y1" s="41"/>
      <c r="Z1" s="148"/>
      <c r="AA1" s="148"/>
      <c r="AB1" s="148"/>
    </row>
    <row r="2">
      <c r="A2" s="42" t="s">
        <v>8</v>
      </c>
      <c r="B2" s="43" t="s">
        <v>9</v>
      </c>
      <c r="C2" s="43" t="s">
        <v>10</v>
      </c>
      <c r="D2" s="42" t="s">
        <v>582</v>
      </c>
      <c r="E2" s="44" t="s">
        <v>12</v>
      </c>
      <c r="F2" s="44" t="s">
        <v>13</v>
      </c>
      <c r="G2" s="43" t="s">
        <v>14</v>
      </c>
      <c r="H2" s="43" t="s">
        <v>248</v>
      </c>
      <c r="I2" s="43" t="s">
        <v>16</v>
      </c>
      <c r="J2" s="43" t="s">
        <v>583</v>
      </c>
      <c r="K2" s="43" t="s">
        <v>18</v>
      </c>
      <c r="L2" s="43" t="s">
        <v>19</v>
      </c>
      <c r="M2" s="42" t="s">
        <v>20</v>
      </c>
      <c r="N2" s="42" t="s">
        <v>249</v>
      </c>
      <c r="O2" s="42" t="s">
        <v>250</v>
      </c>
      <c r="P2" s="43" t="s">
        <v>23</v>
      </c>
      <c r="Q2" s="43" t="s">
        <v>251</v>
      </c>
      <c r="R2" s="43" t="s">
        <v>252</v>
      </c>
      <c r="S2" s="43" t="s">
        <v>253</v>
      </c>
      <c r="T2" s="43" t="s">
        <v>251</v>
      </c>
      <c r="U2" s="43" t="s">
        <v>252</v>
      </c>
      <c r="V2" s="43" t="s">
        <v>253</v>
      </c>
      <c r="W2" s="43" t="s">
        <v>251</v>
      </c>
      <c r="X2" s="43" t="s">
        <v>252</v>
      </c>
      <c r="Y2" s="43" t="s">
        <v>253</v>
      </c>
      <c r="Z2" s="149"/>
      <c r="AA2" s="149"/>
      <c r="AB2" s="149"/>
    </row>
    <row r="3">
      <c r="A3" s="45">
        <v>1.0</v>
      </c>
      <c r="B3" s="52" t="s">
        <v>584</v>
      </c>
      <c r="C3" s="52" t="s">
        <v>585</v>
      </c>
      <c r="D3" s="150" t="s">
        <v>586</v>
      </c>
      <c r="E3" s="55">
        <v>2.0220038E7</v>
      </c>
      <c r="F3" s="53" t="s">
        <v>126</v>
      </c>
      <c r="G3" s="151">
        <v>9.928792876E9</v>
      </c>
      <c r="H3" s="48"/>
      <c r="I3" s="52">
        <v>15500.0</v>
      </c>
      <c r="J3" s="52">
        <v>5000.0</v>
      </c>
      <c r="K3" s="48"/>
      <c r="L3" s="52">
        <v>4000.0</v>
      </c>
      <c r="M3" s="54">
        <f t="shared" ref="M3:M77" si="1">(H3+I3+J3+K3-L3)</f>
        <v>16500</v>
      </c>
      <c r="N3" s="54">
        <f t="shared" ref="N3:N77" si="2">SUM(Q3,T3,W3)</f>
        <v>0</v>
      </c>
      <c r="O3" s="54">
        <f t="shared" ref="O3:O77" si="3">(M3-N3)</f>
        <v>16500</v>
      </c>
      <c r="P3" s="48"/>
      <c r="Q3" s="48"/>
      <c r="R3" s="48"/>
      <c r="S3" s="48"/>
      <c r="T3" s="48"/>
      <c r="U3" s="48"/>
      <c r="V3" s="48"/>
      <c r="W3" s="48"/>
      <c r="X3" s="48"/>
      <c r="Y3" s="48"/>
      <c r="Z3" s="152"/>
      <c r="AA3" s="152"/>
      <c r="AB3" s="152"/>
    </row>
    <row r="4">
      <c r="A4" s="45">
        <v>2.0</v>
      </c>
      <c r="B4" s="52" t="s">
        <v>587</v>
      </c>
      <c r="C4" s="52" t="s">
        <v>588</v>
      </c>
      <c r="D4" s="45" t="s">
        <v>589</v>
      </c>
      <c r="E4" s="55">
        <v>1104.0</v>
      </c>
      <c r="F4" s="55" t="s">
        <v>474</v>
      </c>
      <c r="G4" s="52">
        <v>8.890487071E9</v>
      </c>
      <c r="H4" s="48"/>
      <c r="I4" s="52">
        <v>15500.0</v>
      </c>
      <c r="J4" s="52">
        <v>9000.0</v>
      </c>
      <c r="K4" s="48"/>
      <c r="L4" s="52">
        <v>4500.0</v>
      </c>
      <c r="M4" s="54">
        <f t="shared" si="1"/>
        <v>20000</v>
      </c>
      <c r="N4" s="54">
        <f t="shared" si="2"/>
        <v>5000</v>
      </c>
      <c r="O4" s="54">
        <f t="shared" si="3"/>
        <v>15000</v>
      </c>
      <c r="P4" s="52" t="s">
        <v>44</v>
      </c>
      <c r="Q4" s="52">
        <v>5000.0</v>
      </c>
      <c r="R4" s="52">
        <v>3859.0</v>
      </c>
      <c r="S4" s="59">
        <v>45941.0</v>
      </c>
      <c r="T4" s="48"/>
      <c r="U4" s="48"/>
      <c r="V4" s="48"/>
      <c r="W4" s="48"/>
      <c r="X4" s="48"/>
      <c r="Y4" s="48"/>
      <c r="Z4" s="152"/>
      <c r="AA4" s="152"/>
      <c r="AB4" s="152"/>
    </row>
    <row r="5">
      <c r="A5" s="45">
        <v>3.0</v>
      </c>
      <c r="B5" s="52" t="s">
        <v>590</v>
      </c>
      <c r="C5" s="52" t="s">
        <v>591</v>
      </c>
      <c r="D5" s="45" t="s">
        <v>592</v>
      </c>
      <c r="E5" s="53"/>
      <c r="F5" s="55" t="s">
        <v>474</v>
      </c>
      <c r="G5" s="52">
        <v>9.660691673E9</v>
      </c>
      <c r="H5" s="48"/>
      <c r="I5" s="52">
        <v>15500.0</v>
      </c>
      <c r="J5" s="52">
        <v>5000.0</v>
      </c>
      <c r="K5" s="48"/>
      <c r="L5" s="48"/>
      <c r="M5" s="54">
        <f t="shared" si="1"/>
        <v>20500</v>
      </c>
      <c r="N5" s="54">
        <f t="shared" si="2"/>
        <v>0</v>
      </c>
      <c r="O5" s="54">
        <f t="shared" si="3"/>
        <v>20500</v>
      </c>
      <c r="P5" s="48"/>
      <c r="Q5" s="48"/>
      <c r="R5" s="48"/>
      <c r="S5" s="48"/>
      <c r="T5" s="48"/>
      <c r="U5" s="48"/>
      <c r="V5" s="48"/>
      <c r="W5" s="48"/>
      <c r="X5" s="48"/>
      <c r="Y5" s="48"/>
      <c r="Z5" s="152"/>
      <c r="AA5" s="152"/>
      <c r="AB5" s="152"/>
    </row>
    <row r="6">
      <c r="A6" s="45">
        <v>4.0</v>
      </c>
      <c r="B6" s="52" t="s">
        <v>593</v>
      </c>
      <c r="C6" s="52" t="s">
        <v>594</v>
      </c>
      <c r="D6" s="45" t="s">
        <v>589</v>
      </c>
      <c r="E6" s="55">
        <v>1095.0</v>
      </c>
      <c r="F6" s="55" t="s">
        <v>474</v>
      </c>
      <c r="G6" s="52">
        <v>7.340619573E9</v>
      </c>
      <c r="H6" s="48"/>
      <c r="I6" s="52">
        <v>15500.0</v>
      </c>
      <c r="J6" s="52">
        <v>5000.0</v>
      </c>
      <c r="K6" s="48"/>
      <c r="L6" s="48"/>
      <c r="M6" s="54">
        <f t="shared" si="1"/>
        <v>20500</v>
      </c>
      <c r="N6" s="54">
        <f t="shared" si="2"/>
        <v>4000</v>
      </c>
      <c r="O6" s="54">
        <f t="shared" si="3"/>
        <v>16500</v>
      </c>
      <c r="P6" s="48"/>
      <c r="Q6" s="52">
        <v>4000.0</v>
      </c>
      <c r="R6" s="52">
        <v>3588.0</v>
      </c>
      <c r="S6" s="70">
        <v>45848.0</v>
      </c>
      <c r="T6" s="48"/>
      <c r="U6" s="48"/>
      <c r="V6" s="48"/>
      <c r="W6" s="48"/>
      <c r="X6" s="48"/>
      <c r="Y6" s="48"/>
      <c r="Z6" s="152"/>
      <c r="AA6" s="152"/>
      <c r="AB6" s="152"/>
    </row>
    <row r="7">
      <c r="A7" s="45">
        <v>5.0</v>
      </c>
      <c r="B7" s="52" t="s">
        <v>595</v>
      </c>
      <c r="C7" s="52" t="s">
        <v>596</v>
      </c>
      <c r="D7" s="45" t="s">
        <v>586</v>
      </c>
      <c r="E7" s="55">
        <v>1716.0</v>
      </c>
      <c r="F7" s="153" t="s">
        <v>597</v>
      </c>
      <c r="G7" s="49">
        <v>9.351199294E9</v>
      </c>
      <c r="H7" s="49">
        <v>0.0</v>
      </c>
      <c r="I7" s="52">
        <v>15500.0</v>
      </c>
      <c r="J7" s="49">
        <v>7000.0</v>
      </c>
      <c r="K7" s="46"/>
      <c r="L7" s="49">
        <v>3500.0</v>
      </c>
      <c r="M7" s="54">
        <f t="shared" si="1"/>
        <v>19000</v>
      </c>
      <c r="N7" s="54">
        <f t="shared" si="2"/>
        <v>5000</v>
      </c>
      <c r="O7" s="54">
        <f t="shared" si="3"/>
        <v>14000</v>
      </c>
      <c r="P7" s="46" t="s">
        <v>44</v>
      </c>
      <c r="Q7" s="52">
        <v>5000.0</v>
      </c>
      <c r="R7" s="52">
        <v>3783.0</v>
      </c>
      <c r="S7" s="70">
        <v>45880.0</v>
      </c>
      <c r="T7" s="48"/>
      <c r="U7" s="48"/>
      <c r="V7" s="48"/>
      <c r="W7" s="48"/>
      <c r="X7" s="48"/>
      <c r="Y7" s="48"/>
      <c r="Z7" s="152"/>
      <c r="AA7" s="152"/>
      <c r="AB7" s="152"/>
    </row>
    <row r="8">
      <c r="A8" s="45">
        <v>6.0</v>
      </c>
      <c r="B8" s="52" t="s">
        <v>598</v>
      </c>
      <c r="C8" s="52" t="s">
        <v>599</v>
      </c>
      <c r="D8" s="45" t="s">
        <v>589</v>
      </c>
      <c r="E8" s="55">
        <v>1443.0</v>
      </c>
      <c r="F8" s="55" t="s">
        <v>426</v>
      </c>
      <c r="G8" s="52">
        <v>8.890487071E9</v>
      </c>
      <c r="H8" s="48"/>
      <c r="I8" s="52">
        <v>15500.0</v>
      </c>
      <c r="J8" s="52">
        <v>5000.0</v>
      </c>
      <c r="K8" s="48"/>
      <c r="L8" s="48"/>
      <c r="M8" s="54">
        <f t="shared" si="1"/>
        <v>20500</v>
      </c>
      <c r="N8" s="54">
        <f t="shared" si="2"/>
        <v>5000</v>
      </c>
      <c r="O8" s="54">
        <f t="shared" si="3"/>
        <v>15500</v>
      </c>
      <c r="P8" s="48"/>
      <c r="Q8" s="52">
        <v>5000.0</v>
      </c>
      <c r="R8" s="52">
        <v>3758.0</v>
      </c>
      <c r="S8" s="52" t="s">
        <v>600</v>
      </c>
      <c r="T8" s="48"/>
      <c r="U8" s="48"/>
      <c r="V8" s="48"/>
      <c r="W8" s="48"/>
      <c r="X8" s="48"/>
      <c r="Y8" s="48"/>
      <c r="Z8" s="152"/>
      <c r="AA8" s="152"/>
      <c r="AB8" s="152"/>
    </row>
    <row r="9">
      <c r="A9" s="45">
        <v>7.0</v>
      </c>
      <c r="B9" s="52" t="s">
        <v>601</v>
      </c>
      <c r="C9" s="52" t="s">
        <v>602</v>
      </c>
      <c r="D9" s="54"/>
      <c r="E9" s="55">
        <v>1584.0</v>
      </c>
      <c r="F9" s="53"/>
      <c r="G9" s="48"/>
      <c r="H9" s="48"/>
      <c r="I9" s="52">
        <v>15500.0</v>
      </c>
      <c r="J9" s="48"/>
      <c r="K9" s="48"/>
      <c r="L9" s="48"/>
      <c r="M9" s="54">
        <f t="shared" si="1"/>
        <v>15500</v>
      </c>
      <c r="N9" s="54">
        <f t="shared" si="2"/>
        <v>0</v>
      </c>
      <c r="O9" s="54">
        <f t="shared" si="3"/>
        <v>15500</v>
      </c>
      <c r="P9" s="48"/>
      <c r="Q9" s="48"/>
      <c r="R9" s="48"/>
      <c r="S9" s="48"/>
      <c r="T9" s="48"/>
      <c r="U9" s="48"/>
      <c r="V9" s="48"/>
      <c r="W9" s="48"/>
      <c r="X9" s="48"/>
      <c r="Y9" s="48"/>
      <c r="Z9" s="152"/>
      <c r="AA9" s="152"/>
      <c r="AB9" s="152"/>
    </row>
    <row r="10">
      <c r="A10" s="45">
        <v>8.0</v>
      </c>
      <c r="B10" s="52" t="s">
        <v>603</v>
      </c>
      <c r="C10" s="52" t="s">
        <v>604</v>
      </c>
      <c r="D10" s="45" t="s">
        <v>586</v>
      </c>
      <c r="E10" s="55">
        <v>1748.0</v>
      </c>
      <c r="F10" s="55" t="s">
        <v>43</v>
      </c>
      <c r="G10" s="151">
        <v>9.950933183E9</v>
      </c>
      <c r="H10" s="48"/>
      <c r="I10" s="52">
        <v>15500.0</v>
      </c>
      <c r="J10" s="52">
        <v>9000.0</v>
      </c>
      <c r="K10" s="48"/>
      <c r="L10" s="48"/>
      <c r="M10" s="54">
        <f t="shared" si="1"/>
        <v>24500</v>
      </c>
      <c r="N10" s="54">
        <f t="shared" si="2"/>
        <v>5000</v>
      </c>
      <c r="O10" s="54">
        <f t="shared" si="3"/>
        <v>19500</v>
      </c>
      <c r="P10" s="48"/>
      <c r="Q10" s="52">
        <v>5000.0</v>
      </c>
      <c r="R10" s="52">
        <v>3792.0</v>
      </c>
      <c r="S10" s="70">
        <v>45880.0</v>
      </c>
      <c r="T10" s="48"/>
      <c r="U10" s="48"/>
      <c r="V10" s="48"/>
      <c r="W10" s="48"/>
      <c r="X10" s="48"/>
      <c r="Y10" s="48"/>
      <c r="Z10" s="152"/>
      <c r="AA10" s="152"/>
      <c r="AB10" s="152"/>
    </row>
    <row r="11">
      <c r="A11" s="45">
        <v>9.0</v>
      </c>
      <c r="B11" s="52" t="s">
        <v>605</v>
      </c>
      <c r="C11" s="52" t="s">
        <v>606</v>
      </c>
      <c r="D11" s="45" t="s">
        <v>589</v>
      </c>
      <c r="E11" s="55">
        <v>1113.0</v>
      </c>
      <c r="F11" s="55" t="s">
        <v>130</v>
      </c>
      <c r="G11" s="52">
        <v>9.950344711E9</v>
      </c>
      <c r="H11" s="48"/>
      <c r="I11" s="52">
        <v>15500.0</v>
      </c>
      <c r="J11" s="52">
        <v>5000.0</v>
      </c>
      <c r="K11" s="48"/>
      <c r="L11" s="52">
        <v>2000.0</v>
      </c>
      <c r="M11" s="54">
        <f t="shared" si="1"/>
        <v>18500</v>
      </c>
      <c r="N11" s="54">
        <f t="shared" si="2"/>
        <v>4000</v>
      </c>
      <c r="O11" s="54">
        <f t="shared" si="3"/>
        <v>14500</v>
      </c>
      <c r="P11" s="48"/>
      <c r="Q11" s="52">
        <v>4000.0</v>
      </c>
      <c r="R11" s="52">
        <v>3702.0</v>
      </c>
      <c r="S11" s="59">
        <v>45940.0</v>
      </c>
      <c r="T11" s="48"/>
      <c r="U11" s="48"/>
      <c r="V11" s="48"/>
      <c r="W11" s="48"/>
      <c r="X11" s="48"/>
      <c r="Y11" s="48"/>
      <c r="Z11" s="152"/>
      <c r="AA11" s="152"/>
      <c r="AB11" s="152"/>
    </row>
    <row r="12">
      <c r="A12" s="45">
        <v>10.0</v>
      </c>
      <c r="B12" s="52" t="s">
        <v>607</v>
      </c>
      <c r="C12" s="52" t="s">
        <v>608</v>
      </c>
      <c r="D12" s="45" t="s">
        <v>589</v>
      </c>
      <c r="E12" s="55">
        <v>2.0220032E7</v>
      </c>
      <c r="F12" s="55" t="s">
        <v>298</v>
      </c>
      <c r="G12" s="52">
        <v>9.982770771E9</v>
      </c>
      <c r="H12" s="52">
        <v>0.0</v>
      </c>
      <c r="I12" s="52">
        <v>15500.0</v>
      </c>
      <c r="J12" s="52">
        <v>7500.0</v>
      </c>
      <c r="K12" s="48"/>
      <c r="L12" s="52">
        <v>4000.0</v>
      </c>
      <c r="M12" s="54">
        <f t="shared" si="1"/>
        <v>19000</v>
      </c>
      <c r="N12" s="54">
        <f t="shared" si="2"/>
        <v>0</v>
      </c>
      <c r="O12" s="54">
        <f t="shared" si="3"/>
        <v>19000</v>
      </c>
      <c r="P12" s="52" t="s">
        <v>131</v>
      </c>
      <c r="Q12" s="48"/>
      <c r="R12" s="48"/>
      <c r="S12" s="48"/>
      <c r="T12" s="48"/>
      <c r="U12" s="48"/>
      <c r="V12" s="48"/>
      <c r="W12" s="48"/>
      <c r="X12" s="48"/>
      <c r="Y12" s="48"/>
      <c r="Z12" s="152"/>
      <c r="AA12" s="152"/>
      <c r="AB12" s="152"/>
    </row>
    <row r="13">
      <c r="A13" s="45">
        <v>11.0</v>
      </c>
      <c r="B13" s="46" t="s">
        <v>609</v>
      </c>
      <c r="C13" s="46" t="s">
        <v>610</v>
      </c>
      <c r="D13" s="47" t="s">
        <v>589</v>
      </c>
      <c r="E13" s="48"/>
      <c r="F13" s="46" t="s">
        <v>433</v>
      </c>
      <c r="G13" s="154">
        <v>8.690616221E9</v>
      </c>
      <c r="H13" s="51">
        <v>1000.0</v>
      </c>
      <c r="I13" s="52">
        <v>15500.0</v>
      </c>
      <c r="J13" s="51">
        <v>7000.0</v>
      </c>
      <c r="K13" s="46"/>
      <c r="L13" s="51">
        <v>2500.0</v>
      </c>
      <c r="M13" s="54">
        <f t="shared" si="1"/>
        <v>21000</v>
      </c>
      <c r="N13" s="54">
        <f t="shared" si="2"/>
        <v>13500</v>
      </c>
      <c r="O13" s="54">
        <f t="shared" si="3"/>
        <v>7500</v>
      </c>
      <c r="P13" s="46"/>
      <c r="Q13" s="69">
        <v>5000.0</v>
      </c>
      <c r="R13" s="69">
        <v>3138.0</v>
      </c>
      <c r="S13" s="71">
        <v>45755.0</v>
      </c>
      <c r="T13" s="51">
        <v>3500.0</v>
      </c>
      <c r="U13" s="51">
        <v>3587.0</v>
      </c>
      <c r="V13" s="58">
        <v>45848.0</v>
      </c>
      <c r="W13" s="51">
        <v>5000.0</v>
      </c>
      <c r="X13" s="51">
        <v>4002.0</v>
      </c>
      <c r="Y13" s="51" t="s">
        <v>312</v>
      </c>
      <c r="Z13" s="152"/>
      <c r="AA13" s="152"/>
      <c r="AB13" s="152"/>
    </row>
    <row r="14">
      <c r="A14" s="45">
        <v>12.0</v>
      </c>
      <c r="B14" s="52" t="s">
        <v>611</v>
      </c>
      <c r="C14" s="52" t="s">
        <v>612</v>
      </c>
      <c r="D14" s="45" t="s">
        <v>586</v>
      </c>
      <c r="E14" s="55">
        <v>1773.0</v>
      </c>
      <c r="F14" s="55" t="s">
        <v>613</v>
      </c>
      <c r="G14" s="52">
        <v>8.619539208E9</v>
      </c>
      <c r="H14" s="48"/>
      <c r="I14" s="52">
        <v>15500.0</v>
      </c>
      <c r="J14" s="52">
        <v>9500.0</v>
      </c>
      <c r="K14" s="48"/>
      <c r="L14" s="48"/>
      <c r="M14" s="54">
        <f t="shared" si="1"/>
        <v>25000</v>
      </c>
      <c r="N14" s="54">
        <f t="shared" si="2"/>
        <v>4000</v>
      </c>
      <c r="O14" s="54">
        <f t="shared" si="3"/>
        <v>21000</v>
      </c>
      <c r="P14" s="48"/>
      <c r="Q14" s="52">
        <v>4000.0</v>
      </c>
      <c r="R14" s="52">
        <v>3848.0</v>
      </c>
      <c r="S14" s="59">
        <v>45941.0</v>
      </c>
      <c r="T14" s="48"/>
      <c r="U14" s="48"/>
      <c r="V14" s="48"/>
      <c r="W14" s="48"/>
      <c r="X14" s="48"/>
      <c r="Y14" s="48"/>
      <c r="Z14" s="152"/>
      <c r="AA14" s="152"/>
      <c r="AB14" s="152"/>
    </row>
    <row r="15">
      <c r="A15" s="45">
        <v>13.0</v>
      </c>
      <c r="B15" s="52" t="s">
        <v>614</v>
      </c>
      <c r="C15" s="52" t="s">
        <v>615</v>
      </c>
      <c r="D15" s="45" t="s">
        <v>586</v>
      </c>
      <c r="E15" s="55">
        <v>1152.0</v>
      </c>
      <c r="F15" s="55" t="s">
        <v>616</v>
      </c>
      <c r="G15" s="52">
        <v>9.982765377E9</v>
      </c>
      <c r="H15" s="48"/>
      <c r="I15" s="52">
        <v>15500.0</v>
      </c>
      <c r="J15" s="52">
        <v>9000.0</v>
      </c>
      <c r="K15" s="48"/>
      <c r="L15" s="48"/>
      <c r="M15" s="54">
        <f t="shared" si="1"/>
        <v>24500</v>
      </c>
      <c r="N15" s="54">
        <f t="shared" si="2"/>
        <v>5000</v>
      </c>
      <c r="O15" s="54">
        <f t="shared" si="3"/>
        <v>19500</v>
      </c>
      <c r="P15" s="48"/>
      <c r="Q15" s="52">
        <v>5000.0</v>
      </c>
      <c r="R15" s="52">
        <v>3819.0</v>
      </c>
      <c r="S15" s="59">
        <v>45941.0</v>
      </c>
      <c r="T15" s="48"/>
      <c r="U15" s="48"/>
      <c r="V15" s="48"/>
      <c r="W15" s="48"/>
      <c r="X15" s="48"/>
      <c r="Y15" s="48"/>
      <c r="Z15" s="152"/>
      <c r="AA15" s="152"/>
      <c r="AB15" s="152"/>
    </row>
    <row r="16">
      <c r="A16" s="45">
        <v>14.0</v>
      </c>
      <c r="B16" s="52" t="s">
        <v>617</v>
      </c>
      <c r="C16" s="52" t="s">
        <v>618</v>
      </c>
      <c r="D16" s="45" t="s">
        <v>589</v>
      </c>
      <c r="E16" s="55">
        <v>1112.0</v>
      </c>
      <c r="F16" s="55" t="s">
        <v>145</v>
      </c>
      <c r="G16" s="52">
        <v>9.950850784E9</v>
      </c>
      <c r="H16" s="48"/>
      <c r="I16" s="52">
        <v>15500.0</v>
      </c>
      <c r="J16" s="52">
        <v>0.0</v>
      </c>
      <c r="K16" s="48"/>
      <c r="L16" s="48"/>
      <c r="M16" s="54">
        <f t="shared" si="1"/>
        <v>15500</v>
      </c>
      <c r="N16" s="54">
        <f t="shared" si="2"/>
        <v>0</v>
      </c>
      <c r="O16" s="54">
        <f t="shared" si="3"/>
        <v>15500</v>
      </c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152"/>
      <c r="AA16" s="152"/>
      <c r="AB16" s="152"/>
    </row>
    <row r="17">
      <c r="A17" s="45">
        <v>15.0</v>
      </c>
      <c r="B17" s="52" t="s">
        <v>619</v>
      </c>
      <c r="C17" s="52" t="s">
        <v>75</v>
      </c>
      <c r="D17" s="45" t="s">
        <v>589</v>
      </c>
      <c r="E17" s="53"/>
      <c r="F17" s="55" t="s">
        <v>126</v>
      </c>
      <c r="G17" s="52">
        <v>9.351585167E9</v>
      </c>
      <c r="H17" s="48"/>
      <c r="I17" s="52">
        <v>15500.0</v>
      </c>
      <c r="J17" s="52">
        <v>5000.0</v>
      </c>
      <c r="K17" s="48"/>
      <c r="L17" s="52">
        <v>5000.0</v>
      </c>
      <c r="M17" s="54">
        <f t="shared" si="1"/>
        <v>15500</v>
      </c>
      <c r="N17" s="54">
        <f t="shared" si="2"/>
        <v>10000</v>
      </c>
      <c r="O17" s="54">
        <f t="shared" si="3"/>
        <v>5500</v>
      </c>
      <c r="P17" s="48"/>
      <c r="Q17" s="52">
        <v>10000.0</v>
      </c>
      <c r="R17" s="52">
        <v>3639.0</v>
      </c>
      <c r="S17" s="70">
        <v>45879.0</v>
      </c>
      <c r="T17" s="48"/>
      <c r="U17" s="48"/>
      <c r="V17" s="48"/>
      <c r="W17" s="48"/>
      <c r="X17" s="48"/>
      <c r="Y17" s="48"/>
      <c r="Z17" s="152"/>
      <c r="AA17" s="152"/>
      <c r="AB17" s="152"/>
    </row>
    <row r="18">
      <c r="A18" s="45">
        <v>16.0</v>
      </c>
      <c r="B18" s="52" t="s">
        <v>620</v>
      </c>
      <c r="C18" s="52" t="s">
        <v>621</v>
      </c>
      <c r="D18" s="45" t="s">
        <v>586</v>
      </c>
      <c r="E18" s="55">
        <v>1921.0</v>
      </c>
      <c r="F18" s="154" t="s">
        <v>30</v>
      </c>
      <c r="G18" s="49">
        <v>9.636905388E9</v>
      </c>
      <c r="H18" s="49">
        <v>1000.0</v>
      </c>
      <c r="I18" s="52">
        <v>15500.0</v>
      </c>
      <c r="J18" s="49">
        <v>9500.0</v>
      </c>
      <c r="K18" s="46"/>
      <c r="L18" s="46"/>
      <c r="M18" s="54">
        <f t="shared" si="1"/>
        <v>26000</v>
      </c>
      <c r="N18" s="54">
        <f t="shared" si="2"/>
        <v>6000</v>
      </c>
      <c r="O18" s="54">
        <f t="shared" si="3"/>
        <v>20000</v>
      </c>
      <c r="P18" s="46" t="s">
        <v>159</v>
      </c>
      <c r="Q18" s="69">
        <v>1000.0</v>
      </c>
      <c r="R18" s="129">
        <v>3058.0</v>
      </c>
      <c r="S18" s="46" t="s">
        <v>275</v>
      </c>
      <c r="T18" s="52">
        <v>5000.0</v>
      </c>
      <c r="U18" s="52">
        <v>3872.0</v>
      </c>
      <c r="V18" s="59">
        <v>45972.0</v>
      </c>
      <c r="W18" s="48"/>
      <c r="X18" s="48"/>
      <c r="Y18" s="48"/>
      <c r="Z18" s="152"/>
      <c r="AA18" s="152"/>
      <c r="AB18" s="152"/>
    </row>
    <row r="19">
      <c r="A19" s="45">
        <v>17.0</v>
      </c>
      <c r="B19" s="52" t="s">
        <v>622</v>
      </c>
      <c r="C19" s="52" t="s">
        <v>623</v>
      </c>
      <c r="D19" s="45" t="s">
        <v>589</v>
      </c>
      <c r="E19" s="55">
        <v>2.0220031E7</v>
      </c>
      <c r="F19" s="55" t="s">
        <v>145</v>
      </c>
      <c r="G19" s="52">
        <v>8.440093465E9</v>
      </c>
      <c r="H19" s="48"/>
      <c r="I19" s="52">
        <v>15500.0</v>
      </c>
      <c r="J19" s="52">
        <v>0.0</v>
      </c>
      <c r="K19" s="48"/>
      <c r="L19" s="48"/>
      <c r="M19" s="54">
        <f t="shared" si="1"/>
        <v>15500</v>
      </c>
      <c r="N19" s="54">
        <f t="shared" si="2"/>
        <v>0</v>
      </c>
      <c r="O19" s="54">
        <f t="shared" si="3"/>
        <v>15500</v>
      </c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152"/>
      <c r="AA19" s="152"/>
      <c r="AB19" s="152"/>
    </row>
    <row r="20">
      <c r="A20" s="45">
        <v>18.0</v>
      </c>
      <c r="B20" s="52" t="s">
        <v>287</v>
      </c>
      <c r="C20" s="52" t="s">
        <v>536</v>
      </c>
      <c r="D20" s="45" t="s">
        <v>589</v>
      </c>
      <c r="E20" s="55">
        <v>1647.0</v>
      </c>
      <c r="F20" s="153" t="s">
        <v>289</v>
      </c>
      <c r="G20" s="49">
        <v>9.358079582E9</v>
      </c>
      <c r="H20" s="49">
        <v>0.0</v>
      </c>
      <c r="I20" s="52">
        <v>15500.0</v>
      </c>
      <c r="J20" s="49">
        <v>9000.0</v>
      </c>
      <c r="K20" s="46"/>
      <c r="L20" s="49">
        <v>3500.0</v>
      </c>
      <c r="M20" s="54">
        <f t="shared" si="1"/>
        <v>21000</v>
      </c>
      <c r="N20" s="54">
        <f t="shared" si="2"/>
        <v>7500</v>
      </c>
      <c r="O20" s="54">
        <f t="shared" si="3"/>
        <v>13500</v>
      </c>
      <c r="P20" s="46" t="s">
        <v>44</v>
      </c>
      <c r="Q20" s="69">
        <v>2500.0</v>
      </c>
      <c r="R20" s="69">
        <v>3050.0</v>
      </c>
      <c r="S20" s="46" t="s">
        <v>275</v>
      </c>
      <c r="T20" s="52">
        <v>5000.0</v>
      </c>
      <c r="U20" s="52">
        <v>3915.0</v>
      </c>
      <c r="V20" s="52" t="s">
        <v>525</v>
      </c>
      <c r="W20" s="48"/>
      <c r="X20" s="48"/>
      <c r="Y20" s="48"/>
      <c r="Z20" s="152"/>
      <c r="AA20" s="152"/>
      <c r="AB20" s="152"/>
    </row>
    <row r="21">
      <c r="A21" s="45">
        <v>19.0</v>
      </c>
      <c r="B21" s="52" t="s">
        <v>624</v>
      </c>
      <c r="C21" s="52" t="s">
        <v>625</v>
      </c>
      <c r="D21" s="45" t="s">
        <v>586</v>
      </c>
      <c r="E21" s="55">
        <v>1645.0</v>
      </c>
      <c r="F21" s="55" t="s">
        <v>3</v>
      </c>
      <c r="G21" s="52">
        <v>7.737984838E9</v>
      </c>
      <c r="H21" s="48"/>
      <c r="I21" s="52">
        <v>15500.0</v>
      </c>
      <c r="J21" s="52">
        <v>6500.0</v>
      </c>
      <c r="K21" s="48"/>
      <c r="L21" s="48"/>
      <c r="M21" s="54">
        <f t="shared" si="1"/>
        <v>22000</v>
      </c>
      <c r="N21" s="54">
        <f t="shared" si="2"/>
        <v>3000</v>
      </c>
      <c r="O21" s="54">
        <f t="shared" si="3"/>
        <v>19000</v>
      </c>
      <c r="P21" s="48"/>
      <c r="Q21" s="52">
        <v>3000.0</v>
      </c>
      <c r="R21" s="52">
        <v>3550.0</v>
      </c>
      <c r="S21" s="70">
        <v>45818.0</v>
      </c>
      <c r="T21" s="48"/>
      <c r="U21" s="48"/>
      <c r="V21" s="48"/>
      <c r="W21" s="48"/>
      <c r="X21" s="48"/>
      <c r="Y21" s="48"/>
      <c r="Z21" s="152"/>
      <c r="AA21" s="152"/>
      <c r="AB21" s="152"/>
    </row>
    <row r="22">
      <c r="A22" s="45">
        <v>20.0</v>
      </c>
      <c r="B22" s="52" t="s">
        <v>626</v>
      </c>
      <c r="C22" s="52" t="s">
        <v>627</v>
      </c>
      <c r="D22" s="45" t="s">
        <v>586</v>
      </c>
      <c r="E22" s="55">
        <v>1841.0</v>
      </c>
      <c r="F22" s="153" t="s">
        <v>33</v>
      </c>
      <c r="G22" s="49">
        <v>7.74210565E9</v>
      </c>
      <c r="H22" s="49">
        <v>1000.0</v>
      </c>
      <c r="I22" s="52">
        <v>15500.0</v>
      </c>
      <c r="J22" s="49">
        <v>5000.0</v>
      </c>
      <c r="K22" s="46"/>
      <c r="L22" s="49">
        <v>0.0</v>
      </c>
      <c r="M22" s="54">
        <f t="shared" si="1"/>
        <v>21500</v>
      </c>
      <c r="N22" s="54">
        <f t="shared" si="2"/>
        <v>10000</v>
      </c>
      <c r="O22" s="54">
        <f t="shared" si="3"/>
        <v>11500</v>
      </c>
      <c r="P22" s="46" t="s">
        <v>177</v>
      </c>
      <c r="Q22" s="69">
        <v>5000.0</v>
      </c>
      <c r="R22" s="69">
        <v>2840.0</v>
      </c>
      <c r="S22" s="46" t="s">
        <v>628</v>
      </c>
      <c r="T22" s="51">
        <v>5000.0</v>
      </c>
      <c r="U22" s="51">
        <v>3732.0</v>
      </c>
      <c r="V22" s="72">
        <v>45971.0</v>
      </c>
      <c r="W22" s="46"/>
      <c r="X22" s="46"/>
      <c r="Y22" s="46"/>
      <c r="Z22" s="152"/>
      <c r="AA22" s="152"/>
      <c r="AB22" s="152"/>
    </row>
    <row r="23">
      <c r="A23" s="45">
        <v>21.0</v>
      </c>
      <c r="B23" s="52" t="s">
        <v>629</v>
      </c>
      <c r="C23" s="52" t="s">
        <v>630</v>
      </c>
      <c r="D23" s="45" t="s">
        <v>589</v>
      </c>
      <c r="E23" s="55">
        <v>1151.0</v>
      </c>
      <c r="F23" s="55" t="s">
        <v>126</v>
      </c>
      <c r="G23" s="52">
        <v>8.302813922E9</v>
      </c>
      <c r="H23" s="48"/>
      <c r="I23" s="52">
        <v>15500.0</v>
      </c>
      <c r="J23" s="52">
        <v>5000.0</v>
      </c>
      <c r="K23" s="48"/>
      <c r="L23" s="52">
        <v>5500.0</v>
      </c>
      <c r="M23" s="54">
        <f t="shared" si="1"/>
        <v>15000</v>
      </c>
      <c r="N23" s="54">
        <f t="shared" si="2"/>
        <v>5000</v>
      </c>
      <c r="O23" s="54">
        <f t="shared" si="3"/>
        <v>10000</v>
      </c>
      <c r="P23" s="52" t="s">
        <v>131</v>
      </c>
      <c r="Q23" s="52">
        <v>5000.0</v>
      </c>
      <c r="R23" s="52">
        <v>3337.0</v>
      </c>
      <c r="S23" s="52" t="s">
        <v>241</v>
      </c>
      <c r="T23" s="48"/>
      <c r="U23" s="48"/>
      <c r="V23" s="48"/>
      <c r="W23" s="48"/>
      <c r="X23" s="48"/>
      <c r="Y23" s="48"/>
      <c r="Z23" s="152"/>
      <c r="AA23" s="152"/>
      <c r="AB23" s="152"/>
    </row>
    <row r="24">
      <c r="A24" s="45">
        <v>22.0</v>
      </c>
      <c r="B24" s="52" t="s">
        <v>631</v>
      </c>
      <c r="C24" s="52" t="s">
        <v>632</v>
      </c>
      <c r="D24" s="45" t="s">
        <v>589</v>
      </c>
      <c r="E24" s="55">
        <v>1148.0</v>
      </c>
      <c r="F24" s="55" t="s">
        <v>361</v>
      </c>
      <c r="G24" s="52">
        <v>9.828899297E9</v>
      </c>
      <c r="H24" s="52">
        <v>1000.0</v>
      </c>
      <c r="I24" s="52">
        <v>15500.0</v>
      </c>
      <c r="J24" s="52">
        <v>5000.0</v>
      </c>
      <c r="K24" s="48"/>
      <c r="L24" s="52">
        <v>3500.0</v>
      </c>
      <c r="M24" s="54">
        <f t="shared" si="1"/>
        <v>18000</v>
      </c>
      <c r="N24" s="54">
        <f t="shared" si="2"/>
        <v>8000</v>
      </c>
      <c r="O24" s="54">
        <f t="shared" si="3"/>
        <v>10000</v>
      </c>
      <c r="P24" s="52" t="s">
        <v>131</v>
      </c>
      <c r="Q24" s="52">
        <v>1000.0</v>
      </c>
      <c r="R24" s="52">
        <v>3339.0</v>
      </c>
      <c r="S24" s="52" t="s">
        <v>241</v>
      </c>
      <c r="T24" s="52">
        <v>7000.0</v>
      </c>
      <c r="U24" s="48"/>
      <c r="V24" s="70">
        <v>45786.0</v>
      </c>
      <c r="W24" s="48"/>
      <c r="X24" s="48"/>
      <c r="Y24" s="48"/>
      <c r="Z24" s="152"/>
      <c r="AA24" s="152"/>
      <c r="AB24" s="152"/>
    </row>
    <row r="25">
      <c r="A25" s="45">
        <v>23.0</v>
      </c>
      <c r="B25" s="52" t="s">
        <v>633</v>
      </c>
      <c r="C25" s="52" t="s">
        <v>634</v>
      </c>
      <c r="D25" s="45" t="s">
        <v>589</v>
      </c>
      <c r="E25" s="55">
        <v>1588.0</v>
      </c>
      <c r="F25" s="153" t="s">
        <v>188</v>
      </c>
      <c r="G25" s="49">
        <v>8.955972633E9</v>
      </c>
      <c r="H25" s="49">
        <v>0.0</v>
      </c>
      <c r="I25" s="52">
        <v>15500.0</v>
      </c>
      <c r="J25" s="49">
        <v>5000.0</v>
      </c>
      <c r="K25" s="46"/>
      <c r="L25" s="49">
        <v>4000.0</v>
      </c>
      <c r="M25" s="54">
        <f t="shared" si="1"/>
        <v>16500</v>
      </c>
      <c r="N25" s="54">
        <f t="shared" si="2"/>
        <v>5000</v>
      </c>
      <c r="O25" s="54">
        <f t="shared" si="3"/>
        <v>11500</v>
      </c>
      <c r="P25" s="46" t="s">
        <v>44</v>
      </c>
      <c r="Q25" s="52">
        <v>5000.0</v>
      </c>
      <c r="R25" s="52">
        <v>3570.0</v>
      </c>
      <c r="S25" s="155" t="s">
        <v>635</v>
      </c>
      <c r="T25" s="48"/>
      <c r="U25" s="48"/>
      <c r="V25" s="48"/>
      <c r="W25" s="48"/>
      <c r="X25" s="48"/>
      <c r="Y25" s="48"/>
      <c r="Z25" s="152"/>
      <c r="AA25" s="152"/>
      <c r="AB25" s="152"/>
    </row>
    <row r="26">
      <c r="A26" s="45">
        <v>24.0</v>
      </c>
      <c r="B26" s="52" t="s">
        <v>636</v>
      </c>
      <c r="C26" s="52" t="s">
        <v>637</v>
      </c>
      <c r="D26" s="45" t="s">
        <v>589</v>
      </c>
      <c r="E26" s="55">
        <v>1252.0</v>
      </c>
      <c r="F26" s="55" t="s">
        <v>298</v>
      </c>
      <c r="G26" s="52">
        <v>9.95048097E9</v>
      </c>
      <c r="H26" s="52">
        <v>0.0</v>
      </c>
      <c r="I26" s="52">
        <v>15500.0</v>
      </c>
      <c r="J26" s="52">
        <v>7000.0</v>
      </c>
      <c r="K26" s="48"/>
      <c r="L26" s="52">
        <v>4000.0</v>
      </c>
      <c r="M26" s="54">
        <f t="shared" si="1"/>
        <v>18500</v>
      </c>
      <c r="N26" s="54">
        <f t="shared" si="2"/>
        <v>0</v>
      </c>
      <c r="O26" s="54">
        <f t="shared" si="3"/>
        <v>18500</v>
      </c>
      <c r="P26" s="52" t="s">
        <v>131</v>
      </c>
      <c r="Q26" s="48"/>
      <c r="R26" s="48"/>
      <c r="S26" s="48"/>
      <c r="T26" s="48"/>
      <c r="U26" s="48"/>
      <c r="V26" s="48"/>
      <c r="W26" s="48"/>
      <c r="X26" s="48"/>
      <c r="Y26" s="48"/>
      <c r="Z26" s="152"/>
      <c r="AA26" s="152"/>
      <c r="AB26" s="152"/>
    </row>
    <row r="27">
      <c r="A27" s="45">
        <v>25.0</v>
      </c>
      <c r="B27" s="46" t="s">
        <v>638</v>
      </c>
      <c r="C27" s="51" t="s">
        <v>639</v>
      </c>
      <c r="D27" s="49" t="s">
        <v>586</v>
      </c>
      <c r="E27" s="51">
        <v>1332.0</v>
      </c>
      <c r="F27" s="46"/>
      <c r="G27" s="51">
        <v>8.000420581E9</v>
      </c>
      <c r="H27" s="46"/>
      <c r="I27" s="52">
        <v>15500.0</v>
      </c>
      <c r="J27" s="46"/>
      <c r="K27" s="46"/>
      <c r="L27" s="46"/>
      <c r="M27" s="54">
        <f t="shared" si="1"/>
        <v>15500</v>
      </c>
      <c r="N27" s="54">
        <f t="shared" si="2"/>
        <v>0</v>
      </c>
      <c r="O27" s="54">
        <f t="shared" si="3"/>
        <v>15500</v>
      </c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152"/>
      <c r="AA27" s="152"/>
      <c r="AB27" s="152"/>
    </row>
    <row r="28">
      <c r="A28" s="45">
        <v>26.0</v>
      </c>
      <c r="B28" s="52" t="s">
        <v>640</v>
      </c>
      <c r="C28" s="52" t="s">
        <v>641</v>
      </c>
      <c r="D28" s="45" t="s">
        <v>586</v>
      </c>
      <c r="E28" s="55">
        <v>1332.0</v>
      </c>
      <c r="F28" s="55" t="s">
        <v>130</v>
      </c>
      <c r="G28" s="52">
        <v>8.000420581E9</v>
      </c>
      <c r="H28" s="48"/>
      <c r="I28" s="52">
        <v>15500.0</v>
      </c>
      <c r="J28" s="52">
        <v>5000.0</v>
      </c>
      <c r="K28" s="48"/>
      <c r="L28" s="48"/>
      <c r="M28" s="54">
        <f t="shared" si="1"/>
        <v>20500</v>
      </c>
      <c r="N28" s="54">
        <f t="shared" si="2"/>
        <v>0</v>
      </c>
      <c r="O28" s="54">
        <f t="shared" si="3"/>
        <v>20500</v>
      </c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152"/>
      <c r="AA28" s="152"/>
      <c r="AB28" s="152"/>
    </row>
    <row r="29">
      <c r="A29" s="45">
        <v>27.0</v>
      </c>
      <c r="B29" s="52" t="s">
        <v>642</v>
      </c>
      <c r="C29" s="52" t="s">
        <v>643</v>
      </c>
      <c r="D29" s="45" t="s">
        <v>586</v>
      </c>
      <c r="E29" s="55">
        <v>1074.0</v>
      </c>
      <c r="F29" s="55" t="s">
        <v>145</v>
      </c>
      <c r="G29" s="52">
        <v>8.290945016E9</v>
      </c>
      <c r="H29" s="48"/>
      <c r="I29" s="52">
        <v>15500.0</v>
      </c>
      <c r="J29" s="52">
        <v>0.0</v>
      </c>
      <c r="K29" s="48"/>
      <c r="L29" s="48"/>
      <c r="M29" s="54">
        <f t="shared" si="1"/>
        <v>15500</v>
      </c>
      <c r="N29" s="54">
        <f t="shared" si="2"/>
        <v>7000</v>
      </c>
      <c r="O29" s="54">
        <f t="shared" si="3"/>
        <v>8500</v>
      </c>
      <c r="P29" s="48"/>
      <c r="Q29" s="52">
        <v>4000.0</v>
      </c>
      <c r="R29" s="52">
        <v>3443.0</v>
      </c>
      <c r="S29" s="52" t="s">
        <v>217</v>
      </c>
      <c r="T29" s="52">
        <v>3000.0</v>
      </c>
      <c r="U29" s="52">
        <v>3876.0</v>
      </c>
      <c r="V29" s="156">
        <v>46002.0</v>
      </c>
      <c r="W29" s="48"/>
      <c r="X29" s="48"/>
      <c r="Y29" s="48"/>
      <c r="Z29" s="152"/>
      <c r="AA29" s="152"/>
      <c r="AB29" s="152"/>
    </row>
    <row r="30">
      <c r="A30" s="45">
        <v>28.0</v>
      </c>
      <c r="B30" s="157" t="s">
        <v>644</v>
      </c>
      <c r="C30" s="157" t="s">
        <v>645</v>
      </c>
      <c r="D30" s="158" t="s">
        <v>586</v>
      </c>
      <c r="E30" s="159">
        <v>1155.0</v>
      </c>
      <c r="F30" s="160" t="s">
        <v>646</v>
      </c>
      <c r="G30" s="161" t="s">
        <v>647</v>
      </c>
      <c r="H30" s="133">
        <v>0.0</v>
      </c>
      <c r="I30" s="52">
        <v>15500.0</v>
      </c>
      <c r="J30" s="133">
        <v>6500.0</v>
      </c>
      <c r="K30" s="132"/>
      <c r="L30" s="133">
        <v>4500.0</v>
      </c>
      <c r="M30" s="54">
        <f t="shared" si="1"/>
        <v>17500</v>
      </c>
      <c r="N30" s="54">
        <f t="shared" si="2"/>
        <v>10000</v>
      </c>
      <c r="O30" s="54">
        <f t="shared" si="3"/>
        <v>7500</v>
      </c>
      <c r="P30" s="132" t="s">
        <v>177</v>
      </c>
      <c r="Q30" s="136">
        <v>5000.0</v>
      </c>
      <c r="R30" s="136">
        <v>3124.0</v>
      </c>
      <c r="S30" s="162">
        <v>45665.0</v>
      </c>
      <c r="T30" s="157">
        <v>5000.0</v>
      </c>
      <c r="U30" s="157">
        <v>3526.0</v>
      </c>
      <c r="V30" s="163">
        <v>45818.0</v>
      </c>
      <c r="W30" s="164"/>
      <c r="X30" s="164"/>
      <c r="Y30" s="164"/>
      <c r="Z30" s="152"/>
      <c r="AA30" s="152"/>
      <c r="AB30" s="152"/>
    </row>
    <row r="31">
      <c r="A31" s="45">
        <v>29.0</v>
      </c>
      <c r="B31" s="52" t="s">
        <v>648</v>
      </c>
      <c r="C31" s="52" t="s">
        <v>649</v>
      </c>
      <c r="D31" s="45" t="s">
        <v>589</v>
      </c>
      <c r="E31" s="55">
        <v>1591.0</v>
      </c>
      <c r="F31" s="153" t="s">
        <v>400</v>
      </c>
      <c r="G31" s="49">
        <v>9.079601977E9</v>
      </c>
      <c r="H31" s="46"/>
      <c r="I31" s="52">
        <v>15500.0</v>
      </c>
      <c r="J31" s="51">
        <v>6500.0</v>
      </c>
      <c r="K31" s="46"/>
      <c r="L31" s="46"/>
      <c r="M31" s="54">
        <f t="shared" si="1"/>
        <v>22000</v>
      </c>
      <c r="N31" s="54">
        <f t="shared" si="2"/>
        <v>14000</v>
      </c>
      <c r="O31" s="54">
        <f t="shared" si="3"/>
        <v>8000</v>
      </c>
      <c r="P31" s="46"/>
      <c r="Q31" s="69">
        <v>5000.0</v>
      </c>
      <c r="R31" s="69">
        <v>2998.0</v>
      </c>
      <c r="S31" s="46" t="s">
        <v>191</v>
      </c>
      <c r="T31" s="52">
        <v>5000.0</v>
      </c>
      <c r="U31" s="52">
        <v>3460.0</v>
      </c>
      <c r="V31" s="70">
        <v>45726.0</v>
      </c>
      <c r="W31" s="52">
        <v>4000.0</v>
      </c>
      <c r="X31" s="52">
        <v>3993.0</v>
      </c>
      <c r="Y31" s="52" t="s">
        <v>312</v>
      </c>
      <c r="Z31" s="152"/>
      <c r="AA31" s="152"/>
      <c r="AB31" s="152"/>
    </row>
    <row r="32">
      <c r="A32" s="45">
        <v>30.0</v>
      </c>
      <c r="B32" s="52" t="s">
        <v>650</v>
      </c>
      <c r="C32" s="52" t="s">
        <v>651</v>
      </c>
      <c r="D32" s="45" t="s">
        <v>589</v>
      </c>
      <c r="E32" s="55">
        <v>1870.0</v>
      </c>
      <c r="F32" s="153" t="s">
        <v>652</v>
      </c>
      <c r="G32" s="49">
        <v>9.549636748E9</v>
      </c>
      <c r="H32" s="49">
        <v>1000.0</v>
      </c>
      <c r="I32" s="52">
        <v>15500.0</v>
      </c>
      <c r="J32" s="49">
        <v>8000.0</v>
      </c>
      <c r="K32" s="46"/>
      <c r="L32" s="49">
        <v>3000.0</v>
      </c>
      <c r="M32" s="54">
        <f t="shared" si="1"/>
        <v>21500</v>
      </c>
      <c r="N32" s="54">
        <f t="shared" si="2"/>
        <v>7000</v>
      </c>
      <c r="O32" s="54">
        <f t="shared" si="3"/>
        <v>14500</v>
      </c>
      <c r="P32" s="46" t="s">
        <v>131</v>
      </c>
      <c r="Q32" s="52">
        <v>7000.0</v>
      </c>
      <c r="R32" s="52">
        <v>3676.0</v>
      </c>
      <c r="S32" s="70">
        <v>45910.0</v>
      </c>
      <c r="T32" s="48"/>
      <c r="U32" s="48"/>
      <c r="V32" s="48"/>
      <c r="W32" s="48"/>
      <c r="X32" s="48"/>
      <c r="Y32" s="48"/>
      <c r="Z32" s="152"/>
      <c r="AA32" s="152"/>
      <c r="AB32" s="152"/>
    </row>
    <row r="33">
      <c r="A33" s="45">
        <v>31.0</v>
      </c>
      <c r="B33" s="52" t="s">
        <v>653</v>
      </c>
      <c r="C33" s="52" t="s">
        <v>654</v>
      </c>
      <c r="D33" s="45" t="s">
        <v>589</v>
      </c>
      <c r="E33" s="55">
        <v>2.0220036E7</v>
      </c>
      <c r="F33" s="55" t="s">
        <v>126</v>
      </c>
      <c r="G33" s="52">
        <v>7.742386358E9</v>
      </c>
      <c r="H33" s="48"/>
      <c r="I33" s="52">
        <v>15500.0</v>
      </c>
      <c r="J33" s="52">
        <v>5000.0</v>
      </c>
      <c r="K33" s="48"/>
      <c r="L33" s="48"/>
      <c r="M33" s="54">
        <f t="shared" si="1"/>
        <v>20500</v>
      </c>
      <c r="N33" s="54">
        <f t="shared" si="2"/>
        <v>0</v>
      </c>
      <c r="O33" s="54">
        <f t="shared" si="3"/>
        <v>20500</v>
      </c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152"/>
      <c r="AA33" s="152"/>
      <c r="AB33" s="152"/>
    </row>
    <row r="34">
      <c r="A34" s="45">
        <v>32.0</v>
      </c>
      <c r="B34" s="52" t="s">
        <v>80</v>
      </c>
      <c r="C34" s="52" t="s">
        <v>81</v>
      </c>
      <c r="D34" s="45" t="s">
        <v>589</v>
      </c>
      <c r="E34" s="53"/>
      <c r="F34" s="55" t="s">
        <v>474</v>
      </c>
      <c r="G34" s="52">
        <v>7.742386189E9</v>
      </c>
      <c r="H34" s="48"/>
      <c r="I34" s="52">
        <v>15500.0</v>
      </c>
      <c r="J34" s="52">
        <v>5000.0</v>
      </c>
      <c r="K34" s="48"/>
      <c r="L34" s="52">
        <v>3500.0</v>
      </c>
      <c r="M34" s="54">
        <f t="shared" si="1"/>
        <v>17000</v>
      </c>
      <c r="N34" s="54">
        <f t="shared" si="2"/>
        <v>5000</v>
      </c>
      <c r="O34" s="54">
        <f t="shared" si="3"/>
        <v>12000</v>
      </c>
      <c r="P34" s="48"/>
      <c r="Q34" s="52">
        <v>5000.0</v>
      </c>
      <c r="R34" s="52">
        <v>3829.0</v>
      </c>
      <c r="S34" s="59">
        <v>45941.0</v>
      </c>
      <c r="T34" s="48"/>
      <c r="U34" s="48"/>
      <c r="V34" s="48"/>
      <c r="W34" s="48"/>
      <c r="X34" s="48"/>
      <c r="Y34" s="48"/>
      <c r="Z34" s="152"/>
      <c r="AA34" s="152"/>
      <c r="AB34" s="152"/>
    </row>
    <row r="35">
      <c r="A35" s="45">
        <v>33.0</v>
      </c>
      <c r="B35" s="52" t="s">
        <v>655</v>
      </c>
      <c r="C35" s="52" t="s">
        <v>656</v>
      </c>
      <c r="D35" s="45" t="s">
        <v>586</v>
      </c>
      <c r="E35" s="55">
        <v>1568.0</v>
      </c>
      <c r="F35" s="153" t="s">
        <v>145</v>
      </c>
      <c r="G35" s="49">
        <v>9.829739619E9</v>
      </c>
      <c r="H35" s="46"/>
      <c r="I35" s="52">
        <v>15500.0</v>
      </c>
      <c r="J35" s="51">
        <v>0.0</v>
      </c>
      <c r="K35" s="46"/>
      <c r="L35" s="46"/>
      <c r="M35" s="54">
        <f t="shared" si="1"/>
        <v>15500</v>
      </c>
      <c r="N35" s="54">
        <f t="shared" si="2"/>
        <v>6500</v>
      </c>
      <c r="O35" s="54">
        <f t="shared" si="3"/>
        <v>9000</v>
      </c>
      <c r="P35" s="46"/>
      <c r="Q35" s="69">
        <v>2500.0</v>
      </c>
      <c r="R35" s="69">
        <v>2985.0</v>
      </c>
      <c r="S35" s="71">
        <v>45998.0</v>
      </c>
      <c r="T35" s="52">
        <v>4000.0</v>
      </c>
      <c r="U35" s="52">
        <v>3517.0</v>
      </c>
      <c r="V35" s="70">
        <v>45818.0</v>
      </c>
      <c r="W35" s="48"/>
      <c r="X35" s="48"/>
      <c r="Y35" s="48"/>
      <c r="Z35" s="152"/>
      <c r="AA35" s="152"/>
      <c r="AB35" s="152"/>
    </row>
    <row r="36">
      <c r="A36" s="45">
        <v>34.0</v>
      </c>
      <c r="B36" s="52" t="s">
        <v>657</v>
      </c>
      <c r="C36" s="52" t="s">
        <v>658</v>
      </c>
      <c r="D36" s="45" t="s">
        <v>586</v>
      </c>
      <c r="E36" s="53"/>
      <c r="F36" s="55" t="s">
        <v>30</v>
      </c>
      <c r="G36" s="52">
        <v>9.644453165E9</v>
      </c>
      <c r="H36" s="48"/>
      <c r="I36" s="52">
        <v>15500.0</v>
      </c>
      <c r="J36" s="52">
        <v>0.0</v>
      </c>
      <c r="K36" s="48"/>
      <c r="L36" s="48"/>
      <c r="M36" s="54">
        <f t="shared" si="1"/>
        <v>15500</v>
      </c>
      <c r="N36" s="54">
        <f t="shared" si="2"/>
        <v>0</v>
      </c>
      <c r="O36" s="54">
        <f t="shared" si="3"/>
        <v>15500</v>
      </c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152"/>
      <c r="AA36" s="152"/>
      <c r="AB36" s="152"/>
    </row>
    <row r="37">
      <c r="A37" s="45">
        <v>35.0</v>
      </c>
      <c r="B37" s="52" t="s">
        <v>503</v>
      </c>
      <c r="C37" s="52" t="s">
        <v>659</v>
      </c>
      <c r="D37" s="45" t="s">
        <v>586</v>
      </c>
      <c r="E37" s="53"/>
      <c r="F37" s="55" t="s">
        <v>169</v>
      </c>
      <c r="G37" s="52">
        <v>9.610236422E9</v>
      </c>
      <c r="H37" s="52">
        <v>1000.0</v>
      </c>
      <c r="I37" s="52">
        <v>15500.0</v>
      </c>
      <c r="J37" s="52">
        <v>7500.0</v>
      </c>
      <c r="K37" s="48"/>
      <c r="L37" s="52">
        <v>5500.0</v>
      </c>
      <c r="M37" s="54">
        <f t="shared" si="1"/>
        <v>18500</v>
      </c>
      <c r="N37" s="54">
        <f t="shared" si="2"/>
        <v>0</v>
      </c>
      <c r="O37" s="54">
        <f t="shared" si="3"/>
        <v>18500</v>
      </c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152"/>
      <c r="AA37" s="152"/>
      <c r="AB37" s="152"/>
    </row>
    <row r="38">
      <c r="A38" s="45">
        <v>36.0</v>
      </c>
      <c r="B38" s="52" t="s">
        <v>660</v>
      </c>
      <c r="C38" s="52" t="s">
        <v>661</v>
      </c>
      <c r="D38" s="45" t="s">
        <v>586</v>
      </c>
      <c r="E38" s="55">
        <v>1731.0</v>
      </c>
      <c r="F38" s="55" t="s">
        <v>662</v>
      </c>
      <c r="G38" s="52">
        <v>9.024300658E9</v>
      </c>
      <c r="H38" s="48"/>
      <c r="I38" s="52">
        <v>15500.0</v>
      </c>
      <c r="J38" s="52">
        <v>6500.0</v>
      </c>
      <c r="K38" s="48"/>
      <c r="L38" s="52">
        <v>1500.0</v>
      </c>
      <c r="M38" s="54">
        <f t="shared" si="1"/>
        <v>20500</v>
      </c>
      <c r="N38" s="54">
        <f t="shared" si="2"/>
        <v>10000</v>
      </c>
      <c r="O38" s="54">
        <f t="shared" si="3"/>
        <v>10500</v>
      </c>
      <c r="P38" s="48"/>
      <c r="Q38" s="52">
        <v>10000.0</v>
      </c>
      <c r="R38" s="52">
        <v>3514.0</v>
      </c>
      <c r="S38" s="70">
        <v>45757.0</v>
      </c>
      <c r="T38" s="48"/>
      <c r="U38" s="48"/>
      <c r="V38" s="48"/>
      <c r="W38" s="48"/>
      <c r="X38" s="48"/>
      <c r="Y38" s="48"/>
      <c r="Z38" s="152"/>
      <c r="AA38" s="152"/>
      <c r="AB38" s="152"/>
    </row>
    <row r="39">
      <c r="A39" s="45">
        <v>37.0</v>
      </c>
      <c r="B39" s="52" t="s">
        <v>663</v>
      </c>
      <c r="C39" s="52" t="s">
        <v>664</v>
      </c>
      <c r="D39" s="45" t="s">
        <v>586</v>
      </c>
      <c r="E39" s="55">
        <v>1779.0</v>
      </c>
      <c r="F39" s="55" t="s">
        <v>145</v>
      </c>
      <c r="G39" s="52">
        <v>7.300344967E9</v>
      </c>
      <c r="H39" s="52">
        <v>0.0</v>
      </c>
      <c r="I39" s="52">
        <v>15500.0</v>
      </c>
      <c r="J39" s="52">
        <v>0.0</v>
      </c>
      <c r="K39" s="48"/>
      <c r="L39" s="52">
        <v>3000.0</v>
      </c>
      <c r="M39" s="54">
        <f t="shared" si="1"/>
        <v>12500</v>
      </c>
      <c r="N39" s="54">
        <f t="shared" si="2"/>
        <v>12500</v>
      </c>
      <c r="O39" s="54">
        <f t="shared" si="3"/>
        <v>0</v>
      </c>
      <c r="P39" s="48"/>
      <c r="Q39" s="52">
        <v>12500.0</v>
      </c>
      <c r="R39" s="52">
        <v>3459.0</v>
      </c>
      <c r="S39" s="70">
        <v>45726.0</v>
      </c>
      <c r="T39" s="48"/>
      <c r="U39" s="48"/>
      <c r="V39" s="48"/>
      <c r="W39" s="48"/>
      <c r="X39" s="48"/>
      <c r="Y39" s="48"/>
      <c r="Z39" s="152"/>
      <c r="AA39" s="152"/>
      <c r="AB39" s="152"/>
    </row>
    <row r="40">
      <c r="A40" s="45">
        <v>38.0</v>
      </c>
      <c r="B40" s="52" t="s">
        <v>424</v>
      </c>
      <c r="C40" s="52" t="s">
        <v>91</v>
      </c>
      <c r="D40" s="45" t="s">
        <v>589</v>
      </c>
      <c r="E40" s="53"/>
      <c r="F40" s="55" t="s">
        <v>130</v>
      </c>
      <c r="G40" s="52">
        <v>9.983806845E9</v>
      </c>
      <c r="H40" s="48"/>
      <c r="I40" s="52">
        <v>15500.0</v>
      </c>
      <c r="J40" s="52">
        <v>5000.0</v>
      </c>
      <c r="K40" s="48"/>
      <c r="L40" s="48"/>
      <c r="M40" s="54">
        <f t="shared" si="1"/>
        <v>20500</v>
      </c>
      <c r="N40" s="54">
        <f t="shared" si="2"/>
        <v>5000</v>
      </c>
      <c r="O40" s="54">
        <f t="shared" si="3"/>
        <v>15500</v>
      </c>
      <c r="P40" s="48"/>
      <c r="Q40" s="52">
        <v>5000.0</v>
      </c>
      <c r="R40" s="52">
        <v>3463.0</v>
      </c>
      <c r="S40" s="70">
        <v>45726.0</v>
      </c>
      <c r="T40" s="48"/>
      <c r="U40" s="48"/>
      <c r="V40" s="48"/>
      <c r="W40" s="48"/>
      <c r="X40" s="48"/>
      <c r="Y40" s="48"/>
      <c r="Z40" s="152"/>
      <c r="AA40" s="152"/>
      <c r="AB40" s="152"/>
    </row>
    <row r="41">
      <c r="A41" s="45">
        <v>39.0</v>
      </c>
      <c r="B41" s="52" t="s">
        <v>665</v>
      </c>
      <c r="C41" s="52" t="s">
        <v>666</v>
      </c>
      <c r="D41" s="45" t="s">
        <v>589</v>
      </c>
      <c r="E41" s="55">
        <v>2.0220034E7</v>
      </c>
      <c r="F41" s="55" t="s">
        <v>145</v>
      </c>
      <c r="G41" s="52">
        <v>7.742460728E9</v>
      </c>
      <c r="H41" s="48"/>
      <c r="I41" s="52">
        <v>15500.0</v>
      </c>
      <c r="J41" s="52">
        <v>0.0</v>
      </c>
      <c r="K41" s="48"/>
      <c r="L41" s="48"/>
      <c r="M41" s="54">
        <f t="shared" si="1"/>
        <v>15500</v>
      </c>
      <c r="N41" s="54">
        <f t="shared" si="2"/>
        <v>0</v>
      </c>
      <c r="O41" s="54">
        <f t="shared" si="3"/>
        <v>15500</v>
      </c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152"/>
      <c r="AA41" s="152"/>
      <c r="AB41" s="152"/>
    </row>
    <row r="42">
      <c r="A42" s="45">
        <v>40.0</v>
      </c>
      <c r="B42" s="52" t="s">
        <v>667</v>
      </c>
      <c r="C42" s="52" t="s">
        <v>668</v>
      </c>
      <c r="D42" s="45" t="s">
        <v>589</v>
      </c>
      <c r="E42" s="55">
        <v>1780.0</v>
      </c>
      <c r="F42" s="153" t="s">
        <v>669</v>
      </c>
      <c r="G42" s="49">
        <v>8.955237902E9</v>
      </c>
      <c r="H42" s="49">
        <v>0.0</v>
      </c>
      <c r="I42" s="52">
        <v>15500.0</v>
      </c>
      <c r="J42" s="49">
        <v>7000.0</v>
      </c>
      <c r="K42" s="46"/>
      <c r="L42" s="49">
        <v>1500.0</v>
      </c>
      <c r="M42" s="54">
        <f t="shared" si="1"/>
        <v>21000</v>
      </c>
      <c r="N42" s="54">
        <f t="shared" si="2"/>
        <v>10000</v>
      </c>
      <c r="O42" s="54">
        <f t="shared" si="3"/>
        <v>11000</v>
      </c>
      <c r="P42" s="46" t="s">
        <v>159</v>
      </c>
      <c r="Q42" s="69">
        <v>5000.0</v>
      </c>
      <c r="R42" s="69">
        <v>2876.0</v>
      </c>
      <c r="S42" s="71">
        <v>45723.0</v>
      </c>
      <c r="T42" s="52">
        <v>5000.0</v>
      </c>
      <c r="U42" s="52">
        <v>3959.0</v>
      </c>
      <c r="V42" s="52" t="s">
        <v>132</v>
      </c>
      <c r="W42" s="48"/>
      <c r="X42" s="48"/>
      <c r="Y42" s="48"/>
      <c r="Z42" s="152"/>
      <c r="AA42" s="152"/>
      <c r="AB42" s="152"/>
    </row>
    <row r="43">
      <c r="A43" s="45">
        <v>41.0</v>
      </c>
      <c r="B43" s="46" t="s">
        <v>86</v>
      </c>
      <c r="C43" s="46" t="s">
        <v>87</v>
      </c>
      <c r="D43" s="47" t="s">
        <v>589</v>
      </c>
      <c r="E43" s="48"/>
      <c r="F43" s="46" t="s">
        <v>264</v>
      </c>
      <c r="G43" s="153">
        <v>9.57162163E9</v>
      </c>
      <c r="H43" s="49">
        <v>1000.0</v>
      </c>
      <c r="I43" s="52">
        <v>15500.0</v>
      </c>
      <c r="J43" s="47">
        <v>6500.0</v>
      </c>
      <c r="K43" s="46"/>
      <c r="L43" s="49">
        <v>3500.0</v>
      </c>
      <c r="M43" s="54">
        <f t="shared" si="1"/>
        <v>19500</v>
      </c>
      <c r="N43" s="54">
        <f t="shared" si="2"/>
        <v>0</v>
      </c>
      <c r="O43" s="54">
        <f t="shared" si="3"/>
        <v>19500</v>
      </c>
      <c r="P43" s="46" t="s">
        <v>131</v>
      </c>
      <c r="Q43" s="46"/>
      <c r="R43" s="46"/>
      <c r="S43" s="46"/>
      <c r="T43" s="46"/>
      <c r="U43" s="46"/>
      <c r="V43" s="46"/>
      <c r="W43" s="46"/>
      <c r="X43" s="46"/>
      <c r="Y43" s="46"/>
      <c r="Z43" s="152"/>
      <c r="AA43" s="152"/>
      <c r="AB43" s="152"/>
    </row>
    <row r="44">
      <c r="A44" s="45">
        <v>42.0</v>
      </c>
      <c r="B44" s="52" t="s">
        <v>670</v>
      </c>
      <c r="C44" s="52" t="s">
        <v>671</v>
      </c>
      <c r="D44" s="45" t="s">
        <v>586</v>
      </c>
      <c r="E44" s="55">
        <v>2.0220033E7</v>
      </c>
      <c r="F44" s="55" t="s">
        <v>145</v>
      </c>
      <c r="G44" s="52">
        <v>6.377627752E9</v>
      </c>
      <c r="H44" s="48"/>
      <c r="I44" s="52">
        <v>15500.0</v>
      </c>
      <c r="J44" s="52">
        <v>0.0</v>
      </c>
      <c r="K44" s="48"/>
      <c r="L44" s="48"/>
      <c r="M44" s="54">
        <f t="shared" si="1"/>
        <v>15500</v>
      </c>
      <c r="N44" s="54">
        <f t="shared" si="2"/>
        <v>0</v>
      </c>
      <c r="O44" s="54">
        <f t="shared" si="3"/>
        <v>15500</v>
      </c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152"/>
      <c r="AA44" s="152"/>
      <c r="AB44" s="152"/>
    </row>
    <row r="45">
      <c r="A45" s="45">
        <v>43.0</v>
      </c>
      <c r="B45" s="52" t="s">
        <v>672</v>
      </c>
      <c r="C45" s="52" t="s">
        <v>673</v>
      </c>
      <c r="D45" s="45" t="s">
        <v>586</v>
      </c>
      <c r="E45" s="55">
        <v>1119.0</v>
      </c>
      <c r="F45" s="55" t="s">
        <v>33</v>
      </c>
      <c r="G45" s="52">
        <v>9.784106923E9</v>
      </c>
      <c r="H45" s="48"/>
      <c r="I45" s="52">
        <v>15500.0</v>
      </c>
      <c r="J45" s="52">
        <v>5000.0</v>
      </c>
      <c r="K45" s="48"/>
      <c r="L45" s="52">
        <v>3500.0</v>
      </c>
      <c r="M45" s="54">
        <f t="shared" si="1"/>
        <v>17000</v>
      </c>
      <c r="N45" s="54">
        <f t="shared" si="2"/>
        <v>14000</v>
      </c>
      <c r="O45" s="54">
        <f t="shared" si="3"/>
        <v>3000</v>
      </c>
      <c r="P45" s="52" t="s">
        <v>44</v>
      </c>
      <c r="Q45" s="69">
        <v>4000.0</v>
      </c>
      <c r="R45" s="69">
        <v>2898.0</v>
      </c>
      <c r="S45" s="71">
        <v>45784.0</v>
      </c>
      <c r="T45" s="52">
        <v>10000.0</v>
      </c>
      <c r="U45" s="52">
        <v>3773.0</v>
      </c>
      <c r="V45" s="70">
        <v>45819.0</v>
      </c>
      <c r="W45" s="48"/>
      <c r="X45" s="48"/>
      <c r="Y45" s="48"/>
      <c r="Z45" s="152"/>
      <c r="AA45" s="152"/>
      <c r="AB45" s="152"/>
    </row>
    <row r="46">
      <c r="A46" s="45">
        <v>44.0</v>
      </c>
      <c r="B46" s="52" t="s">
        <v>672</v>
      </c>
      <c r="C46" s="52" t="s">
        <v>674</v>
      </c>
      <c r="D46" s="45" t="s">
        <v>586</v>
      </c>
      <c r="E46" s="55">
        <v>1593.0</v>
      </c>
      <c r="F46" s="55" t="s">
        <v>33</v>
      </c>
      <c r="G46" s="52">
        <v>9.63696865E9</v>
      </c>
      <c r="H46" s="48"/>
      <c r="I46" s="52">
        <v>15500.0</v>
      </c>
      <c r="J46" s="52">
        <v>5000.0</v>
      </c>
      <c r="K46" s="48"/>
      <c r="L46" s="48"/>
      <c r="M46" s="54">
        <f t="shared" si="1"/>
        <v>20500</v>
      </c>
      <c r="N46" s="54">
        <f t="shared" si="2"/>
        <v>5000</v>
      </c>
      <c r="O46" s="54">
        <f t="shared" si="3"/>
        <v>15500</v>
      </c>
      <c r="P46" s="48"/>
      <c r="Q46" s="52">
        <v>5000.0</v>
      </c>
      <c r="R46" s="52">
        <v>3968.0</v>
      </c>
      <c r="S46" s="52" t="s">
        <v>132</v>
      </c>
      <c r="T46" s="48"/>
      <c r="U46" s="48"/>
      <c r="V46" s="48"/>
      <c r="W46" s="48"/>
      <c r="X46" s="48"/>
      <c r="Y46" s="48"/>
      <c r="Z46" s="152"/>
      <c r="AA46" s="152"/>
      <c r="AB46" s="152"/>
    </row>
    <row r="47">
      <c r="A47" s="45">
        <v>45.0</v>
      </c>
      <c r="B47" s="52" t="s">
        <v>672</v>
      </c>
      <c r="C47" s="52" t="s">
        <v>675</v>
      </c>
      <c r="D47" s="45" t="s">
        <v>586</v>
      </c>
      <c r="E47" s="55">
        <v>1172.0</v>
      </c>
      <c r="F47" s="55" t="s">
        <v>33</v>
      </c>
      <c r="G47" s="52">
        <v>8.003213914E9</v>
      </c>
      <c r="H47" s="48"/>
      <c r="I47" s="52">
        <v>15500.0</v>
      </c>
      <c r="J47" s="52">
        <v>5000.0</v>
      </c>
      <c r="K47" s="48"/>
      <c r="L47" s="48"/>
      <c r="M47" s="54">
        <f t="shared" si="1"/>
        <v>20500</v>
      </c>
      <c r="N47" s="54">
        <f t="shared" si="2"/>
        <v>8000</v>
      </c>
      <c r="O47" s="54">
        <f t="shared" si="3"/>
        <v>12500</v>
      </c>
      <c r="P47" s="48"/>
      <c r="Q47" s="52">
        <v>8000.0</v>
      </c>
      <c r="R47" s="52">
        <v>3931.0</v>
      </c>
      <c r="S47" s="52" t="s">
        <v>132</v>
      </c>
      <c r="T47" s="48"/>
      <c r="U47" s="48"/>
      <c r="V47" s="48"/>
      <c r="W47" s="48"/>
      <c r="X47" s="48"/>
      <c r="Y47" s="48"/>
      <c r="Z47" s="152"/>
      <c r="AA47" s="152"/>
      <c r="AB47" s="152"/>
    </row>
    <row r="48">
      <c r="A48" s="45">
        <v>46.0</v>
      </c>
      <c r="B48" s="52" t="s">
        <v>676</v>
      </c>
      <c r="C48" s="52" t="s">
        <v>677</v>
      </c>
      <c r="D48" s="45" t="s">
        <v>589</v>
      </c>
      <c r="E48" s="53"/>
      <c r="F48" s="55" t="s">
        <v>169</v>
      </c>
      <c r="G48" s="52">
        <v>7.597956206E9</v>
      </c>
      <c r="H48" s="52">
        <v>1000.0</v>
      </c>
      <c r="I48" s="52">
        <v>15500.0</v>
      </c>
      <c r="J48" s="52">
        <v>7000.0</v>
      </c>
      <c r="K48" s="48"/>
      <c r="L48" s="52">
        <v>6500.0</v>
      </c>
      <c r="M48" s="54">
        <f t="shared" si="1"/>
        <v>17000</v>
      </c>
      <c r="N48" s="54">
        <f t="shared" si="2"/>
        <v>0</v>
      </c>
      <c r="O48" s="54">
        <f t="shared" si="3"/>
        <v>17000</v>
      </c>
      <c r="P48" s="52" t="s">
        <v>131</v>
      </c>
      <c r="Q48" s="48"/>
      <c r="R48" s="48"/>
      <c r="S48" s="48"/>
      <c r="T48" s="48"/>
      <c r="U48" s="48"/>
      <c r="V48" s="48"/>
      <c r="W48" s="48"/>
      <c r="X48" s="48"/>
      <c r="Y48" s="48"/>
      <c r="Z48" s="152"/>
      <c r="AA48" s="152"/>
      <c r="AB48" s="152"/>
    </row>
    <row r="49">
      <c r="A49" s="45">
        <v>47.0</v>
      </c>
      <c r="B49" s="52" t="s">
        <v>678</v>
      </c>
      <c r="C49" s="52" t="s">
        <v>679</v>
      </c>
      <c r="D49" s="45" t="s">
        <v>586</v>
      </c>
      <c r="E49" s="55">
        <v>1775.0</v>
      </c>
      <c r="F49" s="153" t="s">
        <v>30</v>
      </c>
      <c r="G49" s="49">
        <v>8.209929171E9</v>
      </c>
      <c r="H49" s="49">
        <v>0.0</v>
      </c>
      <c r="I49" s="52">
        <v>15500.0</v>
      </c>
      <c r="J49" s="49">
        <v>9500.0</v>
      </c>
      <c r="K49" s="46"/>
      <c r="L49" s="47">
        <v>5000.0</v>
      </c>
      <c r="M49" s="54">
        <f t="shared" si="1"/>
        <v>20000</v>
      </c>
      <c r="N49" s="54">
        <f t="shared" si="2"/>
        <v>20000</v>
      </c>
      <c r="O49" s="54">
        <f t="shared" si="3"/>
        <v>0</v>
      </c>
      <c r="P49" s="46" t="s">
        <v>44</v>
      </c>
      <c r="Q49" s="52">
        <v>20000.0</v>
      </c>
      <c r="R49" s="52">
        <v>3343.0</v>
      </c>
      <c r="S49" s="52" t="s">
        <v>140</v>
      </c>
      <c r="T49" s="48"/>
      <c r="U49" s="48"/>
      <c r="V49" s="48"/>
      <c r="W49" s="48"/>
      <c r="X49" s="48"/>
      <c r="Y49" s="48"/>
      <c r="Z49" s="152"/>
      <c r="AA49" s="152"/>
      <c r="AB49" s="152"/>
    </row>
    <row r="50">
      <c r="A50" s="45">
        <v>48.0</v>
      </c>
      <c r="B50" s="52" t="s">
        <v>680</v>
      </c>
      <c r="C50" s="52" t="s">
        <v>681</v>
      </c>
      <c r="D50" s="45" t="s">
        <v>589</v>
      </c>
      <c r="E50" s="53"/>
      <c r="F50" s="55" t="s">
        <v>126</v>
      </c>
      <c r="G50" s="52">
        <v>9.92806296E9</v>
      </c>
      <c r="H50" s="48"/>
      <c r="I50" s="52">
        <v>15500.0</v>
      </c>
      <c r="J50" s="52">
        <v>5000.0</v>
      </c>
      <c r="K50" s="48"/>
      <c r="L50" s="48"/>
      <c r="M50" s="54">
        <f t="shared" si="1"/>
        <v>20500</v>
      </c>
      <c r="N50" s="54">
        <f t="shared" si="2"/>
        <v>0</v>
      </c>
      <c r="O50" s="54">
        <f t="shared" si="3"/>
        <v>20500</v>
      </c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152"/>
      <c r="AA50" s="152"/>
      <c r="AB50" s="152"/>
    </row>
    <row r="51">
      <c r="A51" s="45">
        <v>49.0</v>
      </c>
      <c r="B51" s="52" t="s">
        <v>682</v>
      </c>
      <c r="C51" s="52" t="s">
        <v>683</v>
      </c>
      <c r="D51" s="45" t="s">
        <v>586</v>
      </c>
      <c r="E51" s="55">
        <v>1171.0</v>
      </c>
      <c r="F51" s="53"/>
      <c r="G51" s="52">
        <v>9.660461772E9</v>
      </c>
      <c r="H51" s="48"/>
      <c r="I51" s="52">
        <v>15500.0</v>
      </c>
      <c r="J51" s="48"/>
      <c r="K51" s="48"/>
      <c r="L51" s="48"/>
      <c r="M51" s="54">
        <f t="shared" si="1"/>
        <v>15500</v>
      </c>
      <c r="N51" s="54">
        <f t="shared" si="2"/>
        <v>0</v>
      </c>
      <c r="O51" s="54">
        <f t="shared" si="3"/>
        <v>15500</v>
      </c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152"/>
      <c r="AA51" s="152"/>
      <c r="AB51" s="152"/>
    </row>
    <row r="52">
      <c r="A52" s="45">
        <v>50.0</v>
      </c>
      <c r="B52" s="52" t="s">
        <v>684</v>
      </c>
      <c r="C52" s="52" t="s">
        <v>685</v>
      </c>
      <c r="D52" s="45" t="s">
        <v>589</v>
      </c>
      <c r="E52" s="55">
        <v>1371.0</v>
      </c>
      <c r="F52" s="153" t="s">
        <v>474</v>
      </c>
      <c r="G52" s="69">
        <v>7.357855326E9</v>
      </c>
      <c r="H52" s="46"/>
      <c r="I52" s="52">
        <v>15500.0</v>
      </c>
      <c r="J52" s="51">
        <v>5000.0</v>
      </c>
      <c r="K52" s="46"/>
      <c r="L52" s="46"/>
      <c r="M52" s="54">
        <f t="shared" si="1"/>
        <v>20500</v>
      </c>
      <c r="N52" s="54">
        <f t="shared" si="2"/>
        <v>7000</v>
      </c>
      <c r="O52" s="54">
        <f t="shared" si="3"/>
        <v>13500</v>
      </c>
      <c r="P52" s="46"/>
      <c r="Q52" s="69">
        <v>7000.0</v>
      </c>
      <c r="R52" s="69">
        <v>2977.0</v>
      </c>
      <c r="S52" s="71">
        <v>45968.0</v>
      </c>
      <c r="T52" s="48"/>
      <c r="U52" s="48"/>
      <c r="V52" s="48"/>
      <c r="W52" s="48"/>
      <c r="X52" s="48"/>
      <c r="Y52" s="48"/>
      <c r="Z52" s="152"/>
      <c r="AA52" s="152"/>
      <c r="AB52" s="152"/>
    </row>
    <row r="53">
      <c r="A53" s="45">
        <v>51.0</v>
      </c>
      <c r="B53" s="52" t="s">
        <v>686</v>
      </c>
      <c r="C53" s="52" t="s">
        <v>687</v>
      </c>
      <c r="D53" s="45" t="s">
        <v>589</v>
      </c>
      <c r="E53" s="55">
        <v>1776.0</v>
      </c>
      <c r="F53" s="153" t="s">
        <v>188</v>
      </c>
      <c r="G53" s="49">
        <v>8.233955752E9</v>
      </c>
      <c r="H53" s="49">
        <v>0.0</v>
      </c>
      <c r="I53" s="52">
        <v>15500.0</v>
      </c>
      <c r="J53" s="49">
        <v>5000.0</v>
      </c>
      <c r="K53" s="46"/>
      <c r="L53" s="49">
        <v>3500.0</v>
      </c>
      <c r="M53" s="54">
        <f t="shared" si="1"/>
        <v>17000</v>
      </c>
      <c r="N53" s="54">
        <f t="shared" si="2"/>
        <v>4000</v>
      </c>
      <c r="O53" s="54">
        <f t="shared" si="3"/>
        <v>13000</v>
      </c>
      <c r="P53" s="46" t="s">
        <v>44</v>
      </c>
      <c r="Q53" s="69">
        <v>4000.0</v>
      </c>
      <c r="R53" s="69">
        <v>3032.0</v>
      </c>
      <c r="S53" s="46" t="s">
        <v>290</v>
      </c>
      <c r="T53" s="48"/>
      <c r="U53" s="48"/>
      <c r="V53" s="48"/>
      <c r="W53" s="48"/>
      <c r="X53" s="48"/>
      <c r="Y53" s="48"/>
      <c r="Z53" s="152"/>
      <c r="AA53" s="152"/>
      <c r="AB53" s="152"/>
    </row>
    <row r="54">
      <c r="A54" s="45">
        <v>52.0</v>
      </c>
      <c r="B54" s="52" t="s">
        <v>688</v>
      </c>
      <c r="C54" s="52" t="s">
        <v>689</v>
      </c>
      <c r="D54" s="45" t="s">
        <v>586</v>
      </c>
      <c r="E54" s="55">
        <v>1575.0</v>
      </c>
      <c r="F54" s="153" t="s">
        <v>305</v>
      </c>
      <c r="G54" s="49">
        <v>7.357856268E9</v>
      </c>
      <c r="H54" s="49">
        <v>0.0</v>
      </c>
      <c r="I54" s="52">
        <v>15500.0</v>
      </c>
      <c r="J54" s="49">
        <v>6500.0</v>
      </c>
      <c r="K54" s="46"/>
      <c r="L54" s="49">
        <v>2000.0</v>
      </c>
      <c r="M54" s="54">
        <f t="shared" si="1"/>
        <v>20000</v>
      </c>
      <c r="N54" s="54">
        <f t="shared" si="2"/>
        <v>10000</v>
      </c>
      <c r="O54" s="54">
        <f t="shared" si="3"/>
        <v>10000</v>
      </c>
      <c r="P54" s="46" t="s">
        <v>44</v>
      </c>
      <c r="Q54" s="69">
        <v>5000.0</v>
      </c>
      <c r="R54" s="69">
        <v>2930.0</v>
      </c>
      <c r="S54" s="71">
        <v>45845.0</v>
      </c>
      <c r="T54" s="52">
        <v>5000.0</v>
      </c>
      <c r="U54" s="52">
        <v>3471.0</v>
      </c>
      <c r="V54" s="70">
        <v>45726.0</v>
      </c>
      <c r="W54" s="48"/>
      <c r="X54" s="48"/>
      <c r="Y54" s="48"/>
      <c r="Z54" s="152"/>
      <c r="AA54" s="152"/>
      <c r="AB54" s="152"/>
    </row>
    <row r="55">
      <c r="A55" s="45">
        <v>53.0</v>
      </c>
      <c r="B55" s="52" t="s">
        <v>690</v>
      </c>
      <c r="C55" s="52" t="s">
        <v>691</v>
      </c>
      <c r="D55" s="45" t="s">
        <v>589</v>
      </c>
      <c r="E55" s="55">
        <v>1887.0</v>
      </c>
      <c r="F55" s="153" t="s">
        <v>692</v>
      </c>
      <c r="G55" s="49">
        <v>9.00141334E9</v>
      </c>
      <c r="H55" s="49">
        <v>1000.0</v>
      </c>
      <c r="I55" s="52">
        <v>15500.0</v>
      </c>
      <c r="J55" s="49">
        <v>6500.0</v>
      </c>
      <c r="K55" s="46"/>
      <c r="L55" s="49">
        <v>3000.0</v>
      </c>
      <c r="M55" s="54">
        <f t="shared" si="1"/>
        <v>20000</v>
      </c>
      <c r="N55" s="54">
        <f t="shared" si="2"/>
        <v>10000</v>
      </c>
      <c r="O55" s="54">
        <f t="shared" si="3"/>
        <v>10000</v>
      </c>
      <c r="P55" s="46" t="s">
        <v>44</v>
      </c>
      <c r="Q55" s="69">
        <v>5000.0</v>
      </c>
      <c r="R55" s="69">
        <v>2993.0</v>
      </c>
      <c r="S55" s="71">
        <v>45998.0</v>
      </c>
      <c r="T55" s="52">
        <v>5000.0</v>
      </c>
      <c r="U55" s="52">
        <v>3474.0</v>
      </c>
      <c r="V55" s="165">
        <v>45757.0</v>
      </c>
      <c r="W55" s="48"/>
      <c r="X55" s="48"/>
      <c r="Y55" s="48"/>
      <c r="Z55" s="152"/>
      <c r="AA55" s="152"/>
      <c r="AB55" s="152"/>
    </row>
    <row r="56">
      <c r="A56" s="45">
        <v>54.0</v>
      </c>
      <c r="B56" s="52" t="s">
        <v>693</v>
      </c>
      <c r="C56" s="52" t="s">
        <v>694</v>
      </c>
      <c r="D56" s="45" t="s">
        <v>586</v>
      </c>
      <c r="E56" s="55">
        <v>1579.0</v>
      </c>
      <c r="F56" s="55" t="s">
        <v>662</v>
      </c>
      <c r="G56" s="52">
        <v>7.728055602E9</v>
      </c>
      <c r="H56" s="48"/>
      <c r="I56" s="52">
        <v>15500.0</v>
      </c>
      <c r="J56" s="52">
        <v>6500.0</v>
      </c>
      <c r="K56" s="48"/>
      <c r="L56" s="48"/>
      <c r="M56" s="54">
        <f t="shared" si="1"/>
        <v>22000</v>
      </c>
      <c r="N56" s="54">
        <f t="shared" si="2"/>
        <v>0</v>
      </c>
      <c r="O56" s="54">
        <f t="shared" si="3"/>
        <v>22000</v>
      </c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152"/>
      <c r="AA56" s="152"/>
      <c r="AB56" s="152"/>
    </row>
    <row r="57">
      <c r="A57" s="45">
        <v>55.0</v>
      </c>
      <c r="B57" s="52" t="s">
        <v>695</v>
      </c>
      <c r="C57" s="52" t="s">
        <v>696</v>
      </c>
      <c r="D57" s="45" t="s">
        <v>586</v>
      </c>
      <c r="E57" s="55">
        <v>1076.0</v>
      </c>
      <c r="F57" s="153" t="s">
        <v>474</v>
      </c>
      <c r="G57" s="49">
        <v>9.929820578E9</v>
      </c>
      <c r="H57" s="49">
        <v>0.0</v>
      </c>
      <c r="I57" s="52">
        <v>15500.0</v>
      </c>
      <c r="J57" s="49">
        <v>5000.0</v>
      </c>
      <c r="K57" s="46"/>
      <c r="L57" s="49">
        <v>3000.0</v>
      </c>
      <c r="M57" s="54">
        <f t="shared" si="1"/>
        <v>17500</v>
      </c>
      <c r="N57" s="54">
        <f t="shared" si="2"/>
        <v>7000</v>
      </c>
      <c r="O57" s="54">
        <f t="shared" si="3"/>
        <v>10500</v>
      </c>
      <c r="P57" s="46" t="s">
        <v>44</v>
      </c>
      <c r="Q57" s="69">
        <v>2000.0</v>
      </c>
      <c r="R57" s="69">
        <v>2851.0</v>
      </c>
      <c r="S57" s="46" t="s">
        <v>697</v>
      </c>
      <c r="T57" s="52">
        <v>3000.0</v>
      </c>
      <c r="U57" s="52">
        <v>3583.0</v>
      </c>
      <c r="V57" s="70">
        <v>45848.0</v>
      </c>
      <c r="W57" s="52">
        <v>2000.0</v>
      </c>
      <c r="X57" s="52">
        <v>3815.0</v>
      </c>
      <c r="Y57" s="59">
        <v>45941.0</v>
      </c>
      <c r="Z57" s="152"/>
      <c r="AA57" s="152"/>
      <c r="AB57" s="152"/>
    </row>
    <row r="58">
      <c r="A58" s="45">
        <v>56.0</v>
      </c>
      <c r="B58" s="52" t="s">
        <v>698</v>
      </c>
      <c r="C58" s="52" t="s">
        <v>699</v>
      </c>
      <c r="D58" s="45" t="s">
        <v>586</v>
      </c>
      <c r="E58" s="53"/>
      <c r="F58" s="55" t="s">
        <v>30</v>
      </c>
      <c r="G58" s="52">
        <v>9.660893109E9</v>
      </c>
      <c r="H58" s="48"/>
      <c r="I58" s="52">
        <v>15500.0</v>
      </c>
      <c r="J58" s="52">
        <v>9500.0</v>
      </c>
      <c r="K58" s="48"/>
      <c r="L58" s="52">
        <v>3000.0</v>
      </c>
      <c r="M58" s="54">
        <f t="shared" si="1"/>
        <v>22000</v>
      </c>
      <c r="N58" s="54">
        <f t="shared" si="2"/>
        <v>0</v>
      </c>
      <c r="O58" s="54">
        <f t="shared" si="3"/>
        <v>22000</v>
      </c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152"/>
      <c r="AA58" s="152"/>
      <c r="AB58" s="152"/>
    </row>
    <row r="59">
      <c r="A59" s="45">
        <v>57.0</v>
      </c>
      <c r="B59" s="52" t="s">
        <v>700</v>
      </c>
      <c r="C59" s="52" t="s">
        <v>701</v>
      </c>
      <c r="D59" s="45" t="s">
        <v>589</v>
      </c>
      <c r="E59" s="55">
        <v>1594.0</v>
      </c>
      <c r="F59" s="55" t="s">
        <v>702</v>
      </c>
      <c r="G59" s="52">
        <v>8.769191184E9</v>
      </c>
      <c r="H59" s="48"/>
      <c r="I59" s="52">
        <v>15500.0</v>
      </c>
      <c r="J59" s="52">
        <v>8000.0</v>
      </c>
      <c r="K59" s="48"/>
      <c r="L59" s="52">
        <v>3500.0</v>
      </c>
      <c r="M59" s="54">
        <f t="shared" si="1"/>
        <v>20000</v>
      </c>
      <c r="N59" s="54">
        <f t="shared" si="2"/>
        <v>10000</v>
      </c>
      <c r="O59" s="54">
        <f t="shared" si="3"/>
        <v>10000</v>
      </c>
      <c r="P59" s="52" t="s">
        <v>44</v>
      </c>
      <c r="Q59" s="52">
        <v>5000.0</v>
      </c>
      <c r="R59" s="52">
        <v>3247.0</v>
      </c>
      <c r="S59" s="52" t="s">
        <v>220</v>
      </c>
      <c r="T59" s="52">
        <v>5000.0</v>
      </c>
      <c r="U59" s="52">
        <v>3725.0</v>
      </c>
      <c r="V59" s="52" t="s">
        <v>703</v>
      </c>
      <c r="W59" s="48"/>
      <c r="X59" s="48"/>
      <c r="Y59" s="48"/>
      <c r="Z59" s="152"/>
      <c r="AA59" s="152"/>
      <c r="AB59" s="152"/>
    </row>
    <row r="60">
      <c r="A60" s="45">
        <v>58.0</v>
      </c>
      <c r="B60" s="52" t="s">
        <v>704</v>
      </c>
      <c r="C60" s="52" t="s">
        <v>705</v>
      </c>
      <c r="D60" s="45" t="s">
        <v>589</v>
      </c>
      <c r="E60" s="55">
        <v>1730.0</v>
      </c>
      <c r="F60" s="55" t="s">
        <v>169</v>
      </c>
      <c r="G60" s="52">
        <v>8.239901144E9</v>
      </c>
      <c r="H60" s="48"/>
      <c r="I60" s="52">
        <v>15500.0</v>
      </c>
      <c r="J60" s="52">
        <v>7500.0</v>
      </c>
      <c r="K60" s="48"/>
      <c r="L60" s="48"/>
      <c r="M60" s="54">
        <f t="shared" si="1"/>
        <v>23000</v>
      </c>
      <c r="N60" s="54">
        <f t="shared" si="2"/>
        <v>5000</v>
      </c>
      <c r="O60" s="54">
        <f t="shared" si="3"/>
        <v>18000</v>
      </c>
      <c r="P60" s="48"/>
      <c r="Q60" s="52">
        <v>5000.0</v>
      </c>
      <c r="R60" s="52">
        <v>3512.0</v>
      </c>
      <c r="S60" s="70">
        <v>45757.0</v>
      </c>
      <c r="T60" s="48"/>
      <c r="U60" s="48"/>
      <c r="V60" s="48"/>
      <c r="W60" s="48"/>
      <c r="X60" s="48"/>
      <c r="Y60" s="48"/>
      <c r="Z60" s="152"/>
      <c r="AA60" s="152"/>
      <c r="AB60" s="152"/>
    </row>
    <row r="61">
      <c r="A61" s="45">
        <v>59.0</v>
      </c>
      <c r="B61" s="52" t="s">
        <v>706</v>
      </c>
      <c r="C61" s="52" t="s">
        <v>701</v>
      </c>
      <c r="D61" s="45" t="s">
        <v>589</v>
      </c>
      <c r="E61" s="53"/>
      <c r="F61" s="55" t="s">
        <v>702</v>
      </c>
      <c r="G61" s="52">
        <v>7.728859482E9</v>
      </c>
      <c r="H61" s="48"/>
      <c r="I61" s="52">
        <v>15500.0</v>
      </c>
      <c r="J61" s="52">
        <v>8000.0</v>
      </c>
      <c r="K61" s="48"/>
      <c r="L61" s="52">
        <v>3500.0</v>
      </c>
      <c r="M61" s="54">
        <f t="shared" si="1"/>
        <v>20000</v>
      </c>
      <c r="N61" s="54">
        <f t="shared" si="2"/>
        <v>10000</v>
      </c>
      <c r="O61" s="54">
        <f t="shared" si="3"/>
        <v>10000</v>
      </c>
      <c r="P61" s="52" t="s">
        <v>44</v>
      </c>
      <c r="Q61" s="52">
        <v>5000.0</v>
      </c>
      <c r="R61" s="52">
        <v>3246.0</v>
      </c>
      <c r="S61" s="52" t="s">
        <v>220</v>
      </c>
      <c r="T61" s="52">
        <v>5000.0</v>
      </c>
      <c r="U61" s="52">
        <v>3771.0</v>
      </c>
      <c r="V61" s="70">
        <v>45819.0</v>
      </c>
      <c r="W61" s="48"/>
      <c r="X61" s="48"/>
      <c r="Y61" s="48"/>
      <c r="Z61" s="152"/>
      <c r="AA61" s="152"/>
      <c r="AB61" s="152"/>
    </row>
    <row r="62">
      <c r="A62" s="45">
        <v>60.0</v>
      </c>
      <c r="B62" s="52" t="s">
        <v>707</v>
      </c>
      <c r="C62" s="52" t="s">
        <v>708</v>
      </c>
      <c r="D62" s="45" t="s">
        <v>586</v>
      </c>
      <c r="E62" s="55">
        <v>1740.0</v>
      </c>
      <c r="F62" s="55" t="s">
        <v>709</v>
      </c>
      <c r="G62" s="52">
        <v>9.982252586E9</v>
      </c>
      <c r="H62" s="48"/>
      <c r="I62" s="52">
        <v>15500.0</v>
      </c>
      <c r="J62" s="52">
        <v>7000.0</v>
      </c>
      <c r="K62" s="48"/>
      <c r="L62" s="48"/>
      <c r="M62" s="54">
        <f t="shared" si="1"/>
        <v>22500</v>
      </c>
      <c r="N62" s="54">
        <f t="shared" si="2"/>
        <v>5000</v>
      </c>
      <c r="O62" s="54">
        <f t="shared" si="3"/>
        <v>17500</v>
      </c>
      <c r="P62" s="48"/>
      <c r="Q62" s="52">
        <v>5000.0</v>
      </c>
      <c r="R62" s="52">
        <v>3929.0</v>
      </c>
      <c r="S62" s="52" t="s">
        <v>132</v>
      </c>
      <c r="T62" s="48"/>
      <c r="U62" s="48"/>
      <c r="V62" s="48"/>
      <c r="W62" s="48"/>
      <c r="X62" s="48"/>
      <c r="Y62" s="48"/>
      <c r="Z62" s="152"/>
      <c r="AA62" s="152"/>
      <c r="AB62" s="152"/>
    </row>
    <row r="63">
      <c r="A63" s="45">
        <v>61.0</v>
      </c>
      <c r="B63" s="52" t="s">
        <v>710</v>
      </c>
      <c r="C63" s="52" t="s">
        <v>553</v>
      </c>
      <c r="D63" s="45" t="s">
        <v>586</v>
      </c>
      <c r="E63" s="55">
        <v>1586.0</v>
      </c>
      <c r="F63" s="55" t="s">
        <v>301</v>
      </c>
      <c r="G63" s="52">
        <v>9.351414435E9</v>
      </c>
      <c r="H63" s="48"/>
      <c r="I63" s="52">
        <v>15500.0</v>
      </c>
      <c r="J63" s="52">
        <v>5000.0</v>
      </c>
      <c r="K63" s="48"/>
      <c r="L63" s="52">
        <v>4000.0</v>
      </c>
      <c r="M63" s="54">
        <f t="shared" si="1"/>
        <v>16500</v>
      </c>
      <c r="N63" s="54">
        <f t="shared" si="2"/>
        <v>10000</v>
      </c>
      <c r="O63" s="54">
        <f t="shared" si="3"/>
        <v>6500</v>
      </c>
      <c r="P63" s="52" t="s">
        <v>44</v>
      </c>
      <c r="Q63" s="52">
        <v>7000.0</v>
      </c>
      <c r="R63" s="52">
        <v>3421.0</v>
      </c>
      <c r="S63" s="52" t="s">
        <v>331</v>
      </c>
      <c r="T63" s="52">
        <v>3000.0</v>
      </c>
      <c r="U63" s="52">
        <v>3996.0</v>
      </c>
      <c r="V63" s="52" t="s">
        <v>312</v>
      </c>
      <c r="W63" s="48"/>
      <c r="X63" s="48"/>
      <c r="Y63" s="48"/>
      <c r="Z63" s="152"/>
      <c r="AA63" s="152"/>
      <c r="AB63" s="152"/>
    </row>
    <row r="64">
      <c r="A64" s="45">
        <v>62.0</v>
      </c>
      <c r="B64" s="52" t="s">
        <v>711</v>
      </c>
      <c r="C64" s="52" t="s">
        <v>712</v>
      </c>
      <c r="D64" s="45" t="s">
        <v>586</v>
      </c>
      <c r="E64" s="55">
        <v>1717.0</v>
      </c>
      <c r="F64" s="55" t="s">
        <v>568</v>
      </c>
      <c r="G64" s="52">
        <v>7.740822743E9</v>
      </c>
      <c r="H64" s="48"/>
      <c r="I64" s="52">
        <v>15500.0</v>
      </c>
      <c r="J64" s="52">
        <v>9000.0</v>
      </c>
      <c r="K64" s="48"/>
      <c r="L64" s="48"/>
      <c r="M64" s="54">
        <f t="shared" si="1"/>
        <v>24500</v>
      </c>
      <c r="N64" s="54">
        <f t="shared" si="2"/>
        <v>7000</v>
      </c>
      <c r="O64" s="54">
        <f t="shared" si="3"/>
        <v>17500</v>
      </c>
      <c r="P64" s="48"/>
      <c r="Q64" s="52">
        <v>7000.0</v>
      </c>
      <c r="R64" s="52">
        <v>3957.0</v>
      </c>
      <c r="S64" s="52" t="s">
        <v>132</v>
      </c>
      <c r="T64" s="48"/>
      <c r="U64" s="48"/>
      <c r="V64" s="48"/>
      <c r="W64" s="48"/>
      <c r="X64" s="48"/>
      <c r="Y64" s="48"/>
      <c r="Z64" s="152"/>
      <c r="AA64" s="152"/>
      <c r="AB64" s="152"/>
    </row>
    <row r="65">
      <c r="A65" s="45">
        <v>63.0</v>
      </c>
      <c r="B65" s="52" t="s">
        <v>713</v>
      </c>
      <c r="C65" s="52" t="s">
        <v>714</v>
      </c>
      <c r="D65" s="45" t="s">
        <v>589</v>
      </c>
      <c r="E65" s="55">
        <v>2.0220035E7</v>
      </c>
      <c r="F65" s="55" t="s">
        <v>126</v>
      </c>
      <c r="G65" s="52">
        <v>8.875139635E9</v>
      </c>
      <c r="H65" s="48"/>
      <c r="I65" s="52">
        <v>15500.0</v>
      </c>
      <c r="J65" s="52">
        <v>5000.0</v>
      </c>
      <c r="K65" s="48"/>
      <c r="L65" s="48"/>
      <c r="M65" s="54">
        <f t="shared" si="1"/>
        <v>20500</v>
      </c>
      <c r="N65" s="54">
        <f t="shared" si="2"/>
        <v>0</v>
      </c>
      <c r="O65" s="54">
        <f t="shared" si="3"/>
        <v>20500</v>
      </c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152"/>
      <c r="AA65" s="152"/>
      <c r="AB65" s="152"/>
    </row>
    <row r="66">
      <c r="A66" s="45">
        <v>64.0</v>
      </c>
      <c r="B66" s="52" t="s">
        <v>715</v>
      </c>
      <c r="C66" s="52" t="s">
        <v>716</v>
      </c>
      <c r="D66" s="54"/>
      <c r="E66" s="55">
        <v>1154.0</v>
      </c>
      <c r="F66" s="53"/>
      <c r="G66" s="48"/>
      <c r="H66" s="48"/>
      <c r="I66" s="52">
        <v>15500.0</v>
      </c>
      <c r="J66" s="48"/>
      <c r="K66" s="48"/>
      <c r="L66" s="48"/>
      <c r="M66" s="54">
        <f t="shared" si="1"/>
        <v>15500</v>
      </c>
      <c r="N66" s="54">
        <f t="shared" si="2"/>
        <v>0</v>
      </c>
      <c r="O66" s="54">
        <f t="shared" si="3"/>
        <v>15500</v>
      </c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152"/>
      <c r="AA66" s="152"/>
      <c r="AB66" s="152"/>
    </row>
    <row r="67">
      <c r="A67" s="45">
        <v>65.0</v>
      </c>
      <c r="B67" s="52" t="s">
        <v>717</v>
      </c>
      <c r="C67" s="52" t="s">
        <v>718</v>
      </c>
      <c r="D67" s="54"/>
      <c r="E67" s="55" t="s">
        <v>719</v>
      </c>
      <c r="F67" s="53"/>
      <c r="G67" s="48"/>
      <c r="H67" s="48"/>
      <c r="I67" s="52">
        <v>15500.0</v>
      </c>
      <c r="J67" s="48"/>
      <c r="K67" s="48"/>
      <c r="L67" s="48"/>
      <c r="M67" s="54">
        <f t="shared" si="1"/>
        <v>15500</v>
      </c>
      <c r="N67" s="54">
        <f t="shared" si="2"/>
        <v>0</v>
      </c>
      <c r="O67" s="54">
        <f t="shared" si="3"/>
        <v>15500</v>
      </c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152"/>
      <c r="AA67" s="152"/>
      <c r="AB67" s="152"/>
    </row>
    <row r="68">
      <c r="A68" s="45">
        <v>66.0</v>
      </c>
      <c r="B68" s="52" t="s">
        <v>720</v>
      </c>
      <c r="C68" s="52" t="s">
        <v>721</v>
      </c>
      <c r="D68" s="45" t="s">
        <v>586</v>
      </c>
      <c r="E68" s="55">
        <v>1570.0</v>
      </c>
      <c r="F68" s="55" t="s">
        <v>145</v>
      </c>
      <c r="G68" s="52">
        <v>9.376370267E9</v>
      </c>
      <c r="H68" s="48"/>
      <c r="I68" s="52">
        <v>15500.0</v>
      </c>
      <c r="J68" s="52">
        <v>0.0</v>
      </c>
      <c r="K68" s="48"/>
      <c r="L68" s="48"/>
      <c r="M68" s="54">
        <f t="shared" si="1"/>
        <v>15500</v>
      </c>
      <c r="N68" s="54">
        <f t="shared" si="2"/>
        <v>3000</v>
      </c>
      <c r="O68" s="54">
        <f t="shared" si="3"/>
        <v>12500</v>
      </c>
      <c r="P68" s="48"/>
      <c r="Q68" s="52">
        <v>3000.0</v>
      </c>
      <c r="R68" s="52">
        <v>4048.0</v>
      </c>
      <c r="S68" s="52" t="s">
        <v>207</v>
      </c>
      <c r="T68" s="48"/>
      <c r="U68" s="48"/>
      <c r="V68" s="48"/>
      <c r="W68" s="48"/>
      <c r="X68" s="48"/>
      <c r="Y68" s="48"/>
      <c r="Z68" s="152"/>
      <c r="AA68" s="152"/>
      <c r="AB68" s="152"/>
    </row>
    <row r="69">
      <c r="A69" s="45">
        <v>67.0</v>
      </c>
      <c r="B69" s="46" t="s">
        <v>722</v>
      </c>
      <c r="C69" s="46" t="s">
        <v>723</v>
      </c>
      <c r="D69" s="45" t="s">
        <v>589</v>
      </c>
      <c r="E69" s="48"/>
      <c r="F69" s="46" t="s">
        <v>474</v>
      </c>
      <c r="G69" s="153">
        <v>7.426962371E9</v>
      </c>
      <c r="H69" s="49">
        <v>0.0</v>
      </c>
      <c r="I69" s="52">
        <v>15500.0</v>
      </c>
      <c r="J69" s="49">
        <v>5000.0</v>
      </c>
      <c r="K69" s="46"/>
      <c r="L69" s="49">
        <v>2000.0</v>
      </c>
      <c r="M69" s="54">
        <f t="shared" si="1"/>
        <v>18500</v>
      </c>
      <c r="N69" s="54">
        <f t="shared" si="2"/>
        <v>0</v>
      </c>
      <c r="O69" s="54">
        <f t="shared" si="3"/>
        <v>18500</v>
      </c>
      <c r="P69" s="46" t="s">
        <v>177</v>
      </c>
      <c r="Q69" s="51"/>
      <c r="R69" s="46"/>
      <c r="S69" s="51"/>
      <c r="T69" s="46"/>
      <c r="U69" s="46"/>
      <c r="V69" s="46"/>
      <c r="W69" s="46"/>
      <c r="X69" s="46"/>
      <c r="Y69" s="46"/>
      <c r="Z69" s="152"/>
      <c r="AA69" s="152"/>
      <c r="AB69" s="152"/>
    </row>
    <row r="70">
      <c r="A70" s="45">
        <v>68.0</v>
      </c>
      <c r="B70" s="52" t="s">
        <v>724</v>
      </c>
      <c r="C70" s="52" t="s">
        <v>725</v>
      </c>
      <c r="D70" s="45" t="s">
        <v>726</v>
      </c>
      <c r="E70" s="55">
        <v>2012.0</v>
      </c>
      <c r="F70" s="153" t="s">
        <v>270</v>
      </c>
      <c r="G70" s="49">
        <v>9.413119097E9</v>
      </c>
      <c r="H70" s="49">
        <v>1000.0</v>
      </c>
      <c r="I70" s="52">
        <v>15500.0</v>
      </c>
      <c r="J70" s="49">
        <v>7000.0</v>
      </c>
      <c r="K70" s="46"/>
      <c r="L70" s="49">
        <v>2500.0</v>
      </c>
      <c r="M70" s="54">
        <f t="shared" si="1"/>
        <v>21000</v>
      </c>
      <c r="N70" s="54">
        <f t="shared" si="2"/>
        <v>16000</v>
      </c>
      <c r="O70" s="54">
        <f t="shared" si="3"/>
        <v>5000</v>
      </c>
      <c r="P70" s="46" t="s">
        <v>177</v>
      </c>
      <c r="Q70" s="52">
        <v>10000.0</v>
      </c>
      <c r="R70" s="52">
        <v>3256.0</v>
      </c>
      <c r="S70" s="52" t="s">
        <v>727</v>
      </c>
      <c r="T70" s="52">
        <v>6000.0</v>
      </c>
      <c r="U70" s="52">
        <v>4013.0</v>
      </c>
      <c r="V70" s="52" t="s">
        <v>312</v>
      </c>
      <c r="W70" s="48"/>
      <c r="X70" s="48"/>
      <c r="Y70" s="48"/>
      <c r="Z70" s="152"/>
      <c r="AA70" s="152"/>
      <c r="AB70" s="152"/>
    </row>
    <row r="71">
      <c r="A71" s="45">
        <v>69.0</v>
      </c>
      <c r="B71" s="52" t="s">
        <v>728</v>
      </c>
      <c r="C71" s="52" t="s">
        <v>729</v>
      </c>
      <c r="D71" s="45" t="s">
        <v>589</v>
      </c>
      <c r="E71" s="55">
        <v>1880.0</v>
      </c>
      <c r="F71" s="153" t="s">
        <v>145</v>
      </c>
      <c r="G71" s="49">
        <v>9.660891093E9</v>
      </c>
      <c r="H71" s="49">
        <v>1000.0</v>
      </c>
      <c r="I71" s="52">
        <v>15500.0</v>
      </c>
      <c r="J71" s="49">
        <v>0.0</v>
      </c>
      <c r="K71" s="46"/>
      <c r="L71" s="49">
        <v>1500.0</v>
      </c>
      <c r="M71" s="54">
        <f t="shared" si="1"/>
        <v>15000</v>
      </c>
      <c r="N71" s="54">
        <f t="shared" si="2"/>
        <v>15000</v>
      </c>
      <c r="O71" s="54">
        <f t="shared" si="3"/>
        <v>0</v>
      </c>
      <c r="P71" s="46" t="s">
        <v>177</v>
      </c>
      <c r="Q71" s="69">
        <v>7500.0</v>
      </c>
      <c r="R71" s="69">
        <v>2865.0</v>
      </c>
      <c r="S71" s="71">
        <v>45664.0</v>
      </c>
      <c r="T71" s="69">
        <v>7500.0</v>
      </c>
      <c r="U71" s="69">
        <v>3119.0</v>
      </c>
      <c r="V71" s="71">
        <v>45665.0</v>
      </c>
      <c r="W71" s="71"/>
      <c r="X71" s="71"/>
      <c r="Y71" s="71"/>
      <c r="Z71" s="152"/>
      <c r="AA71" s="152"/>
      <c r="AB71" s="152"/>
    </row>
    <row r="72">
      <c r="A72" s="45">
        <v>70.0</v>
      </c>
      <c r="B72" s="52" t="s">
        <v>730</v>
      </c>
      <c r="C72" s="52" t="s">
        <v>731</v>
      </c>
      <c r="D72" s="45" t="s">
        <v>589</v>
      </c>
      <c r="E72" s="55">
        <v>1530.0</v>
      </c>
      <c r="F72" s="153" t="s">
        <v>188</v>
      </c>
      <c r="G72" s="49">
        <v>9.63696865E9</v>
      </c>
      <c r="H72" s="49">
        <v>0.0</v>
      </c>
      <c r="I72" s="52">
        <v>15500.0</v>
      </c>
      <c r="J72" s="49">
        <v>5000.0</v>
      </c>
      <c r="K72" s="46"/>
      <c r="L72" s="49">
        <v>6500.0</v>
      </c>
      <c r="M72" s="54">
        <f t="shared" si="1"/>
        <v>14000</v>
      </c>
      <c r="N72" s="54">
        <f t="shared" si="2"/>
        <v>5000</v>
      </c>
      <c r="O72" s="54">
        <f t="shared" si="3"/>
        <v>9000</v>
      </c>
      <c r="P72" s="46" t="s">
        <v>177</v>
      </c>
      <c r="Q72" s="52">
        <v>5000.0</v>
      </c>
      <c r="R72" s="52">
        <v>3852.0</v>
      </c>
      <c r="S72" s="59">
        <v>45941.0</v>
      </c>
      <c r="T72" s="48"/>
      <c r="U72" s="48"/>
      <c r="V72" s="48"/>
      <c r="W72" s="48"/>
      <c r="X72" s="48"/>
      <c r="Y72" s="48"/>
      <c r="Z72" s="152"/>
      <c r="AA72" s="152"/>
      <c r="AB72" s="152"/>
    </row>
    <row r="73">
      <c r="A73" s="45">
        <v>71.0</v>
      </c>
      <c r="B73" s="52" t="s">
        <v>732</v>
      </c>
      <c r="C73" s="52" t="s">
        <v>733</v>
      </c>
      <c r="D73" s="45" t="s">
        <v>589</v>
      </c>
      <c r="E73" s="55">
        <v>2.0220037E7</v>
      </c>
      <c r="F73" s="53"/>
      <c r="G73" s="52">
        <v>9.352428592E9</v>
      </c>
      <c r="H73" s="48"/>
      <c r="I73" s="52">
        <v>15500.0</v>
      </c>
      <c r="J73" s="48"/>
      <c r="K73" s="48"/>
      <c r="L73" s="48"/>
      <c r="M73" s="54">
        <f t="shared" si="1"/>
        <v>15500</v>
      </c>
      <c r="N73" s="54">
        <f t="shared" si="2"/>
        <v>0</v>
      </c>
      <c r="O73" s="54">
        <f t="shared" si="3"/>
        <v>15500</v>
      </c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152"/>
      <c r="AA73" s="152"/>
      <c r="AB73" s="152"/>
    </row>
    <row r="74">
      <c r="A74" s="45">
        <v>72.0</v>
      </c>
      <c r="B74" s="52" t="s">
        <v>734</v>
      </c>
      <c r="C74" s="52" t="s">
        <v>735</v>
      </c>
      <c r="D74" s="45" t="s">
        <v>589</v>
      </c>
      <c r="E74" s="55">
        <v>1216.0</v>
      </c>
      <c r="F74" s="55" t="s">
        <v>126</v>
      </c>
      <c r="G74" s="52">
        <v>8.619642547E9</v>
      </c>
      <c r="H74" s="48"/>
      <c r="I74" s="52">
        <v>15500.0</v>
      </c>
      <c r="J74" s="52">
        <v>5000.0</v>
      </c>
      <c r="K74" s="48"/>
      <c r="L74" s="48"/>
      <c r="M74" s="54">
        <f t="shared" si="1"/>
        <v>20500</v>
      </c>
      <c r="N74" s="54">
        <f t="shared" si="2"/>
        <v>17000</v>
      </c>
      <c r="O74" s="54">
        <f t="shared" si="3"/>
        <v>3500</v>
      </c>
      <c r="P74" s="48"/>
      <c r="Q74" s="52">
        <v>17000.0</v>
      </c>
      <c r="R74" s="48"/>
      <c r="S74" s="166">
        <v>45848.0</v>
      </c>
      <c r="T74" s="48"/>
      <c r="U74" s="48"/>
      <c r="V74" s="48"/>
      <c r="W74" s="48"/>
      <c r="X74" s="48"/>
      <c r="Y74" s="48"/>
      <c r="Z74" s="152"/>
      <c r="AA74" s="152"/>
      <c r="AB74" s="152"/>
    </row>
    <row r="75">
      <c r="A75" s="45">
        <v>73.0</v>
      </c>
      <c r="B75" s="52" t="s">
        <v>736</v>
      </c>
      <c r="C75" s="52" t="s">
        <v>737</v>
      </c>
      <c r="D75" s="45" t="s">
        <v>586</v>
      </c>
      <c r="E75" s="55">
        <v>1103.0</v>
      </c>
      <c r="F75" s="55" t="s">
        <v>738</v>
      </c>
      <c r="G75" s="52">
        <v>8.769385794E9</v>
      </c>
      <c r="H75" s="52">
        <v>0.0</v>
      </c>
      <c r="I75" s="52">
        <v>15500.0</v>
      </c>
      <c r="J75" s="52">
        <v>0.0</v>
      </c>
      <c r="K75" s="52">
        <v>0.0</v>
      </c>
      <c r="L75" s="52">
        <v>3000.0</v>
      </c>
      <c r="M75" s="54">
        <f t="shared" si="1"/>
        <v>12500</v>
      </c>
      <c r="N75" s="54">
        <f t="shared" si="2"/>
        <v>12500</v>
      </c>
      <c r="O75" s="54">
        <f t="shared" si="3"/>
        <v>0</v>
      </c>
      <c r="P75" s="48"/>
      <c r="Q75" s="52">
        <v>12500.0</v>
      </c>
      <c r="R75" s="52">
        <v>3433.0</v>
      </c>
      <c r="S75" s="52" t="s">
        <v>739</v>
      </c>
      <c r="T75" s="48"/>
      <c r="U75" s="48"/>
      <c r="V75" s="48"/>
      <c r="W75" s="48"/>
      <c r="X75" s="48"/>
      <c r="Y75" s="48"/>
      <c r="Z75" s="152"/>
      <c r="AA75" s="152"/>
      <c r="AB75" s="152"/>
    </row>
    <row r="76">
      <c r="A76" s="45">
        <v>74.0</v>
      </c>
      <c r="B76" s="52" t="s">
        <v>740</v>
      </c>
      <c r="C76" s="52" t="s">
        <v>741</v>
      </c>
      <c r="D76" s="54"/>
      <c r="E76" s="55">
        <v>988.0</v>
      </c>
      <c r="F76" s="53"/>
      <c r="G76" s="48"/>
      <c r="H76" s="48"/>
      <c r="I76" s="52">
        <v>15500.0</v>
      </c>
      <c r="J76" s="48"/>
      <c r="K76" s="48"/>
      <c r="L76" s="48"/>
      <c r="M76" s="54">
        <f t="shared" si="1"/>
        <v>15500</v>
      </c>
      <c r="N76" s="54">
        <f t="shared" si="2"/>
        <v>0</v>
      </c>
      <c r="O76" s="54">
        <f t="shared" si="3"/>
        <v>15500</v>
      </c>
      <c r="P76" s="48"/>
      <c r="Q76" s="52"/>
      <c r="R76" s="48"/>
      <c r="S76" s="48"/>
      <c r="T76" s="48"/>
      <c r="U76" s="48"/>
      <c r="V76" s="48"/>
      <c r="W76" s="48"/>
      <c r="X76" s="48"/>
      <c r="Y76" s="48"/>
      <c r="Z76" s="152"/>
      <c r="AA76" s="152"/>
      <c r="AB76" s="152"/>
    </row>
    <row r="77">
      <c r="A77" s="45">
        <v>75.0</v>
      </c>
      <c r="B77" s="73" t="s">
        <v>503</v>
      </c>
      <c r="C77" s="73" t="s">
        <v>742</v>
      </c>
      <c r="D77" s="51" t="s">
        <v>586</v>
      </c>
      <c r="E77" s="46"/>
      <c r="F77" s="73" t="s">
        <v>169</v>
      </c>
      <c r="G77" s="74">
        <v>9.610236422E9</v>
      </c>
      <c r="H77" s="46"/>
      <c r="I77" s="52">
        <v>15500.0</v>
      </c>
      <c r="J77" s="51">
        <v>7500.0</v>
      </c>
      <c r="K77" s="73"/>
      <c r="L77" s="46"/>
      <c r="M77" s="54">
        <f t="shared" si="1"/>
        <v>23000</v>
      </c>
      <c r="N77" s="54">
        <f t="shared" si="2"/>
        <v>0</v>
      </c>
      <c r="O77" s="54">
        <f t="shared" si="3"/>
        <v>23000</v>
      </c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>
      <c r="A78" s="9"/>
      <c r="D78" s="9"/>
      <c r="E78" s="13"/>
      <c r="F78" s="13"/>
      <c r="M78" s="9"/>
      <c r="N78" s="9"/>
      <c r="O78" s="9"/>
    </row>
    <row r="79">
      <c r="A79" s="9"/>
      <c r="D79" s="9"/>
      <c r="E79" s="13"/>
      <c r="F79" s="13"/>
      <c r="M79" s="9"/>
      <c r="N79" s="9"/>
      <c r="O79" s="9"/>
    </row>
    <row r="80">
      <c r="A80" s="9"/>
      <c r="D80" s="9"/>
      <c r="E80" s="13"/>
      <c r="F80" s="13"/>
      <c r="M80" s="9"/>
      <c r="N80" s="9"/>
      <c r="O80" s="9"/>
    </row>
    <row r="81">
      <c r="A81" s="9"/>
      <c r="D81" s="9"/>
      <c r="E81" s="13"/>
      <c r="F81" s="13"/>
      <c r="M81" s="9"/>
      <c r="N81" s="9"/>
      <c r="O81" s="9"/>
    </row>
    <row r="82">
      <c r="A82" s="9"/>
      <c r="D82" s="9"/>
      <c r="E82" s="13"/>
      <c r="F82" s="13"/>
      <c r="M82" s="9"/>
      <c r="N82" s="9"/>
      <c r="O82" s="9"/>
    </row>
    <row r="83">
      <c r="A83" s="9"/>
      <c r="D83" s="9"/>
      <c r="E83" s="13"/>
      <c r="F83" s="13"/>
      <c r="M83" s="9"/>
      <c r="N83" s="9"/>
      <c r="O83" s="9"/>
    </row>
    <row r="84">
      <c r="A84" s="9"/>
      <c r="D84" s="9"/>
      <c r="E84" s="13"/>
      <c r="F84" s="13"/>
      <c r="M84" s="9"/>
      <c r="N84" s="9"/>
      <c r="O84" s="9"/>
    </row>
    <row r="85">
      <c r="A85" s="9"/>
      <c r="D85" s="9"/>
      <c r="E85" s="13"/>
      <c r="F85" s="13"/>
      <c r="M85" s="9"/>
      <c r="N85" s="9"/>
      <c r="O85" s="9"/>
    </row>
    <row r="86">
      <c r="A86" s="9"/>
      <c r="D86" s="9"/>
      <c r="E86" s="13"/>
      <c r="F86" s="13"/>
      <c r="M86" s="9"/>
      <c r="N86" s="9"/>
      <c r="O86" s="9"/>
    </row>
    <row r="87">
      <c r="A87" s="9"/>
      <c r="D87" s="9"/>
      <c r="E87" s="13"/>
      <c r="F87" s="13"/>
      <c r="M87" s="9"/>
      <c r="N87" s="9"/>
      <c r="O87" s="9"/>
    </row>
    <row r="88">
      <c r="A88" s="9"/>
      <c r="D88" s="9"/>
      <c r="E88" s="13"/>
      <c r="F88" s="13"/>
      <c r="M88" s="9"/>
      <c r="N88" s="9"/>
      <c r="O88" s="9"/>
    </row>
    <row r="89">
      <c r="A89" s="9"/>
      <c r="D89" s="9"/>
      <c r="E89" s="13"/>
      <c r="F89" s="13"/>
      <c r="M89" s="9"/>
      <c r="N89" s="9"/>
      <c r="O89" s="9"/>
    </row>
    <row r="90">
      <c r="A90" s="9"/>
      <c r="D90" s="9"/>
      <c r="E90" s="13"/>
      <c r="F90" s="13"/>
      <c r="M90" s="9"/>
      <c r="N90" s="9"/>
      <c r="O90" s="9"/>
    </row>
    <row r="91">
      <c r="A91" s="9"/>
      <c r="D91" s="9"/>
      <c r="E91" s="13"/>
      <c r="F91" s="13"/>
      <c r="M91" s="9"/>
      <c r="N91" s="9"/>
      <c r="O91" s="9"/>
    </row>
    <row r="92">
      <c r="A92" s="9"/>
      <c r="D92" s="9"/>
      <c r="E92" s="13"/>
      <c r="F92" s="13"/>
      <c r="M92" s="9"/>
      <c r="N92" s="9"/>
      <c r="O92" s="9"/>
    </row>
    <row r="93">
      <c r="A93" s="9"/>
      <c r="D93" s="9"/>
      <c r="E93" s="13"/>
      <c r="F93" s="13"/>
      <c r="M93" s="9"/>
      <c r="N93" s="9"/>
      <c r="O93" s="9"/>
    </row>
    <row r="94">
      <c r="A94" s="9"/>
      <c r="D94" s="9"/>
      <c r="E94" s="13"/>
      <c r="F94" s="13"/>
      <c r="M94" s="9"/>
      <c r="N94" s="9"/>
      <c r="O94" s="9"/>
    </row>
    <row r="95">
      <c r="A95" s="9"/>
      <c r="D95" s="9"/>
      <c r="E95" s="13"/>
      <c r="F95" s="13"/>
      <c r="M95" s="9"/>
      <c r="N95" s="9"/>
      <c r="O95" s="9"/>
    </row>
    <row r="96">
      <c r="A96" s="9"/>
      <c r="D96" s="9"/>
      <c r="E96" s="13"/>
      <c r="F96" s="13"/>
      <c r="M96" s="9"/>
      <c r="N96" s="9"/>
      <c r="O96" s="9"/>
    </row>
    <row r="97">
      <c r="A97" s="9"/>
      <c r="D97" s="9"/>
      <c r="E97" s="13"/>
      <c r="F97" s="13"/>
      <c r="M97" s="9"/>
      <c r="N97" s="9"/>
      <c r="O97" s="9"/>
    </row>
    <row r="98">
      <c r="A98" s="9"/>
      <c r="D98" s="9"/>
      <c r="E98" s="13"/>
      <c r="F98" s="13"/>
      <c r="M98" s="9"/>
      <c r="N98" s="9"/>
      <c r="O98" s="9"/>
    </row>
    <row r="99">
      <c r="A99" s="9"/>
      <c r="D99" s="9"/>
      <c r="E99" s="13"/>
      <c r="F99" s="13"/>
      <c r="M99" s="9"/>
      <c r="N99" s="9"/>
      <c r="O99" s="9"/>
    </row>
    <row r="100">
      <c r="A100" s="9"/>
      <c r="D100" s="9"/>
      <c r="E100" s="13"/>
      <c r="F100" s="13"/>
      <c r="M100" s="9"/>
      <c r="N100" s="9"/>
      <c r="O100" s="9"/>
    </row>
    <row r="101">
      <c r="A101" s="9"/>
      <c r="D101" s="9"/>
      <c r="E101" s="13"/>
      <c r="F101" s="13"/>
      <c r="M101" s="9"/>
      <c r="N101" s="9"/>
      <c r="O101" s="9"/>
    </row>
    <row r="102">
      <c r="A102" s="9"/>
      <c r="D102" s="9"/>
      <c r="E102" s="13"/>
      <c r="F102" s="13"/>
      <c r="M102" s="9"/>
      <c r="N102" s="9"/>
      <c r="O102" s="9"/>
    </row>
    <row r="103">
      <c r="A103" s="9"/>
      <c r="D103" s="9"/>
      <c r="E103" s="13"/>
      <c r="F103" s="13"/>
      <c r="M103" s="9"/>
      <c r="N103" s="9"/>
      <c r="O103" s="9"/>
    </row>
    <row r="104">
      <c r="A104" s="9"/>
      <c r="D104" s="9"/>
      <c r="E104" s="13"/>
      <c r="F104" s="13"/>
      <c r="M104" s="9"/>
      <c r="N104" s="9"/>
      <c r="O104" s="9"/>
    </row>
    <row r="105">
      <c r="A105" s="9"/>
      <c r="D105" s="9"/>
      <c r="E105" s="13"/>
      <c r="F105" s="13"/>
      <c r="M105" s="9"/>
      <c r="N105" s="9"/>
      <c r="O105" s="9"/>
    </row>
    <row r="106">
      <c r="A106" s="9"/>
      <c r="D106" s="9"/>
      <c r="E106" s="13"/>
      <c r="F106" s="13"/>
      <c r="M106" s="9"/>
      <c r="N106" s="9"/>
      <c r="O106" s="9"/>
    </row>
    <row r="107">
      <c r="A107" s="9"/>
      <c r="D107" s="9"/>
      <c r="E107" s="13"/>
      <c r="F107" s="13"/>
      <c r="M107" s="9"/>
      <c r="N107" s="9"/>
      <c r="O107" s="9"/>
    </row>
    <row r="108">
      <c r="A108" s="9"/>
      <c r="D108" s="9"/>
      <c r="E108" s="13"/>
      <c r="F108" s="13"/>
      <c r="M108" s="9"/>
      <c r="N108" s="9"/>
      <c r="O108" s="9"/>
    </row>
    <row r="109">
      <c r="A109" s="9"/>
      <c r="D109" s="9"/>
      <c r="E109" s="13"/>
      <c r="F109" s="13"/>
      <c r="M109" s="9"/>
      <c r="N109" s="9"/>
      <c r="O109" s="9"/>
    </row>
    <row r="110">
      <c r="A110" s="9"/>
      <c r="D110" s="9"/>
      <c r="E110" s="13"/>
      <c r="F110" s="13"/>
      <c r="M110" s="9"/>
      <c r="N110" s="9"/>
      <c r="O110" s="9"/>
    </row>
    <row r="111">
      <c r="A111" s="9"/>
      <c r="D111" s="9"/>
      <c r="E111" s="13"/>
      <c r="F111" s="13"/>
      <c r="M111" s="9"/>
      <c r="N111" s="9"/>
      <c r="O111" s="9"/>
    </row>
    <row r="112">
      <c r="A112" s="9"/>
      <c r="D112" s="9"/>
      <c r="E112" s="13"/>
      <c r="F112" s="13"/>
      <c r="M112" s="9"/>
      <c r="N112" s="9"/>
      <c r="O112" s="9"/>
    </row>
    <row r="113">
      <c r="A113" s="9"/>
      <c r="D113" s="9"/>
      <c r="E113" s="13"/>
      <c r="F113" s="13"/>
      <c r="M113" s="9"/>
      <c r="N113" s="9"/>
      <c r="O113" s="9"/>
    </row>
    <row r="114">
      <c r="A114" s="9"/>
      <c r="D114" s="9"/>
      <c r="E114" s="13"/>
      <c r="F114" s="13"/>
      <c r="M114" s="9"/>
      <c r="N114" s="9"/>
      <c r="O114" s="9"/>
    </row>
    <row r="115">
      <c r="A115" s="9"/>
      <c r="D115" s="9"/>
      <c r="E115" s="13"/>
      <c r="F115" s="13"/>
      <c r="M115" s="9"/>
      <c r="N115" s="9"/>
      <c r="O115" s="9"/>
    </row>
    <row r="116">
      <c r="A116" s="9"/>
      <c r="D116" s="9"/>
      <c r="E116" s="13"/>
      <c r="F116" s="13"/>
      <c r="M116" s="9"/>
      <c r="N116" s="9"/>
      <c r="O116" s="9"/>
    </row>
    <row r="117">
      <c r="A117" s="9"/>
      <c r="D117" s="9"/>
      <c r="E117" s="13"/>
      <c r="F117" s="13"/>
      <c r="M117" s="9"/>
      <c r="N117" s="9"/>
      <c r="O117" s="9"/>
    </row>
    <row r="118">
      <c r="A118" s="9"/>
      <c r="D118" s="9"/>
      <c r="E118" s="13"/>
      <c r="F118" s="13"/>
      <c r="M118" s="9"/>
      <c r="N118" s="9"/>
      <c r="O118" s="9"/>
    </row>
    <row r="119">
      <c r="A119" s="9"/>
      <c r="D119" s="9"/>
      <c r="E119" s="13"/>
      <c r="F119" s="13"/>
      <c r="M119" s="9"/>
      <c r="N119" s="9"/>
      <c r="O119" s="9"/>
    </row>
    <row r="120">
      <c r="A120" s="9"/>
      <c r="D120" s="9"/>
      <c r="E120" s="13"/>
      <c r="F120" s="13"/>
      <c r="M120" s="9"/>
      <c r="N120" s="9"/>
      <c r="O120" s="9"/>
    </row>
    <row r="121">
      <c r="A121" s="9"/>
      <c r="D121" s="9"/>
      <c r="E121" s="13"/>
      <c r="F121" s="13"/>
      <c r="M121" s="9"/>
      <c r="N121" s="9"/>
      <c r="O121" s="9"/>
    </row>
    <row r="122">
      <c r="A122" s="9"/>
      <c r="D122" s="9"/>
      <c r="E122" s="13"/>
      <c r="F122" s="13"/>
      <c r="M122" s="9"/>
      <c r="N122" s="9"/>
      <c r="O122" s="9"/>
    </row>
    <row r="123">
      <c r="A123" s="9"/>
      <c r="D123" s="9"/>
      <c r="E123" s="13"/>
      <c r="F123" s="13"/>
      <c r="M123" s="9"/>
      <c r="N123" s="9"/>
      <c r="O123" s="9"/>
    </row>
    <row r="124">
      <c r="A124" s="9"/>
      <c r="D124" s="9"/>
      <c r="E124" s="13"/>
      <c r="F124" s="13"/>
      <c r="M124" s="9"/>
      <c r="N124" s="9"/>
      <c r="O124" s="9"/>
    </row>
    <row r="125">
      <c r="A125" s="9"/>
      <c r="D125" s="9"/>
      <c r="E125" s="13"/>
      <c r="F125" s="13"/>
      <c r="M125" s="9"/>
      <c r="N125" s="9"/>
      <c r="O125" s="9"/>
    </row>
    <row r="126">
      <c r="A126" s="9"/>
      <c r="D126" s="9"/>
      <c r="E126" s="13"/>
      <c r="F126" s="13"/>
      <c r="M126" s="9"/>
      <c r="N126" s="9"/>
      <c r="O126" s="9"/>
    </row>
    <row r="127">
      <c r="A127" s="9"/>
      <c r="D127" s="9"/>
      <c r="E127" s="13"/>
      <c r="F127" s="13"/>
      <c r="M127" s="9"/>
      <c r="N127" s="9"/>
      <c r="O127" s="9"/>
    </row>
    <row r="128">
      <c r="A128" s="9"/>
      <c r="D128" s="9"/>
      <c r="E128" s="13"/>
      <c r="F128" s="13"/>
      <c r="M128" s="9"/>
      <c r="N128" s="9"/>
      <c r="O128" s="9"/>
    </row>
    <row r="129">
      <c r="A129" s="9"/>
      <c r="D129" s="9"/>
      <c r="E129" s="13"/>
      <c r="F129" s="13"/>
      <c r="M129" s="9"/>
      <c r="N129" s="9"/>
      <c r="O129" s="9"/>
    </row>
    <row r="130">
      <c r="A130" s="9"/>
      <c r="D130" s="9"/>
      <c r="E130" s="13"/>
      <c r="F130" s="13"/>
      <c r="M130" s="9"/>
      <c r="N130" s="9"/>
      <c r="O130" s="9"/>
    </row>
    <row r="131">
      <c r="A131" s="9"/>
      <c r="D131" s="9"/>
      <c r="E131" s="13"/>
      <c r="F131" s="13"/>
      <c r="M131" s="9"/>
      <c r="N131" s="9"/>
      <c r="O131" s="9"/>
    </row>
    <row r="132">
      <c r="A132" s="9"/>
      <c r="D132" s="9"/>
      <c r="E132" s="13"/>
      <c r="F132" s="13"/>
      <c r="M132" s="9"/>
      <c r="N132" s="9"/>
      <c r="O132" s="9"/>
    </row>
    <row r="133">
      <c r="A133" s="9"/>
      <c r="D133" s="9"/>
      <c r="E133" s="13"/>
      <c r="F133" s="13"/>
      <c r="M133" s="9"/>
      <c r="N133" s="9"/>
      <c r="O133" s="9"/>
    </row>
    <row r="134">
      <c r="A134" s="9"/>
      <c r="D134" s="9"/>
      <c r="E134" s="13"/>
      <c r="F134" s="13"/>
      <c r="M134" s="9"/>
      <c r="N134" s="9"/>
      <c r="O134" s="9"/>
    </row>
    <row r="135">
      <c r="A135" s="9"/>
      <c r="D135" s="9"/>
      <c r="E135" s="13"/>
      <c r="F135" s="13"/>
      <c r="M135" s="9"/>
      <c r="N135" s="9"/>
      <c r="O135" s="9"/>
    </row>
    <row r="136">
      <c r="A136" s="9"/>
      <c r="D136" s="9"/>
      <c r="E136" s="13"/>
      <c r="F136" s="13"/>
      <c r="M136" s="9"/>
      <c r="N136" s="9"/>
      <c r="O136" s="9"/>
    </row>
    <row r="137">
      <c r="A137" s="9"/>
      <c r="D137" s="9"/>
      <c r="E137" s="13"/>
      <c r="F137" s="13"/>
      <c r="M137" s="9"/>
      <c r="N137" s="9"/>
      <c r="O137" s="9"/>
    </row>
    <row r="138">
      <c r="A138" s="9"/>
      <c r="D138" s="9"/>
      <c r="E138" s="13"/>
      <c r="F138" s="13"/>
      <c r="M138" s="9"/>
      <c r="N138" s="9"/>
      <c r="O138" s="9"/>
    </row>
    <row r="139">
      <c r="A139" s="9"/>
      <c r="D139" s="9"/>
      <c r="E139" s="13"/>
      <c r="F139" s="13"/>
      <c r="M139" s="9"/>
      <c r="N139" s="9"/>
      <c r="O139" s="9"/>
    </row>
    <row r="140">
      <c r="A140" s="9"/>
      <c r="D140" s="9"/>
      <c r="E140" s="13"/>
      <c r="F140" s="13"/>
      <c r="M140" s="9"/>
      <c r="N140" s="9"/>
      <c r="O140" s="9"/>
    </row>
    <row r="141">
      <c r="A141" s="9"/>
      <c r="D141" s="9"/>
      <c r="E141" s="13"/>
      <c r="F141" s="13"/>
      <c r="M141" s="9"/>
      <c r="N141" s="9"/>
      <c r="O141" s="9"/>
    </row>
    <row r="142">
      <c r="A142" s="9"/>
      <c r="D142" s="9"/>
      <c r="E142" s="13"/>
      <c r="F142" s="13"/>
      <c r="M142" s="9"/>
      <c r="N142" s="9"/>
      <c r="O142" s="9"/>
    </row>
    <row r="143">
      <c r="A143" s="9"/>
      <c r="D143" s="9"/>
      <c r="E143" s="13"/>
      <c r="F143" s="13"/>
      <c r="M143" s="9"/>
      <c r="N143" s="9"/>
      <c r="O143" s="9"/>
    </row>
    <row r="144">
      <c r="A144" s="9"/>
      <c r="D144" s="9"/>
      <c r="E144" s="13"/>
      <c r="F144" s="13"/>
      <c r="M144" s="9"/>
      <c r="N144" s="9"/>
      <c r="O144" s="9"/>
    </row>
    <row r="145">
      <c r="A145" s="9"/>
      <c r="D145" s="9"/>
      <c r="E145" s="13"/>
      <c r="F145" s="13"/>
      <c r="M145" s="9"/>
      <c r="N145" s="9"/>
      <c r="O145" s="9"/>
    </row>
    <row r="146">
      <c r="A146" s="9"/>
      <c r="D146" s="9"/>
      <c r="E146" s="13"/>
      <c r="F146" s="13"/>
      <c r="M146" s="9"/>
      <c r="N146" s="9"/>
      <c r="O146" s="9"/>
    </row>
    <row r="147">
      <c r="A147" s="9"/>
      <c r="D147" s="9"/>
      <c r="E147" s="13"/>
      <c r="F147" s="13"/>
      <c r="M147" s="9"/>
      <c r="N147" s="9"/>
      <c r="O147" s="9"/>
    </row>
    <row r="148">
      <c r="A148" s="9"/>
      <c r="D148" s="9"/>
      <c r="E148" s="13"/>
      <c r="F148" s="13"/>
      <c r="M148" s="9"/>
      <c r="N148" s="9"/>
      <c r="O148" s="9"/>
    </row>
    <row r="149">
      <c r="A149" s="9"/>
      <c r="D149" s="9"/>
      <c r="E149" s="13"/>
      <c r="F149" s="13"/>
      <c r="M149" s="9"/>
      <c r="N149" s="9"/>
      <c r="O149" s="9"/>
    </row>
    <row r="150">
      <c r="A150" s="9"/>
      <c r="D150" s="9"/>
      <c r="E150" s="13"/>
      <c r="F150" s="13"/>
      <c r="M150" s="9"/>
      <c r="N150" s="9"/>
      <c r="O150" s="9"/>
    </row>
    <row r="151">
      <c r="A151" s="9"/>
      <c r="D151" s="9"/>
      <c r="E151" s="13"/>
      <c r="F151" s="13"/>
      <c r="M151" s="9"/>
      <c r="N151" s="9"/>
      <c r="O151" s="9"/>
    </row>
    <row r="152">
      <c r="A152" s="9"/>
      <c r="D152" s="9"/>
      <c r="E152" s="13"/>
      <c r="F152" s="13"/>
      <c r="M152" s="9"/>
      <c r="N152" s="9"/>
      <c r="O152" s="9"/>
    </row>
    <row r="153">
      <c r="A153" s="9"/>
      <c r="D153" s="9"/>
      <c r="E153" s="13"/>
      <c r="F153" s="13"/>
      <c r="M153" s="9"/>
      <c r="N153" s="9"/>
      <c r="O153" s="9"/>
    </row>
    <row r="154">
      <c r="A154" s="9"/>
      <c r="D154" s="9"/>
      <c r="E154" s="13"/>
      <c r="F154" s="13"/>
      <c r="M154" s="9"/>
      <c r="N154" s="9"/>
      <c r="O154" s="9"/>
    </row>
    <row r="155">
      <c r="A155" s="9"/>
      <c r="D155" s="9"/>
      <c r="E155" s="13"/>
      <c r="F155" s="13"/>
      <c r="M155" s="9"/>
      <c r="N155" s="9"/>
      <c r="O155" s="9"/>
    </row>
    <row r="156">
      <c r="A156" s="9"/>
      <c r="D156" s="9"/>
      <c r="E156" s="13"/>
      <c r="F156" s="13"/>
      <c r="M156" s="9"/>
      <c r="N156" s="9"/>
      <c r="O156" s="9"/>
    </row>
    <row r="157">
      <c r="A157" s="9"/>
      <c r="D157" s="9"/>
      <c r="E157" s="13"/>
      <c r="F157" s="13"/>
      <c r="M157" s="9"/>
      <c r="N157" s="9"/>
      <c r="O157" s="9"/>
    </row>
    <row r="158">
      <c r="A158" s="9"/>
      <c r="D158" s="9"/>
      <c r="E158" s="13"/>
      <c r="F158" s="13"/>
      <c r="M158" s="9"/>
      <c r="N158" s="9"/>
      <c r="O158" s="9"/>
    </row>
    <row r="159">
      <c r="A159" s="9"/>
      <c r="D159" s="9"/>
      <c r="E159" s="13"/>
      <c r="F159" s="13"/>
      <c r="M159" s="9"/>
      <c r="N159" s="9"/>
      <c r="O159" s="9"/>
    </row>
    <row r="160">
      <c r="A160" s="9"/>
      <c r="D160" s="9"/>
      <c r="E160" s="13"/>
      <c r="F160" s="13"/>
      <c r="M160" s="9"/>
      <c r="N160" s="9"/>
      <c r="O160" s="9"/>
    </row>
    <row r="161">
      <c r="A161" s="9"/>
      <c r="D161" s="9"/>
      <c r="E161" s="13"/>
      <c r="F161" s="13"/>
      <c r="M161" s="9"/>
      <c r="N161" s="9"/>
      <c r="O161" s="9"/>
    </row>
    <row r="162">
      <c r="A162" s="9"/>
      <c r="D162" s="9"/>
      <c r="E162" s="13"/>
      <c r="F162" s="13"/>
      <c r="M162" s="9"/>
      <c r="N162" s="9"/>
      <c r="O162" s="9"/>
    </row>
    <row r="163">
      <c r="A163" s="9"/>
      <c r="D163" s="9"/>
      <c r="E163" s="13"/>
      <c r="F163" s="13"/>
      <c r="M163" s="9"/>
      <c r="N163" s="9"/>
      <c r="O163" s="9"/>
    </row>
    <row r="164">
      <c r="A164" s="9"/>
      <c r="D164" s="9"/>
      <c r="E164" s="13"/>
      <c r="F164" s="13"/>
      <c r="M164" s="9"/>
      <c r="N164" s="9"/>
      <c r="O164" s="9"/>
    </row>
    <row r="165">
      <c r="A165" s="9"/>
      <c r="D165" s="9"/>
      <c r="E165" s="13"/>
      <c r="F165" s="13"/>
      <c r="M165" s="9"/>
      <c r="N165" s="9"/>
      <c r="O165" s="9"/>
    </row>
    <row r="166">
      <c r="A166" s="9"/>
      <c r="D166" s="9"/>
      <c r="E166" s="13"/>
      <c r="F166" s="13"/>
      <c r="M166" s="9"/>
      <c r="N166" s="9"/>
      <c r="O166" s="9"/>
    </row>
    <row r="167">
      <c r="A167" s="9"/>
      <c r="D167" s="9"/>
      <c r="E167" s="13"/>
      <c r="F167" s="13"/>
      <c r="M167" s="9"/>
      <c r="N167" s="9"/>
      <c r="O167" s="9"/>
    </row>
    <row r="168">
      <c r="A168" s="9"/>
      <c r="D168" s="9"/>
      <c r="E168" s="13"/>
      <c r="F168" s="13"/>
      <c r="M168" s="9"/>
      <c r="N168" s="9"/>
      <c r="O168" s="9"/>
    </row>
    <row r="169">
      <c r="A169" s="9"/>
      <c r="D169" s="9"/>
      <c r="E169" s="13"/>
      <c r="F169" s="13"/>
      <c r="M169" s="9"/>
      <c r="N169" s="9"/>
      <c r="O169" s="9"/>
    </row>
    <row r="170">
      <c r="A170" s="9"/>
      <c r="D170" s="9"/>
      <c r="E170" s="13"/>
      <c r="F170" s="13"/>
      <c r="M170" s="9"/>
      <c r="N170" s="9"/>
      <c r="O170" s="9"/>
    </row>
    <row r="171">
      <c r="A171" s="9"/>
      <c r="D171" s="9"/>
      <c r="E171" s="13"/>
      <c r="F171" s="13"/>
      <c r="M171" s="9"/>
      <c r="N171" s="9"/>
      <c r="O171" s="9"/>
    </row>
    <row r="172">
      <c r="A172" s="9"/>
      <c r="D172" s="9"/>
      <c r="E172" s="13"/>
      <c r="F172" s="13"/>
      <c r="M172" s="9"/>
      <c r="N172" s="9"/>
      <c r="O172" s="9"/>
    </row>
    <row r="173">
      <c r="A173" s="9"/>
      <c r="D173" s="9"/>
      <c r="E173" s="13"/>
      <c r="F173" s="13"/>
      <c r="M173" s="9"/>
      <c r="N173" s="9"/>
      <c r="O173" s="9"/>
    </row>
    <row r="174">
      <c r="A174" s="9"/>
      <c r="D174" s="9"/>
      <c r="E174" s="13"/>
      <c r="F174" s="13"/>
      <c r="M174" s="9"/>
      <c r="N174" s="9"/>
      <c r="O174" s="9"/>
    </row>
    <row r="175">
      <c r="A175" s="9"/>
      <c r="D175" s="9"/>
      <c r="E175" s="13"/>
      <c r="F175" s="13"/>
      <c r="M175" s="9"/>
      <c r="N175" s="9"/>
      <c r="O175" s="9"/>
    </row>
    <row r="176">
      <c r="A176" s="9"/>
      <c r="D176" s="9"/>
      <c r="E176" s="13"/>
      <c r="F176" s="13"/>
      <c r="M176" s="9"/>
      <c r="N176" s="9"/>
      <c r="O176" s="9"/>
    </row>
    <row r="177">
      <c r="A177" s="9"/>
      <c r="D177" s="9"/>
      <c r="E177" s="13"/>
      <c r="F177" s="13"/>
      <c r="M177" s="9"/>
      <c r="N177" s="9"/>
      <c r="O177" s="9"/>
    </row>
    <row r="178">
      <c r="A178" s="9"/>
      <c r="D178" s="9"/>
      <c r="E178" s="13"/>
      <c r="F178" s="13"/>
      <c r="M178" s="9"/>
      <c r="N178" s="9"/>
      <c r="O178" s="9"/>
    </row>
    <row r="179">
      <c r="A179" s="9"/>
      <c r="D179" s="9"/>
      <c r="E179" s="13"/>
      <c r="F179" s="13"/>
      <c r="M179" s="9"/>
      <c r="N179" s="9"/>
      <c r="O179" s="9"/>
    </row>
    <row r="180">
      <c r="A180" s="9"/>
      <c r="D180" s="9"/>
      <c r="E180" s="13"/>
      <c r="F180" s="13"/>
      <c r="M180" s="9"/>
      <c r="N180" s="9"/>
      <c r="O180" s="9"/>
    </row>
    <row r="181">
      <c r="A181" s="9"/>
      <c r="D181" s="9"/>
      <c r="E181" s="13"/>
      <c r="F181" s="13"/>
      <c r="M181" s="9"/>
      <c r="N181" s="9"/>
      <c r="O181" s="9"/>
    </row>
    <row r="182">
      <c r="A182" s="9"/>
      <c r="D182" s="9"/>
      <c r="E182" s="13"/>
      <c r="F182" s="13"/>
      <c r="M182" s="9"/>
      <c r="N182" s="9"/>
      <c r="O182" s="9"/>
    </row>
    <row r="183">
      <c r="A183" s="9"/>
      <c r="D183" s="9"/>
      <c r="E183" s="13"/>
      <c r="F183" s="13"/>
      <c r="M183" s="9"/>
      <c r="N183" s="9"/>
      <c r="O183" s="9"/>
    </row>
    <row r="184">
      <c r="A184" s="9"/>
      <c r="D184" s="9"/>
      <c r="E184" s="13"/>
      <c r="F184" s="13"/>
      <c r="M184" s="9"/>
      <c r="N184" s="9"/>
      <c r="O184" s="9"/>
    </row>
    <row r="185">
      <c r="A185" s="9"/>
      <c r="D185" s="9"/>
      <c r="E185" s="13"/>
      <c r="F185" s="13"/>
      <c r="M185" s="9"/>
      <c r="N185" s="9"/>
      <c r="O185" s="9"/>
    </row>
    <row r="186">
      <c r="A186" s="9"/>
      <c r="D186" s="9"/>
      <c r="E186" s="13"/>
      <c r="F186" s="13"/>
      <c r="M186" s="9"/>
      <c r="N186" s="9"/>
      <c r="O186" s="9"/>
    </row>
    <row r="187">
      <c r="A187" s="9"/>
      <c r="D187" s="9"/>
      <c r="E187" s="13"/>
      <c r="F187" s="13"/>
      <c r="M187" s="9"/>
      <c r="N187" s="9"/>
      <c r="O187" s="9"/>
    </row>
    <row r="188">
      <c r="A188" s="9"/>
      <c r="D188" s="9"/>
      <c r="E188" s="13"/>
      <c r="F188" s="13"/>
      <c r="M188" s="9"/>
      <c r="N188" s="9"/>
      <c r="O188" s="9"/>
    </row>
    <row r="189">
      <c r="A189" s="9"/>
      <c r="D189" s="9"/>
      <c r="E189" s="13"/>
      <c r="F189" s="13"/>
      <c r="M189" s="9"/>
      <c r="N189" s="9"/>
      <c r="O189" s="9"/>
    </row>
    <row r="190">
      <c r="A190" s="9"/>
      <c r="D190" s="9"/>
      <c r="E190" s="13"/>
      <c r="F190" s="13"/>
      <c r="M190" s="9"/>
      <c r="N190" s="9"/>
      <c r="O190" s="9"/>
    </row>
    <row r="191">
      <c r="A191" s="9"/>
      <c r="D191" s="9"/>
      <c r="E191" s="13"/>
      <c r="F191" s="13"/>
      <c r="M191" s="9"/>
      <c r="N191" s="9"/>
      <c r="O191" s="9"/>
    </row>
    <row r="192">
      <c r="A192" s="9"/>
      <c r="D192" s="9"/>
      <c r="E192" s="13"/>
      <c r="F192" s="13"/>
      <c r="M192" s="9"/>
      <c r="N192" s="9"/>
      <c r="O192" s="9"/>
    </row>
    <row r="193">
      <c r="A193" s="9"/>
      <c r="D193" s="9"/>
      <c r="E193" s="13"/>
      <c r="F193" s="13"/>
      <c r="M193" s="9"/>
      <c r="N193" s="9"/>
      <c r="O193" s="9"/>
    </row>
    <row r="194">
      <c r="A194" s="9"/>
      <c r="D194" s="9"/>
      <c r="E194" s="13"/>
      <c r="F194" s="13"/>
      <c r="M194" s="9"/>
      <c r="N194" s="9"/>
      <c r="O194" s="9"/>
    </row>
    <row r="195">
      <c r="A195" s="9"/>
      <c r="D195" s="9"/>
      <c r="E195" s="13"/>
      <c r="F195" s="13"/>
      <c r="M195" s="9"/>
      <c r="N195" s="9"/>
      <c r="O195" s="9"/>
    </row>
    <row r="196">
      <c r="A196" s="9"/>
      <c r="D196" s="9"/>
      <c r="E196" s="13"/>
      <c r="F196" s="13"/>
      <c r="M196" s="9"/>
      <c r="N196" s="9"/>
      <c r="O196" s="9"/>
    </row>
    <row r="197">
      <c r="A197" s="9"/>
      <c r="D197" s="9"/>
      <c r="E197" s="13"/>
      <c r="F197" s="13"/>
      <c r="M197" s="9"/>
      <c r="N197" s="9"/>
      <c r="O197" s="9"/>
    </row>
    <row r="198">
      <c r="A198" s="9"/>
      <c r="D198" s="9"/>
      <c r="E198" s="13"/>
      <c r="F198" s="13"/>
      <c r="M198" s="9"/>
      <c r="N198" s="9"/>
      <c r="O198" s="9"/>
    </row>
    <row r="199">
      <c r="A199" s="9"/>
      <c r="D199" s="9"/>
      <c r="E199" s="13"/>
      <c r="F199" s="13"/>
      <c r="M199" s="9"/>
      <c r="N199" s="9"/>
      <c r="O199" s="9"/>
    </row>
    <row r="200">
      <c r="A200" s="9"/>
      <c r="D200" s="9"/>
      <c r="E200" s="13"/>
      <c r="F200" s="13"/>
      <c r="M200" s="9"/>
      <c r="N200" s="9"/>
      <c r="O200" s="9"/>
    </row>
    <row r="201">
      <c r="A201" s="9"/>
      <c r="D201" s="9"/>
      <c r="E201" s="13"/>
      <c r="F201" s="13"/>
      <c r="M201" s="9"/>
      <c r="N201" s="9"/>
      <c r="O201" s="9"/>
    </row>
    <row r="202">
      <c r="A202" s="9"/>
      <c r="D202" s="9"/>
      <c r="E202" s="13"/>
      <c r="F202" s="13"/>
      <c r="M202" s="9"/>
      <c r="N202" s="9"/>
      <c r="O202" s="9"/>
    </row>
    <row r="203">
      <c r="A203" s="9"/>
      <c r="D203" s="9"/>
      <c r="E203" s="13"/>
      <c r="F203" s="13"/>
      <c r="M203" s="9"/>
      <c r="N203" s="9"/>
      <c r="O203" s="9"/>
    </row>
    <row r="204">
      <c r="A204" s="9"/>
      <c r="D204" s="9"/>
      <c r="E204" s="13"/>
      <c r="F204" s="13"/>
      <c r="M204" s="9"/>
      <c r="N204" s="9"/>
      <c r="O204" s="9"/>
    </row>
    <row r="205">
      <c r="A205" s="9"/>
      <c r="D205" s="9"/>
      <c r="E205" s="13"/>
      <c r="F205" s="13"/>
      <c r="M205" s="9"/>
      <c r="N205" s="9"/>
      <c r="O205" s="9"/>
    </row>
    <row r="206">
      <c r="A206" s="9"/>
      <c r="D206" s="9"/>
      <c r="E206" s="13"/>
      <c r="F206" s="13"/>
      <c r="M206" s="9"/>
      <c r="N206" s="9"/>
      <c r="O206" s="9"/>
    </row>
    <row r="207">
      <c r="A207" s="9"/>
      <c r="D207" s="9"/>
      <c r="E207" s="13"/>
      <c r="F207" s="13"/>
      <c r="M207" s="9"/>
      <c r="N207" s="9"/>
      <c r="O207" s="9"/>
    </row>
    <row r="208">
      <c r="A208" s="9"/>
      <c r="D208" s="9"/>
      <c r="E208" s="13"/>
      <c r="F208" s="13"/>
      <c r="M208" s="9"/>
      <c r="N208" s="9"/>
      <c r="O208" s="9"/>
    </row>
    <row r="209">
      <c r="A209" s="9"/>
      <c r="D209" s="9"/>
      <c r="E209" s="13"/>
      <c r="F209" s="13"/>
      <c r="M209" s="9"/>
      <c r="N209" s="9"/>
      <c r="O209" s="9"/>
    </row>
    <row r="210">
      <c r="A210" s="9"/>
      <c r="D210" s="9"/>
      <c r="E210" s="13"/>
      <c r="F210" s="13"/>
      <c r="M210" s="9"/>
      <c r="N210" s="9"/>
      <c r="O210" s="9"/>
    </row>
    <row r="211">
      <c r="A211" s="9"/>
      <c r="D211" s="9"/>
      <c r="E211" s="13"/>
      <c r="F211" s="13"/>
      <c r="M211" s="9"/>
      <c r="N211" s="9"/>
      <c r="O211" s="9"/>
    </row>
    <row r="212">
      <c r="A212" s="9"/>
      <c r="D212" s="9"/>
      <c r="E212" s="13"/>
      <c r="F212" s="13"/>
      <c r="M212" s="9"/>
      <c r="N212" s="9"/>
      <c r="O212" s="9"/>
    </row>
    <row r="213">
      <c r="A213" s="9"/>
      <c r="D213" s="9"/>
      <c r="E213" s="13"/>
      <c r="F213" s="13"/>
      <c r="M213" s="9"/>
      <c r="N213" s="9"/>
      <c r="O213" s="9"/>
    </row>
    <row r="214">
      <c r="A214" s="9"/>
      <c r="D214" s="9"/>
      <c r="E214" s="13"/>
      <c r="F214" s="13"/>
      <c r="M214" s="9"/>
      <c r="N214" s="9"/>
      <c r="O214" s="9"/>
    </row>
    <row r="215">
      <c r="A215" s="9"/>
      <c r="D215" s="9"/>
      <c r="E215" s="13"/>
      <c r="F215" s="13"/>
      <c r="M215" s="9"/>
      <c r="N215" s="9"/>
      <c r="O215" s="9"/>
    </row>
    <row r="216">
      <c r="A216" s="9"/>
      <c r="D216" s="9"/>
      <c r="E216" s="13"/>
      <c r="F216" s="13"/>
      <c r="M216" s="9"/>
      <c r="N216" s="9"/>
      <c r="O216" s="9"/>
    </row>
    <row r="217">
      <c r="A217" s="9"/>
      <c r="D217" s="9"/>
      <c r="E217" s="13"/>
      <c r="F217" s="13"/>
      <c r="M217" s="9"/>
      <c r="N217" s="9"/>
      <c r="O217" s="9"/>
    </row>
    <row r="218">
      <c r="A218" s="9"/>
      <c r="D218" s="9"/>
      <c r="E218" s="13"/>
      <c r="F218" s="13"/>
      <c r="M218" s="9"/>
      <c r="N218" s="9"/>
      <c r="O218" s="9"/>
    </row>
    <row r="219">
      <c r="A219" s="9"/>
      <c r="D219" s="9"/>
      <c r="E219" s="13"/>
      <c r="F219" s="13"/>
      <c r="M219" s="9"/>
      <c r="N219" s="9"/>
      <c r="O219" s="9"/>
    </row>
    <row r="220">
      <c r="A220" s="9"/>
      <c r="D220" s="9"/>
      <c r="E220" s="13"/>
      <c r="F220" s="13"/>
      <c r="M220" s="9"/>
      <c r="N220" s="9"/>
      <c r="O220" s="9"/>
    </row>
    <row r="221">
      <c r="A221" s="9"/>
      <c r="D221" s="9"/>
      <c r="E221" s="13"/>
      <c r="F221" s="13"/>
      <c r="M221" s="9"/>
      <c r="N221" s="9"/>
      <c r="O221" s="9"/>
    </row>
    <row r="222">
      <c r="A222" s="9"/>
      <c r="D222" s="9"/>
      <c r="E222" s="13"/>
      <c r="F222" s="13"/>
      <c r="M222" s="9"/>
      <c r="N222" s="9"/>
      <c r="O222" s="9"/>
    </row>
    <row r="223">
      <c r="A223" s="9"/>
      <c r="D223" s="9"/>
      <c r="E223" s="13"/>
      <c r="F223" s="13"/>
      <c r="M223" s="9"/>
      <c r="N223" s="9"/>
      <c r="O223" s="9"/>
    </row>
    <row r="224">
      <c r="A224" s="9"/>
      <c r="D224" s="9"/>
      <c r="E224" s="13"/>
      <c r="F224" s="13"/>
      <c r="M224" s="9"/>
      <c r="N224" s="9"/>
      <c r="O224" s="9"/>
    </row>
    <row r="225">
      <c r="A225" s="9"/>
      <c r="D225" s="9"/>
      <c r="E225" s="13"/>
      <c r="F225" s="13"/>
      <c r="M225" s="9"/>
      <c r="N225" s="9"/>
      <c r="O225" s="9"/>
    </row>
    <row r="226">
      <c r="A226" s="9"/>
      <c r="D226" s="9"/>
      <c r="E226" s="13"/>
      <c r="F226" s="13"/>
      <c r="M226" s="9"/>
      <c r="N226" s="9"/>
      <c r="O226" s="9"/>
    </row>
    <row r="227">
      <c r="A227" s="9"/>
      <c r="D227" s="9"/>
      <c r="E227" s="13"/>
      <c r="F227" s="13"/>
      <c r="M227" s="9"/>
      <c r="N227" s="9"/>
      <c r="O227" s="9"/>
    </row>
    <row r="228">
      <c r="A228" s="9"/>
      <c r="D228" s="9"/>
      <c r="E228" s="13"/>
      <c r="F228" s="13"/>
      <c r="M228" s="9"/>
      <c r="N228" s="9"/>
      <c r="O228" s="9"/>
    </row>
    <row r="229">
      <c r="A229" s="9"/>
      <c r="D229" s="9"/>
      <c r="E229" s="13"/>
      <c r="F229" s="13"/>
      <c r="M229" s="9"/>
      <c r="N229" s="9"/>
      <c r="O229" s="9"/>
    </row>
    <row r="230">
      <c r="A230" s="9"/>
      <c r="D230" s="9"/>
      <c r="E230" s="13"/>
      <c r="F230" s="13"/>
      <c r="M230" s="9"/>
      <c r="N230" s="9"/>
      <c r="O230" s="9"/>
    </row>
    <row r="231">
      <c r="A231" s="9"/>
      <c r="D231" s="9"/>
      <c r="E231" s="13"/>
      <c r="F231" s="13"/>
      <c r="M231" s="9"/>
      <c r="N231" s="9"/>
      <c r="O231" s="9"/>
    </row>
    <row r="232">
      <c r="A232" s="9"/>
      <c r="D232" s="9"/>
      <c r="E232" s="13"/>
      <c r="F232" s="13"/>
      <c r="M232" s="9"/>
      <c r="N232" s="9"/>
      <c r="O232" s="9"/>
    </row>
    <row r="233">
      <c r="A233" s="9"/>
      <c r="D233" s="9"/>
      <c r="E233" s="13"/>
      <c r="F233" s="13"/>
      <c r="M233" s="9"/>
      <c r="N233" s="9"/>
      <c r="O233" s="9"/>
    </row>
    <row r="234">
      <c r="A234" s="9"/>
      <c r="D234" s="9"/>
      <c r="E234" s="13"/>
      <c r="F234" s="13"/>
      <c r="M234" s="9"/>
      <c r="N234" s="9"/>
      <c r="O234" s="9"/>
    </row>
    <row r="235">
      <c r="A235" s="9"/>
      <c r="D235" s="9"/>
      <c r="E235" s="13"/>
      <c r="F235" s="13"/>
      <c r="M235" s="9"/>
      <c r="N235" s="9"/>
      <c r="O235" s="9"/>
    </row>
    <row r="236">
      <c r="A236" s="9"/>
      <c r="D236" s="9"/>
      <c r="E236" s="13"/>
      <c r="F236" s="13"/>
      <c r="M236" s="9"/>
      <c r="N236" s="9"/>
      <c r="O236" s="9"/>
    </row>
    <row r="237">
      <c r="A237" s="9"/>
      <c r="D237" s="9"/>
      <c r="E237" s="13"/>
      <c r="F237" s="13"/>
      <c r="M237" s="9"/>
      <c r="N237" s="9"/>
      <c r="O237" s="9"/>
    </row>
    <row r="238">
      <c r="A238" s="9"/>
      <c r="D238" s="9"/>
      <c r="E238" s="13"/>
      <c r="F238" s="13"/>
      <c r="M238" s="9"/>
      <c r="N238" s="9"/>
      <c r="O238" s="9"/>
    </row>
    <row r="239">
      <c r="A239" s="9"/>
      <c r="D239" s="9"/>
      <c r="E239" s="13"/>
      <c r="F239" s="13"/>
      <c r="M239" s="9"/>
      <c r="N239" s="9"/>
      <c r="O239" s="9"/>
    </row>
    <row r="240">
      <c r="A240" s="9"/>
      <c r="D240" s="9"/>
      <c r="E240" s="13"/>
      <c r="F240" s="13"/>
      <c r="M240" s="9"/>
      <c r="N240" s="9"/>
      <c r="O240" s="9"/>
    </row>
    <row r="241">
      <c r="A241" s="9"/>
      <c r="D241" s="9"/>
      <c r="E241" s="13"/>
      <c r="F241" s="13"/>
      <c r="M241" s="9"/>
      <c r="N241" s="9"/>
      <c r="O241" s="9"/>
    </row>
    <row r="242">
      <c r="A242" s="9"/>
      <c r="D242" s="9"/>
      <c r="E242" s="13"/>
      <c r="F242" s="13"/>
      <c r="M242" s="9"/>
      <c r="N242" s="9"/>
      <c r="O242" s="9"/>
    </row>
    <row r="243">
      <c r="A243" s="9"/>
      <c r="D243" s="9"/>
      <c r="E243" s="13"/>
      <c r="F243" s="13"/>
      <c r="M243" s="9"/>
      <c r="N243" s="9"/>
      <c r="O243" s="9"/>
    </row>
    <row r="244">
      <c r="A244" s="9"/>
      <c r="D244" s="9"/>
      <c r="E244" s="13"/>
      <c r="F244" s="13"/>
      <c r="M244" s="9"/>
      <c r="N244" s="9"/>
      <c r="O244" s="9"/>
    </row>
    <row r="245">
      <c r="A245" s="9"/>
      <c r="D245" s="9"/>
      <c r="E245" s="13"/>
      <c r="F245" s="13"/>
      <c r="M245" s="9"/>
      <c r="N245" s="9"/>
      <c r="O245" s="9"/>
    </row>
    <row r="246">
      <c r="A246" s="9"/>
      <c r="D246" s="9"/>
      <c r="E246" s="13"/>
      <c r="F246" s="13"/>
      <c r="M246" s="9"/>
      <c r="N246" s="9"/>
      <c r="O246" s="9"/>
    </row>
    <row r="247">
      <c r="A247" s="9"/>
      <c r="D247" s="9"/>
      <c r="E247" s="13"/>
      <c r="F247" s="13"/>
      <c r="M247" s="9"/>
      <c r="N247" s="9"/>
      <c r="O247" s="9"/>
    </row>
    <row r="248">
      <c r="A248" s="9"/>
      <c r="D248" s="9"/>
      <c r="E248" s="13"/>
      <c r="F248" s="13"/>
      <c r="M248" s="9"/>
      <c r="N248" s="9"/>
      <c r="O248" s="9"/>
    </row>
    <row r="249">
      <c r="A249" s="9"/>
      <c r="D249" s="9"/>
      <c r="E249" s="13"/>
      <c r="F249" s="13"/>
      <c r="M249" s="9"/>
      <c r="N249" s="9"/>
      <c r="O249" s="9"/>
    </row>
    <row r="250">
      <c r="A250" s="9"/>
      <c r="D250" s="9"/>
      <c r="E250" s="13"/>
      <c r="F250" s="13"/>
      <c r="M250" s="9"/>
      <c r="N250" s="9"/>
      <c r="O250" s="9"/>
    </row>
    <row r="251">
      <c r="A251" s="9"/>
      <c r="D251" s="9"/>
      <c r="E251" s="13"/>
      <c r="F251" s="13"/>
      <c r="M251" s="9"/>
      <c r="N251" s="9"/>
      <c r="O251" s="9"/>
    </row>
    <row r="252">
      <c r="A252" s="9"/>
      <c r="D252" s="9"/>
      <c r="E252" s="13"/>
      <c r="F252" s="13"/>
      <c r="M252" s="9"/>
      <c r="N252" s="9"/>
      <c r="O252" s="9"/>
    </row>
    <row r="253">
      <c r="A253" s="9"/>
      <c r="D253" s="9"/>
      <c r="E253" s="13"/>
      <c r="F253" s="13"/>
      <c r="M253" s="9"/>
      <c r="N253" s="9"/>
      <c r="O253" s="9"/>
    </row>
    <row r="254">
      <c r="A254" s="9"/>
      <c r="D254" s="9"/>
      <c r="E254" s="13"/>
      <c r="F254" s="13"/>
      <c r="M254" s="9"/>
      <c r="N254" s="9"/>
      <c r="O254" s="9"/>
    </row>
    <row r="255">
      <c r="A255" s="9"/>
      <c r="D255" s="9"/>
      <c r="E255" s="13"/>
      <c r="F255" s="13"/>
      <c r="M255" s="9"/>
      <c r="N255" s="9"/>
      <c r="O255" s="9"/>
    </row>
    <row r="256">
      <c r="A256" s="9"/>
      <c r="D256" s="9"/>
      <c r="E256" s="13"/>
      <c r="F256" s="13"/>
      <c r="M256" s="9"/>
      <c r="N256" s="9"/>
      <c r="O256" s="9"/>
    </row>
    <row r="257">
      <c r="A257" s="9"/>
      <c r="D257" s="9"/>
      <c r="E257" s="13"/>
      <c r="F257" s="13"/>
      <c r="M257" s="9"/>
      <c r="N257" s="9"/>
      <c r="O257" s="9"/>
    </row>
    <row r="258">
      <c r="A258" s="9"/>
      <c r="D258" s="9"/>
      <c r="E258" s="13"/>
      <c r="F258" s="13"/>
      <c r="M258" s="9"/>
      <c r="N258" s="9"/>
      <c r="O258" s="9"/>
    </row>
    <row r="259">
      <c r="A259" s="9"/>
      <c r="D259" s="9"/>
      <c r="E259" s="13"/>
      <c r="F259" s="13"/>
      <c r="M259" s="9"/>
      <c r="N259" s="9"/>
      <c r="O259" s="9"/>
    </row>
    <row r="260">
      <c r="A260" s="9"/>
      <c r="D260" s="9"/>
      <c r="E260" s="13"/>
      <c r="F260" s="13"/>
      <c r="M260" s="9"/>
      <c r="N260" s="9"/>
      <c r="O260" s="9"/>
    </row>
    <row r="261">
      <c r="A261" s="9"/>
      <c r="D261" s="9"/>
      <c r="E261" s="13"/>
      <c r="F261" s="13"/>
      <c r="M261" s="9"/>
      <c r="N261" s="9"/>
      <c r="O261" s="9"/>
    </row>
    <row r="262">
      <c r="A262" s="9"/>
      <c r="D262" s="9"/>
      <c r="E262" s="13"/>
      <c r="F262" s="13"/>
      <c r="M262" s="9"/>
      <c r="N262" s="9"/>
      <c r="O262" s="9"/>
    </row>
    <row r="263">
      <c r="A263" s="9"/>
      <c r="D263" s="9"/>
      <c r="E263" s="13"/>
      <c r="F263" s="13"/>
      <c r="M263" s="9"/>
      <c r="N263" s="9"/>
      <c r="O263" s="9"/>
    </row>
    <row r="264">
      <c r="A264" s="9"/>
      <c r="D264" s="9"/>
      <c r="E264" s="13"/>
      <c r="F264" s="13"/>
      <c r="M264" s="9"/>
      <c r="N264" s="9"/>
      <c r="O264" s="9"/>
    </row>
    <row r="265">
      <c r="A265" s="9"/>
      <c r="D265" s="9"/>
      <c r="E265" s="13"/>
      <c r="F265" s="13"/>
      <c r="M265" s="9"/>
      <c r="N265" s="9"/>
      <c r="O265" s="9"/>
    </row>
    <row r="266">
      <c r="A266" s="9"/>
      <c r="D266" s="9"/>
      <c r="E266" s="13"/>
      <c r="F266" s="13"/>
      <c r="M266" s="9"/>
      <c r="N266" s="9"/>
      <c r="O266" s="9"/>
    </row>
    <row r="267">
      <c r="A267" s="9"/>
      <c r="D267" s="9"/>
      <c r="E267" s="13"/>
      <c r="F267" s="13"/>
      <c r="M267" s="9"/>
      <c r="N267" s="9"/>
      <c r="O267" s="9"/>
    </row>
    <row r="268">
      <c r="A268" s="9"/>
      <c r="D268" s="9"/>
      <c r="E268" s="13"/>
      <c r="F268" s="13"/>
      <c r="M268" s="9"/>
      <c r="N268" s="9"/>
      <c r="O268" s="9"/>
    </row>
    <row r="269">
      <c r="A269" s="9"/>
      <c r="D269" s="9"/>
      <c r="E269" s="13"/>
      <c r="F269" s="13"/>
      <c r="M269" s="9"/>
      <c r="N269" s="9"/>
      <c r="O269" s="9"/>
    </row>
    <row r="270">
      <c r="A270" s="9"/>
      <c r="D270" s="9"/>
      <c r="E270" s="13"/>
      <c r="F270" s="13"/>
      <c r="M270" s="9"/>
      <c r="N270" s="9"/>
      <c r="O270" s="9"/>
    </row>
    <row r="271">
      <c r="A271" s="9"/>
      <c r="D271" s="9"/>
      <c r="E271" s="13"/>
      <c r="F271" s="13"/>
      <c r="M271" s="9"/>
      <c r="N271" s="9"/>
      <c r="O271" s="9"/>
    </row>
    <row r="272">
      <c r="A272" s="9"/>
      <c r="D272" s="9"/>
      <c r="E272" s="13"/>
      <c r="F272" s="13"/>
      <c r="M272" s="9"/>
      <c r="N272" s="9"/>
      <c r="O272" s="9"/>
    </row>
    <row r="273">
      <c r="A273" s="9"/>
      <c r="D273" s="9"/>
      <c r="E273" s="13"/>
      <c r="F273" s="13"/>
      <c r="M273" s="9"/>
      <c r="N273" s="9"/>
      <c r="O273" s="9"/>
    </row>
    <row r="274">
      <c r="A274" s="9"/>
      <c r="D274" s="9"/>
      <c r="E274" s="13"/>
      <c r="F274" s="13"/>
      <c r="M274" s="9"/>
      <c r="N274" s="9"/>
      <c r="O274" s="9"/>
    </row>
    <row r="275">
      <c r="A275" s="9"/>
      <c r="D275" s="9"/>
      <c r="E275" s="13"/>
      <c r="F275" s="13"/>
      <c r="M275" s="9"/>
      <c r="N275" s="9"/>
      <c r="O275" s="9"/>
    </row>
    <row r="276">
      <c r="A276" s="9"/>
      <c r="D276" s="9"/>
      <c r="E276" s="13"/>
      <c r="F276" s="13"/>
      <c r="M276" s="9"/>
      <c r="N276" s="9"/>
      <c r="O276" s="9"/>
    </row>
    <row r="277">
      <c r="A277" s="9"/>
      <c r="D277" s="9"/>
      <c r="E277" s="13"/>
      <c r="F277" s="13"/>
      <c r="M277" s="9"/>
      <c r="N277" s="9"/>
      <c r="O277" s="9"/>
    </row>
    <row r="278">
      <c r="A278" s="9"/>
      <c r="D278" s="9"/>
      <c r="E278" s="13"/>
      <c r="F278" s="13"/>
      <c r="M278" s="9"/>
      <c r="N278" s="9"/>
      <c r="O278" s="9"/>
    </row>
    <row r="279">
      <c r="A279" s="9"/>
      <c r="D279" s="9"/>
      <c r="E279" s="13"/>
      <c r="F279" s="13"/>
      <c r="M279" s="9"/>
      <c r="N279" s="9"/>
      <c r="O279" s="9"/>
    </row>
    <row r="280">
      <c r="A280" s="9"/>
      <c r="D280" s="9"/>
      <c r="E280" s="13"/>
      <c r="F280" s="13"/>
      <c r="M280" s="9"/>
      <c r="N280" s="9"/>
      <c r="O280" s="9"/>
    </row>
    <row r="281">
      <c r="A281" s="9"/>
      <c r="D281" s="9"/>
      <c r="E281" s="13"/>
      <c r="F281" s="13"/>
      <c r="M281" s="9"/>
      <c r="N281" s="9"/>
      <c r="O281" s="9"/>
    </row>
    <row r="282">
      <c r="A282" s="9"/>
      <c r="D282" s="9"/>
      <c r="E282" s="13"/>
      <c r="F282" s="13"/>
      <c r="M282" s="9"/>
      <c r="N282" s="9"/>
      <c r="O282" s="9"/>
    </row>
    <row r="283">
      <c r="A283" s="9"/>
      <c r="D283" s="9"/>
      <c r="E283" s="13"/>
      <c r="F283" s="13"/>
      <c r="M283" s="9"/>
      <c r="N283" s="9"/>
      <c r="O283" s="9"/>
    </row>
    <row r="284">
      <c r="A284" s="9"/>
      <c r="D284" s="9"/>
      <c r="E284" s="13"/>
      <c r="F284" s="13"/>
      <c r="M284" s="9"/>
      <c r="N284" s="9"/>
      <c r="O284" s="9"/>
    </row>
    <row r="285">
      <c r="A285" s="9"/>
      <c r="D285" s="9"/>
      <c r="E285" s="13"/>
      <c r="F285" s="13"/>
      <c r="M285" s="9"/>
      <c r="N285" s="9"/>
      <c r="O285" s="9"/>
    </row>
    <row r="286">
      <c r="A286" s="9"/>
      <c r="D286" s="9"/>
      <c r="E286" s="13"/>
      <c r="F286" s="13"/>
      <c r="M286" s="9"/>
      <c r="N286" s="9"/>
      <c r="O286" s="9"/>
    </row>
    <row r="287">
      <c r="A287" s="9"/>
      <c r="D287" s="9"/>
      <c r="E287" s="13"/>
      <c r="F287" s="13"/>
      <c r="M287" s="9"/>
      <c r="N287" s="9"/>
      <c r="O287" s="9"/>
    </row>
    <row r="288">
      <c r="A288" s="9"/>
      <c r="D288" s="9"/>
      <c r="E288" s="13"/>
      <c r="F288" s="13"/>
      <c r="M288" s="9"/>
      <c r="N288" s="9"/>
      <c r="O288" s="9"/>
    </row>
    <row r="289">
      <c r="A289" s="9"/>
      <c r="D289" s="9"/>
      <c r="E289" s="13"/>
      <c r="F289" s="13"/>
      <c r="M289" s="9"/>
      <c r="N289" s="9"/>
      <c r="O289" s="9"/>
    </row>
    <row r="290">
      <c r="A290" s="9"/>
      <c r="D290" s="9"/>
      <c r="E290" s="13"/>
      <c r="F290" s="13"/>
      <c r="M290" s="9"/>
      <c r="N290" s="9"/>
      <c r="O290" s="9"/>
    </row>
    <row r="291">
      <c r="A291" s="9"/>
      <c r="D291" s="9"/>
      <c r="E291" s="13"/>
      <c r="F291" s="13"/>
      <c r="M291" s="9"/>
      <c r="N291" s="9"/>
      <c r="O291" s="9"/>
    </row>
    <row r="292">
      <c r="A292" s="9"/>
      <c r="D292" s="9"/>
      <c r="E292" s="13"/>
      <c r="F292" s="13"/>
      <c r="M292" s="9"/>
      <c r="N292" s="9"/>
      <c r="O292" s="9"/>
    </row>
    <row r="293">
      <c r="A293" s="9"/>
      <c r="D293" s="9"/>
      <c r="E293" s="13"/>
      <c r="F293" s="13"/>
      <c r="M293" s="9"/>
      <c r="N293" s="9"/>
      <c r="O293" s="9"/>
    </row>
    <row r="294">
      <c r="A294" s="9"/>
      <c r="D294" s="9"/>
      <c r="E294" s="13"/>
      <c r="F294" s="13"/>
      <c r="M294" s="9"/>
      <c r="N294" s="9"/>
      <c r="O294" s="9"/>
    </row>
    <row r="295">
      <c r="A295" s="9"/>
      <c r="D295" s="9"/>
      <c r="E295" s="13"/>
      <c r="F295" s="13"/>
      <c r="M295" s="9"/>
      <c r="N295" s="9"/>
      <c r="O295" s="9"/>
    </row>
    <row r="296">
      <c r="A296" s="9"/>
      <c r="D296" s="9"/>
      <c r="E296" s="13"/>
      <c r="F296" s="13"/>
      <c r="M296" s="9"/>
      <c r="N296" s="9"/>
      <c r="O296" s="9"/>
    </row>
    <row r="297">
      <c r="A297" s="9"/>
      <c r="D297" s="9"/>
      <c r="E297" s="13"/>
      <c r="F297" s="13"/>
      <c r="M297" s="9"/>
      <c r="N297" s="9"/>
      <c r="O297" s="9"/>
    </row>
    <row r="298">
      <c r="A298" s="9"/>
      <c r="D298" s="9"/>
      <c r="E298" s="13"/>
      <c r="F298" s="13"/>
      <c r="M298" s="9"/>
      <c r="N298" s="9"/>
      <c r="O298" s="9"/>
    </row>
    <row r="299">
      <c r="A299" s="9"/>
      <c r="D299" s="9"/>
      <c r="E299" s="13"/>
      <c r="F299" s="13"/>
      <c r="M299" s="9"/>
      <c r="N299" s="9"/>
      <c r="O299" s="9"/>
    </row>
    <row r="300">
      <c r="A300" s="9"/>
      <c r="D300" s="9"/>
      <c r="E300" s="13"/>
      <c r="F300" s="13"/>
      <c r="M300" s="9"/>
      <c r="N300" s="9"/>
      <c r="O300" s="9"/>
    </row>
    <row r="301">
      <c r="A301" s="9"/>
      <c r="D301" s="9"/>
      <c r="E301" s="13"/>
      <c r="F301" s="13"/>
      <c r="M301" s="9"/>
      <c r="N301" s="9"/>
      <c r="O301" s="9"/>
    </row>
    <row r="302">
      <c r="A302" s="9"/>
      <c r="D302" s="9"/>
      <c r="E302" s="13"/>
      <c r="F302" s="13"/>
      <c r="M302" s="9"/>
      <c r="N302" s="9"/>
      <c r="O302" s="9"/>
    </row>
    <row r="303">
      <c r="A303" s="9"/>
      <c r="D303" s="9"/>
      <c r="E303" s="13"/>
      <c r="F303" s="13"/>
      <c r="M303" s="9"/>
      <c r="N303" s="9"/>
      <c r="O303" s="9"/>
    </row>
    <row r="304">
      <c r="A304" s="9"/>
      <c r="D304" s="9"/>
      <c r="E304" s="13"/>
      <c r="F304" s="13"/>
      <c r="M304" s="9"/>
      <c r="N304" s="9"/>
      <c r="O304" s="9"/>
    </row>
    <row r="305">
      <c r="A305" s="9"/>
      <c r="D305" s="9"/>
      <c r="E305" s="13"/>
      <c r="F305" s="13"/>
      <c r="M305" s="9"/>
      <c r="N305" s="9"/>
      <c r="O305" s="9"/>
    </row>
    <row r="306">
      <c r="A306" s="9"/>
      <c r="D306" s="9"/>
      <c r="E306" s="13"/>
      <c r="F306" s="13"/>
      <c r="M306" s="9"/>
      <c r="N306" s="9"/>
      <c r="O306" s="9"/>
    </row>
    <row r="307">
      <c r="A307" s="9"/>
      <c r="D307" s="9"/>
      <c r="E307" s="13"/>
      <c r="F307" s="13"/>
      <c r="M307" s="9"/>
      <c r="N307" s="9"/>
      <c r="O307" s="9"/>
    </row>
    <row r="308">
      <c r="A308" s="9"/>
      <c r="D308" s="9"/>
      <c r="E308" s="13"/>
      <c r="F308" s="13"/>
      <c r="M308" s="9"/>
      <c r="N308" s="9"/>
      <c r="O308" s="9"/>
    </row>
    <row r="309">
      <c r="A309" s="9"/>
      <c r="D309" s="9"/>
      <c r="E309" s="13"/>
      <c r="F309" s="13"/>
      <c r="M309" s="9"/>
      <c r="N309" s="9"/>
      <c r="O309" s="9"/>
    </row>
    <row r="310">
      <c r="A310" s="9"/>
      <c r="D310" s="9"/>
      <c r="E310" s="13"/>
      <c r="F310" s="13"/>
      <c r="M310" s="9"/>
      <c r="N310" s="9"/>
      <c r="O310" s="9"/>
    </row>
    <row r="311">
      <c r="A311" s="9"/>
      <c r="D311" s="9"/>
      <c r="E311" s="13"/>
      <c r="F311" s="13"/>
      <c r="M311" s="9"/>
      <c r="N311" s="9"/>
      <c r="O311" s="9"/>
    </row>
    <row r="312">
      <c r="A312" s="9"/>
      <c r="D312" s="9"/>
      <c r="E312" s="13"/>
      <c r="F312" s="13"/>
      <c r="M312" s="9"/>
      <c r="N312" s="9"/>
      <c r="O312" s="9"/>
    </row>
    <row r="313">
      <c r="A313" s="9"/>
      <c r="D313" s="9"/>
      <c r="E313" s="13"/>
      <c r="F313" s="13"/>
      <c r="M313" s="9"/>
      <c r="N313" s="9"/>
      <c r="O313" s="9"/>
    </row>
    <row r="314">
      <c r="A314" s="9"/>
      <c r="D314" s="9"/>
      <c r="E314" s="13"/>
      <c r="F314" s="13"/>
      <c r="M314" s="9"/>
      <c r="N314" s="9"/>
      <c r="O314" s="9"/>
    </row>
    <row r="315">
      <c r="A315" s="9"/>
      <c r="D315" s="9"/>
      <c r="E315" s="13"/>
      <c r="F315" s="13"/>
      <c r="M315" s="9"/>
      <c r="N315" s="9"/>
      <c r="O315" s="9"/>
    </row>
    <row r="316">
      <c r="A316" s="9"/>
      <c r="D316" s="9"/>
      <c r="E316" s="13"/>
      <c r="F316" s="13"/>
      <c r="M316" s="9"/>
      <c r="N316" s="9"/>
      <c r="O316" s="9"/>
    </row>
    <row r="317">
      <c r="A317" s="9"/>
      <c r="D317" s="9"/>
      <c r="E317" s="13"/>
      <c r="F317" s="13"/>
      <c r="M317" s="9"/>
      <c r="N317" s="9"/>
      <c r="O317" s="9"/>
    </row>
    <row r="318">
      <c r="A318" s="9"/>
      <c r="D318" s="9"/>
      <c r="E318" s="13"/>
      <c r="F318" s="13"/>
      <c r="M318" s="9"/>
      <c r="N318" s="9"/>
      <c r="O318" s="9"/>
    </row>
    <row r="319">
      <c r="A319" s="9"/>
      <c r="D319" s="9"/>
      <c r="E319" s="13"/>
      <c r="F319" s="13"/>
      <c r="M319" s="9"/>
      <c r="N319" s="9"/>
      <c r="O319" s="9"/>
    </row>
    <row r="320">
      <c r="A320" s="9"/>
      <c r="D320" s="9"/>
      <c r="E320" s="13"/>
      <c r="F320" s="13"/>
      <c r="M320" s="9"/>
      <c r="N320" s="9"/>
      <c r="O320" s="9"/>
    </row>
    <row r="321">
      <c r="A321" s="9"/>
      <c r="D321" s="9"/>
      <c r="E321" s="13"/>
      <c r="F321" s="13"/>
      <c r="M321" s="9"/>
      <c r="N321" s="9"/>
      <c r="O321" s="9"/>
    </row>
    <row r="322">
      <c r="A322" s="9"/>
      <c r="D322" s="9"/>
      <c r="E322" s="13"/>
      <c r="F322" s="13"/>
      <c r="M322" s="9"/>
      <c r="N322" s="9"/>
      <c r="O322" s="9"/>
    </row>
    <row r="323">
      <c r="A323" s="9"/>
      <c r="D323" s="9"/>
      <c r="E323" s="13"/>
      <c r="F323" s="13"/>
      <c r="M323" s="9"/>
      <c r="N323" s="9"/>
      <c r="O323" s="9"/>
    </row>
    <row r="324">
      <c r="A324" s="9"/>
      <c r="D324" s="9"/>
      <c r="E324" s="13"/>
      <c r="F324" s="13"/>
      <c r="M324" s="9"/>
      <c r="N324" s="9"/>
      <c r="O324" s="9"/>
    </row>
    <row r="325">
      <c r="A325" s="9"/>
      <c r="D325" s="9"/>
      <c r="E325" s="13"/>
      <c r="F325" s="13"/>
      <c r="M325" s="9"/>
      <c r="N325" s="9"/>
      <c r="O325" s="9"/>
    </row>
    <row r="326">
      <c r="A326" s="9"/>
      <c r="D326" s="9"/>
      <c r="E326" s="13"/>
      <c r="F326" s="13"/>
      <c r="M326" s="9"/>
      <c r="N326" s="9"/>
      <c r="O326" s="9"/>
    </row>
    <row r="327">
      <c r="A327" s="9"/>
      <c r="D327" s="9"/>
      <c r="E327" s="13"/>
      <c r="F327" s="13"/>
      <c r="M327" s="9"/>
      <c r="N327" s="9"/>
      <c r="O327" s="9"/>
    </row>
    <row r="328">
      <c r="A328" s="9"/>
      <c r="D328" s="9"/>
      <c r="E328" s="13"/>
      <c r="F328" s="13"/>
      <c r="M328" s="9"/>
      <c r="N328" s="9"/>
      <c r="O328" s="9"/>
    </row>
    <row r="329">
      <c r="A329" s="9"/>
      <c r="D329" s="9"/>
      <c r="E329" s="13"/>
      <c r="F329" s="13"/>
      <c r="M329" s="9"/>
      <c r="N329" s="9"/>
      <c r="O329" s="9"/>
    </row>
    <row r="330">
      <c r="A330" s="9"/>
      <c r="D330" s="9"/>
      <c r="E330" s="13"/>
      <c r="F330" s="13"/>
      <c r="M330" s="9"/>
      <c r="N330" s="9"/>
      <c r="O330" s="9"/>
    </row>
    <row r="331">
      <c r="A331" s="9"/>
      <c r="D331" s="9"/>
      <c r="E331" s="13"/>
      <c r="F331" s="13"/>
      <c r="M331" s="9"/>
      <c r="N331" s="9"/>
      <c r="O331" s="9"/>
    </row>
    <row r="332">
      <c r="A332" s="9"/>
      <c r="D332" s="9"/>
      <c r="E332" s="13"/>
      <c r="F332" s="13"/>
      <c r="M332" s="9"/>
      <c r="N332" s="9"/>
      <c r="O332" s="9"/>
    </row>
    <row r="333">
      <c r="A333" s="9"/>
      <c r="D333" s="9"/>
      <c r="E333" s="13"/>
      <c r="F333" s="13"/>
      <c r="M333" s="9"/>
      <c r="N333" s="9"/>
      <c r="O333" s="9"/>
    </row>
    <row r="334">
      <c r="A334" s="9"/>
      <c r="D334" s="9"/>
      <c r="E334" s="13"/>
      <c r="F334" s="13"/>
      <c r="M334" s="9"/>
      <c r="N334" s="9"/>
      <c r="O334" s="9"/>
    </row>
    <row r="335">
      <c r="A335" s="9"/>
      <c r="D335" s="9"/>
      <c r="E335" s="13"/>
      <c r="F335" s="13"/>
      <c r="M335" s="9"/>
      <c r="N335" s="9"/>
      <c r="O335" s="9"/>
    </row>
    <row r="336">
      <c r="A336" s="9"/>
      <c r="D336" s="9"/>
      <c r="E336" s="13"/>
      <c r="F336" s="13"/>
      <c r="M336" s="9"/>
      <c r="N336" s="9"/>
      <c r="O336" s="9"/>
    </row>
    <row r="337">
      <c r="A337" s="9"/>
      <c r="D337" s="9"/>
      <c r="E337" s="13"/>
      <c r="F337" s="13"/>
      <c r="M337" s="9"/>
      <c r="N337" s="9"/>
      <c r="O337" s="9"/>
    </row>
    <row r="338">
      <c r="A338" s="9"/>
      <c r="D338" s="9"/>
      <c r="E338" s="13"/>
      <c r="F338" s="13"/>
      <c r="M338" s="9"/>
      <c r="N338" s="9"/>
      <c r="O338" s="9"/>
    </row>
    <row r="339">
      <c r="A339" s="9"/>
      <c r="D339" s="9"/>
      <c r="E339" s="13"/>
      <c r="F339" s="13"/>
      <c r="M339" s="9"/>
      <c r="N339" s="9"/>
      <c r="O339" s="9"/>
    </row>
    <row r="340">
      <c r="A340" s="9"/>
      <c r="D340" s="9"/>
      <c r="E340" s="13"/>
      <c r="F340" s="13"/>
      <c r="M340" s="9"/>
      <c r="N340" s="9"/>
      <c r="O340" s="9"/>
    </row>
    <row r="341">
      <c r="A341" s="9"/>
      <c r="D341" s="9"/>
      <c r="E341" s="13"/>
      <c r="F341" s="13"/>
      <c r="M341" s="9"/>
      <c r="N341" s="9"/>
      <c r="O341" s="9"/>
    </row>
    <row r="342">
      <c r="A342" s="9"/>
      <c r="D342" s="9"/>
      <c r="E342" s="13"/>
      <c r="F342" s="13"/>
      <c r="M342" s="9"/>
      <c r="N342" s="9"/>
      <c r="O342" s="9"/>
    </row>
    <row r="343">
      <c r="A343" s="9"/>
      <c r="D343" s="9"/>
      <c r="E343" s="13"/>
      <c r="F343" s="13"/>
      <c r="M343" s="9"/>
      <c r="N343" s="9"/>
      <c r="O343" s="9"/>
    </row>
    <row r="344">
      <c r="A344" s="9"/>
      <c r="D344" s="9"/>
      <c r="E344" s="13"/>
      <c r="F344" s="13"/>
      <c r="M344" s="9"/>
      <c r="N344" s="9"/>
      <c r="O344" s="9"/>
    </row>
    <row r="345">
      <c r="A345" s="9"/>
      <c r="D345" s="9"/>
      <c r="E345" s="13"/>
      <c r="F345" s="13"/>
      <c r="M345" s="9"/>
      <c r="N345" s="9"/>
      <c r="O345" s="9"/>
    </row>
    <row r="346">
      <c r="A346" s="9"/>
      <c r="D346" s="9"/>
      <c r="E346" s="13"/>
      <c r="F346" s="13"/>
      <c r="M346" s="9"/>
      <c r="N346" s="9"/>
      <c r="O346" s="9"/>
    </row>
    <row r="347">
      <c r="A347" s="9"/>
      <c r="D347" s="9"/>
      <c r="E347" s="13"/>
      <c r="F347" s="13"/>
      <c r="M347" s="9"/>
      <c r="N347" s="9"/>
      <c r="O347" s="9"/>
    </row>
    <row r="348">
      <c r="A348" s="9"/>
      <c r="D348" s="9"/>
      <c r="E348" s="13"/>
      <c r="F348" s="13"/>
      <c r="M348" s="9"/>
      <c r="N348" s="9"/>
      <c r="O348" s="9"/>
    </row>
    <row r="349">
      <c r="A349" s="9"/>
      <c r="D349" s="9"/>
      <c r="E349" s="13"/>
      <c r="F349" s="13"/>
      <c r="M349" s="9"/>
      <c r="N349" s="9"/>
      <c r="O349" s="9"/>
    </row>
    <row r="350">
      <c r="A350" s="9"/>
      <c r="D350" s="9"/>
      <c r="E350" s="13"/>
      <c r="F350" s="13"/>
      <c r="M350" s="9"/>
      <c r="N350" s="9"/>
      <c r="O350" s="9"/>
    </row>
    <row r="351">
      <c r="A351" s="9"/>
      <c r="D351" s="9"/>
      <c r="E351" s="13"/>
      <c r="F351" s="13"/>
      <c r="M351" s="9"/>
      <c r="N351" s="9"/>
      <c r="O351" s="9"/>
    </row>
    <row r="352">
      <c r="A352" s="9"/>
      <c r="D352" s="9"/>
      <c r="E352" s="13"/>
      <c r="F352" s="13"/>
      <c r="M352" s="9"/>
      <c r="N352" s="9"/>
      <c r="O352" s="9"/>
    </row>
    <row r="353">
      <c r="A353" s="9"/>
      <c r="D353" s="9"/>
      <c r="E353" s="13"/>
      <c r="F353" s="13"/>
      <c r="M353" s="9"/>
      <c r="N353" s="9"/>
      <c r="O353" s="9"/>
    </row>
    <row r="354">
      <c r="A354" s="9"/>
      <c r="D354" s="9"/>
      <c r="E354" s="13"/>
      <c r="F354" s="13"/>
      <c r="M354" s="9"/>
      <c r="N354" s="9"/>
      <c r="O354" s="9"/>
    </row>
    <row r="355">
      <c r="A355" s="9"/>
      <c r="D355" s="9"/>
      <c r="E355" s="13"/>
      <c r="F355" s="13"/>
      <c r="M355" s="9"/>
      <c r="N355" s="9"/>
      <c r="O355" s="9"/>
    </row>
    <row r="356">
      <c r="A356" s="9"/>
      <c r="D356" s="9"/>
      <c r="E356" s="13"/>
      <c r="F356" s="13"/>
      <c r="M356" s="9"/>
      <c r="N356" s="9"/>
      <c r="O356" s="9"/>
    </row>
    <row r="357">
      <c r="A357" s="9"/>
      <c r="D357" s="9"/>
      <c r="E357" s="13"/>
      <c r="F357" s="13"/>
      <c r="M357" s="9"/>
      <c r="N357" s="9"/>
      <c r="O357" s="9"/>
    </row>
    <row r="358">
      <c r="A358" s="9"/>
      <c r="D358" s="9"/>
      <c r="E358" s="13"/>
      <c r="F358" s="13"/>
      <c r="M358" s="9"/>
      <c r="N358" s="9"/>
      <c r="O358" s="9"/>
    </row>
    <row r="359">
      <c r="A359" s="9"/>
      <c r="D359" s="9"/>
      <c r="E359" s="13"/>
      <c r="F359" s="13"/>
      <c r="M359" s="9"/>
      <c r="N359" s="9"/>
      <c r="O359" s="9"/>
    </row>
    <row r="360">
      <c r="A360" s="9"/>
      <c r="D360" s="9"/>
      <c r="E360" s="13"/>
      <c r="F360" s="13"/>
      <c r="M360" s="9"/>
      <c r="N360" s="9"/>
      <c r="O360" s="9"/>
    </row>
    <row r="361">
      <c r="A361" s="9"/>
      <c r="D361" s="9"/>
      <c r="E361" s="13"/>
      <c r="F361" s="13"/>
      <c r="M361" s="9"/>
      <c r="N361" s="9"/>
      <c r="O361" s="9"/>
    </row>
    <row r="362">
      <c r="A362" s="9"/>
      <c r="D362" s="9"/>
      <c r="E362" s="13"/>
      <c r="F362" s="13"/>
      <c r="M362" s="9"/>
      <c r="N362" s="9"/>
      <c r="O362" s="9"/>
    </row>
    <row r="363">
      <c r="A363" s="9"/>
      <c r="D363" s="9"/>
      <c r="E363" s="13"/>
      <c r="F363" s="13"/>
      <c r="M363" s="9"/>
      <c r="N363" s="9"/>
      <c r="O363" s="9"/>
    </row>
    <row r="364">
      <c r="A364" s="9"/>
      <c r="D364" s="9"/>
      <c r="E364" s="13"/>
      <c r="F364" s="13"/>
      <c r="M364" s="9"/>
      <c r="N364" s="9"/>
      <c r="O364" s="9"/>
    </row>
    <row r="365">
      <c r="A365" s="9"/>
      <c r="D365" s="9"/>
      <c r="E365" s="13"/>
      <c r="F365" s="13"/>
      <c r="M365" s="9"/>
      <c r="N365" s="9"/>
      <c r="O365" s="9"/>
    </row>
    <row r="366">
      <c r="A366" s="9"/>
      <c r="D366" s="9"/>
      <c r="E366" s="13"/>
      <c r="F366" s="13"/>
      <c r="M366" s="9"/>
      <c r="N366" s="9"/>
      <c r="O366" s="9"/>
    </row>
    <row r="367">
      <c r="A367" s="9"/>
      <c r="D367" s="9"/>
      <c r="E367" s="13"/>
      <c r="F367" s="13"/>
      <c r="M367" s="9"/>
      <c r="N367" s="9"/>
      <c r="O367" s="9"/>
    </row>
    <row r="368">
      <c r="A368" s="9"/>
      <c r="D368" s="9"/>
      <c r="E368" s="13"/>
      <c r="F368" s="13"/>
      <c r="M368" s="9"/>
      <c r="N368" s="9"/>
      <c r="O368" s="9"/>
    </row>
    <row r="369">
      <c r="A369" s="9"/>
      <c r="D369" s="9"/>
      <c r="E369" s="13"/>
      <c r="F369" s="13"/>
      <c r="M369" s="9"/>
      <c r="N369" s="9"/>
      <c r="O369" s="9"/>
    </row>
    <row r="370">
      <c r="A370" s="9"/>
      <c r="D370" s="9"/>
      <c r="E370" s="13"/>
      <c r="F370" s="13"/>
      <c r="M370" s="9"/>
      <c r="N370" s="9"/>
      <c r="O370" s="9"/>
    </row>
    <row r="371">
      <c r="A371" s="9"/>
      <c r="D371" s="9"/>
      <c r="E371" s="13"/>
      <c r="F371" s="13"/>
      <c r="M371" s="9"/>
      <c r="N371" s="9"/>
      <c r="O371" s="9"/>
    </row>
    <row r="372">
      <c r="A372" s="9"/>
      <c r="D372" s="9"/>
      <c r="E372" s="13"/>
      <c r="F372" s="13"/>
      <c r="M372" s="9"/>
      <c r="N372" s="9"/>
      <c r="O372" s="9"/>
    </row>
    <row r="373">
      <c r="A373" s="9"/>
      <c r="D373" s="9"/>
      <c r="E373" s="13"/>
      <c r="F373" s="13"/>
      <c r="M373" s="9"/>
      <c r="N373" s="9"/>
      <c r="O373" s="9"/>
    </row>
    <row r="374">
      <c r="A374" s="9"/>
      <c r="D374" s="9"/>
      <c r="E374" s="13"/>
      <c r="F374" s="13"/>
      <c r="M374" s="9"/>
      <c r="N374" s="9"/>
      <c r="O374" s="9"/>
    </row>
    <row r="375">
      <c r="A375" s="9"/>
      <c r="D375" s="9"/>
      <c r="E375" s="13"/>
      <c r="F375" s="13"/>
      <c r="M375" s="9"/>
      <c r="N375" s="9"/>
      <c r="O375" s="9"/>
    </row>
    <row r="376">
      <c r="A376" s="9"/>
      <c r="D376" s="9"/>
      <c r="E376" s="13"/>
      <c r="F376" s="13"/>
      <c r="M376" s="9"/>
      <c r="N376" s="9"/>
      <c r="O376" s="9"/>
    </row>
    <row r="377">
      <c r="A377" s="9"/>
      <c r="D377" s="9"/>
      <c r="E377" s="13"/>
      <c r="F377" s="13"/>
      <c r="M377" s="9"/>
      <c r="N377" s="9"/>
      <c r="O377" s="9"/>
    </row>
    <row r="378">
      <c r="A378" s="9"/>
      <c r="D378" s="9"/>
      <c r="E378" s="13"/>
      <c r="F378" s="13"/>
      <c r="M378" s="9"/>
      <c r="N378" s="9"/>
      <c r="O378" s="9"/>
    </row>
    <row r="379">
      <c r="A379" s="9"/>
      <c r="D379" s="9"/>
      <c r="E379" s="13"/>
      <c r="F379" s="13"/>
      <c r="M379" s="9"/>
      <c r="N379" s="9"/>
      <c r="O379" s="9"/>
    </row>
    <row r="380">
      <c r="A380" s="9"/>
      <c r="D380" s="9"/>
      <c r="E380" s="13"/>
      <c r="F380" s="13"/>
      <c r="M380" s="9"/>
      <c r="N380" s="9"/>
      <c r="O380" s="9"/>
    </row>
    <row r="381">
      <c r="A381" s="9"/>
      <c r="D381" s="9"/>
      <c r="E381" s="13"/>
      <c r="F381" s="13"/>
      <c r="M381" s="9"/>
      <c r="N381" s="9"/>
      <c r="O381" s="9"/>
    </row>
    <row r="382">
      <c r="A382" s="9"/>
      <c r="D382" s="9"/>
      <c r="E382" s="13"/>
      <c r="F382" s="13"/>
      <c r="M382" s="9"/>
      <c r="N382" s="9"/>
      <c r="O382" s="9"/>
    </row>
    <row r="383">
      <c r="A383" s="9"/>
      <c r="D383" s="9"/>
      <c r="E383" s="13"/>
      <c r="F383" s="13"/>
      <c r="M383" s="9"/>
      <c r="N383" s="9"/>
      <c r="O383" s="9"/>
    </row>
    <row r="384">
      <c r="A384" s="9"/>
      <c r="D384" s="9"/>
      <c r="E384" s="13"/>
      <c r="F384" s="13"/>
      <c r="M384" s="9"/>
      <c r="N384" s="9"/>
      <c r="O384" s="9"/>
    </row>
    <row r="385">
      <c r="A385" s="9"/>
      <c r="D385" s="9"/>
      <c r="E385" s="13"/>
      <c r="F385" s="13"/>
      <c r="M385" s="9"/>
      <c r="N385" s="9"/>
      <c r="O385" s="9"/>
    </row>
    <row r="386">
      <c r="A386" s="9"/>
      <c r="D386" s="9"/>
      <c r="E386" s="13"/>
      <c r="F386" s="13"/>
      <c r="M386" s="9"/>
      <c r="N386" s="9"/>
      <c r="O386" s="9"/>
    </row>
    <row r="387">
      <c r="A387" s="9"/>
      <c r="D387" s="9"/>
      <c r="E387" s="13"/>
      <c r="F387" s="13"/>
      <c r="M387" s="9"/>
      <c r="N387" s="9"/>
      <c r="O387" s="9"/>
    </row>
    <row r="388">
      <c r="A388" s="9"/>
      <c r="D388" s="9"/>
      <c r="E388" s="13"/>
      <c r="F388" s="13"/>
      <c r="M388" s="9"/>
      <c r="N388" s="9"/>
      <c r="O388" s="9"/>
    </row>
    <row r="389">
      <c r="A389" s="9"/>
      <c r="D389" s="9"/>
      <c r="E389" s="13"/>
      <c r="F389" s="13"/>
      <c r="M389" s="9"/>
      <c r="N389" s="9"/>
      <c r="O389" s="9"/>
    </row>
    <row r="390">
      <c r="A390" s="9"/>
      <c r="D390" s="9"/>
      <c r="E390" s="13"/>
      <c r="F390" s="13"/>
      <c r="M390" s="9"/>
      <c r="N390" s="9"/>
      <c r="O390" s="9"/>
    </row>
    <row r="391">
      <c r="A391" s="9"/>
      <c r="D391" s="9"/>
      <c r="E391" s="13"/>
      <c r="F391" s="13"/>
      <c r="M391" s="9"/>
      <c r="N391" s="9"/>
      <c r="O391" s="9"/>
    </row>
    <row r="392">
      <c r="A392" s="9"/>
      <c r="D392" s="9"/>
      <c r="E392" s="13"/>
      <c r="F392" s="13"/>
      <c r="M392" s="9"/>
      <c r="N392" s="9"/>
      <c r="O392" s="9"/>
    </row>
    <row r="393">
      <c r="A393" s="9"/>
      <c r="D393" s="9"/>
      <c r="E393" s="13"/>
      <c r="F393" s="13"/>
      <c r="M393" s="9"/>
      <c r="N393" s="9"/>
      <c r="O393" s="9"/>
    </row>
    <row r="394">
      <c r="A394" s="9"/>
      <c r="D394" s="9"/>
      <c r="E394" s="13"/>
      <c r="F394" s="13"/>
      <c r="M394" s="9"/>
      <c r="N394" s="9"/>
      <c r="O394" s="9"/>
    </row>
    <row r="395">
      <c r="A395" s="9"/>
      <c r="D395" s="9"/>
      <c r="E395" s="13"/>
      <c r="F395" s="13"/>
      <c r="M395" s="9"/>
      <c r="N395" s="9"/>
      <c r="O395" s="9"/>
    </row>
    <row r="396">
      <c r="A396" s="9"/>
      <c r="D396" s="9"/>
      <c r="E396" s="13"/>
      <c r="F396" s="13"/>
      <c r="M396" s="9"/>
      <c r="N396" s="9"/>
      <c r="O396" s="9"/>
    </row>
    <row r="397">
      <c r="A397" s="9"/>
      <c r="D397" s="9"/>
      <c r="E397" s="13"/>
      <c r="F397" s="13"/>
      <c r="M397" s="9"/>
      <c r="N397" s="9"/>
      <c r="O397" s="9"/>
    </row>
    <row r="398">
      <c r="A398" s="9"/>
      <c r="D398" s="9"/>
      <c r="E398" s="13"/>
      <c r="F398" s="13"/>
      <c r="M398" s="9"/>
      <c r="N398" s="9"/>
      <c r="O398" s="9"/>
    </row>
    <row r="399">
      <c r="A399" s="9"/>
      <c r="D399" s="9"/>
      <c r="E399" s="13"/>
      <c r="F399" s="13"/>
      <c r="M399" s="9"/>
      <c r="N399" s="9"/>
      <c r="O399" s="9"/>
    </row>
    <row r="400">
      <c r="A400" s="9"/>
      <c r="D400" s="9"/>
      <c r="E400" s="13"/>
      <c r="F400" s="13"/>
      <c r="M400" s="9"/>
      <c r="N400" s="9"/>
      <c r="O400" s="9"/>
    </row>
    <row r="401">
      <c r="A401" s="9"/>
      <c r="D401" s="9"/>
      <c r="E401" s="13"/>
      <c r="F401" s="13"/>
      <c r="M401" s="9"/>
      <c r="N401" s="9"/>
      <c r="O401" s="9"/>
    </row>
    <row r="402">
      <c r="A402" s="9"/>
      <c r="D402" s="9"/>
      <c r="E402" s="13"/>
      <c r="F402" s="13"/>
      <c r="M402" s="9"/>
      <c r="N402" s="9"/>
      <c r="O402" s="9"/>
    </row>
    <row r="403">
      <c r="A403" s="9"/>
      <c r="D403" s="9"/>
      <c r="E403" s="13"/>
      <c r="F403" s="13"/>
      <c r="M403" s="9"/>
      <c r="N403" s="9"/>
      <c r="O403" s="9"/>
    </row>
    <row r="404">
      <c r="A404" s="9"/>
      <c r="D404" s="9"/>
      <c r="E404" s="13"/>
      <c r="F404" s="13"/>
      <c r="M404" s="9"/>
      <c r="N404" s="9"/>
      <c r="O404" s="9"/>
    </row>
    <row r="405">
      <c r="A405" s="9"/>
      <c r="D405" s="9"/>
      <c r="E405" s="13"/>
      <c r="F405" s="13"/>
      <c r="M405" s="9"/>
      <c r="N405" s="9"/>
      <c r="O405" s="9"/>
    </row>
    <row r="406">
      <c r="A406" s="9"/>
      <c r="D406" s="9"/>
      <c r="E406" s="13"/>
      <c r="F406" s="13"/>
      <c r="M406" s="9"/>
      <c r="N406" s="9"/>
      <c r="O406" s="9"/>
    </row>
    <row r="407">
      <c r="A407" s="9"/>
      <c r="D407" s="9"/>
      <c r="E407" s="13"/>
      <c r="F407" s="13"/>
      <c r="M407" s="9"/>
      <c r="N407" s="9"/>
      <c r="O407" s="9"/>
    </row>
    <row r="408">
      <c r="A408" s="9"/>
      <c r="D408" s="9"/>
      <c r="E408" s="13"/>
      <c r="F408" s="13"/>
      <c r="M408" s="9"/>
      <c r="N408" s="9"/>
      <c r="O408" s="9"/>
    </row>
    <row r="409">
      <c r="A409" s="9"/>
      <c r="D409" s="9"/>
      <c r="E409" s="13"/>
      <c r="F409" s="13"/>
      <c r="M409" s="9"/>
      <c r="N409" s="9"/>
      <c r="O409" s="9"/>
    </row>
    <row r="410">
      <c r="A410" s="9"/>
      <c r="D410" s="9"/>
      <c r="E410" s="13"/>
      <c r="F410" s="13"/>
      <c r="M410" s="9"/>
      <c r="N410" s="9"/>
      <c r="O410" s="9"/>
    </row>
    <row r="411">
      <c r="A411" s="9"/>
      <c r="D411" s="9"/>
      <c r="E411" s="13"/>
      <c r="F411" s="13"/>
      <c r="M411" s="9"/>
      <c r="N411" s="9"/>
      <c r="O411" s="9"/>
    </row>
    <row r="412">
      <c r="A412" s="9"/>
      <c r="D412" s="9"/>
      <c r="E412" s="13"/>
      <c r="F412" s="13"/>
      <c r="M412" s="9"/>
      <c r="N412" s="9"/>
      <c r="O412" s="9"/>
    </row>
    <row r="413">
      <c r="A413" s="9"/>
      <c r="D413" s="9"/>
      <c r="E413" s="13"/>
      <c r="F413" s="13"/>
      <c r="M413" s="9"/>
      <c r="N413" s="9"/>
      <c r="O413" s="9"/>
    </row>
    <row r="414">
      <c r="A414" s="9"/>
      <c r="D414" s="9"/>
      <c r="E414" s="13"/>
      <c r="F414" s="13"/>
      <c r="M414" s="9"/>
      <c r="N414" s="9"/>
      <c r="O414" s="9"/>
    </row>
    <row r="415">
      <c r="A415" s="9"/>
      <c r="D415" s="9"/>
      <c r="E415" s="13"/>
      <c r="F415" s="13"/>
      <c r="M415" s="9"/>
      <c r="N415" s="9"/>
      <c r="O415" s="9"/>
    </row>
    <row r="416">
      <c r="A416" s="9"/>
      <c r="D416" s="9"/>
      <c r="E416" s="13"/>
      <c r="F416" s="13"/>
      <c r="M416" s="9"/>
      <c r="N416" s="9"/>
      <c r="O416" s="9"/>
    </row>
    <row r="417">
      <c r="A417" s="9"/>
      <c r="D417" s="9"/>
      <c r="E417" s="13"/>
      <c r="F417" s="13"/>
      <c r="M417" s="9"/>
      <c r="N417" s="9"/>
      <c r="O417" s="9"/>
    </row>
    <row r="418">
      <c r="A418" s="9"/>
      <c r="D418" s="9"/>
      <c r="E418" s="13"/>
      <c r="F418" s="13"/>
      <c r="M418" s="9"/>
      <c r="N418" s="9"/>
      <c r="O418" s="9"/>
    </row>
    <row r="419">
      <c r="A419" s="9"/>
      <c r="D419" s="9"/>
      <c r="E419" s="13"/>
      <c r="F419" s="13"/>
      <c r="M419" s="9"/>
      <c r="N419" s="9"/>
      <c r="O419" s="9"/>
    </row>
    <row r="420">
      <c r="A420" s="9"/>
      <c r="D420" s="9"/>
      <c r="E420" s="13"/>
      <c r="F420" s="13"/>
      <c r="M420" s="9"/>
      <c r="N420" s="9"/>
      <c r="O420" s="9"/>
    </row>
    <row r="421">
      <c r="A421" s="9"/>
      <c r="D421" s="9"/>
      <c r="E421" s="13"/>
      <c r="F421" s="13"/>
      <c r="M421" s="9"/>
      <c r="N421" s="9"/>
      <c r="O421" s="9"/>
    </row>
    <row r="422">
      <c r="A422" s="9"/>
      <c r="D422" s="9"/>
      <c r="E422" s="13"/>
      <c r="F422" s="13"/>
      <c r="M422" s="9"/>
      <c r="N422" s="9"/>
      <c r="O422" s="9"/>
    </row>
    <row r="423">
      <c r="A423" s="9"/>
      <c r="D423" s="9"/>
      <c r="E423" s="13"/>
      <c r="F423" s="13"/>
      <c r="M423" s="9"/>
      <c r="N423" s="9"/>
      <c r="O423" s="9"/>
    </row>
    <row r="424">
      <c r="A424" s="9"/>
      <c r="D424" s="9"/>
      <c r="E424" s="13"/>
      <c r="F424" s="13"/>
      <c r="M424" s="9"/>
      <c r="N424" s="9"/>
      <c r="O424" s="9"/>
    </row>
    <row r="425">
      <c r="A425" s="9"/>
      <c r="D425" s="9"/>
      <c r="E425" s="13"/>
      <c r="F425" s="13"/>
      <c r="M425" s="9"/>
      <c r="N425" s="9"/>
      <c r="O425" s="9"/>
    </row>
    <row r="426">
      <c r="A426" s="9"/>
      <c r="D426" s="9"/>
      <c r="E426" s="13"/>
      <c r="F426" s="13"/>
      <c r="M426" s="9"/>
      <c r="N426" s="9"/>
      <c r="O426" s="9"/>
    </row>
    <row r="427">
      <c r="A427" s="9"/>
      <c r="D427" s="9"/>
      <c r="E427" s="13"/>
      <c r="F427" s="13"/>
      <c r="M427" s="9"/>
      <c r="N427" s="9"/>
      <c r="O427" s="9"/>
    </row>
    <row r="428">
      <c r="A428" s="9"/>
      <c r="D428" s="9"/>
      <c r="E428" s="13"/>
      <c r="F428" s="13"/>
      <c r="M428" s="9"/>
      <c r="N428" s="9"/>
      <c r="O428" s="9"/>
    </row>
    <row r="429">
      <c r="A429" s="9"/>
      <c r="D429" s="9"/>
      <c r="E429" s="13"/>
      <c r="F429" s="13"/>
      <c r="M429" s="9"/>
      <c r="N429" s="9"/>
      <c r="O429" s="9"/>
    </row>
    <row r="430">
      <c r="A430" s="9"/>
      <c r="D430" s="9"/>
      <c r="E430" s="13"/>
      <c r="F430" s="13"/>
      <c r="M430" s="9"/>
      <c r="N430" s="9"/>
      <c r="O430" s="9"/>
    </row>
    <row r="431">
      <c r="A431" s="9"/>
      <c r="D431" s="9"/>
      <c r="E431" s="13"/>
      <c r="F431" s="13"/>
      <c r="M431" s="9"/>
      <c r="N431" s="9"/>
      <c r="O431" s="9"/>
    </row>
    <row r="432">
      <c r="A432" s="9"/>
      <c r="D432" s="9"/>
      <c r="E432" s="13"/>
      <c r="F432" s="13"/>
      <c r="M432" s="9"/>
      <c r="N432" s="9"/>
      <c r="O432" s="9"/>
    </row>
    <row r="433">
      <c r="A433" s="9"/>
      <c r="D433" s="9"/>
      <c r="E433" s="13"/>
      <c r="F433" s="13"/>
      <c r="M433" s="9"/>
      <c r="N433" s="9"/>
      <c r="O433" s="9"/>
    </row>
    <row r="434">
      <c r="A434" s="9"/>
      <c r="D434" s="9"/>
      <c r="E434" s="13"/>
      <c r="F434" s="13"/>
      <c r="M434" s="9"/>
      <c r="N434" s="9"/>
      <c r="O434" s="9"/>
    </row>
    <row r="435">
      <c r="A435" s="9"/>
      <c r="D435" s="9"/>
      <c r="E435" s="13"/>
      <c r="F435" s="13"/>
      <c r="M435" s="9"/>
      <c r="N435" s="9"/>
      <c r="O435" s="9"/>
    </row>
    <row r="436">
      <c r="A436" s="9"/>
      <c r="D436" s="9"/>
      <c r="E436" s="13"/>
      <c r="F436" s="13"/>
      <c r="M436" s="9"/>
      <c r="N436" s="9"/>
      <c r="O436" s="9"/>
    </row>
    <row r="437">
      <c r="A437" s="9"/>
      <c r="D437" s="9"/>
      <c r="E437" s="13"/>
      <c r="F437" s="13"/>
      <c r="M437" s="9"/>
      <c r="N437" s="9"/>
      <c r="O437" s="9"/>
    </row>
    <row r="438">
      <c r="A438" s="9"/>
      <c r="D438" s="9"/>
      <c r="E438" s="13"/>
      <c r="F438" s="13"/>
      <c r="M438" s="9"/>
      <c r="N438" s="9"/>
      <c r="O438" s="9"/>
    </row>
    <row r="439">
      <c r="A439" s="9"/>
      <c r="D439" s="9"/>
      <c r="E439" s="13"/>
      <c r="F439" s="13"/>
      <c r="M439" s="9"/>
      <c r="N439" s="9"/>
      <c r="O439" s="9"/>
    </row>
    <row r="440">
      <c r="A440" s="9"/>
      <c r="D440" s="9"/>
      <c r="E440" s="13"/>
      <c r="F440" s="13"/>
      <c r="M440" s="9"/>
      <c r="N440" s="9"/>
      <c r="O440" s="9"/>
    </row>
    <row r="441">
      <c r="A441" s="9"/>
      <c r="D441" s="9"/>
      <c r="E441" s="13"/>
      <c r="F441" s="13"/>
      <c r="M441" s="9"/>
      <c r="N441" s="9"/>
      <c r="O441" s="9"/>
    </row>
    <row r="442">
      <c r="A442" s="9"/>
      <c r="D442" s="9"/>
      <c r="E442" s="13"/>
      <c r="F442" s="13"/>
      <c r="M442" s="9"/>
      <c r="N442" s="9"/>
      <c r="O442" s="9"/>
    </row>
    <row r="443">
      <c r="A443" s="9"/>
      <c r="D443" s="9"/>
      <c r="E443" s="13"/>
      <c r="F443" s="13"/>
      <c r="M443" s="9"/>
      <c r="N443" s="9"/>
      <c r="O443" s="9"/>
    </row>
    <row r="444">
      <c r="A444" s="9"/>
      <c r="D444" s="9"/>
      <c r="E444" s="13"/>
      <c r="F444" s="13"/>
      <c r="M444" s="9"/>
      <c r="N444" s="9"/>
      <c r="O444" s="9"/>
    </row>
    <row r="445">
      <c r="A445" s="9"/>
      <c r="D445" s="9"/>
      <c r="E445" s="13"/>
      <c r="F445" s="13"/>
      <c r="M445" s="9"/>
      <c r="N445" s="9"/>
      <c r="O445" s="9"/>
    </row>
    <row r="446">
      <c r="A446" s="9"/>
      <c r="D446" s="9"/>
      <c r="E446" s="13"/>
      <c r="F446" s="13"/>
      <c r="M446" s="9"/>
      <c r="N446" s="9"/>
      <c r="O446" s="9"/>
    </row>
    <row r="447">
      <c r="A447" s="9"/>
      <c r="D447" s="9"/>
      <c r="E447" s="13"/>
      <c r="F447" s="13"/>
      <c r="M447" s="9"/>
      <c r="N447" s="9"/>
      <c r="O447" s="9"/>
    </row>
    <row r="448">
      <c r="A448" s="9"/>
      <c r="D448" s="9"/>
      <c r="E448" s="13"/>
      <c r="F448" s="13"/>
      <c r="M448" s="9"/>
      <c r="N448" s="9"/>
      <c r="O448" s="9"/>
    </row>
    <row r="449">
      <c r="A449" s="9"/>
      <c r="D449" s="9"/>
      <c r="E449" s="13"/>
      <c r="F449" s="13"/>
      <c r="M449" s="9"/>
      <c r="N449" s="9"/>
      <c r="O449" s="9"/>
    </row>
    <row r="450">
      <c r="A450" s="9"/>
      <c r="D450" s="9"/>
      <c r="E450" s="13"/>
      <c r="F450" s="13"/>
      <c r="M450" s="9"/>
      <c r="N450" s="9"/>
      <c r="O450" s="9"/>
    </row>
    <row r="451">
      <c r="A451" s="9"/>
      <c r="D451" s="9"/>
      <c r="E451" s="13"/>
      <c r="F451" s="13"/>
      <c r="M451" s="9"/>
      <c r="N451" s="9"/>
      <c r="O451" s="9"/>
    </row>
    <row r="452">
      <c r="A452" s="9"/>
      <c r="D452" s="9"/>
      <c r="E452" s="13"/>
      <c r="F452" s="13"/>
      <c r="M452" s="9"/>
      <c r="N452" s="9"/>
      <c r="O452" s="9"/>
    </row>
    <row r="453">
      <c r="A453" s="9"/>
      <c r="D453" s="9"/>
      <c r="E453" s="13"/>
      <c r="F453" s="13"/>
      <c r="M453" s="9"/>
      <c r="N453" s="9"/>
      <c r="O453" s="9"/>
    </row>
    <row r="454">
      <c r="A454" s="9"/>
      <c r="D454" s="9"/>
      <c r="E454" s="13"/>
      <c r="F454" s="13"/>
      <c r="M454" s="9"/>
      <c r="N454" s="9"/>
      <c r="O454" s="9"/>
    </row>
    <row r="455">
      <c r="A455" s="9"/>
      <c r="D455" s="9"/>
      <c r="E455" s="13"/>
      <c r="F455" s="13"/>
      <c r="M455" s="9"/>
      <c r="N455" s="9"/>
      <c r="O455" s="9"/>
    </row>
    <row r="456">
      <c r="A456" s="9"/>
      <c r="D456" s="9"/>
      <c r="E456" s="13"/>
      <c r="F456" s="13"/>
      <c r="M456" s="9"/>
      <c r="N456" s="9"/>
      <c r="O456" s="9"/>
    </row>
    <row r="457">
      <c r="A457" s="9"/>
      <c r="D457" s="9"/>
      <c r="E457" s="13"/>
      <c r="F457" s="13"/>
      <c r="M457" s="9"/>
      <c r="N457" s="9"/>
      <c r="O457" s="9"/>
    </row>
    <row r="458">
      <c r="A458" s="9"/>
      <c r="D458" s="9"/>
      <c r="E458" s="13"/>
      <c r="F458" s="13"/>
      <c r="M458" s="9"/>
      <c r="N458" s="9"/>
      <c r="O458" s="9"/>
    </row>
    <row r="459">
      <c r="A459" s="9"/>
      <c r="D459" s="9"/>
      <c r="E459" s="13"/>
      <c r="F459" s="13"/>
      <c r="M459" s="9"/>
      <c r="N459" s="9"/>
      <c r="O459" s="9"/>
    </row>
    <row r="460">
      <c r="A460" s="9"/>
      <c r="D460" s="9"/>
      <c r="E460" s="13"/>
      <c r="F460" s="13"/>
      <c r="M460" s="9"/>
      <c r="N460" s="9"/>
      <c r="O460" s="9"/>
    </row>
    <row r="461">
      <c r="A461" s="9"/>
      <c r="D461" s="9"/>
      <c r="E461" s="13"/>
      <c r="F461" s="13"/>
      <c r="M461" s="9"/>
      <c r="N461" s="9"/>
      <c r="O461" s="9"/>
    </row>
    <row r="462">
      <c r="A462" s="9"/>
      <c r="D462" s="9"/>
      <c r="E462" s="13"/>
      <c r="F462" s="13"/>
      <c r="M462" s="9"/>
      <c r="N462" s="9"/>
      <c r="O462" s="9"/>
    </row>
    <row r="463">
      <c r="A463" s="9"/>
      <c r="D463" s="9"/>
      <c r="E463" s="13"/>
      <c r="F463" s="13"/>
      <c r="M463" s="9"/>
      <c r="N463" s="9"/>
      <c r="O463" s="9"/>
    </row>
    <row r="464">
      <c r="A464" s="9"/>
      <c r="D464" s="9"/>
      <c r="E464" s="13"/>
      <c r="F464" s="13"/>
      <c r="M464" s="9"/>
      <c r="N464" s="9"/>
      <c r="O464" s="9"/>
    </row>
    <row r="465">
      <c r="A465" s="9"/>
      <c r="D465" s="9"/>
      <c r="E465" s="13"/>
      <c r="F465" s="13"/>
      <c r="M465" s="9"/>
      <c r="N465" s="9"/>
      <c r="O465" s="9"/>
    </row>
    <row r="466">
      <c r="A466" s="9"/>
      <c r="D466" s="9"/>
      <c r="E466" s="13"/>
      <c r="F466" s="13"/>
      <c r="M466" s="9"/>
      <c r="N466" s="9"/>
      <c r="O466" s="9"/>
    </row>
    <row r="467">
      <c r="A467" s="9"/>
      <c r="D467" s="9"/>
      <c r="E467" s="13"/>
      <c r="F467" s="13"/>
      <c r="M467" s="9"/>
      <c r="N467" s="9"/>
      <c r="O467" s="9"/>
    </row>
    <row r="468">
      <c r="A468" s="9"/>
      <c r="D468" s="9"/>
      <c r="E468" s="13"/>
      <c r="F468" s="13"/>
      <c r="M468" s="9"/>
      <c r="N468" s="9"/>
      <c r="O468" s="9"/>
    </row>
    <row r="469">
      <c r="A469" s="9"/>
      <c r="D469" s="9"/>
      <c r="E469" s="13"/>
      <c r="F469" s="13"/>
      <c r="M469" s="9"/>
      <c r="N469" s="9"/>
      <c r="O469" s="9"/>
    </row>
    <row r="470">
      <c r="A470" s="9"/>
      <c r="D470" s="9"/>
      <c r="E470" s="13"/>
      <c r="F470" s="13"/>
      <c r="M470" s="9"/>
      <c r="N470" s="9"/>
      <c r="O470" s="9"/>
    </row>
    <row r="471">
      <c r="A471" s="9"/>
      <c r="D471" s="9"/>
      <c r="E471" s="13"/>
      <c r="F471" s="13"/>
      <c r="M471" s="9"/>
      <c r="N471" s="9"/>
      <c r="O471" s="9"/>
    </row>
    <row r="472">
      <c r="A472" s="9"/>
      <c r="D472" s="9"/>
      <c r="E472" s="13"/>
      <c r="F472" s="13"/>
      <c r="M472" s="9"/>
      <c r="N472" s="9"/>
      <c r="O472" s="9"/>
    </row>
    <row r="473">
      <c r="A473" s="9"/>
      <c r="D473" s="9"/>
      <c r="E473" s="13"/>
      <c r="F473" s="13"/>
      <c r="M473" s="9"/>
      <c r="N473" s="9"/>
      <c r="O473" s="9"/>
    </row>
    <row r="474">
      <c r="A474" s="9"/>
      <c r="D474" s="9"/>
      <c r="E474" s="13"/>
      <c r="F474" s="13"/>
      <c r="M474" s="9"/>
      <c r="N474" s="9"/>
      <c r="O474" s="9"/>
    </row>
    <row r="475">
      <c r="A475" s="9"/>
      <c r="D475" s="9"/>
      <c r="E475" s="13"/>
      <c r="F475" s="13"/>
      <c r="M475" s="9"/>
      <c r="N475" s="9"/>
      <c r="O475" s="9"/>
    </row>
    <row r="476">
      <c r="A476" s="9"/>
      <c r="D476" s="9"/>
      <c r="E476" s="13"/>
      <c r="F476" s="13"/>
      <c r="M476" s="9"/>
      <c r="N476" s="9"/>
      <c r="O476" s="9"/>
    </row>
    <row r="477">
      <c r="A477" s="9"/>
      <c r="D477" s="9"/>
      <c r="E477" s="13"/>
      <c r="F477" s="13"/>
      <c r="M477" s="9"/>
      <c r="N477" s="9"/>
      <c r="O477" s="9"/>
    </row>
    <row r="478">
      <c r="A478" s="9"/>
      <c r="D478" s="9"/>
      <c r="E478" s="13"/>
      <c r="F478" s="13"/>
      <c r="M478" s="9"/>
      <c r="N478" s="9"/>
      <c r="O478" s="9"/>
    </row>
    <row r="479">
      <c r="A479" s="9"/>
      <c r="D479" s="9"/>
      <c r="E479" s="13"/>
      <c r="F479" s="13"/>
      <c r="M479" s="9"/>
      <c r="N479" s="9"/>
      <c r="O479" s="9"/>
    </row>
    <row r="480">
      <c r="A480" s="9"/>
      <c r="D480" s="9"/>
      <c r="E480" s="13"/>
      <c r="F480" s="13"/>
      <c r="M480" s="9"/>
      <c r="N480" s="9"/>
      <c r="O480" s="9"/>
    </row>
    <row r="481">
      <c r="A481" s="9"/>
      <c r="D481" s="9"/>
      <c r="E481" s="13"/>
      <c r="F481" s="13"/>
      <c r="M481" s="9"/>
      <c r="N481" s="9"/>
      <c r="O481" s="9"/>
    </row>
    <row r="482">
      <c r="A482" s="9"/>
      <c r="D482" s="9"/>
      <c r="E482" s="13"/>
      <c r="F482" s="13"/>
      <c r="M482" s="9"/>
      <c r="N482" s="9"/>
      <c r="O482" s="9"/>
    </row>
    <row r="483">
      <c r="A483" s="9"/>
      <c r="D483" s="9"/>
      <c r="E483" s="13"/>
      <c r="F483" s="13"/>
      <c r="M483" s="9"/>
      <c r="N483" s="9"/>
      <c r="O483" s="9"/>
    </row>
    <row r="484">
      <c r="A484" s="9"/>
      <c r="D484" s="9"/>
      <c r="E484" s="13"/>
      <c r="F484" s="13"/>
      <c r="M484" s="9"/>
      <c r="N484" s="9"/>
      <c r="O484" s="9"/>
    </row>
    <row r="485">
      <c r="A485" s="9"/>
      <c r="D485" s="9"/>
      <c r="E485" s="13"/>
      <c r="F485" s="13"/>
      <c r="M485" s="9"/>
      <c r="N485" s="9"/>
      <c r="O485" s="9"/>
    </row>
    <row r="486">
      <c r="A486" s="9"/>
      <c r="D486" s="9"/>
      <c r="E486" s="13"/>
      <c r="F486" s="13"/>
      <c r="M486" s="9"/>
      <c r="N486" s="9"/>
      <c r="O486" s="9"/>
    </row>
    <row r="487">
      <c r="A487" s="9"/>
      <c r="D487" s="9"/>
      <c r="E487" s="13"/>
      <c r="F487" s="13"/>
      <c r="M487" s="9"/>
      <c r="N487" s="9"/>
      <c r="O487" s="9"/>
    </row>
    <row r="488">
      <c r="A488" s="9"/>
      <c r="D488" s="9"/>
      <c r="E488" s="13"/>
      <c r="F488" s="13"/>
      <c r="M488" s="9"/>
      <c r="N488" s="9"/>
      <c r="O488" s="9"/>
    </row>
    <row r="489">
      <c r="A489" s="9"/>
      <c r="D489" s="9"/>
      <c r="E489" s="13"/>
      <c r="F489" s="13"/>
      <c r="M489" s="9"/>
      <c r="N489" s="9"/>
      <c r="O489" s="9"/>
    </row>
    <row r="490">
      <c r="A490" s="9"/>
      <c r="D490" s="9"/>
      <c r="E490" s="13"/>
      <c r="F490" s="13"/>
      <c r="M490" s="9"/>
      <c r="N490" s="9"/>
      <c r="O490" s="9"/>
    </row>
    <row r="491">
      <c r="A491" s="9"/>
      <c r="D491" s="9"/>
      <c r="E491" s="13"/>
      <c r="F491" s="13"/>
      <c r="M491" s="9"/>
      <c r="N491" s="9"/>
      <c r="O491" s="9"/>
    </row>
    <row r="492">
      <c r="A492" s="9"/>
      <c r="D492" s="9"/>
      <c r="E492" s="13"/>
      <c r="F492" s="13"/>
      <c r="M492" s="9"/>
      <c r="N492" s="9"/>
      <c r="O492" s="9"/>
    </row>
    <row r="493">
      <c r="A493" s="9"/>
      <c r="D493" s="9"/>
      <c r="E493" s="13"/>
      <c r="F493" s="13"/>
      <c r="M493" s="9"/>
      <c r="N493" s="9"/>
      <c r="O493" s="9"/>
    </row>
    <row r="494">
      <c r="A494" s="9"/>
      <c r="D494" s="9"/>
      <c r="E494" s="13"/>
      <c r="F494" s="13"/>
      <c r="M494" s="9"/>
      <c r="N494" s="9"/>
      <c r="O494" s="9"/>
    </row>
    <row r="495">
      <c r="A495" s="9"/>
      <c r="D495" s="9"/>
      <c r="E495" s="13"/>
      <c r="F495" s="13"/>
      <c r="M495" s="9"/>
      <c r="N495" s="9"/>
      <c r="O495" s="9"/>
    </row>
    <row r="496">
      <c r="A496" s="9"/>
      <c r="D496" s="9"/>
      <c r="E496" s="13"/>
      <c r="F496" s="13"/>
      <c r="M496" s="9"/>
      <c r="N496" s="9"/>
      <c r="O496" s="9"/>
    </row>
    <row r="497">
      <c r="A497" s="9"/>
      <c r="D497" s="9"/>
      <c r="E497" s="13"/>
      <c r="F497" s="13"/>
      <c r="M497" s="9"/>
      <c r="N497" s="9"/>
      <c r="O497" s="9"/>
    </row>
    <row r="498">
      <c r="A498" s="9"/>
      <c r="D498" s="9"/>
      <c r="E498" s="13"/>
      <c r="F498" s="13"/>
      <c r="M498" s="9"/>
      <c r="N498" s="9"/>
      <c r="O498" s="9"/>
    </row>
    <row r="499">
      <c r="A499" s="9"/>
      <c r="D499" s="9"/>
      <c r="E499" s="13"/>
      <c r="F499" s="13"/>
      <c r="M499" s="9"/>
      <c r="N499" s="9"/>
      <c r="O499" s="9"/>
    </row>
    <row r="500">
      <c r="A500" s="9"/>
      <c r="D500" s="9"/>
      <c r="E500" s="13"/>
      <c r="F500" s="13"/>
      <c r="M500" s="9"/>
      <c r="N500" s="9"/>
      <c r="O500" s="9"/>
    </row>
    <row r="501">
      <c r="A501" s="9"/>
      <c r="D501" s="9"/>
      <c r="E501" s="13"/>
      <c r="F501" s="13"/>
      <c r="M501" s="9"/>
      <c r="N501" s="9"/>
      <c r="O501" s="9"/>
    </row>
    <row r="502">
      <c r="A502" s="9"/>
      <c r="D502" s="9"/>
      <c r="E502" s="13"/>
      <c r="F502" s="13"/>
      <c r="M502" s="9"/>
      <c r="N502" s="9"/>
      <c r="O502" s="9"/>
    </row>
    <row r="503">
      <c r="A503" s="9"/>
      <c r="D503" s="9"/>
      <c r="E503" s="13"/>
      <c r="F503" s="13"/>
      <c r="M503" s="9"/>
      <c r="N503" s="9"/>
      <c r="O503" s="9"/>
    </row>
    <row r="504">
      <c r="A504" s="9"/>
      <c r="D504" s="9"/>
      <c r="E504" s="13"/>
      <c r="F504" s="13"/>
      <c r="M504" s="9"/>
      <c r="N504" s="9"/>
      <c r="O504" s="9"/>
    </row>
    <row r="505">
      <c r="A505" s="9"/>
      <c r="D505" s="9"/>
      <c r="E505" s="13"/>
      <c r="F505" s="13"/>
      <c r="M505" s="9"/>
      <c r="N505" s="9"/>
      <c r="O505" s="9"/>
    </row>
    <row r="506">
      <c r="A506" s="9"/>
      <c r="D506" s="9"/>
      <c r="E506" s="13"/>
      <c r="F506" s="13"/>
      <c r="M506" s="9"/>
      <c r="N506" s="9"/>
      <c r="O506" s="9"/>
    </row>
    <row r="507">
      <c r="A507" s="9"/>
      <c r="D507" s="9"/>
      <c r="E507" s="13"/>
      <c r="F507" s="13"/>
      <c r="M507" s="9"/>
      <c r="N507" s="9"/>
      <c r="O507" s="9"/>
    </row>
    <row r="508">
      <c r="A508" s="9"/>
      <c r="D508" s="9"/>
      <c r="E508" s="13"/>
      <c r="F508" s="13"/>
      <c r="M508" s="9"/>
      <c r="N508" s="9"/>
      <c r="O508" s="9"/>
    </row>
    <row r="509">
      <c r="A509" s="9"/>
      <c r="D509" s="9"/>
      <c r="E509" s="13"/>
      <c r="F509" s="13"/>
      <c r="M509" s="9"/>
      <c r="N509" s="9"/>
      <c r="O509" s="9"/>
    </row>
    <row r="510">
      <c r="A510" s="9"/>
      <c r="D510" s="9"/>
      <c r="E510" s="13"/>
      <c r="F510" s="13"/>
      <c r="M510" s="9"/>
      <c r="N510" s="9"/>
      <c r="O510" s="9"/>
    </row>
    <row r="511">
      <c r="A511" s="9"/>
      <c r="D511" s="9"/>
      <c r="E511" s="13"/>
      <c r="F511" s="13"/>
      <c r="M511" s="9"/>
      <c r="N511" s="9"/>
      <c r="O511" s="9"/>
    </row>
    <row r="512">
      <c r="A512" s="9"/>
      <c r="D512" s="9"/>
      <c r="E512" s="13"/>
      <c r="F512" s="13"/>
      <c r="M512" s="9"/>
      <c r="N512" s="9"/>
      <c r="O512" s="9"/>
    </row>
    <row r="513">
      <c r="A513" s="9"/>
      <c r="D513" s="9"/>
      <c r="E513" s="13"/>
      <c r="F513" s="13"/>
      <c r="M513" s="9"/>
      <c r="N513" s="9"/>
      <c r="O513" s="9"/>
    </row>
    <row r="514">
      <c r="A514" s="9"/>
      <c r="D514" s="9"/>
      <c r="E514" s="13"/>
      <c r="F514" s="13"/>
      <c r="M514" s="9"/>
      <c r="N514" s="9"/>
      <c r="O514" s="9"/>
    </row>
    <row r="515">
      <c r="A515" s="9"/>
      <c r="D515" s="9"/>
      <c r="E515" s="13"/>
      <c r="F515" s="13"/>
      <c r="M515" s="9"/>
      <c r="N515" s="9"/>
      <c r="O515" s="9"/>
    </row>
    <row r="516">
      <c r="A516" s="9"/>
      <c r="D516" s="9"/>
      <c r="E516" s="13"/>
      <c r="F516" s="13"/>
      <c r="M516" s="9"/>
      <c r="N516" s="9"/>
      <c r="O516" s="9"/>
    </row>
    <row r="517">
      <c r="A517" s="9"/>
      <c r="D517" s="9"/>
      <c r="E517" s="13"/>
      <c r="F517" s="13"/>
      <c r="M517" s="9"/>
      <c r="N517" s="9"/>
      <c r="O517" s="9"/>
    </row>
    <row r="518">
      <c r="A518" s="9"/>
      <c r="D518" s="9"/>
      <c r="E518" s="13"/>
      <c r="F518" s="13"/>
      <c r="M518" s="9"/>
      <c r="N518" s="9"/>
      <c r="O518" s="9"/>
    </row>
    <row r="519">
      <c r="A519" s="9"/>
      <c r="D519" s="9"/>
      <c r="E519" s="13"/>
      <c r="F519" s="13"/>
      <c r="M519" s="9"/>
      <c r="N519" s="9"/>
      <c r="O519" s="9"/>
    </row>
    <row r="520">
      <c r="A520" s="9"/>
      <c r="D520" s="9"/>
      <c r="E520" s="13"/>
      <c r="F520" s="13"/>
      <c r="M520" s="9"/>
      <c r="N520" s="9"/>
      <c r="O520" s="9"/>
    </row>
    <row r="521">
      <c r="A521" s="9"/>
      <c r="D521" s="9"/>
      <c r="E521" s="13"/>
      <c r="F521" s="13"/>
      <c r="M521" s="9"/>
      <c r="N521" s="9"/>
      <c r="O521" s="9"/>
    </row>
    <row r="522">
      <c r="A522" s="9"/>
      <c r="D522" s="9"/>
      <c r="E522" s="13"/>
      <c r="F522" s="13"/>
      <c r="M522" s="9"/>
      <c r="N522" s="9"/>
      <c r="O522" s="9"/>
    </row>
    <row r="523">
      <c r="A523" s="9"/>
      <c r="D523" s="9"/>
      <c r="E523" s="13"/>
      <c r="F523" s="13"/>
      <c r="M523" s="9"/>
      <c r="N523" s="9"/>
      <c r="O523" s="9"/>
    </row>
    <row r="524">
      <c r="A524" s="9"/>
      <c r="D524" s="9"/>
      <c r="E524" s="13"/>
      <c r="F524" s="13"/>
      <c r="M524" s="9"/>
      <c r="N524" s="9"/>
      <c r="O524" s="9"/>
    </row>
    <row r="525">
      <c r="A525" s="9"/>
      <c r="D525" s="9"/>
      <c r="E525" s="13"/>
      <c r="F525" s="13"/>
      <c r="M525" s="9"/>
      <c r="N525" s="9"/>
      <c r="O525" s="9"/>
    </row>
    <row r="526">
      <c r="A526" s="9"/>
      <c r="D526" s="9"/>
      <c r="E526" s="13"/>
      <c r="F526" s="13"/>
      <c r="M526" s="9"/>
      <c r="N526" s="9"/>
      <c r="O526" s="9"/>
    </row>
    <row r="527">
      <c r="A527" s="9"/>
      <c r="D527" s="9"/>
      <c r="E527" s="13"/>
      <c r="F527" s="13"/>
      <c r="M527" s="9"/>
      <c r="N527" s="9"/>
      <c r="O527" s="9"/>
    </row>
    <row r="528">
      <c r="A528" s="9"/>
      <c r="D528" s="9"/>
      <c r="E528" s="13"/>
      <c r="F528" s="13"/>
      <c r="M528" s="9"/>
      <c r="N528" s="9"/>
      <c r="O528" s="9"/>
    </row>
    <row r="529">
      <c r="A529" s="9"/>
      <c r="D529" s="9"/>
      <c r="E529" s="13"/>
      <c r="F529" s="13"/>
      <c r="M529" s="9"/>
      <c r="N529" s="9"/>
      <c r="O529" s="9"/>
    </row>
    <row r="530">
      <c r="A530" s="9"/>
      <c r="D530" s="9"/>
      <c r="E530" s="13"/>
      <c r="F530" s="13"/>
      <c r="M530" s="9"/>
      <c r="N530" s="9"/>
      <c r="O530" s="9"/>
    </row>
    <row r="531">
      <c r="A531" s="9"/>
      <c r="D531" s="9"/>
      <c r="E531" s="13"/>
      <c r="F531" s="13"/>
      <c r="M531" s="9"/>
      <c r="N531" s="9"/>
      <c r="O531" s="9"/>
    </row>
    <row r="532">
      <c r="A532" s="9"/>
      <c r="D532" s="9"/>
      <c r="E532" s="13"/>
      <c r="F532" s="13"/>
      <c r="M532" s="9"/>
      <c r="N532" s="9"/>
      <c r="O532" s="9"/>
    </row>
    <row r="533">
      <c r="A533" s="9"/>
      <c r="D533" s="9"/>
      <c r="E533" s="13"/>
      <c r="F533" s="13"/>
      <c r="M533" s="9"/>
      <c r="N533" s="9"/>
      <c r="O533" s="9"/>
    </row>
    <row r="534">
      <c r="A534" s="9"/>
      <c r="D534" s="9"/>
      <c r="E534" s="13"/>
      <c r="F534" s="13"/>
      <c r="M534" s="9"/>
      <c r="N534" s="9"/>
      <c r="O534" s="9"/>
    </row>
    <row r="535">
      <c r="A535" s="9"/>
      <c r="D535" s="9"/>
      <c r="E535" s="13"/>
      <c r="F535" s="13"/>
      <c r="M535" s="9"/>
      <c r="N535" s="9"/>
      <c r="O535" s="9"/>
    </row>
    <row r="536">
      <c r="A536" s="9"/>
      <c r="D536" s="9"/>
      <c r="E536" s="13"/>
      <c r="F536" s="13"/>
      <c r="M536" s="9"/>
      <c r="N536" s="9"/>
      <c r="O536" s="9"/>
    </row>
    <row r="537">
      <c r="A537" s="9"/>
      <c r="D537" s="9"/>
      <c r="E537" s="13"/>
      <c r="F537" s="13"/>
      <c r="M537" s="9"/>
      <c r="N537" s="9"/>
      <c r="O537" s="9"/>
    </row>
    <row r="538">
      <c r="A538" s="9"/>
      <c r="D538" s="9"/>
      <c r="E538" s="13"/>
      <c r="F538" s="13"/>
      <c r="M538" s="9"/>
      <c r="N538" s="9"/>
      <c r="O538" s="9"/>
    </row>
    <row r="539">
      <c r="A539" s="9"/>
      <c r="D539" s="9"/>
      <c r="E539" s="13"/>
      <c r="F539" s="13"/>
      <c r="M539" s="9"/>
      <c r="N539" s="9"/>
      <c r="O539" s="9"/>
    </row>
    <row r="540">
      <c r="A540" s="9"/>
      <c r="D540" s="9"/>
      <c r="E540" s="13"/>
      <c r="F540" s="13"/>
      <c r="M540" s="9"/>
      <c r="N540" s="9"/>
      <c r="O540" s="9"/>
    </row>
    <row r="541">
      <c r="A541" s="9"/>
      <c r="D541" s="9"/>
      <c r="E541" s="13"/>
      <c r="F541" s="13"/>
      <c r="M541" s="9"/>
      <c r="N541" s="9"/>
      <c r="O541" s="9"/>
    </row>
    <row r="542">
      <c r="A542" s="9"/>
      <c r="D542" s="9"/>
      <c r="E542" s="13"/>
      <c r="F542" s="13"/>
      <c r="M542" s="9"/>
      <c r="N542" s="9"/>
      <c r="O542" s="9"/>
    </row>
    <row r="543">
      <c r="A543" s="9"/>
      <c r="D543" s="9"/>
      <c r="E543" s="13"/>
      <c r="F543" s="13"/>
      <c r="M543" s="9"/>
      <c r="N543" s="9"/>
      <c r="O543" s="9"/>
    </row>
    <row r="544">
      <c r="A544" s="9"/>
      <c r="D544" s="9"/>
      <c r="E544" s="13"/>
      <c r="F544" s="13"/>
      <c r="M544" s="9"/>
      <c r="N544" s="9"/>
      <c r="O544" s="9"/>
    </row>
    <row r="545">
      <c r="A545" s="9"/>
      <c r="D545" s="9"/>
      <c r="E545" s="13"/>
      <c r="F545" s="13"/>
      <c r="M545" s="9"/>
      <c r="N545" s="9"/>
      <c r="O545" s="9"/>
    </row>
    <row r="546">
      <c r="A546" s="9"/>
      <c r="D546" s="9"/>
      <c r="E546" s="13"/>
      <c r="F546" s="13"/>
      <c r="M546" s="9"/>
      <c r="N546" s="9"/>
      <c r="O546" s="9"/>
    </row>
    <row r="547">
      <c r="A547" s="9"/>
      <c r="D547" s="9"/>
      <c r="E547" s="13"/>
      <c r="F547" s="13"/>
      <c r="M547" s="9"/>
      <c r="N547" s="9"/>
      <c r="O547" s="9"/>
    </row>
    <row r="548">
      <c r="A548" s="9"/>
      <c r="D548" s="9"/>
      <c r="E548" s="13"/>
      <c r="F548" s="13"/>
      <c r="M548" s="9"/>
      <c r="N548" s="9"/>
      <c r="O548" s="9"/>
    </row>
    <row r="549">
      <c r="A549" s="9"/>
      <c r="D549" s="9"/>
      <c r="E549" s="13"/>
      <c r="F549" s="13"/>
      <c r="M549" s="9"/>
      <c r="N549" s="9"/>
      <c r="O549" s="9"/>
    </row>
    <row r="550">
      <c r="A550" s="9"/>
      <c r="D550" s="9"/>
      <c r="E550" s="13"/>
      <c r="F550" s="13"/>
      <c r="M550" s="9"/>
      <c r="N550" s="9"/>
      <c r="O550" s="9"/>
    </row>
    <row r="551">
      <c r="A551" s="9"/>
      <c r="D551" s="9"/>
      <c r="E551" s="13"/>
      <c r="F551" s="13"/>
      <c r="M551" s="9"/>
      <c r="N551" s="9"/>
      <c r="O551" s="9"/>
    </row>
    <row r="552">
      <c r="A552" s="9"/>
      <c r="D552" s="9"/>
      <c r="E552" s="13"/>
      <c r="F552" s="13"/>
      <c r="M552" s="9"/>
      <c r="N552" s="9"/>
      <c r="O552" s="9"/>
    </row>
    <row r="553">
      <c r="A553" s="9"/>
      <c r="D553" s="9"/>
      <c r="E553" s="13"/>
      <c r="F553" s="13"/>
      <c r="M553" s="9"/>
      <c r="N553" s="9"/>
      <c r="O553" s="9"/>
    </row>
    <row r="554">
      <c r="A554" s="9"/>
      <c r="D554" s="9"/>
      <c r="E554" s="13"/>
      <c r="F554" s="13"/>
      <c r="M554" s="9"/>
      <c r="N554" s="9"/>
      <c r="O554" s="9"/>
    </row>
    <row r="555">
      <c r="A555" s="9"/>
      <c r="D555" s="9"/>
      <c r="E555" s="13"/>
      <c r="F555" s="13"/>
      <c r="M555" s="9"/>
      <c r="N555" s="9"/>
      <c r="O555" s="9"/>
    </row>
    <row r="556">
      <c r="A556" s="9"/>
      <c r="D556" s="9"/>
      <c r="E556" s="13"/>
      <c r="F556" s="13"/>
      <c r="M556" s="9"/>
      <c r="N556" s="9"/>
      <c r="O556" s="9"/>
    </row>
    <row r="557">
      <c r="A557" s="9"/>
      <c r="D557" s="9"/>
      <c r="E557" s="13"/>
      <c r="F557" s="13"/>
      <c r="M557" s="9"/>
      <c r="N557" s="9"/>
      <c r="O557" s="9"/>
    </row>
    <row r="558">
      <c r="A558" s="9"/>
      <c r="D558" s="9"/>
      <c r="E558" s="13"/>
      <c r="F558" s="13"/>
      <c r="M558" s="9"/>
      <c r="N558" s="9"/>
      <c r="O558" s="9"/>
    </row>
    <row r="559">
      <c r="A559" s="9"/>
      <c r="D559" s="9"/>
      <c r="E559" s="13"/>
      <c r="F559" s="13"/>
      <c r="M559" s="9"/>
      <c r="N559" s="9"/>
      <c r="O559" s="9"/>
    </row>
    <row r="560">
      <c r="A560" s="9"/>
      <c r="D560" s="9"/>
      <c r="E560" s="13"/>
      <c r="F560" s="13"/>
      <c r="M560" s="9"/>
      <c r="N560" s="9"/>
      <c r="O560" s="9"/>
    </row>
    <row r="561">
      <c r="A561" s="9"/>
      <c r="D561" s="9"/>
      <c r="E561" s="13"/>
      <c r="F561" s="13"/>
      <c r="M561" s="9"/>
      <c r="N561" s="9"/>
      <c r="O561" s="9"/>
    </row>
    <row r="562">
      <c r="A562" s="9"/>
      <c r="D562" s="9"/>
      <c r="E562" s="13"/>
      <c r="F562" s="13"/>
      <c r="M562" s="9"/>
      <c r="N562" s="9"/>
      <c r="O562" s="9"/>
    </row>
    <row r="563">
      <c r="A563" s="9"/>
      <c r="D563" s="9"/>
      <c r="E563" s="13"/>
      <c r="F563" s="13"/>
      <c r="M563" s="9"/>
      <c r="N563" s="9"/>
      <c r="O563" s="9"/>
    </row>
    <row r="564">
      <c r="A564" s="9"/>
      <c r="D564" s="9"/>
      <c r="E564" s="13"/>
      <c r="F564" s="13"/>
      <c r="M564" s="9"/>
      <c r="N564" s="9"/>
      <c r="O564" s="9"/>
    </row>
    <row r="565">
      <c r="A565" s="9"/>
      <c r="D565" s="9"/>
      <c r="E565" s="13"/>
      <c r="F565" s="13"/>
      <c r="M565" s="9"/>
      <c r="N565" s="9"/>
      <c r="O565" s="9"/>
    </row>
    <row r="566">
      <c r="A566" s="9"/>
      <c r="D566" s="9"/>
      <c r="E566" s="13"/>
      <c r="F566" s="13"/>
      <c r="M566" s="9"/>
      <c r="N566" s="9"/>
      <c r="O566" s="9"/>
    </row>
    <row r="567">
      <c r="A567" s="9"/>
      <c r="D567" s="9"/>
      <c r="E567" s="13"/>
      <c r="F567" s="13"/>
      <c r="M567" s="9"/>
      <c r="N567" s="9"/>
      <c r="O567" s="9"/>
    </row>
    <row r="568">
      <c r="A568" s="9"/>
      <c r="D568" s="9"/>
      <c r="E568" s="13"/>
      <c r="F568" s="13"/>
      <c r="M568" s="9"/>
      <c r="N568" s="9"/>
      <c r="O568" s="9"/>
    </row>
    <row r="569">
      <c r="A569" s="9"/>
      <c r="D569" s="9"/>
      <c r="E569" s="13"/>
      <c r="F569" s="13"/>
      <c r="M569" s="9"/>
      <c r="N569" s="9"/>
      <c r="O569" s="9"/>
    </row>
    <row r="570">
      <c r="A570" s="9"/>
      <c r="D570" s="9"/>
      <c r="E570" s="13"/>
      <c r="F570" s="13"/>
      <c r="M570" s="9"/>
      <c r="N570" s="9"/>
      <c r="O570" s="9"/>
    </row>
    <row r="571">
      <c r="A571" s="9"/>
      <c r="D571" s="9"/>
      <c r="E571" s="13"/>
      <c r="F571" s="13"/>
      <c r="M571" s="9"/>
      <c r="N571" s="9"/>
      <c r="O571" s="9"/>
    </row>
    <row r="572">
      <c r="A572" s="9"/>
      <c r="D572" s="9"/>
      <c r="E572" s="13"/>
      <c r="F572" s="13"/>
      <c r="M572" s="9"/>
      <c r="N572" s="9"/>
      <c r="O572" s="9"/>
    </row>
    <row r="573">
      <c r="A573" s="9"/>
      <c r="D573" s="9"/>
      <c r="E573" s="13"/>
      <c r="F573" s="13"/>
      <c r="M573" s="9"/>
      <c r="N573" s="9"/>
      <c r="O573" s="9"/>
    </row>
    <row r="574">
      <c r="A574" s="9"/>
      <c r="D574" s="9"/>
      <c r="E574" s="13"/>
      <c r="F574" s="13"/>
      <c r="M574" s="9"/>
      <c r="N574" s="9"/>
      <c r="O574" s="9"/>
    </row>
    <row r="575">
      <c r="A575" s="9"/>
      <c r="D575" s="9"/>
      <c r="E575" s="13"/>
      <c r="F575" s="13"/>
      <c r="M575" s="9"/>
      <c r="N575" s="9"/>
      <c r="O575" s="9"/>
    </row>
    <row r="576">
      <c r="A576" s="9"/>
      <c r="D576" s="9"/>
      <c r="E576" s="13"/>
      <c r="F576" s="13"/>
      <c r="M576" s="9"/>
      <c r="N576" s="9"/>
      <c r="O576" s="9"/>
    </row>
    <row r="577">
      <c r="A577" s="9"/>
      <c r="D577" s="9"/>
      <c r="E577" s="13"/>
      <c r="F577" s="13"/>
      <c r="M577" s="9"/>
      <c r="N577" s="9"/>
      <c r="O577" s="9"/>
    </row>
    <row r="578">
      <c r="A578" s="9"/>
      <c r="D578" s="9"/>
      <c r="E578" s="13"/>
      <c r="F578" s="13"/>
      <c r="M578" s="9"/>
      <c r="N578" s="9"/>
      <c r="O578" s="9"/>
    </row>
    <row r="579">
      <c r="A579" s="9"/>
      <c r="D579" s="9"/>
      <c r="E579" s="13"/>
      <c r="F579" s="13"/>
      <c r="M579" s="9"/>
      <c r="N579" s="9"/>
      <c r="O579" s="9"/>
    </row>
    <row r="580">
      <c r="A580" s="9"/>
      <c r="D580" s="9"/>
      <c r="E580" s="13"/>
      <c r="F580" s="13"/>
      <c r="M580" s="9"/>
      <c r="N580" s="9"/>
      <c r="O580" s="9"/>
    </row>
    <row r="581">
      <c r="A581" s="9"/>
      <c r="D581" s="9"/>
      <c r="E581" s="13"/>
      <c r="F581" s="13"/>
      <c r="M581" s="9"/>
      <c r="N581" s="9"/>
      <c r="O581" s="9"/>
    </row>
    <row r="582">
      <c r="A582" s="9"/>
      <c r="D582" s="9"/>
      <c r="E582" s="13"/>
      <c r="F582" s="13"/>
      <c r="M582" s="9"/>
      <c r="N582" s="9"/>
      <c r="O582" s="9"/>
    </row>
    <row r="583">
      <c r="A583" s="9"/>
      <c r="D583" s="9"/>
      <c r="E583" s="13"/>
      <c r="F583" s="13"/>
      <c r="M583" s="9"/>
      <c r="N583" s="9"/>
      <c r="O583" s="9"/>
    </row>
    <row r="584">
      <c r="A584" s="9"/>
      <c r="D584" s="9"/>
      <c r="E584" s="13"/>
      <c r="F584" s="13"/>
      <c r="M584" s="9"/>
      <c r="N584" s="9"/>
      <c r="O584" s="9"/>
    </row>
    <row r="585">
      <c r="A585" s="9"/>
      <c r="D585" s="9"/>
      <c r="E585" s="13"/>
      <c r="F585" s="13"/>
      <c r="M585" s="9"/>
      <c r="N585" s="9"/>
      <c r="O585" s="9"/>
    </row>
    <row r="586">
      <c r="A586" s="9"/>
      <c r="D586" s="9"/>
      <c r="E586" s="13"/>
      <c r="F586" s="13"/>
      <c r="M586" s="9"/>
      <c r="N586" s="9"/>
      <c r="O586" s="9"/>
    </row>
    <row r="587">
      <c r="A587" s="9"/>
      <c r="D587" s="9"/>
      <c r="E587" s="13"/>
      <c r="F587" s="13"/>
      <c r="M587" s="9"/>
      <c r="N587" s="9"/>
      <c r="O587" s="9"/>
    </row>
    <row r="588">
      <c r="A588" s="9"/>
      <c r="D588" s="9"/>
      <c r="E588" s="13"/>
      <c r="F588" s="13"/>
      <c r="M588" s="9"/>
      <c r="N588" s="9"/>
      <c r="O588" s="9"/>
    </row>
    <row r="589">
      <c r="A589" s="9"/>
      <c r="D589" s="9"/>
      <c r="E589" s="13"/>
      <c r="F589" s="13"/>
      <c r="M589" s="9"/>
      <c r="N589" s="9"/>
      <c r="O589" s="9"/>
    </row>
    <row r="590">
      <c r="A590" s="9"/>
      <c r="D590" s="9"/>
      <c r="E590" s="13"/>
      <c r="F590" s="13"/>
      <c r="M590" s="9"/>
      <c r="N590" s="9"/>
      <c r="O590" s="9"/>
    </row>
    <row r="591">
      <c r="A591" s="9"/>
      <c r="D591" s="9"/>
      <c r="E591" s="13"/>
      <c r="F591" s="13"/>
      <c r="M591" s="9"/>
      <c r="N591" s="9"/>
      <c r="O591" s="9"/>
    </row>
    <row r="592">
      <c r="A592" s="9"/>
      <c r="D592" s="9"/>
      <c r="E592" s="13"/>
      <c r="F592" s="13"/>
      <c r="M592" s="9"/>
      <c r="N592" s="9"/>
      <c r="O592" s="9"/>
    </row>
    <row r="593">
      <c r="A593" s="9"/>
      <c r="D593" s="9"/>
      <c r="E593" s="13"/>
      <c r="F593" s="13"/>
      <c r="M593" s="9"/>
      <c r="N593" s="9"/>
      <c r="O593" s="9"/>
    </row>
    <row r="594">
      <c r="A594" s="9"/>
      <c r="D594" s="9"/>
      <c r="E594" s="13"/>
      <c r="F594" s="13"/>
      <c r="M594" s="9"/>
      <c r="N594" s="9"/>
      <c r="O594" s="9"/>
    </row>
    <row r="595">
      <c r="A595" s="9"/>
      <c r="D595" s="9"/>
      <c r="E595" s="13"/>
      <c r="F595" s="13"/>
      <c r="M595" s="9"/>
      <c r="N595" s="9"/>
      <c r="O595" s="9"/>
    </row>
    <row r="596">
      <c r="A596" s="9"/>
      <c r="D596" s="9"/>
      <c r="E596" s="13"/>
      <c r="F596" s="13"/>
      <c r="M596" s="9"/>
      <c r="N596" s="9"/>
      <c r="O596" s="9"/>
    </row>
    <row r="597">
      <c r="A597" s="9"/>
      <c r="D597" s="9"/>
      <c r="E597" s="13"/>
      <c r="F597" s="13"/>
      <c r="M597" s="9"/>
      <c r="N597" s="9"/>
      <c r="O597" s="9"/>
    </row>
    <row r="598">
      <c r="A598" s="9"/>
      <c r="D598" s="9"/>
      <c r="E598" s="13"/>
      <c r="F598" s="13"/>
      <c r="M598" s="9"/>
      <c r="N598" s="9"/>
      <c r="O598" s="9"/>
    </row>
    <row r="599">
      <c r="A599" s="9"/>
      <c r="D599" s="9"/>
      <c r="E599" s="13"/>
      <c r="F599" s="13"/>
      <c r="M599" s="9"/>
      <c r="N599" s="9"/>
      <c r="O599" s="9"/>
    </row>
    <row r="600">
      <c r="A600" s="9"/>
      <c r="D600" s="9"/>
      <c r="E600" s="13"/>
      <c r="F600" s="13"/>
      <c r="M600" s="9"/>
      <c r="N600" s="9"/>
      <c r="O600" s="9"/>
    </row>
    <row r="601">
      <c r="A601" s="9"/>
      <c r="D601" s="9"/>
      <c r="E601" s="13"/>
      <c r="F601" s="13"/>
      <c r="M601" s="9"/>
      <c r="N601" s="9"/>
      <c r="O601" s="9"/>
    </row>
    <row r="602">
      <c r="A602" s="9"/>
      <c r="D602" s="9"/>
      <c r="E602" s="13"/>
      <c r="F602" s="13"/>
      <c r="M602" s="9"/>
      <c r="N602" s="9"/>
      <c r="O602" s="9"/>
    </row>
    <row r="603">
      <c r="A603" s="9"/>
      <c r="D603" s="9"/>
      <c r="E603" s="13"/>
      <c r="F603" s="13"/>
      <c r="M603" s="9"/>
      <c r="N603" s="9"/>
      <c r="O603" s="9"/>
    </row>
    <row r="604">
      <c r="A604" s="9"/>
      <c r="D604" s="9"/>
      <c r="E604" s="13"/>
      <c r="F604" s="13"/>
      <c r="M604" s="9"/>
      <c r="N604" s="9"/>
      <c r="O604" s="9"/>
    </row>
    <row r="605">
      <c r="A605" s="9"/>
      <c r="D605" s="9"/>
      <c r="E605" s="13"/>
      <c r="F605" s="13"/>
      <c r="M605" s="9"/>
      <c r="N605" s="9"/>
      <c r="O605" s="9"/>
    </row>
    <row r="606">
      <c r="A606" s="9"/>
      <c r="D606" s="9"/>
      <c r="E606" s="13"/>
      <c r="F606" s="13"/>
      <c r="M606" s="9"/>
      <c r="N606" s="9"/>
      <c r="O606" s="9"/>
    </row>
    <row r="607">
      <c r="A607" s="9"/>
      <c r="D607" s="9"/>
      <c r="E607" s="13"/>
      <c r="F607" s="13"/>
      <c r="M607" s="9"/>
      <c r="N607" s="9"/>
      <c r="O607" s="9"/>
    </row>
    <row r="608">
      <c r="A608" s="9"/>
      <c r="D608" s="9"/>
      <c r="E608" s="13"/>
      <c r="F608" s="13"/>
      <c r="M608" s="9"/>
      <c r="N608" s="9"/>
      <c r="O608" s="9"/>
    </row>
    <row r="609">
      <c r="A609" s="9"/>
      <c r="D609" s="9"/>
      <c r="E609" s="13"/>
      <c r="F609" s="13"/>
      <c r="M609" s="9"/>
      <c r="N609" s="9"/>
      <c r="O609" s="9"/>
    </row>
    <row r="610">
      <c r="A610" s="9"/>
      <c r="D610" s="9"/>
      <c r="E610" s="13"/>
      <c r="F610" s="13"/>
      <c r="M610" s="9"/>
      <c r="N610" s="9"/>
      <c r="O610" s="9"/>
    </row>
    <row r="611">
      <c r="A611" s="9"/>
      <c r="D611" s="9"/>
      <c r="E611" s="13"/>
      <c r="F611" s="13"/>
      <c r="M611" s="9"/>
      <c r="N611" s="9"/>
      <c r="O611" s="9"/>
    </row>
    <row r="612">
      <c r="A612" s="9"/>
      <c r="D612" s="9"/>
      <c r="E612" s="13"/>
      <c r="F612" s="13"/>
      <c r="M612" s="9"/>
      <c r="N612" s="9"/>
      <c r="O612" s="9"/>
    </row>
    <row r="613">
      <c r="A613" s="9"/>
      <c r="D613" s="9"/>
      <c r="E613" s="13"/>
      <c r="F613" s="13"/>
      <c r="M613" s="9"/>
      <c r="N613" s="9"/>
      <c r="O613" s="9"/>
    </row>
    <row r="614">
      <c r="A614" s="9"/>
      <c r="D614" s="9"/>
      <c r="E614" s="13"/>
      <c r="F614" s="13"/>
      <c r="M614" s="9"/>
      <c r="N614" s="9"/>
      <c r="O614" s="9"/>
    </row>
    <row r="615">
      <c r="A615" s="9"/>
      <c r="D615" s="9"/>
      <c r="E615" s="13"/>
      <c r="F615" s="13"/>
      <c r="M615" s="9"/>
      <c r="N615" s="9"/>
      <c r="O615" s="9"/>
    </row>
    <row r="616">
      <c r="A616" s="9"/>
      <c r="D616" s="9"/>
      <c r="E616" s="13"/>
      <c r="F616" s="13"/>
      <c r="M616" s="9"/>
      <c r="N616" s="9"/>
      <c r="O616" s="9"/>
    </row>
    <row r="617">
      <c r="A617" s="9"/>
      <c r="D617" s="9"/>
      <c r="E617" s="13"/>
      <c r="F617" s="13"/>
      <c r="M617" s="9"/>
      <c r="N617" s="9"/>
      <c r="O617" s="9"/>
    </row>
    <row r="618">
      <c r="A618" s="9"/>
      <c r="D618" s="9"/>
      <c r="E618" s="13"/>
      <c r="F618" s="13"/>
      <c r="M618" s="9"/>
      <c r="N618" s="9"/>
      <c r="O618" s="9"/>
    </row>
    <row r="619">
      <c r="A619" s="9"/>
      <c r="D619" s="9"/>
      <c r="E619" s="13"/>
      <c r="F619" s="13"/>
      <c r="M619" s="9"/>
      <c r="N619" s="9"/>
      <c r="O619" s="9"/>
    </row>
    <row r="620">
      <c r="A620" s="9"/>
      <c r="D620" s="9"/>
      <c r="E620" s="13"/>
      <c r="F620" s="13"/>
      <c r="M620" s="9"/>
      <c r="N620" s="9"/>
      <c r="O620" s="9"/>
    </row>
    <row r="621">
      <c r="A621" s="9"/>
      <c r="D621" s="9"/>
      <c r="E621" s="13"/>
      <c r="F621" s="13"/>
      <c r="M621" s="9"/>
      <c r="N621" s="9"/>
      <c r="O621" s="9"/>
    </row>
    <row r="622">
      <c r="A622" s="9"/>
      <c r="D622" s="9"/>
      <c r="E622" s="13"/>
      <c r="F622" s="13"/>
      <c r="M622" s="9"/>
      <c r="N622" s="9"/>
      <c r="O622" s="9"/>
    </row>
    <row r="623">
      <c r="A623" s="9"/>
      <c r="D623" s="9"/>
      <c r="E623" s="13"/>
      <c r="F623" s="13"/>
      <c r="M623" s="9"/>
      <c r="N623" s="9"/>
      <c r="O623" s="9"/>
    </row>
    <row r="624">
      <c r="A624" s="9"/>
      <c r="D624" s="9"/>
      <c r="E624" s="13"/>
      <c r="F624" s="13"/>
      <c r="M624" s="9"/>
      <c r="N624" s="9"/>
      <c r="O624" s="9"/>
    </row>
    <row r="625">
      <c r="A625" s="9"/>
      <c r="D625" s="9"/>
      <c r="E625" s="13"/>
      <c r="F625" s="13"/>
      <c r="M625" s="9"/>
      <c r="N625" s="9"/>
      <c r="O625" s="9"/>
    </row>
    <row r="626">
      <c r="A626" s="9"/>
      <c r="D626" s="9"/>
      <c r="E626" s="13"/>
      <c r="F626" s="13"/>
      <c r="M626" s="9"/>
      <c r="N626" s="9"/>
      <c r="O626" s="9"/>
    </row>
    <row r="627">
      <c r="A627" s="9"/>
      <c r="D627" s="9"/>
      <c r="E627" s="13"/>
      <c r="F627" s="13"/>
      <c r="M627" s="9"/>
      <c r="N627" s="9"/>
      <c r="O627" s="9"/>
    </row>
    <row r="628">
      <c r="A628" s="9"/>
      <c r="D628" s="9"/>
      <c r="E628" s="13"/>
      <c r="F628" s="13"/>
      <c r="M628" s="9"/>
      <c r="N628" s="9"/>
      <c r="O628" s="9"/>
    </row>
    <row r="629">
      <c r="A629" s="9"/>
      <c r="D629" s="9"/>
      <c r="E629" s="13"/>
      <c r="F629" s="13"/>
      <c r="M629" s="9"/>
      <c r="N629" s="9"/>
      <c r="O629" s="9"/>
    </row>
    <row r="630">
      <c r="A630" s="9"/>
      <c r="D630" s="9"/>
      <c r="E630" s="13"/>
      <c r="F630" s="13"/>
      <c r="M630" s="9"/>
      <c r="N630" s="9"/>
      <c r="O630" s="9"/>
    </row>
    <row r="631">
      <c r="A631" s="9"/>
      <c r="D631" s="9"/>
      <c r="E631" s="13"/>
      <c r="F631" s="13"/>
      <c r="M631" s="9"/>
      <c r="N631" s="9"/>
      <c r="O631" s="9"/>
    </row>
    <row r="632">
      <c r="A632" s="9"/>
      <c r="D632" s="9"/>
      <c r="E632" s="13"/>
      <c r="F632" s="13"/>
      <c r="M632" s="9"/>
      <c r="N632" s="9"/>
      <c r="O632" s="9"/>
    </row>
    <row r="633">
      <c r="A633" s="9"/>
      <c r="D633" s="9"/>
      <c r="E633" s="13"/>
      <c r="F633" s="13"/>
      <c r="M633" s="9"/>
      <c r="N633" s="9"/>
      <c r="O633" s="9"/>
    </row>
    <row r="634">
      <c r="A634" s="9"/>
      <c r="D634" s="9"/>
      <c r="E634" s="13"/>
      <c r="F634" s="13"/>
      <c r="M634" s="9"/>
      <c r="N634" s="9"/>
      <c r="O634" s="9"/>
    </row>
    <row r="635">
      <c r="A635" s="9"/>
      <c r="D635" s="9"/>
      <c r="E635" s="13"/>
      <c r="F635" s="13"/>
      <c r="M635" s="9"/>
      <c r="N635" s="9"/>
      <c r="O635" s="9"/>
    </row>
    <row r="636">
      <c r="A636" s="9"/>
      <c r="D636" s="9"/>
      <c r="E636" s="13"/>
      <c r="F636" s="13"/>
      <c r="M636" s="9"/>
      <c r="N636" s="9"/>
      <c r="O636" s="9"/>
    </row>
    <row r="637">
      <c r="A637" s="9"/>
      <c r="D637" s="9"/>
      <c r="E637" s="13"/>
      <c r="F637" s="13"/>
      <c r="M637" s="9"/>
      <c r="N637" s="9"/>
      <c r="O637" s="9"/>
    </row>
    <row r="638">
      <c r="A638" s="9"/>
      <c r="D638" s="9"/>
      <c r="E638" s="13"/>
      <c r="F638" s="13"/>
      <c r="M638" s="9"/>
      <c r="N638" s="9"/>
      <c r="O638" s="9"/>
    </row>
    <row r="639">
      <c r="A639" s="9"/>
      <c r="D639" s="9"/>
      <c r="E639" s="13"/>
      <c r="F639" s="13"/>
      <c r="M639" s="9"/>
      <c r="N639" s="9"/>
      <c r="O639" s="9"/>
    </row>
    <row r="640">
      <c r="A640" s="9"/>
      <c r="D640" s="9"/>
      <c r="E640" s="13"/>
      <c r="F640" s="13"/>
      <c r="M640" s="9"/>
      <c r="N640" s="9"/>
      <c r="O640" s="9"/>
    </row>
    <row r="641">
      <c r="A641" s="9"/>
      <c r="D641" s="9"/>
      <c r="E641" s="13"/>
      <c r="F641" s="13"/>
      <c r="M641" s="9"/>
      <c r="N641" s="9"/>
      <c r="O641" s="9"/>
    </row>
    <row r="642">
      <c r="A642" s="9"/>
      <c r="D642" s="9"/>
      <c r="E642" s="13"/>
      <c r="F642" s="13"/>
      <c r="M642" s="9"/>
      <c r="N642" s="9"/>
      <c r="O642" s="9"/>
    </row>
    <row r="643">
      <c r="A643" s="9"/>
      <c r="D643" s="9"/>
      <c r="E643" s="13"/>
      <c r="F643" s="13"/>
      <c r="M643" s="9"/>
      <c r="N643" s="9"/>
      <c r="O643" s="9"/>
    </row>
    <row r="644">
      <c r="A644" s="9"/>
      <c r="D644" s="9"/>
      <c r="E644" s="13"/>
      <c r="F644" s="13"/>
      <c r="M644" s="9"/>
      <c r="N644" s="9"/>
      <c r="O644" s="9"/>
    </row>
    <row r="645">
      <c r="A645" s="9"/>
      <c r="D645" s="9"/>
      <c r="E645" s="13"/>
      <c r="F645" s="13"/>
      <c r="M645" s="9"/>
      <c r="N645" s="9"/>
      <c r="O645" s="9"/>
    </row>
    <row r="646">
      <c r="A646" s="9"/>
      <c r="D646" s="9"/>
      <c r="E646" s="13"/>
      <c r="F646" s="13"/>
      <c r="M646" s="9"/>
      <c r="N646" s="9"/>
      <c r="O646" s="9"/>
    </row>
    <row r="647">
      <c r="A647" s="9"/>
      <c r="D647" s="9"/>
      <c r="E647" s="13"/>
      <c r="F647" s="13"/>
      <c r="M647" s="9"/>
      <c r="N647" s="9"/>
      <c r="O647" s="9"/>
    </row>
    <row r="648">
      <c r="A648" s="9"/>
      <c r="D648" s="9"/>
      <c r="E648" s="13"/>
      <c r="F648" s="13"/>
      <c r="M648" s="9"/>
      <c r="N648" s="9"/>
      <c r="O648" s="9"/>
    </row>
    <row r="649">
      <c r="A649" s="9"/>
      <c r="D649" s="9"/>
      <c r="E649" s="13"/>
      <c r="F649" s="13"/>
      <c r="M649" s="9"/>
      <c r="N649" s="9"/>
      <c r="O649" s="9"/>
    </row>
    <row r="650">
      <c r="A650" s="9"/>
      <c r="D650" s="9"/>
      <c r="E650" s="13"/>
      <c r="F650" s="13"/>
      <c r="M650" s="9"/>
      <c r="N650" s="9"/>
      <c r="O650" s="9"/>
    </row>
    <row r="651">
      <c r="A651" s="9"/>
      <c r="D651" s="9"/>
      <c r="E651" s="13"/>
      <c r="F651" s="13"/>
      <c r="M651" s="9"/>
      <c r="N651" s="9"/>
      <c r="O651" s="9"/>
    </row>
    <row r="652">
      <c r="A652" s="9"/>
      <c r="D652" s="9"/>
      <c r="E652" s="13"/>
      <c r="F652" s="13"/>
      <c r="M652" s="9"/>
      <c r="N652" s="9"/>
      <c r="O652" s="9"/>
    </row>
    <row r="653">
      <c r="A653" s="9"/>
      <c r="D653" s="9"/>
      <c r="E653" s="13"/>
      <c r="F653" s="13"/>
      <c r="M653" s="9"/>
      <c r="N653" s="9"/>
      <c r="O653" s="9"/>
    </row>
    <row r="654">
      <c r="A654" s="9"/>
      <c r="D654" s="9"/>
      <c r="E654" s="13"/>
      <c r="F654" s="13"/>
      <c r="M654" s="9"/>
      <c r="N654" s="9"/>
      <c r="O654" s="9"/>
    </row>
    <row r="655">
      <c r="A655" s="9"/>
      <c r="D655" s="9"/>
      <c r="E655" s="13"/>
      <c r="F655" s="13"/>
      <c r="M655" s="9"/>
      <c r="N655" s="9"/>
      <c r="O655" s="9"/>
    </row>
    <row r="656">
      <c r="A656" s="9"/>
      <c r="D656" s="9"/>
      <c r="E656" s="13"/>
      <c r="F656" s="13"/>
      <c r="M656" s="9"/>
      <c r="N656" s="9"/>
      <c r="O656" s="9"/>
    </row>
    <row r="657">
      <c r="A657" s="9"/>
      <c r="D657" s="9"/>
      <c r="E657" s="13"/>
      <c r="F657" s="13"/>
      <c r="M657" s="9"/>
      <c r="N657" s="9"/>
      <c r="O657" s="9"/>
    </row>
    <row r="658">
      <c r="A658" s="9"/>
      <c r="D658" s="9"/>
      <c r="E658" s="13"/>
      <c r="F658" s="13"/>
      <c r="M658" s="9"/>
      <c r="N658" s="9"/>
      <c r="O658" s="9"/>
    </row>
    <row r="659">
      <c r="A659" s="9"/>
      <c r="D659" s="9"/>
      <c r="E659" s="13"/>
      <c r="F659" s="13"/>
      <c r="M659" s="9"/>
      <c r="N659" s="9"/>
      <c r="O659" s="9"/>
    </row>
    <row r="660">
      <c r="A660" s="9"/>
      <c r="D660" s="9"/>
      <c r="E660" s="13"/>
      <c r="F660" s="13"/>
      <c r="M660" s="9"/>
      <c r="N660" s="9"/>
      <c r="O660" s="9"/>
    </row>
    <row r="661">
      <c r="A661" s="9"/>
      <c r="D661" s="9"/>
      <c r="E661" s="13"/>
      <c r="F661" s="13"/>
      <c r="M661" s="9"/>
      <c r="N661" s="9"/>
      <c r="O661" s="9"/>
    </row>
    <row r="662">
      <c r="A662" s="9"/>
      <c r="D662" s="9"/>
      <c r="E662" s="13"/>
      <c r="F662" s="13"/>
      <c r="M662" s="9"/>
      <c r="N662" s="9"/>
      <c r="O662" s="9"/>
    </row>
    <row r="663">
      <c r="A663" s="9"/>
      <c r="D663" s="9"/>
      <c r="E663" s="13"/>
      <c r="F663" s="13"/>
      <c r="M663" s="9"/>
      <c r="N663" s="9"/>
      <c r="O663" s="9"/>
    </row>
    <row r="664">
      <c r="A664" s="9"/>
      <c r="D664" s="9"/>
      <c r="E664" s="13"/>
      <c r="F664" s="13"/>
      <c r="M664" s="9"/>
      <c r="N664" s="9"/>
      <c r="O664" s="9"/>
    </row>
    <row r="665">
      <c r="A665" s="9"/>
      <c r="D665" s="9"/>
      <c r="E665" s="13"/>
      <c r="F665" s="13"/>
      <c r="M665" s="9"/>
      <c r="N665" s="9"/>
      <c r="O665" s="9"/>
    </row>
    <row r="666">
      <c r="A666" s="9"/>
      <c r="D666" s="9"/>
      <c r="E666" s="13"/>
      <c r="F666" s="13"/>
      <c r="M666" s="9"/>
      <c r="N666" s="9"/>
      <c r="O666" s="9"/>
    </row>
    <row r="667">
      <c r="A667" s="9"/>
      <c r="D667" s="9"/>
      <c r="E667" s="13"/>
      <c r="F667" s="13"/>
      <c r="M667" s="9"/>
      <c r="N667" s="9"/>
      <c r="O667" s="9"/>
    </row>
    <row r="668">
      <c r="A668" s="9"/>
      <c r="D668" s="9"/>
      <c r="E668" s="13"/>
      <c r="F668" s="13"/>
      <c r="M668" s="9"/>
      <c r="N668" s="9"/>
      <c r="O668" s="9"/>
    </row>
    <row r="669">
      <c r="A669" s="9"/>
      <c r="D669" s="9"/>
      <c r="E669" s="13"/>
      <c r="F669" s="13"/>
      <c r="M669" s="9"/>
      <c r="N669" s="9"/>
      <c r="O669" s="9"/>
    </row>
    <row r="670">
      <c r="A670" s="9"/>
      <c r="D670" s="9"/>
      <c r="E670" s="13"/>
      <c r="F670" s="13"/>
      <c r="M670" s="9"/>
      <c r="N670" s="9"/>
      <c r="O670" s="9"/>
    </row>
    <row r="671">
      <c r="A671" s="9"/>
      <c r="D671" s="9"/>
      <c r="E671" s="13"/>
      <c r="F671" s="13"/>
      <c r="M671" s="9"/>
      <c r="N671" s="9"/>
      <c r="O671" s="9"/>
    </row>
    <row r="672">
      <c r="A672" s="9"/>
      <c r="D672" s="9"/>
      <c r="E672" s="13"/>
      <c r="F672" s="13"/>
      <c r="M672" s="9"/>
      <c r="N672" s="9"/>
      <c r="O672" s="9"/>
    </row>
    <row r="673">
      <c r="A673" s="9"/>
      <c r="D673" s="9"/>
      <c r="E673" s="13"/>
      <c r="F673" s="13"/>
      <c r="M673" s="9"/>
      <c r="N673" s="9"/>
      <c r="O673" s="9"/>
    </row>
    <row r="674">
      <c r="A674" s="9"/>
      <c r="D674" s="9"/>
      <c r="E674" s="13"/>
      <c r="F674" s="13"/>
      <c r="M674" s="9"/>
      <c r="N674" s="9"/>
      <c r="O674" s="9"/>
    </row>
    <row r="675">
      <c r="A675" s="9"/>
      <c r="D675" s="9"/>
      <c r="E675" s="13"/>
      <c r="F675" s="13"/>
      <c r="M675" s="9"/>
      <c r="N675" s="9"/>
      <c r="O675" s="9"/>
    </row>
    <row r="676">
      <c r="A676" s="9"/>
      <c r="D676" s="9"/>
      <c r="E676" s="13"/>
      <c r="F676" s="13"/>
      <c r="M676" s="9"/>
      <c r="N676" s="9"/>
      <c r="O676" s="9"/>
    </row>
    <row r="677">
      <c r="A677" s="9"/>
      <c r="D677" s="9"/>
      <c r="E677" s="13"/>
      <c r="F677" s="13"/>
      <c r="M677" s="9"/>
      <c r="N677" s="9"/>
      <c r="O677" s="9"/>
    </row>
    <row r="678">
      <c r="A678" s="9"/>
      <c r="D678" s="9"/>
      <c r="E678" s="13"/>
      <c r="F678" s="13"/>
      <c r="M678" s="9"/>
      <c r="N678" s="9"/>
      <c r="O678" s="9"/>
    </row>
    <row r="679">
      <c r="A679" s="9"/>
      <c r="D679" s="9"/>
      <c r="E679" s="13"/>
      <c r="F679" s="13"/>
      <c r="M679" s="9"/>
      <c r="N679" s="9"/>
      <c r="O679" s="9"/>
    </row>
    <row r="680">
      <c r="A680" s="9"/>
      <c r="D680" s="9"/>
      <c r="E680" s="13"/>
      <c r="F680" s="13"/>
      <c r="M680" s="9"/>
      <c r="N680" s="9"/>
      <c r="O680" s="9"/>
    </row>
    <row r="681">
      <c r="A681" s="9"/>
      <c r="D681" s="9"/>
      <c r="E681" s="13"/>
      <c r="F681" s="13"/>
      <c r="M681" s="9"/>
      <c r="N681" s="9"/>
      <c r="O681" s="9"/>
    </row>
    <row r="682">
      <c r="A682" s="9"/>
      <c r="D682" s="9"/>
      <c r="E682" s="13"/>
      <c r="F682" s="13"/>
      <c r="M682" s="9"/>
      <c r="N682" s="9"/>
      <c r="O682" s="9"/>
    </row>
    <row r="683">
      <c r="A683" s="9"/>
      <c r="D683" s="9"/>
      <c r="E683" s="13"/>
      <c r="F683" s="13"/>
      <c r="M683" s="9"/>
      <c r="N683" s="9"/>
      <c r="O683" s="9"/>
    </row>
    <row r="684">
      <c r="A684" s="9"/>
      <c r="D684" s="9"/>
      <c r="E684" s="13"/>
      <c r="F684" s="13"/>
      <c r="M684" s="9"/>
      <c r="N684" s="9"/>
      <c r="O684" s="9"/>
    </row>
    <row r="685">
      <c r="A685" s="9"/>
      <c r="D685" s="9"/>
      <c r="E685" s="13"/>
      <c r="F685" s="13"/>
      <c r="M685" s="9"/>
      <c r="N685" s="9"/>
      <c r="O685" s="9"/>
    </row>
    <row r="686">
      <c r="A686" s="9"/>
      <c r="D686" s="9"/>
      <c r="E686" s="13"/>
      <c r="F686" s="13"/>
      <c r="M686" s="9"/>
      <c r="N686" s="9"/>
      <c r="O686" s="9"/>
    </row>
    <row r="687">
      <c r="A687" s="9"/>
      <c r="D687" s="9"/>
      <c r="E687" s="13"/>
      <c r="F687" s="13"/>
      <c r="M687" s="9"/>
      <c r="N687" s="9"/>
      <c r="O687" s="9"/>
    </row>
    <row r="688">
      <c r="A688" s="9"/>
      <c r="D688" s="9"/>
      <c r="E688" s="13"/>
      <c r="F688" s="13"/>
      <c r="M688" s="9"/>
      <c r="N688" s="9"/>
      <c r="O688" s="9"/>
    </row>
    <row r="689">
      <c r="A689" s="9"/>
      <c r="D689" s="9"/>
      <c r="E689" s="13"/>
      <c r="F689" s="13"/>
      <c r="M689" s="9"/>
      <c r="N689" s="9"/>
      <c r="O689" s="9"/>
    </row>
    <row r="690">
      <c r="A690" s="9"/>
      <c r="D690" s="9"/>
      <c r="E690" s="13"/>
      <c r="F690" s="13"/>
      <c r="M690" s="9"/>
      <c r="N690" s="9"/>
      <c r="O690" s="9"/>
    </row>
    <row r="691">
      <c r="A691" s="9"/>
      <c r="D691" s="9"/>
      <c r="E691" s="13"/>
      <c r="F691" s="13"/>
      <c r="M691" s="9"/>
      <c r="N691" s="9"/>
      <c r="O691" s="9"/>
    </row>
    <row r="692">
      <c r="A692" s="9"/>
      <c r="D692" s="9"/>
      <c r="E692" s="13"/>
      <c r="F692" s="13"/>
      <c r="M692" s="9"/>
      <c r="N692" s="9"/>
      <c r="O692" s="9"/>
    </row>
    <row r="693">
      <c r="A693" s="9"/>
      <c r="D693" s="9"/>
      <c r="E693" s="13"/>
      <c r="F693" s="13"/>
      <c r="M693" s="9"/>
      <c r="N693" s="9"/>
      <c r="O693" s="9"/>
    </row>
    <row r="694">
      <c r="A694" s="9"/>
      <c r="D694" s="9"/>
      <c r="E694" s="13"/>
      <c r="F694" s="13"/>
      <c r="M694" s="9"/>
      <c r="N694" s="9"/>
      <c r="O694" s="9"/>
    </row>
    <row r="695">
      <c r="A695" s="9"/>
      <c r="D695" s="9"/>
      <c r="E695" s="13"/>
      <c r="F695" s="13"/>
      <c r="M695" s="9"/>
      <c r="N695" s="9"/>
      <c r="O695" s="9"/>
    </row>
    <row r="696">
      <c r="A696" s="9"/>
      <c r="D696" s="9"/>
      <c r="E696" s="13"/>
      <c r="F696" s="13"/>
      <c r="M696" s="9"/>
      <c r="N696" s="9"/>
      <c r="O696" s="9"/>
    </row>
    <row r="697">
      <c r="A697" s="9"/>
      <c r="D697" s="9"/>
      <c r="E697" s="13"/>
      <c r="F697" s="13"/>
      <c r="M697" s="9"/>
      <c r="N697" s="9"/>
      <c r="O697" s="9"/>
    </row>
    <row r="698">
      <c r="A698" s="9"/>
      <c r="D698" s="9"/>
      <c r="E698" s="13"/>
      <c r="F698" s="13"/>
      <c r="M698" s="9"/>
      <c r="N698" s="9"/>
      <c r="O698" s="9"/>
    </row>
    <row r="699">
      <c r="A699" s="9"/>
      <c r="D699" s="9"/>
      <c r="E699" s="13"/>
      <c r="F699" s="13"/>
      <c r="M699" s="9"/>
      <c r="N699" s="9"/>
      <c r="O699" s="9"/>
    </row>
    <row r="700">
      <c r="A700" s="9"/>
      <c r="D700" s="9"/>
      <c r="E700" s="13"/>
      <c r="F700" s="13"/>
      <c r="M700" s="9"/>
      <c r="N700" s="9"/>
      <c r="O700" s="9"/>
    </row>
    <row r="701">
      <c r="A701" s="9"/>
      <c r="D701" s="9"/>
      <c r="E701" s="13"/>
      <c r="F701" s="13"/>
      <c r="M701" s="9"/>
      <c r="N701" s="9"/>
      <c r="O701" s="9"/>
    </row>
    <row r="702">
      <c r="A702" s="9"/>
      <c r="D702" s="9"/>
      <c r="E702" s="13"/>
      <c r="F702" s="13"/>
      <c r="M702" s="9"/>
      <c r="N702" s="9"/>
      <c r="O702" s="9"/>
    </row>
    <row r="703">
      <c r="A703" s="9"/>
      <c r="D703" s="9"/>
      <c r="E703" s="13"/>
      <c r="F703" s="13"/>
      <c r="M703" s="9"/>
      <c r="N703" s="9"/>
      <c r="O703" s="9"/>
    </row>
    <row r="704">
      <c r="A704" s="9"/>
      <c r="D704" s="9"/>
      <c r="E704" s="13"/>
      <c r="F704" s="13"/>
      <c r="M704" s="9"/>
      <c r="N704" s="9"/>
      <c r="O704" s="9"/>
    </row>
    <row r="705">
      <c r="A705" s="9"/>
      <c r="D705" s="9"/>
      <c r="E705" s="13"/>
      <c r="F705" s="13"/>
      <c r="M705" s="9"/>
      <c r="N705" s="9"/>
      <c r="O705" s="9"/>
    </row>
    <row r="706">
      <c r="A706" s="9"/>
      <c r="D706" s="9"/>
      <c r="E706" s="13"/>
      <c r="F706" s="13"/>
      <c r="M706" s="9"/>
      <c r="N706" s="9"/>
      <c r="O706" s="9"/>
    </row>
    <row r="707">
      <c r="A707" s="9"/>
      <c r="D707" s="9"/>
      <c r="E707" s="13"/>
      <c r="F707" s="13"/>
      <c r="M707" s="9"/>
      <c r="N707" s="9"/>
      <c r="O707" s="9"/>
    </row>
    <row r="708">
      <c r="A708" s="9"/>
      <c r="D708" s="9"/>
      <c r="E708" s="13"/>
      <c r="F708" s="13"/>
      <c r="M708" s="9"/>
      <c r="N708" s="9"/>
      <c r="O708" s="9"/>
    </row>
    <row r="709">
      <c r="A709" s="9"/>
      <c r="D709" s="9"/>
      <c r="E709" s="13"/>
      <c r="F709" s="13"/>
      <c r="M709" s="9"/>
      <c r="N709" s="9"/>
      <c r="O709" s="9"/>
    </row>
    <row r="710">
      <c r="A710" s="9"/>
      <c r="D710" s="9"/>
      <c r="E710" s="13"/>
      <c r="F710" s="13"/>
      <c r="M710" s="9"/>
      <c r="N710" s="9"/>
      <c r="O710" s="9"/>
    </row>
    <row r="711">
      <c r="A711" s="9"/>
      <c r="D711" s="9"/>
      <c r="E711" s="13"/>
      <c r="F711" s="13"/>
      <c r="M711" s="9"/>
      <c r="N711" s="9"/>
      <c r="O711" s="9"/>
    </row>
    <row r="712">
      <c r="A712" s="9"/>
      <c r="D712" s="9"/>
      <c r="E712" s="13"/>
      <c r="F712" s="13"/>
      <c r="M712" s="9"/>
      <c r="N712" s="9"/>
      <c r="O712" s="9"/>
    </row>
    <row r="713">
      <c r="A713" s="9"/>
      <c r="D713" s="9"/>
      <c r="E713" s="13"/>
      <c r="F713" s="13"/>
      <c r="M713" s="9"/>
      <c r="N713" s="9"/>
      <c r="O713" s="9"/>
    </row>
    <row r="714">
      <c r="A714" s="9"/>
      <c r="D714" s="9"/>
      <c r="E714" s="13"/>
      <c r="F714" s="13"/>
      <c r="M714" s="9"/>
      <c r="N714" s="9"/>
      <c r="O714" s="9"/>
    </row>
    <row r="715">
      <c r="A715" s="9"/>
      <c r="D715" s="9"/>
      <c r="E715" s="13"/>
      <c r="F715" s="13"/>
      <c r="M715" s="9"/>
      <c r="N715" s="9"/>
      <c r="O715" s="9"/>
    </row>
    <row r="716">
      <c r="A716" s="9"/>
      <c r="D716" s="9"/>
      <c r="E716" s="13"/>
      <c r="F716" s="13"/>
      <c r="M716" s="9"/>
      <c r="N716" s="9"/>
      <c r="O716" s="9"/>
    </row>
    <row r="717">
      <c r="A717" s="9"/>
      <c r="D717" s="9"/>
      <c r="E717" s="13"/>
      <c r="F717" s="13"/>
      <c r="M717" s="9"/>
      <c r="N717" s="9"/>
      <c r="O717" s="9"/>
    </row>
    <row r="718">
      <c r="A718" s="9"/>
      <c r="D718" s="9"/>
      <c r="E718" s="13"/>
      <c r="F718" s="13"/>
      <c r="M718" s="9"/>
      <c r="N718" s="9"/>
      <c r="O718" s="9"/>
    </row>
    <row r="719">
      <c r="A719" s="9"/>
      <c r="D719" s="9"/>
      <c r="E719" s="13"/>
      <c r="F719" s="13"/>
      <c r="M719" s="9"/>
      <c r="N719" s="9"/>
      <c r="O719" s="9"/>
    </row>
    <row r="720">
      <c r="A720" s="9"/>
      <c r="D720" s="9"/>
      <c r="E720" s="13"/>
      <c r="F720" s="13"/>
      <c r="M720" s="9"/>
      <c r="N720" s="9"/>
      <c r="O720" s="9"/>
    </row>
    <row r="721">
      <c r="A721" s="9"/>
      <c r="D721" s="9"/>
      <c r="E721" s="13"/>
      <c r="F721" s="13"/>
      <c r="M721" s="9"/>
      <c r="N721" s="9"/>
      <c r="O721" s="9"/>
    </row>
    <row r="722">
      <c r="A722" s="9"/>
      <c r="D722" s="9"/>
      <c r="E722" s="13"/>
      <c r="F722" s="13"/>
      <c r="M722" s="9"/>
      <c r="N722" s="9"/>
      <c r="O722" s="9"/>
    </row>
    <row r="723">
      <c r="A723" s="9"/>
      <c r="D723" s="9"/>
      <c r="E723" s="13"/>
      <c r="F723" s="13"/>
      <c r="M723" s="9"/>
      <c r="N723" s="9"/>
      <c r="O723" s="9"/>
    </row>
    <row r="724">
      <c r="A724" s="9"/>
      <c r="D724" s="9"/>
      <c r="E724" s="13"/>
      <c r="F724" s="13"/>
      <c r="M724" s="9"/>
      <c r="N724" s="9"/>
      <c r="O724" s="9"/>
    </row>
    <row r="725">
      <c r="A725" s="9"/>
      <c r="D725" s="9"/>
      <c r="E725" s="13"/>
      <c r="F725" s="13"/>
      <c r="M725" s="9"/>
      <c r="N725" s="9"/>
      <c r="O725" s="9"/>
    </row>
    <row r="726">
      <c r="A726" s="9"/>
      <c r="D726" s="9"/>
      <c r="E726" s="13"/>
      <c r="F726" s="13"/>
      <c r="M726" s="9"/>
      <c r="N726" s="9"/>
      <c r="O726" s="9"/>
    </row>
    <row r="727">
      <c r="A727" s="9"/>
      <c r="D727" s="9"/>
      <c r="E727" s="13"/>
      <c r="F727" s="13"/>
      <c r="M727" s="9"/>
      <c r="N727" s="9"/>
      <c r="O727" s="9"/>
    </row>
    <row r="728">
      <c r="A728" s="9"/>
      <c r="D728" s="9"/>
      <c r="E728" s="13"/>
      <c r="F728" s="13"/>
      <c r="M728" s="9"/>
      <c r="N728" s="9"/>
      <c r="O728" s="9"/>
    </row>
    <row r="729">
      <c r="A729" s="9"/>
      <c r="D729" s="9"/>
      <c r="E729" s="13"/>
      <c r="F729" s="13"/>
      <c r="M729" s="9"/>
      <c r="N729" s="9"/>
      <c r="O729" s="9"/>
    </row>
    <row r="730">
      <c r="A730" s="9"/>
      <c r="D730" s="9"/>
      <c r="E730" s="13"/>
      <c r="F730" s="13"/>
      <c r="M730" s="9"/>
      <c r="N730" s="9"/>
      <c r="O730" s="9"/>
    </row>
    <row r="731">
      <c r="A731" s="9"/>
      <c r="D731" s="9"/>
      <c r="E731" s="13"/>
      <c r="F731" s="13"/>
      <c r="M731" s="9"/>
      <c r="N731" s="9"/>
      <c r="O731" s="9"/>
    </row>
    <row r="732">
      <c r="A732" s="9"/>
      <c r="D732" s="9"/>
      <c r="E732" s="13"/>
      <c r="F732" s="13"/>
      <c r="M732" s="9"/>
      <c r="N732" s="9"/>
      <c r="O732" s="9"/>
    </row>
    <row r="733">
      <c r="A733" s="9"/>
      <c r="D733" s="9"/>
      <c r="E733" s="13"/>
      <c r="F733" s="13"/>
      <c r="M733" s="9"/>
      <c r="N733" s="9"/>
      <c r="O733" s="9"/>
    </row>
    <row r="734">
      <c r="A734" s="9"/>
      <c r="D734" s="9"/>
      <c r="E734" s="13"/>
      <c r="F734" s="13"/>
      <c r="M734" s="9"/>
      <c r="N734" s="9"/>
      <c r="O734" s="9"/>
    </row>
    <row r="735">
      <c r="A735" s="9"/>
      <c r="D735" s="9"/>
      <c r="E735" s="13"/>
      <c r="F735" s="13"/>
      <c r="M735" s="9"/>
      <c r="N735" s="9"/>
      <c r="O735" s="9"/>
    </row>
    <row r="736">
      <c r="A736" s="9"/>
      <c r="D736" s="9"/>
      <c r="E736" s="13"/>
      <c r="F736" s="13"/>
      <c r="M736" s="9"/>
      <c r="N736" s="9"/>
      <c r="O736" s="9"/>
    </row>
    <row r="737">
      <c r="A737" s="9"/>
      <c r="D737" s="9"/>
      <c r="E737" s="13"/>
      <c r="F737" s="13"/>
      <c r="M737" s="9"/>
      <c r="N737" s="9"/>
      <c r="O737" s="9"/>
    </row>
    <row r="738">
      <c r="A738" s="9"/>
      <c r="D738" s="9"/>
      <c r="E738" s="13"/>
      <c r="F738" s="13"/>
      <c r="M738" s="9"/>
      <c r="N738" s="9"/>
      <c r="O738" s="9"/>
    </row>
    <row r="739">
      <c r="A739" s="9"/>
      <c r="D739" s="9"/>
      <c r="E739" s="13"/>
      <c r="F739" s="13"/>
      <c r="M739" s="9"/>
      <c r="N739" s="9"/>
      <c r="O739" s="9"/>
    </row>
    <row r="740">
      <c r="A740" s="9"/>
      <c r="D740" s="9"/>
      <c r="E740" s="13"/>
      <c r="F740" s="13"/>
      <c r="M740" s="9"/>
      <c r="N740" s="9"/>
      <c r="O740" s="9"/>
    </row>
    <row r="741">
      <c r="A741" s="9"/>
      <c r="D741" s="9"/>
      <c r="E741" s="13"/>
      <c r="F741" s="13"/>
      <c r="M741" s="9"/>
      <c r="N741" s="9"/>
      <c r="O741" s="9"/>
    </row>
    <row r="742">
      <c r="A742" s="9"/>
      <c r="D742" s="9"/>
      <c r="E742" s="13"/>
      <c r="F742" s="13"/>
      <c r="M742" s="9"/>
      <c r="N742" s="9"/>
      <c r="O742" s="9"/>
    </row>
    <row r="743">
      <c r="A743" s="9"/>
      <c r="D743" s="9"/>
      <c r="E743" s="13"/>
      <c r="F743" s="13"/>
      <c r="M743" s="9"/>
      <c r="N743" s="9"/>
      <c r="O743" s="9"/>
    </row>
    <row r="744">
      <c r="A744" s="9"/>
      <c r="D744" s="9"/>
      <c r="E744" s="13"/>
      <c r="F744" s="13"/>
      <c r="M744" s="9"/>
      <c r="N744" s="9"/>
      <c r="O744" s="9"/>
    </row>
    <row r="745">
      <c r="A745" s="9"/>
      <c r="D745" s="9"/>
      <c r="E745" s="13"/>
      <c r="F745" s="13"/>
      <c r="M745" s="9"/>
      <c r="N745" s="9"/>
      <c r="O745" s="9"/>
    </row>
    <row r="746">
      <c r="A746" s="9"/>
      <c r="D746" s="9"/>
      <c r="E746" s="13"/>
      <c r="F746" s="13"/>
      <c r="M746" s="9"/>
      <c r="N746" s="9"/>
      <c r="O746" s="9"/>
    </row>
    <row r="747">
      <c r="A747" s="9"/>
      <c r="D747" s="9"/>
      <c r="E747" s="13"/>
      <c r="F747" s="13"/>
      <c r="M747" s="9"/>
      <c r="N747" s="9"/>
      <c r="O747" s="9"/>
    </row>
    <row r="748">
      <c r="A748" s="9"/>
      <c r="D748" s="9"/>
      <c r="E748" s="13"/>
      <c r="F748" s="13"/>
      <c r="M748" s="9"/>
      <c r="N748" s="9"/>
      <c r="O748" s="9"/>
    </row>
    <row r="749">
      <c r="A749" s="9"/>
      <c r="D749" s="9"/>
      <c r="E749" s="13"/>
      <c r="F749" s="13"/>
      <c r="M749" s="9"/>
      <c r="N749" s="9"/>
      <c r="O749" s="9"/>
    </row>
    <row r="750">
      <c r="A750" s="9"/>
      <c r="D750" s="9"/>
      <c r="E750" s="13"/>
      <c r="F750" s="13"/>
      <c r="M750" s="9"/>
      <c r="N750" s="9"/>
      <c r="O750" s="9"/>
    </row>
    <row r="751">
      <c r="A751" s="9"/>
      <c r="D751" s="9"/>
      <c r="E751" s="13"/>
      <c r="F751" s="13"/>
      <c r="M751" s="9"/>
      <c r="N751" s="9"/>
      <c r="O751" s="9"/>
    </row>
    <row r="752">
      <c r="A752" s="9"/>
      <c r="D752" s="9"/>
      <c r="E752" s="13"/>
      <c r="F752" s="13"/>
      <c r="M752" s="9"/>
      <c r="N752" s="9"/>
      <c r="O752" s="9"/>
    </row>
    <row r="753">
      <c r="A753" s="9"/>
      <c r="D753" s="9"/>
      <c r="E753" s="13"/>
      <c r="F753" s="13"/>
      <c r="M753" s="9"/>
      <c r="N753" s="9"/>
      <c r="O753" s="9"/>
    </row>
    <row r="754">
      <c r="A754" s="9"/>
      <c r="D754" s="9"/>
      <c r="E754" s="13"/>
      <c r="F754" s="13"/>
      <c r="M754" s="9"/>
      <c r="N754" s="9"/>
      <c r="O754" s="9"/>
    </row>
    <row r="755">
      <c r="A755" s="9"/>
      <c r="D755" s="9"/>
      <c r="E755" s="13"/>
      <c r="F755" s="13"/>
      <c r="M755" s="9"/>
      <c r="N755" s="9"/>
      <c r="O755" s="9"/>
    </row>
    <row r="756">
      <c r="A756" s="9"/>
      <c r="D756" s="9"/>
      <c r="E756" s="13"/>
      <c r="F756" s="13"/>
      <c r="M756" s="9"/>
      <c r="N756" s="9"/>
      <c r="O756" s="9"/>
    </row>
    <row r="757">
      <c r="A757" s="9"/>
      <c r="D757" s="9"/>
      <c r="E757" s="13"/>
      <c r="F757" s="13"/>
      <c r="M757" s="9"/>
      <c r="N757" s="9"/>
      <c r="O757" s="9"/>
    </row>
    <row r="758">
      <c r="A758" s="9"/>
      <c r="D758" s="9"/>
      <c r="E758" s="13"/>
      <c r="F758" s="13"/>
      <c r="M758" s="9"/>
      <c r="N758" s="9"/>
      <c r="O758" s="9"/>
    </row>
    <row r="759">
      <c r="A759" s="9"/>
      <c r="D759" s="9"/>
      <c r="E759" s="13"/>
      <c r="F759" s="13"/>
      <c r="M759" s="9"/>
      <c r="N759" s="9"/>
      <c r="O759" s="9"/>
    </row>
    <row r="760">
      <c r="A760" s="9"/>
      <c r="D760" s="9"/>
      <c r="E760" s="13"/>
      <c r="F760" s="13"/>
      <c r="M760" s="9"/>
      <c r="N760" s="9"/>
      <c r="O760" s="9"/>
    </row>
    <row r="761">
      <c r="A761" s="9"/>
      <c r="D761" s="9"/>
      <c r="E761" s="13"/>
      <c r="F761" s="13"/>
      <c r="M761" s="9"/>
      <c r="N761" s="9"/>
      <c r="O761" s="9"/>
    </row>
    <row r="762">
      <c r="A762" s="9"/>
      <c r="D762" s="9"/>
      <c r="E762" s="13"/>
      <c r="F762" s="13"/>
      <c r="M762" s="9"/>
      <c r="N762" s="9"/>
      <c r="O762" s="9"/>
    </row>
    <row r="763">
      <c r="A763" s="9"/>
      <c r="D763" s="9"/>
      <c r="E763" s="13"/>
      <c r="F763" s="13"/>
      <c r="M763" s="9"/>
      <c r="N763" s="9"/>
      <c r="O763" s="9"/>
    </row>
    <row r="764">
      <c r="A764" s="9"/>
      <c r="D764" s="9"/>
      <c r="E764" s="13"/>
      <c r="F764" s="13"/>
      <c r="M764" s="9"/>
      <c r="N764" s="9"/>
      <c r="O764" s="9"/>
    </row>
    <row r="765">
      <c r="A765" s="9"/>
      <c r="D765" s="9"/>
      <c r="E765" s="13"/>
      <c r="F765" s="13"/>
      <c r="M765" s="9"/>
      <c r="N765" s="9"/>
      <c r="O765" s="9"/>
    </row>
    <row r="766">
      <c r="A766" s="9"/>
      <c r="D766" s="9"/>
      <c r="E766" s="13"/>
      <c r="F766" s="13"/>
      <c r="M766" s="9"/>
      <c r="N766" s="9"/>
      <c r="O766" s="9"/>
    </row>
    <row r="767">
      <c r="A767" s="9"/>
      <c r="D767" s="9"/>
      <c r="E767" s="13"/>
      <c r="F767" s="13"/>
      <c r="M767" s="9"/>
      <c r="N767" s="9"/>
      <c r="O767" s="9"/>
    </row>
    <row r="768">
      <c r="A768" s="9"/>
      <c r="D768" s="9"/>
      <c r="E768" s="13"/>
      <c r="F768" s="13"/>
      <c r="M768" s="9"/>
      <c r="N768" s="9"/>
      <c r="O768" s="9"/>
    </row>
    <row r="769">
      <c r="A769" s="9"/>
      <c r="D769" s="9"/>
      <c r="E769" s="13"/>
      <c r="F769" s="13"/>
      <c r="M769" s="9"/>
      <c r="N769" s="9"/>
      <c r="O769" s="9"/>
    </row>
    <row r="770">
      <c r="A770" s="9"/>
      <c r="D770" s="9"/>
      <c r="E770" s="13"/>
      <c r="F770" s="13"/>
      <c r="M770" s="9"/>
      <c r="N770" s="9"/>
      <c r="O770" s="9"/>
    </row>
    <row r="771">
      <c r="A771" s="9"/>
      <c r="D771" s="9"/>
      <c r="E771" s="13"/>
      <c r="F771" s="13"/>
      <c r="M771" s="9"/>
      <c r="N771" s="9"/>
      <c r="O771" s="9"/>
    </row>
    <row r="772">
      <c r="A772" s="9"/>
      <c r="D772" s="9"/>
      <c r="E772" s="13"/>
      <c r="F772" s="13"/>
      <c r="M772" s="9"/>
      <c r="N772" s="9"/>
      <c r="O772" s="9"/>
    </row>
    <row r="773">
      <c r="A773" s="9"/>
      <c r="D773" s="9"/>
      <c r="E773" s="13"/>
      <c r="F773" s="13"/>
      <c r="M773" s="9"/>
      <c r="N773" s="9"/>
      <c r="O773" s="9"/>
    </row>
    <row r="774">
      <c r="A774" s="9"/>
      <c r="D774" s="9"/>
      <c r="E774" s="13"/>
      <c r="F774" s="13"/>
      <c r="M774" s="9"/>
      <c r="N774" s="9"/>
      <c r="O774" s="9"/>
    </row>
    <row r="775">
      <c r="A775" s="9"/>
      <c r="D775" s="9"/>
      <c r="E775" s="13"/>
      <c r="F775" s="13"/>
      <c r="M775" s="9"/>
      <c r="N775" s="9"/>
      <c r="O775" s="9"/>
    </row>
    <row r="776">
      <c r="A776" s="9"/>
      <c r="D776" s="9"/>
      <c r="E776" s="13"/>
      <c r="F776" s="13"/>
      <c r="M776" s="9"/>
      <c r="N776" s="9"/>
      <c r="O776" s="9"/>
    </row>
    <row r="777">
      <c r="A777" s="9"/>
      <c r="D777" s="9"/>
      <c r="E777" s="13"/>
      <c r="F777" s="13"/>
      <c r="M777" s="9"/>
      <c r="N777" s="9"/>
      <c r="O777" s="9"/>
    </row>
    <row r="778">
      <c r="A778" s="9"/>
      <c r="D778" s="9"/>
      <c r="E778" s="13"/>
      <c r="F778" s="13"/>
      <c r="M778" s="9"/>
      <c r="N778" s="9"/>
      <c r="O778" s="9"/>
    </row>
    <row r="779">
      <c r="A779" s="9"/>
      <c r="D779" s="9"/>
      <c r="E779" s="13"/>
      <c r="F779" s="13"/>
      <c r="M779" s="9"/>
      <c r="N779" s="9"/>
      <c r="O779" s="9"/>
    </row>
    <row r="780">
      <c r="A780" s="9"/>
      <c r="D780" s="9"/>
      <c r="E780" s="13"/>
      <c r="F780" s="13"/>
      <c r="M780" s="9"/>
      <c r="N780" s="9"/>
      <c r="O780" s="9"/>
    </row>
    <row r="781">
      <c r="A781" s="9"/>
      <c r="D781" s="9"/>
      <c r="E781" s="13"/>
      <c r="F781" s="13"/>
      <c r="M781" s="9"/>
      <c r="N781" s="9"/>
      <c r="O781" s="9"/>
    </row>
    <row r="782">
      <c r="A782" s="9"/>
      <c r="D782" s="9"/>
      <c r="E782" s="13"/>
      <c r="F782" s="13"/>
      <c r="M782" s="9"/>
      <c r="N782" s="9"/>
      <c r="O782" s="9"/>
    </row>
    <row r="783">
      <c r="A783" s="9"/>
      <c r="D783" s="9"/>
      <c r="E783" s="13"/>
      <c r="F783" s="13"/>
      <c r="M783" s="9"/>
      <c r="N783" s="9"/>
      <c r="O783" s="9"/>
    </row>
    <row r="784">
      <c r="A784" s="9"/>
      <c r="D784" s="9"/>
      <c r="E784" s="13"/>
      <c r="F784" s="13"/>
      <c r="M784" s="9"/>
      <c r="N784" s="9"/>
      <c r="O784" s="9"/>
    </row>
    <row r="785">
      <c r="A785" s="9"/>
      <c r="D785" s="9"/>
      <c r="E785" s="13"/>
      <c r="F785" s="13"/>
      <c r="M785" s="9"/>
      <c r="N785" s="9"/>
      <c r="O785" s="9"/>
    </row>
    <row r="786">
      <c r="A786" s="9"/>
      <c r="D786" s="9"/>
      <c r="E786" s="13"/>
      <c r="F786" s="13"/>
      <c r="M786" s="9"/>
      <c r="N786" s="9"/>
      <c r="O786" s="9"/>
    </row>
    <row r="787">
      <c r="A787" s="9"/>
      <c r="D787" s="9"/>
      <c r="E787" s="13"/>
      <c r="F787" s="13"/>
      <c r="M787" s="9"/>
      <c r="N787" s="9"/>
      <c r="O787" s="9"/>
    </row>
    <row r="788">
      <c r="A788" s="9"/>
      <c r="D788" s="9"/>
      <c r="E788" s="13"/>
      <c r="F788" s="13"/>
      <c r="M788" s="9"/>
      <c r="N788" s="9"/>
      <c r="O788" s="9"/>
    </row>
    <row r="789">
      <c r="A789" s="9"/>
      <c r="D789" s="9"/>
      <c r="E789" s="13"/>
      <c r="F789" s="13"/>
      <c r="M789" s="9"/>
      <c r="N789" s="9"/>
      <c r="O789" s="9"/>
    </row>
    <row r="790">
      <c r="A790" s="9"/>
      <c r="D790" s="9"/>
      <c r="E790" s="13"/>
      <c r="F790" s="13"/>
      <c r="M790" s="9"/>
      <c r="N790" s="9"/>
      <c r="O790" s="9"/>
    </row>
    <row r="791">
      <c r="A791" s="9"/>
      <c r="D791" s="9"/>
      <c r="E791" s="13"/>
      <c r="F791" s="13"/>
      <c r="M791" s="9"/>
      <c r="N791" s="9"/>
      <c r="O791" s="9"/>
    </row>
    <row r="792">
      <c r="A792" s="9"/>
      <c r="D792" s="9"/>
      <c r="E792" s="13"/>
      <c r="F792" s="13"/>
      <c r="M792" s="9"/>
      <c r="N792" s="9"/>
      <c r="O792" s="9"/>
    </row>
    <row r="793">
      <c r="A793" s="9"/>
      <c r="D793" s="9"/>
      <c r="E793" s="13"/>
      <c r="F793" s="13"/>
      <c r="M793" s="9"/>
      <c r="N793" s="9"/>
      <c r="O793" s="9"/>
    </row>
    <row r="794">
      <c r="A794" s="9"/>
      <c r="D794" s="9"/>
      <c r="E794" s="13"/>
      <c r="F794" s="13"/>
      <c r="M794" s="9"/>
      <c r="N794" s="9"/>
      <c r="O794" s="9"/>
    </row>
    <row r="795">
      <c r="A795" s="9"/>
      <c r="D795" s="9"/>
      <c r="E795" s="13"/>
      <c r="F795" s="13"/>
      <c r="M795" s="9"/>
      <c r="N795" s="9"/>
      <c r="O795" s="9"/>
    </row>
    <row r="796">
      <c r="A796" s="9"/>
      <c r="D796" s="9"/>
      <c r="E796" s="13"/>
      <c r="F796" s="13"/>
      <c r="M796" s="9"/>
      <c r="N796" s="9"/>
      <c r="O796" s="9"/>
    </row>
    <row r="797">
      <c r="A797" s="9"/>
      <c r="D797" s="9"/>
      <c r="E797" s="13"/>
      <c r="F797" s="13"/>
      <c r="M797" s="9"/>
      <c r="N797" s="9"/>
      <c r="O797" s="9"/>
    </row>
    <row r="798">
      <c r="A798" s="9"/>
      <c r="D798" s="9"/>
      <c r="E798" s="13"/>
      <c r="F798" s="13"/>
      <c r="M798" s="9"/>
      <c r="N798" s="9"/>
      <c r="O798" s="9"/>
    </row>
    <row r="799">
      <c r="A799" s="9"/>
      <c r="D799" s="9"/>
      <c r="E799" s="13"/>
      <c r="F799" s="13"/>
      <c r="M799" s="9"/>
      <c r="N799" s="9"/>
      <c r="O799" s="9"/>
    </row>
    <row r="800">
      <c r="A800" s="9"/>
      <c r="D800" s="9"/>
      <c r="E800" s="13"/>
      <c r="F800" s="13"/>
      <c r="M800" s="9"/>
      <c r="N800" s="9"/>
      <c r="O800" s="9"/>
    </row>
    <row r="801">
      <c r="A801" s="9"/>
      <c r="D801" s="9"/>
      <c r="E801" s="13"/>
      <c r="F801" s="13"/>
      <c r="M801" s="9"/>
      <c r="N801" s="9"/>
      <c r="O801" s="9"/>
    </row>
    <row r="802">
      <c r="A802" s="9"/>
      <c r="D802" s="9"/>
      <c r="E802" s="13"/>
      <c r="F802" s="13"/>
      <c r="M802" s="9"/>
      <c r="N802" s="9"/>
      <c r="O802" s="9"/>
    </row>
    <row r="803">
      <c r="A803" s="9"/>
      <c r="D803" s="9"/>
      <c r="E803" s="13"/>
      <c r="F803" s="13"/>
      <c r="M803" s="9"/>
      <c r="N803" s="9"/>
      <c r="O803" s="9"/>
    </row>
    <row r="804">
      <c r="A804" s="9"/>
      <c r="D804" s="9"/>
      <c r="E804" s="13"/>
      <c r="F804" s="13"/>
      <c r="M804" s="9"/>
      <c r="N804" s="9"/>
      <c r="O804" s="9"/>
    </row>
    <row r="805">
      <c r="A805" s="9"/>
      <c r="D805" s="9"/>
      <c r="E805" s="13"/>
      <c r="F805" s="13"/>
      <c r="M805" s="9"/>
      <c r="N805" s="9"/>
      <c r="O805" s="9"/>
    </row>
    <row r="806">
      <c r="A806" s="9"/>
      <c r="D806" s="9"/>
      <c r="E806" s="13"/>
      <c r="F806" s="13"/>
      <c r="M806" s="9"/>
      <c r="N806" s="9"/>
      <c r="O806" s="9"/>
    </row>
    <row r="807">
      <c r="A807" s="9"/>
      <c r="D807" s="9"/>
      <c r="E807" s="13"/>
      <c r="F807" s="13"/>
      <c r="M807" s="9"/>
      <c r="N807" s="9"/>
      <c r="O807" s="9"/>
    </row>
    <row r="808">
      <c r="A808" s="9"/>
      <c r="D808" s="9"/>
      <c r="E808" s="13"/>
      <c r="F808" s="13"/>
      <c r="M808" s="9"/>
      <c r="N808" s="9"/>
      <c r="O808" s="9"/>
    </row>
    <row r="809">
      <c r="A809" s="9"/>
      <c r="D809" s="9"/>
      <c r="E809" s="13"/>
      <c r="F809" s="13"/>
      <c r="M809" s="9"/>
      <c r="N809" s="9"/>
      <c r="O809" s="9"/>
    </row>
    <row r="810">
      <c r="A810" s="9"/>
      <c r="D810" s="9"/>
      <c r="E810" s="13"/>
      <c r="F810" s="13"/>
      <c r="M810" s="9"/>
      <c r="N810" s="9"/>
      <c r="O810" s="9"/>
    </row>
    <row r="811">
      <c r="A811" s="9"/>
      <c r="D811" s="9"/>
      <c r="E811" s="13"/>
      <c r="F811" s="13"/>
      <c r="M811" s="9"/>
      <c r="N811" s="9"/>
      <c r="O811" s="9"/>
    </row>
    <row r="812">
      <c r="A812" s="9"/>
      <c r="D812" s="9"/>
      <c r="E812" s="13"/>
      <c r="F812" s="13"/>
      <c r="M812" s="9"/>
      <c r="N812" s="9"/>
      <c r="O812" s="9"/>
    </row>
    <row r="813">
      <c r="A813" s="9"/>
      <c r="D813" s="9"/>
      <c r="E813" s="13"/>
      <c r="F813" s="13"/>
      <c r="M813" s="9"/>
      <c r="N813" s="9"/>
      <c r="O813" s="9"/>
    </row>
    <row r="814">
      <c r="A814" s="9"/>
      <c r="D814" s="9"/>
      <c r="E814" s="13"/>
      <c r="F814" s="13"/>
      <c r="M814" s="9"/>
      <c r="N814" s="9"/>
      <c r="O814" s="9"/>
    </row>
    <row r="815">
      <c r="A815" s="9"/>
      <c r="D815" s="9"/>
      <c r="E815" s="13"/>
      <c r="F815" s="13"/>
      <c r="M815" s="9"/>
      <c r="N815" s="9"/>
      <c r="O815" s="9"/>
    </row>
    <row r="816">
      <c r="A816" s="9"/>
      <c r="D816" s="9"/>
      <c r="E816" s="13"/>
      <c r="F816" s="13"/>
      <c r="M816" s="9"/>
      <c r="N816" s="9"/>
      <c r="O816" s="9"/>
    </row>
    <row r="817">
      <c r="A817" s="9"/>
      <c r="D817" s="9"/>
      <c r="E817" s="13"/>
      <c r="F817" s="13"/>
      <c r="M817" s="9"/>
      <c r="N817" s="9"/>
      <c r="O817" s="9"/>
    </row>
    <row r="818">
      <c r="A818" s="9"/>
      <c r="D818" s="9"/>
      <c r="E818" s="13"/>
      <c r="F818" s="13"/>
      <c r="M818" s="9"/>
      <c r="N818" s="9"/>
      <c r="O818" s="9"/>
    </row>
    <row r="819">
      <c r="A819" s="9"/>
      <c r="D819" s="9"/>
      <c r="E819" s="13"/>
      <c r="F819" s="13"/>
      <c r="M819" s="9"/>
      <c r="N819" s="9"/>
      <c r="O819" s="9"/>
    </row>
    <row r="820">
      <c r="A820" s="9"/>
      <c r="D820" s="9"/>
      <c r="E820" s="13"/>
      <c r="F820" s="13"/>
      <c r="M820" s="9"/>
      <c r="N820" s="9"/>
      <c r="O820" s="9"/>
    </row>
    <row r="821">
      <c r="A821" s="9"/>
      <c r="D821" s="9"/>
      <c r="E821" s="13"/>
      <c r="F821" s="13"/>
      <c r="M821" s="9"/>
      <c r="N821" s="9"/>
      <c r="O821" s="9"/>
    </row>
    <row r="822">
      <c r="A822" s="9"/>
      <c r="D822" s="9"/>
      <c r="E822" s="13"/>
      <c r="F822" s="13"/>
      <c r="M822" s="9"/>
      <c r="N822" s="9"/>
      <c r="O822" s="9"/>
    </row>
    <row r="823">
      <c r="A823" s="9"/>
      <c r="D823" s="9"/>
      <c r="E823" s="13"/>
      <c r="F823" s="13"/>
      <c r="M823" s="9"/>
      <c r="N823" s="9"/>
      <c r="O823" s="9"/>
    </row>
    <row r="824">
      <c r="A824" s="9"/>
      <c r="D824" s="9"/>
      <c r="E824" s="13"/>
      <c r="F824" s="13"/>
      <c r="M824" s="9"/>
      <c r="N824" s="9"/>
      <c r="O824" s="9"/>
    </row>
    <row r="825">
      <c r="A825" s="9"/>
      <c r="D825" s="9"/>
      <c r="E825" s="13"/>
      <c r="F825" s="13"/>
      <c r="M825" s="9"/>
      <c r="N825" s="9"/>
      <c r="O825" s="9"/>
    </row>
    <row r="826">
      <c r="A826" s="9"/>
      <c r="D826" s="9"/>
      <c r="E826" s="13"/>
      <c r="F826" s="13"/>
      <c r="M826" s="9"/>
      <c r="N826" s="9"/>
      <c r="O826" s="9"/>
    </row>
    <row r="827">
      <c r="A827" s="9"/>
      <c r="D827" s="9"/>
      <c r="E827" s="13"/>
      <c r="F827" s="13"/>
      <c r="M827" s="9"/>
      <c r="N827" s="9"/>
      <c r="O827" s="9"/>
    </row>
    <row r="828">
      <c r="A828" s="9"/>
      <c r="D828" s="9"/>
      <c r="E828" s="13"/>
      <c r="F828" s="13"/>
      <c r="M828" s="9"/>
      <c r="N828" s="9"/>
      <c r="O828" s="9"/>
    </row>
    <row r="829">
      <c r="A829" s="9"/>
      <c r="D829" s="9"/>
      <c r="E829" s="13"/>
      <c r="F829" s="13"/>
      <c r="M829" s="9"/>
      <c r="N829" s="9"/>
      <c r="O829" s="9"/>
    </row>
    <row r="830">
      <c r="A830" s="9"/>
      <c r="D830" s="9"/>
      <c r="E830" s="13"/>
      <c r="F830" s="13"/>
      <c r="M830" s="9"/>
      <c r="N830" s="9"/>
      <c r="O830" s="9"/>
    </row>
    <row r="831">
      <c r="A831" s="9"/>
      <c r="D831" s="9"/>
      <c r="E831" s="13"/>
      <c r="F831" s="13"/>
      <c r="M831" s="9"/>
      <c r="N831" s="9"/>
      <c r="O831" s="9"/>
    </row>
    <row r="832">
      <c r="A832" s="9"/>
      <c r="D832" s="9"/>
      <c r="E832" s="13"/>
      <c r="F832" s="13"/>
      <c r="M832" s="9"/>
      <c r="N832" s="9"/>
      <c r="O832" s="9"/>
    </row>
    <row r="833">
      <c r="A833" s="9"/>
      <c r="D833" s="9"/>
      <c r="E833" s="13"/>
      <c r="F833" s="13"/>
      <c r="M833" s="9"/>
      <c r="N833" s="9"/>
      <c r="O833" s="9"/>
    </row>
    <row r="834">
      <c r="A834" s="9"/>
      <c r="D834" s="9"/>
      <c r="E834" s="13"/>
      <c r="F834" s="13"/>
      <c r="M834" s="9"/>
      <c r="N834" s="9"/>
      <c r="O834" s="9"/>
    </row>
    <row r="835">
      <c r="A835" s="9"/>
      <c r="D835" s="9"/>
      <c r="E835" s="13"/>
      <c r="F835" s="13"/>
      <c r="M835" s="9"/>
      <c r="N835" s="9"/>
      <c r="O835" s="9"/>
    </row>
    <row r="836">
      <c r="A836" s="9"/>
      <c r="D836" s="9"/>
      <c r="E836" s="13"/>
      <c r="F836" s="13"/>
      <c r="M836" s="9"/>
      <c r="N836" s="9"/>
      <c r="O836" s="9"/>
    </row>
    <row r="837">
      <c r="A837" s="9"/>
      <c r="D837" s="9"/>
      <c r="E837" s="13"/>
      <c r="F837" s="13"/>
      <c r="M837" s="9"/>
      <c r="N837" s="9"/>
      <c r="O837" s="9"/>
    </row>
    <row r="838">
      <c r="A838" s="9"/>
      <c r="D838" s="9"/>
      <c r="E838" s="13"/>
      <c r="F838" s="13"/>
      <c r="M838" s="9"/>
      <c r="N838" s="9"/>
      <c r="O838" s="9"/>
    </row>
    <row r="839">
      <c r="A839" s="9"/>
      <c r="D839" s="9"/>
      <c r="E839" s="13"/>
      <c r="F839" s="13"/>
      <c r="M839" s="9"/>
      <c r="N839" s="9"/>
      <c r="O839" s="9"/>
    </row>
    <row r="840">
      <c r="A840" s="9"/>
      <c r="D840" s="9"/>
      <c r="E840" s="13"/>
      <c r="F840" s="13"/>
      <c r="M840" s="9"/>
      <c r="N840" s="9"/>
      <c r="O840" s="9"/>
    </row>
    <row r="841">
      <c r="A841" s="9"/>
      <c r="D841" s="9"/>
      <c r="E841" s="13"/>
      <c r="F841" s="13"/>
      <c r="M841" s="9"/>
      <c r="N841" s="9"/>
      <c r="O841" s="9"/>
    </row>
    <row r="842">
      <c r="A842" s="9"/>
      <c r="D842" s="9"/>
      <c r="E842" s="13"/>
      <c r="F842" s="13"/>
      <c r="M842" s="9"/>
      <c r="N842" s="9"/>
      <c r="O842" s="9"/>
    </row>
    <row r="843">
      <c r="A843" s="9"/>
      <c r="D843" s="9"/>
      <c r="E843" s="13"/>
      <c r="F843" s="13"/>
      <c r="M843" s="9"/>
      <c r="N843" s="9"/>
      <c r="O843" s="9"/>
    </row>
    <row r="844">
      <c r="A844" s="9"/>
      <c r="D844" s="9"/>
      <c r="E844" s="13"/>
      <c r="F844" s="13"/>
      <c r="M844" s="9"/>
      <c r="N844" s="9"/>
      <c r="O844" s="9"/>
    </row>
    <row r="845">
      <c r="A845" s="9"/>
      <c r="D845" s="9"/>
      <c r="E845" s="13"/>
      <c r="F845" s="13"/>
      <c r="M845" s="9"/>
      <c r="N845" s="9"/>
      <c r="O845" s="9"/>
    </row>
    <row r="846">
      <c r="A846" s="9"/>
      <c r="D846" s="9"/>
      <c r="E846" s="13"/>
      <c r="F846" s="13"/>
      <c r="M846" s="9"/>
      <c r="N846" s="9"/>
      <c r="O846" s="9"/>
    </row>
    <row r="847">
      <c r="A847" s="9"/>
      <c r="D847" s="9"/>
      <c r="E847" s="13"/>
      <c r="F847" s="13"/>
      <c r="M847" s="9"/>
      <c r="N847" s="9"/>
      <c r="O847" s="9"/>
    </row>
    <row r="848">
      <c r="A848" s="9"/>
      <c r="D848" s="9"/>
      <c r="E848" s="13"/>
      <c r="F848" s="13"/>
      <c r="M848" s="9"/>
      <c r="N848" s="9"/>
      <c r="O848" s="9"/>
    </row>
    <row r="849">
      <c r="A849" s="9"/>
      <c r="D849" s="9"/>
      <c r="E849" s="13"/>
      <c r="F849" s="13"/>
      <c r="M849" s="9"/>
      <c r="N849" s="9"/>
      <c r="O849" s="9"/>
    </row>
    <row r="850">
      <c r="A850" s="9"/>
      <c r="D850" s="9"/>
      <c r="E850" s="13"/>
      <c r="F850" s="13"/>
      <c r="M850" s="9"/>
      <c r="N850" s="9"/>
      <c r="O850" s="9"/>
    </row>
    <row r="851">
      <c r="A851" s="9"/>
      <c r="D851" s="9"/>
      <c r="E851" s="13"/>
      <c r="F851" s="13"/>
      <c r="M851" s="9"/>
      <c r="N851" s="9"/>
      <c r="O851" s="9"/>
    </row>
    <row r="852">
      <c r="A852" s="9"/>
      <c r="D852" s="9"/>
      <c r="E852" s="13"/>
      <c r="F852" s="13"/>
      <c r="M852" s="9"/>
      <c r="N852" s="9"/>
      <c r="O852" s="9"/>
    </row>
    <row r="853">
      <c r="A853" s="9"/>
      <c r="D853" s="9"/>
      <c r="E853" s="13"/>
      <c r="F853" s="13"/>
      <c r="M853" s="9"/>
      <c r="N853" s="9"/>
      <c r="O853" s="9"/>
    </row>
    <row r="854">
      <c r="A854" s="9"/>
      <c r="D854" s="9"/>
      <c r="E854" s="13"/>
      <c r="F854" s="13"/>
      <c r="M854" s="9"/>
      <c r="N854" s="9"/>
      <c r="O854" s="9"/>
    </row>
    <row r="855">
      <c r="A855" s="9"/>
      <c r="D855" s="9"/>
      <c r="E855" s="13"/>
      <c r="F855" s="13"/>
      <c r="M855" s="9"/>
      <c r="N855" s="9"/>
      <c r="O855" s="9"/>
    </row>
    <row r="856">
      <c r="A856" s="9"/>
      <c r="D856" s="9"/>
      <c r="E856" s="13"/>
      <c r="F856" s="13"/>
      <c r="M856" s="9"/>
      <c r="N856" s="9"/>
      <c r="O856" s="9"/>
    </row>
    <row r="857">
      <c r="A857" s="9"/>
      <c r="D857" s="9"/>
      <c r="E857" s="13"/>
      <c r="F857" s="13"/>
      <c r="M857" s="9"/>
      <c r="N857" s="9"/>
      <c r="O857" s="9"/>
    </row>
    <row r="858">
      <c r="A858" s="9"/>
      <c r="D858" s="9"/>
      <c r="E858" s="13"/>
      <c r="F858" s="13"/>
      <c r="M858" s="9"/>
      <c r="N858" s="9"/>
      <c r="O858" s="9"/>
    </row>
    <row r="859">
      <c r="A859" s="9"/>
      <c r="D859" s="9"/>
      <c r="E859" s="13"/>
      <c r="F859" s="13"/>
      <c r="M859" s="9"/>
      <c r="N859" s="9"/>
      <c r="O859" s="9"/>
    </row>
    <row r="860">
      <c r="A860" s="9"/>
      <c r="D860" s="9"/>
      <c r="E860" s="13"/>
      <c r="F860" s="13"/>
      <c r="M860" s="9"/>
      <c r="N860" s="9"/>
      <c r="O860" s="9"/>
    </row>
    <row r="861">
      <c r="A861" s="9"/>
      <c r="D861" s="9"/>
      <c r="E861" s="13"/>
      <c r="F861" s="13"/>
      <c r="M861" s="9"/>
      <c r="N861" s="9"/>
      <c r="O861" s="9"/>
    </row>
    <row r="862">
      <c r="A862" s="9"/>
      <c r="D862" s="9"/>
      <c r="E862" s="13"/>
      <c r="F862" s="13"/>
      <c r="M862" s="9"/>
      <c r="N862" s="9"/>
      <c r="O862" s="9"/>
    </row>
    <row r="863">
      <c r="A863" s="9"/>
      <c r="D863" s="9"/>
      <c r="E863" s="13"/>
      <c r="F863" s="13"/>
      <c r="M863" s="9"/>
      <c r="N863" s="9"/>
      <c r="O863" s="9"/>
    </row>
    <row r="864">
      <c r="A864" s="9"/>
      <c r="D864" s="9"/>
      <c r="E864" s="13"/>
      <c r="F864" s="13"/>
      <c r="M864" s="9"/>
      <c r="N864" s="9"/>
      <c r="O864" s="9"/>
    </row>
    <row r="865">
      <c r="A865" s="9"/>
      <c r="D865" s="9"/>
      <c r="E865" s="13"/>
      <c r="F865" s="13"/>
      <c r="M865" s="9"/>
      <c r="N865" s="9"/>
      <c r="O865" s="9"/>
    </row>
    <row r="866">
      <c r="A866" s="9"/>
      <c r="D866" s="9"/>
      <c r="E866" s="13"/>
      <c r="F866" s="13"/>
      <c r="M866" s="9"/>
      <c r="N866" s="9"/>
      <c r="O866" s="9"/>
    </row>
    <row r="867">
      <c r="A867" s="9"/>
      <c r="D867" s="9"/>
      <c r="E867" s="13"/>
      <c r="F867" s="13"/>
      <c r="M867" s="9"/>
      <c r="N867" s="9"/>
      <c r="O867" s="9"/>
    </row>
    <row r="868">
      <c r="A868" s="9"/>
      <c r="D868" s="9"/>
      <c r="E868" s="13"/>
      <c r="F868" s="13"/>
      <c r="M868" s="9"/>
      <c r="N868" s="9"/>
      <c r="O868" s="9"/>
    </row>
    <row r="869">
      <c r="A869" s="9"/>
      <c r="D869" s="9"/>
      <c r="E869" s="13"/>
      <c r="F869" s="13"/>
      <c r="M869" s="9"/>
      <c r="N869" s="9"/>
      <c r="O869" s="9"/>
    </row>
    <row r="870">
      <c r="A870" s="9"/>
      <c r="D870" s="9"/>
      <c r="E870" s="13"/>
      <c r="F870" s="13"/>
      <c r="M870" s="9"/>
      <c r="N870" s="9"/>
      <c r="O870" s="9"/>
    </row>
    <row r="871">
      <c r="A871" s="9"/>
      <c r="D871" s="9"/>
      <c r="E871" s="13"/>
      <c r="F871" s="13"/>
      <c r="M871" s="9"/>
      <c r="N871" s="9"/>
      <c r="O871" s="9"/>
    </row>
    <row r="872">
      <c r="A872" s="9"/>
      <c r="D872" s="9"/>
      <c r="E872" s="13"/>
      <c r="F872" s="13"/>
      <c r="M872" s="9"/>
      <c r="N872" s="9"/>
      <c r="O872" s="9"/>
    </row>
    <row r="873">
      <c r="A873" s="9"/>
      <c r="D873" s="9"/>
      <c r="E873" s="13"/>
      <c r="F873" s="13"/>
      <c r="M873" s="9"/>
      <c r="N873" s="9"/>
      <c r="O873" s="9"/>
    </row>
    <row r="874">
      <c r="A874" s="9"/>
      <c r="D874" s="9"/>
      <c r="E874" s="13"/>
      <c r="F874" s="13"/>
      <c r="M874" s="9"/>
      <c r="N874" s="9"/>
      <c r="O874" s="9"/>
    </row>
    <row r="875">
      <c r="A875" s="9"/>
      <c r="D875" s="9"/>
      <c r="E875" s="13"/>
      <c r="F875" s="13"/>
      <c r="M875" s="9"/>
      <c r="N875" s="9"/>
      <c r="O875" s="9"/>
    </row>
    <row r="876">
      <c r="A876" s="9"/>
      <c r="D876" s="9"/>
      <c r="E876" s="13"/>
      <c r="F876" s="13"/>
      <c r="M876" s="9"/>
      <c r="N876" s="9"/>
      <c r="O876" s="9"/>
    </row>
    <row r="877">
      <c r="A877" s="9"/>
      <c r="D877" s="9"/>
      <c r="E877" s="13"/>
      <c r="F877" s="13"/>
      <c r="M877" s="9"/>
      <c r="N877" s="9"/>
      <c r="O877" s="9"/>
    </row>
    <row r="878">
      <c r="A878" s="9"/>
      <c r="D878" s="9"/>
      <c r="E878" s="13"/>
      <c r="F878" s="13"/>
      <c r="M878" s="9"/>
      <c r="N878" s="9"/>
      <c r="O878" s="9"/>
    </row>
    <row r="879">
      <c r="A879" s="9"/>
      <c r="D879" s="9"/>
      <c r="E879" s="13"/>
      <c r="F879" s="13"/>
      <c r="M879" s="9"/>
      <c r="N879" s="9"/>
      <c r="O879" s="9"/>
    </row>
    <row r="880">
      <c r="A880" s="9"/>
      <c r="D880" s="9"/>
      <c r="E880" s="13"/>
      <c r="F880" s="13"/>
      <c r="M880" s="9"/>
      <c r="N880" s="9"/>
      <c r="O880" s="9"/>
    </row>
    <row r="881">
      <c r="A881" s="9"/>
      <c r="D881" s="9"/>
      <c r="E881" s="13"/>
      <c r="F881" s="13"/>
      <c r="M881" s="9"/>
      <c r="N881" s="9"/>
      <c r="O881" s="9"/>
    </row>
    <row r="882">
      <c r="A882" s="9"/>
      <c r="D882" s="9"/>
      <c r="E882" s="13"/>
      <c r="F882" s="13"/>
      <c r="M882" s="9"/>
      <c r="N882" s="9"/>
      <c r="O882" s="9"/>
    </row>
    <row r="883">
      <c r="A883" s="9"/>
      <c r="D883" s="9"/>
      <c r="E883" s="13"/>
      <c r="F883" s="13"/>
      <c r="M883" s="9"/>
      <c r="N883" s="9"/>
      <c r="O883" s="9"/>
    </row>
    <row r="884">
      <c r="A884" s="9"/>
      <c r="D884" s="9"/>
      <c r="E884" s="13"/>
      <c r="F884" s="13"/>
      <c r="M884" s="9"/>
      <c r="N884" s="9"/>
      <c r="O884" s="9"/>
    </row>
    <row r="885">
      <c r="A885" s="9"/>
      <c r="D885" s="9"/>
      <c r="E885" s="13"/>
      <c r="F885" s="13"/>
      <c r="M885" s="9"/>
      <c r="N885" s="9"/>
      <c r="O885" s="9"/>
    </row>
    <row r="886">
      <c r="A886" s="9"/>
      <c r="D886" s="9"/>
      <c r="E886" s="13"/>
      <c r="F886" s="13"/>
      <c r="M886" s="9"/>
      <c r="N886" s="9"/>
      <c r="O886" s="9"/>
    </row>
    <row r="887">
      <c r="A887" s="9"/>
      <c r="D887" s="9"/>
      <c r="E887" s="13"/>
      <c r="F887" s="13"/>
      <c r="M887" s="9"/>
      <c r="N887" s="9"/>
      <c r="O887" s="9"/>
    </row>
    <row r="888">
      <c r="A888" s="9"/>
      <c r="D888" s="9"/>
      <c r="E888" s="13"/>
      <c r="F888" s="13"/>
      <c r="M888" s="9"/>
      <c r="N888" s="9"/>
      <c r="O888" s="9"/>
    </row>
    <row r="889">
      <c r="A889" s="9"/>
      <c r="D889" s="9"/>
      <c r="E889" s="13"/>
      <c r="F889" s="13"/>
      <c r="M889" s="9"/>
      <c r="N889" s="9"/>
      <c r="O889" s="9"/>
    </row>
    <row r="890">
      <c r="A890" s="9"/>
      <c r="D890" s="9"/>
      <c r="E890" s="13"/>
      <c r="F890" s="13"/>
      <c r="M890" s="9"/>
      <c r="N890" s="9"/>
      <c r="O890" s="9"/>
    </row>
    <row r="891">
      <c r="A891" s="9"/>
      <c r="D891" s="9"/>
      <c r="E891" s="13"/>
      <c r="F891" s="13"/>
      <c r="M891" s="9"/>
      <c r="N891" s="9"/>
      <c r="O891" s="9"/>
    </row>
    <row r="892">
      <c r="A892" s="9"/>
      <c r="D892" s="9"/>
      <c r="E892" s="13"/>
      <c r="F892" s="13"/>
      <c r="M892" s="9"/>
      <c r="N892" s="9"/>
      <c r="O892" s="9"/>
    </row>
    <row r="893">
      <c r="A893" s="9"/>
      <c r="D893" s="9"/>
      <c r="E893" s="13"/>
      <c r="F893" s="13"/>
      <c r="M893" s="9"/>
      <c r="N893" s="9"/>
      <c r="O893" s="9"/>
    </row>
    <row r="894">
      <c r="A894" s="9"/>
      <c r="D894" s="9"/>
      <c r="E894" s="13"/>
      <c r="F894" s="13"/>
      <c r="M894" s="9"/>
      <c r="N894" s="9"/>
      <c r="O894" s="9"/>
    </row>
    <row r="895">
      <c r="A895" s="9"/>
      <c r="D895" s="9"/>
      <c r="E895" s="13"/>
      <c r="F895" s="13"/>
      <c r="M895" s="9"/>
      <c r="N895" s="9"/>
      <c r="O895" s="9"/>
    </row>
    <row r="896">
      <c r="A896" s="9"/>
      <c r="D896" s="9"/>
      <c r="E896" s="13"/>
      <c r="F896" s="13"/>
      <c r="M896" s="9"/>
      <c r="N896" s="9"/>
      <c r="O896" s="9"/>
    </row>
    <row r="897">
      <c r="A897" s="9"/>
      <c r="D897" s="9"/>
      <c r="E897" s="13"/>
      <c r="F897" s="13"/>
      <c r="M897" s="9"/>
      <c r="N897" s="9"/>
      <c r="O897" s="9"/>
    </row>
    <row r="898">
      <c r="A898" s="9"/>
      <c r="D898" s="9"/>
      <c r="E898" s="13"/>
      <c r="F898" s="13"/>
      <c r="M898" s="9"/>
      <c r="N898" s="9"/>
      <c r="O898" s="9"/>
    </row>
    <row r="899">
      <c r="A899" s="9"/>
      <c r="D899" s="9"/>
      <c r="E899" s="13"/>
      <c r="F899" s="13"/>
      <c r="M899" s="9"/>
      <c r="N899" s="9"/>
      <c r="O899" s="9"/>
    </row>
    <row r="900">
      <c r="A900" s="9"/>
      <c r="D900" s="9"/>
      <c r="E900" s="13"/>
      <c r="F900" s="13"/>
      <c r="M900" s="9"/>
      <c r="N900" s="9"/>
      <c r="O900" s="9"/>
    </row>
    <row r="901">
      <c r="A901" s="9"/>
      <c r="D901" s="9"/>
      <c r="E901" s="13"/>
      <c r="F901" s="13"/>
      <c r="M901" s="9"/>
      <c r="N901" s="9"/>
      <c r="O901" s="9"/>
    </row>
    <row r="902">
      <c r="A902" s="9"/>
      <c r="D902" s="9"/>
      <c r="E902" s="13"/>
      <c r="F902" s="13"/>
      <c r="M902" s="9"/>
      <c r="N902" s="9"/>
      <c r="O902" s="9"/>
    </row>
    <row r="903">
      <c r="A903" s="9"/>
      <c r="D903" s="9"/>
      <c r="E903" s="13"/>
      <c r="F903" s="13"/>
      <c r="M903" s="9"/>
      <c r="N903" s="9"/>
      <c r="O903" s="9"/>
    </row>
    <row r="904">
      <c r="A904" s="9"/>
      <c r="D904" s="9"/>
      <c r="E904" s="13"/>
      <c r="F904" s="13"/>
      <c r="M904" s="9"/>
      <c r="N904" s="9"/>
      <c r="O904" s="9"/>
    </row>
    <row r="905">
      <c r="A905" s="9"/>
      <c r="D905" s="9"/>
      <c r="E905" s="13"/>
      <c r="F905" s="13"/>
      <c r="M905" s="9"/>
      <c r="N905" s="9"/>
      <c r="O905" s="9"/>
    </row>
    <row r="906">
      <c r="A906" s="9"/>
      <c r="D906" s="9"/>
      <c r="E906" s="13"/>
      <c r="F906" s="13"/>
      <c r="M906" s="9"/>
      <c r="N906" s="9"/>
      <c r="O906" s="9"/>
    </row>
    <row r="907">
      <c r="A907" s="9"/>
      <c r="D907" s="9"/>
      <c r="E907" s="13"/>
      <c r="F907" s="13"/>
      <c r="M907" s="9"/>
      <c r="N907" s="9"/>
      <c r="O907" s="9"/>
    </row>
    <row r="908">
      <c r="A908" s="9"/>
      <c r="D908" s="9"/>
      <c r="E908" s="13"/>
      <c r="F908" s="13"/>
      <c r="M908" s="9"/>
      <c r="N908" s="9"/>
      <c r="O908" s="9"/>
    </row>
    <row r="909">
      <c r="A909" s="9"/>
      <c r="D909" s="9"/>
      <c r="E909" s="13"/>
      <c r="F909" s="13"/>
      <c r="M909" s="9"/>
      <c r="N909" s="9"/>
      <c r="O909" s="9"/>
    </row>
    <row r="910">
      <c r="A910" s="9"/>
      <c r="D910" s="9"/>
      <c r="E910" s="13"/>
      <c r="F910" s="13"/>
      <c r="M910" s="9"/>
      <c r="N910" s="9"/>
      <c r="O910" s="9"/>
    </row>
    <row r="911">
      <c r="A911" s="9"/>
      <c r="D911" s="9"/>
      <c r="E911" s="13"/>
      <c r="F911" s="13"/>
      <c r="M911" s="9"/>
      <c r="N911" s="9"/>
      <c r="O911" s="9"/>
    </row>
    <row r="912">
      <c r="A912" s="9"/>
      <c r="D912" s="9"/>
      <c r="E912" s="13"/>
      <c r="F912" s="13"/>
      <c r="M912" s="9"/>
      <c r="N912" s="9"/>
      <c r="O912" s="9"/>
    </row>
    <row r="913">
      <c r="A913" s="9"/>
      <c r="D913" s="9"/>
      <c r="E913" s="13"/>
      <c r="F913" s="13"/>
      <c r="M913" s="9"/>
      <c r="N913" s="9"/>
      <c r="O913" s="9"/>
    </row>
    <row r="914">
      <c r="A914" s="9"/>
      <c r="D914" s="9"/>
      <c r="E914" s="13"/>
      <c r="F914" s="13"/>
      <c r="M914" s="9"/>
      <c r="N914" s="9"/>
      <c r="O914" s="9"/>
    </row>
    <row r="915">
      <c r="A915" s="9"/>
      <c r="D915" s="9"/>
      <c r="E915" s="13"/>
      <c r="F915" s="13"/>
      <c r="M915" s="9"/>
      <c r="N915" s="9"/>
      <c r="O915" s="9"/>
    </row>
    <row r="916">
      <c r="A916" s="9"/>
      <c r="D916" s="9"/>
      <c r="E916" s="13"/>
      <c r="F916" s="13"/>
      <c r="M916" s="9"/>
      <c r="N916" s="9"/>
      <c r="O916" s="9"/>
    </row>
    <row r="917">
      <c r="A917" s="9"/>
      <c r="D917" s="9"/>
      <c r="E917" s="13"/>
      <c r="F917" s="13"/>
      <c r="M917" s="9"/>
      <c r="N917" s="9"/>
      <c r="O917" s="9"/>
    </row>
    <row r="918">
      <c r="A918" s="9"/>
      <c r="D918" s="9"/>
      <c r="E918" s="13"/>
      <c r="F918" s="13"/>
      <c r="M918" s="9"/>
      <c r="N918" s="9"/>
      <c r="O918" s="9"/>
    </row>
    <row r="919">
      <c r="A919" s="9"/>
      <c r="D919" s="9"/>
      <c r="E919" s="13"/>
      <c r="F919" s="13"/>
      <c r="M919" s="9"/>
      <c r="N919" s="9"/>
      <c r="O919" s="9"/>
    </row>
    <row r="920">
      <c r="A920" s="9"/>
      <c r="D920" s="9"/>
      <c r="E920" s="13"/>
      <c r="F920" s="13"/>
      <c r="M920" s="9"/>
      <c r="N920" s="9"/>
      <c r="O920" s="9"/>
    </row>
    <row r="921">
      <c r="A921" s="9"/>
      <c r="D921" s="9"/>
      <c r="E921" s="13"/>
      <c r="F921" s="13"/>
      <c r="M921" s="9"/>
      <c r="N921" s="9"/>
      <c r="O921" s="9"/>
    </row>
    <row r="922">
      <c r="A922" s="9"/>
      <c r="D922" s="9"/>
      <c r="E922" s="13"/>
      <c r="F922" s="13"/>
      <c r="M922" s="9"/>
      <c r="N922" s="9"/>
      <c r="O922" s="9"/>
    </row>
    <row r="923">
      <c r="A923" s="9"/>
      <c r="D923" s="9"/>
      <c r="E923" s="13"/>
      <c r="F923" s="13"/>
      <c r="M923" s="9"/>
      <c r="N923" s="9"/>
      <c r="O923" s="9"/>
    </row>
    <row r="924">
      <c r="A924" s="9"/>
      <c r="D924" s="9"/>
      <c r="E924" s="13"/>
      <c r="F924" s="13"/>
      <c r="M924" s="9"/>
      <c r="N924" s="9"/>
      <c r="O924" s="9"/>
    </row>
    <row r="925">
      <c r="A925" s="9"/>
      <c r="D925" s="9"/>
      <c r="E925" s="13"/>
      <c r="F925" s="13"/>
      <c r="M925" s="9"/>
      <c r="N925" s="9"/>
      <c r="O925" s="9"/>
    </row>
    <row r="926">
      <c r="A926" s="9"/>
      <c r="D926" s="9"/>
      <c r="E926" s="13"/>
      <c r="F926" s="13"/>
      <c r="M926" s="9"/>
      <c r="N926" s="9"/>
      <c r="O926" s="9"/>
    </row>
    <row r="927">
      <c r="A927" s="9"/>
      <c r="D927" s="9"/>
      <c r="E927" s="13"/>
      <c r="F927" s="13"/>
      <c r="M927" s="9"/>
      <c r="N927" s="9"/>
      <c r="O927" s="9"/>
    </row>
    <row r="928">
      <c r="A928" s="9"/>
      <c r="D928" s="9"/>
      <c r="E928" s="13"/>
      <c r="F928" s="13"/>
      <c r="M928" s="9"/>
      <c r="N928" s="9"/>
      <c r="O928" s="9"/>
    </row>
    <row r="929">
      <c r="A929" s="9"/>
      <c r="D929" s="9"/>
      <c r="E929" s="13"/>
      <c r="F929" s="13"/>
      <c r="M929" s="9"/>
      <c r="N929" s="9"/>
      <c r="O929" s="9"/>
    </row>
    <row r="930">
      <c r="A930" s="9"/>
      <c r="D930" s="9"/>
      <c r="E930" s="13"/>
      <c r="F930" s="13"/>
      <c r="M930" s="9"/>
      <c r="N930" s="9"/>
      <c r="O930" s="9"/>
    </row>
    <row r="931">
      <c r="A931" s="9"/>
      <c r="D931" s="9"/>
      <c r="E931" s="13"/>
      <c r="F931" s="13"/>
      <c r="M931" s="9"/>
      <c r="N931" s="9"/>
      <c r="O931" s="9"/>
    </row>
    <row r="932">
      <c r="A932" s="9"/>
      <c r="D932" s="9"/>
      <c r="E932" s="13"/>
      <c r="F932" s="13"/>
      <c r="M932" s="9"/>
      <c r="N932" s="9"/>
      <c r="O932" s="9"/>
    </row>
    <row r="933">
      <c r="A933" s="9"/>
      <c r="D933" s="9"/>
      <c r="E933" s="13"/>
      <c r="F933" s="13"/>
      <c r="M933" s="9"/>
      <c r="N933" s="9"/>
      <c r="O933" s="9"/>
    </row>
    <row r="934">
      <c r="A934" s="9"/>
      <c r="D934" s="9"/>
      <c r="E934" s="13"/>
      <c r="F934" s="13"/>
      <c r="M934" s="9"/>
      <c r="N934" s="9"/>
      <c r="O934" s="9"/>
    </row>
    <row r="935">
      <c r="A935" s="9"/>
      <c r="D935" s="9"/>
      <c r="E935" s="13"/>
      <c r="F935" s="13"/>
      <c r="M935" s="9"/>
      <c r="N935" s="9"/>
      <c r="O935" s="9"/>
    </row>
    <row r="936">
      <c r="A936" s="9"/>
      <c r="D936" s="9"/>
      <c r="E936" s="13"/>
      <c r="F936" s="13"/>
      <c r="M936" s="9"/>
      <c r="N936" s="9"/>
      <c r="O936" s="9"/>
    </row>
    <row r="937">
      <c r="A937" s="9"/>
      <c r="D937" s="9"/>
      <c r="E937" s="13"/>
      <c r="F937" s="13"/>
      <c r="M937" s="9"/>
      <c r="N937" s="9"/>
      <c r="O937" s="9"/>
    </row>
    <row r="938">
      <c r="A938" s="9"/>
      <c r="D938" s="9"/>
      <c r="E938" s="13"/>
      <c r="F938" s="13"/>
      <c r="M938" s="9"/>
      <c r="N938" s="9"/>
      <c r="O938" s="9"/>
    </row>
    <row r="939">
      <c r="A939" s="9"/>
      <c r="D939" s="9"/>
      <c r="E939" s="13"/>
      <c r="F939" s="13"/>
      <c r="M939" s="9"/>
      <c r="N939" s="9"/>
      <c r="O939" s="9"/>
    </row>
    <row r="940">
      <c r="A940" s="9"/>
      <c r="D940" s="9"/>
      <c r="E940" s="13"/>
      <c r="F940" s="13"/>
      <c r="M940" s="9"/>
      <c r="N940" s="9"/>
      <c r="O940" s="9"/>
    </row>
    <row r="941">
      <c r="A941" s="9"/>
      <c r="D941" s="9"/>
      <c r="E941" s="13"/>
      <c r="F941" s="13"/>
      <c r="M941" s="9"/>
      <c r="N941" s="9"/>
      <c r="O941" s="9"/>
    </row>
    <row r="942">
      <c r="A942" s="9"/>
      <c r="D942" s="9"/>
      <c r="E942" s="13"/>
      <c r="F942" s="13"/>
      <c r="M942" s="9"/>
      <c r="N942" s="9"/>
      <c r="O942" s="9"/>
    </row>
    <row r="943">
      <c r="A943" s="9"/>
      <c r="D943" s="9"/>
      <c r="E943" s="13"/>
      <c r="F943" s="13"/>
      <c r="M943" s="9"/>
      <c r="N943" s="9"/>
      <c r="O943" s="9"/>
    </row>
    <row r="944">
      <c r="A944" s="9"/>
      <c r="D944" s="9"/>
      <c r="E944" s="13"/>
      <c r="F944" s="13"/>
      <c r="M944" s="9"/>
      <c r="N944" s="9"/>
      <c r="O944" s="9"/>
    </row>
    <row r="945">
      <c r="A945" s="9"/>
      <c r="D945" s="9"/>
      <c r="E945" s="13"/>
      <c r="F945" s="13"/>
      <c r="M945" s="9"/>
      <c r="N945" s="9"/>
      <c r="O945" s="9"/>
    </row>
    <row r="946">
      <c r="A946" s="9"/>
      <c r="D946" s="9"/>
      <c r="E946" s="13"/>
      <c r="F946" s="13"/>
      <c r="M946" s="9"/>
      <c r="N946" s="9"/>
      <c r="O946" s="9"/>
    </row>
    <row r="947">
      <c r="A947" s="9"/>
      <c r="D947" s="9"/>
      <c r="E947" s="13"/>
      <c r="F947" s="13"/>
      <c r="M947" s="9"/>
      <c r="N947" s="9"/>
      <c r="O947" s="9"/>
    </row>
    <row r="948">
      <c r="A948" s="9"/>
      <c r="D948" s="9"/>
      <c r="E948" s="13"/>
      <c r="F948" s="13"/>
      <c r="M948" s="9"/>
      <c r="N948" s="9"/>
      <c r="O948" s="9"/>
    </row>
    <row r="949">
      <c r="A949" s="9"/>
      <c r="D949" s="9"/>
      <c r="E949" s="13"/>
      <c r="F949" s="13"/>
      <c r="M949" s="9"/>
      <c r="N949" s="9"/>
      <c r="O949" s="9"/>
    </row>
    <row r="950">
      <c r="A950" s="9"/>
      <c r="D950" s="9"/>
      <c r="E950" s="13"/>
      <c r="F950" s="13"/>
      <c r="M950" s="9"/>
      <c r="N950" s="9"/>
      <c r="O950" s="9"/>
    </row>
    <row r="951">
      <c r="A951" s="9"/>
      <c r="D951" s="9"/>
      <c r="E951" s="13"/>
      <c r="F951" s="13"/>
      <c r="M951" s="9"/>
      <c r="N951" s="9"/>
      <c r="O951" s="9"/>
    </row>
    <row r="952">
      <c r="A952" s="9"/>
      <c r="D952" s="9"/>
      <c r="E952" s="13"/>
      <c r="F952" s="13"/>
      <c r="M952" s="9"/>
      <c r="N952" s="9"/>
      <c r="O952" s="9"/>
    </row>
    <row r="953">
      <c r="A953" s="9"/>
      <c r="D953" s="9"/>
      <c r="E953" s="13"/>
      <c r="F953" s="13"/>
      <c r="M953" s="9"/>
      <c r="N953" s="9"/>
      <c r="O953" s="9"/>
    </row>
    <row r="954">
      <c r="A954" s="9"/>
      <c r="D954" s="9"/>
      <c r="E954" s="13"/>
      <c r="F954" s="13"/>
      <c r="M954" s="9"/>
      <c r="N954" s="9"/>
      <c r="O954" s="9"/>
    </row>
    <row r="955">
      <c r="A955" s="9"/>
      <c r="D955" s="9"/>
      <c r="E955" s="13"/>
      <c r="F955" s="13"/>
      <c r="M955" s="9"/>
      <c r="N955" s="9"/>
      <c r="O955" s="9"/>
    </row>
    <row r="956">
      <c r="A956" s="9"/>
      <c r="D956" s="9"/>
      <c r="E956" s="13"/>
      <c r="F956" s="13"/>
      <c r="M956" s="9"/>
      <c r="N956" s="9"/>
      <c r="O956" s="9"/>
    </row>
    <row r="957">
      <c r="A957" s="9"/>
      <c r="D957" s="9"/>
      <c r="E957" s="13"/>
      <c r="F957" s="13"/>
      <c r="M957" s="9"/>
      <c r="N957" s="9"/>
      <c r="O957" s="9"/>
    </row>
    <row r="958">
      <c r="A958" s="9"/>
      <c r="D958" s="9"/>
      <c r="E958" s="13"/>
      <c r="F958" s="13"/>
      <c r="M958" s="9"/>
      <c r="N958" s="9"/>
      <c r="O958" s="9"/>
    </row>
    <row r="959">
      <c r="A959" s="9"/>
      <c r="D959" s="9"/>
      <c r="E959" s="13"/>
      <c r="F959" s="13"/>
      <c r="M959" s="9"/>
      <c r="N959" s="9"/>
      <c r="O959" s="9"/>
    </row>
    <row r="960">
      <c r="A960" s="9"/>
      <c r="D960" s="9"/>
      <c r="E960" s="13"/>
      <c r="F960" s="13"/>
      <c r="M960" s="9"/>
      <c r="N960" s="9"/>
      <c r="O960" s="9"/>
    </row>
    <row r="961">
      <c r="A961" s="9"/>
      <c r="D961" s="9"/>
      <c r="E961" s="13"/>
      <c r="F961" s="13"/>
      <c r="M961" s="9"/>
      <c r="N961" s="9"/>
      <c r="O961" s="9"/>
    </row>
    <row r="962">
      <c r="A962" s="9"/>
      <c r="D962" s="9"/>
      <c r="E962" s="13"/>
      <c r="F962" s="13"/>
      <c r="M962" s="9"/>
      <c r="N962" s="9"/>
      <c r="O962" s="9"/>
    </row>
    <row r="963">
      <c r="A963" s="9"/>
      <c r="D963" s="9"/>
      <c r="E963" s="13"/>
      <c r="F963" s="13"/>
      <c r="M963" s="9"/>
      <c r="N963" s="9"/>
      <c r="O963" s="9"/>
    </row>
    <row r="964">
      <c r="A964" s="9"/>
      <c r="D964" s="9"/>
      <c r="E964" s="13"/>
      <c r="F964" s="13"/>
      <c r="M964" s="9"/>
      <c r="N964" s="9"/>
      <c r="O964" s="9"/>
    </row>
    <row r="965">
      <c r="A965" s="9"/>
      <c r="D965" s="9"/>
      <c r="E965" s="13"/>
      <c r="F965" s="13"/>
      <c r="M965" s="9"/>
      <c r="N965" s="9"/>
      <c r="O965" s="9"/>
    </row>
    <row r="966">
      <c r="A966" s="9"/>
      <c r="D966" s="9"/>
      <c r="E966" s="13"/>
      <c r="F966" s="13"/>
      <c r="M966" s="9"/>
      <c r="N966" s="9"/>
      <c r="O966" s="9"/>
    </row>
    <row r="967">
      <c r="A967" s="9"/>
      <c r="D967" s="9"/>
      <c r="E967" s="13"/>
      <c r="F967" s="13"/>
      <c r="M967" s="9"/>
      <c r="N967" s="9"/>
      <c r="O967" s="9"/>
    </row>
    <row r="968">
      <c r="A968" s="9"/>
      <c r="D968" s="9"/>
      <c r="E968" s="13"/>
      <c r="F968" s="13"/>
      <c r="M968" s="9"/>
      <c r="N968" s="9"/>
      <c r="O968" s="9"/>
    </row>
    <row r="969">
      <c r="A969" s="9"/>
      <c r="D969" s="9"/>
      <c r="E969" s="13"/>
      <c r="F969" s="13"/>
      <c r="M969" s="9"/>
      <c r="N969" s="9"/>
      <c r="O969" s="9"/>
    </row>
    <row r="970">
      <c r="A970" s="9"/>
      <c r="D970" s="9"/>
      <c r="E970" s="13"/>
      <c r="F970" s="13"/>
      <c r="M970" s="9"/>
      <c r="N970" s="9"/>
      <c r="O970" s="9"/>
    </row>
    <row r="971">
      <c r="A971" s="9"/>
      <c r="D971" s="9"/>
      <c r="E971" s="13"/>
      <c r="F971" s="13"/>
      <c r="M971" s="9"/>
      <c r="N971" s="9"/>
      <c r="O971" s="9"/>
    </row>
    <row r="972">
      <c r="A972" s="9"/>
      <c r="D972" s="9"/>
      <c r="E972" s="13"/>
      <c r="F972" s="13"/>
      <c r="M972" s="9"/>
      <c r="N972" s="9"/>
      <c r="O972" s="9"/>
    </row>
    <row r="973">
      <c r="A973" s="9"/>
      <c r="D973" s="9"/>
      <c r="E973" s="13"/>
      <c r="F973" s="13"/>
      <c r="M973" s="9"/>
      <c r="N973" s="9"/>
      <c r="O973" s="9"/>
    </row>
    <row r="974">
      <c r="A974" s="9"/>
      <c r="D974" s="9"/>
      <c r="E974" s="13"/>
      <c r="F974" s="13"/>
      <c r="M974" s="9"/>
      <c r="N974" s="9"/>
      <c r="O974" s="9"/>
    </row>
    <row r="975">
      <c r="A975" s="9"/>
      <c r="D975" s="9"/>
      <c r="E975" s="13"/>
      <c r="F975" s="13"/>
      <c r="M975" s="9"/>
      <c r="N975" s="9"/>
      <c r="O975" s="9"/>
    </row>
    <row r="976">
      <c r="A976" s="9"/>
      <c r="D976" s="9"/>
      <c r="E976" s="13"/>
      <c r="F976" s="13"/>
      <c r="M976" s="9"/>
      <c r="N976" s="9"/>
      <c r="O976" s="9"/>
    </row>
    <row r="977">
      <c r="A977" s="9"/>
      <c r="D977" s="9"/>
      <c r="E977" s="13"/>
      <c r="F977" s="13"/>
      <c r="M977" s="9"/>
      <c r="N977" s="9"/>
      <c r="O977" s="9"/>
    </row>
    <row r="978">
      <c r="A978" s="9"/>
      <c r="D978" s="9"/>
      <c r="E978" s="13"/>
      <c r="F978" s="13"/>
      <c r="M978" s="9"/>
      <c r="N978" s="9"/>
      <c r="O978" s="9"/>
    </row>
    <row r="979">
      <c r="A979" s="9"/>
      <c r="D979" s="9"/>
      <c r="E979" s="13"/>
      <c r="F979" s="13"/>
      <c r="M979" s="9"/>
      <c r="N979" s="9"/>
      <c r="O979" s="9"/>
    </row>
    <row r="980">
      <c r="A980" s="9"/>
      <c r="D980" s="9"/>
      <c r="E980" s="13"/>
      <c r="F980" s="13"/>
      <c r="M980" s="9"/>
      <c r="N980" s="9"/>
      <c r="O980" s="9"/>
    </row>
    <row r="981">
      <c r="A981" s="9"/>
      <c r="D981" s="9"/>
      <c r="E981" s="13"/>
      <c r="F981" s="13"/>
      <c r="M981" s="9"/>
      <c r="N981" s="9"/>
      <c r="O981" s="9"/>
    </row>
    <row r="982">
      <c r="A982" s="9"/>
      <c r="D982" s="9"/>
      <c r="E982" s="13"/>
      <c r="F982" s="13"/>
      <c r="M982" s="9"/>
      <c r="N982" s="9"/>
      <c r="O982" s="9"/>
    </row>
    <row r="983">
      <c r="A983" s="9"/>
      <c r="D983" s="9"/>
      <c r="E983" s="13"/>
      <c r="F983" s="13"/>
      <c r="M983" s="9"/>
      <c r="N983" s="9"/>
      <c r="O983" s="9"/>
    </row>
    <row r="984">
      <c r="A984" s="9"/>
      <c r="D984" s="9"/>
      <c r="E984" s="13"/>
      <c r="F984" s="13"/>
      <c r="M984" s="9"/>
      <c r="N984" s="9"/>
      <c r="O984" s="9"/>
    </row>
    <row r="985">
      <c r="A985" s="9"/>
      <c r="D985" s="9"/>
      <c r="E985" s="13"/>
      <c r="F985" s="13"/>
      <c r="M985" s="9"/>
      <c r="N985" s="9"/>
      <c r="O985" s="9"/>
    </row>
    <row r="986">
      <c r="A986" s="9"/>
      <c r="D986" s="5"/>
      <c r="E986" s="13"/>
      <c r="F986" s="13"/>
      <c r="M986" s="9"/>
      <c r="N986" s="9"/>
      <c r="O986" s="9"/>
    </row>
    <row r="987">
      <c r="A987" s="9"/>
      <c r="D987" s="5"/>
      <c r="E987" s="13"/>
      <c r="F987" s="13"/>
      <c r="M987" s="9"/>
      <c r="N987" s="9"/>
      <c r="O987" s="9"/>
    </row>
    <row r="988">
      <c r="A988" s="9"/>
      <c r="D988" s="5"/>
      <c r="E988" s="13"/>
      <c r="F988" s="13"/>
      <c r="M988" s="9"/>
      <c r="N988" s="9"/>
      <c r="O988" s="9"/>
    </row>
    <row r="989">
      <c r="A989" s="9"/>
      <c r="D989" s="9"/>
      <c r="E989" s="13"/>
      <c r="F989" s="13"/>
      <c r="M989" s="9"/>
      <c r="N989" s="9"/>
      <c r="O989" s="9"/>
    </row>
    <row r="990">
      <c r="A990" s="9"/>
      <c r="D990" s="9"/>
      <c r="E990" s="13"/>
      <c r="F990" s="13"/>
      <c r="M990" s="9"/>
      <c r="N990" s="9"/>
      <c r="O990" s="9"/>
    </row>
    <row r="991">
      <c r="A991" s="9"/>
      <c r="D991" s="9"/>
      <c r="E991" s="13"/>
      <c r="F991" s="13"/>
      <c r="M991" s="9"/>
      <c r="N991" s="9"/>
      <c r="O991" s="9"/>
    </row>
    <row r="992">
      <c r="A992" s="9"/>
      <c r="D992" s="9"/>
      <c r="E992" s="13"/>
      <c r="F992" s="13"/>
      <c r="M992" s="9"/>
      <c r="N992" s="9"/>
      <c r="O992" s="9"/>
    </row>
    <row r="993">
      <c r="A993" s="9"/>
      <c r="D993" s="9"/>
      <c r="E993" s="13"/>
      <c r="F993" s="13"/>
      <c r="M993" s="9"/>
      <c r="N993" s="9"/>
      <c r="O993" s="9"/>
    </row>
    <row r="994">
      <c r="A994" s="9"/>
      <c r="D994" s="9"/>
      <c r="E994" s="13"/>
      <c r="F994" s="13"/>
      <c r="M994" s="9"/>
      <c r="N994" s="9"/>
      <c r="O994" s="9"/>
    </row>
    <row r="995">
      <c r="A995" s="9"/>
      <c r="D995" s="9"/>
      <c r="E995" s="13"/>
      <c r="F995" s="13"/>
      <c r="M995" s="9"/>
      <c r="N995" s="9"/>
      <c r="O995" s="9"/>
    </row>
    <row r="996">
      <c r="A996" s="9"/>
      <c r="D996" s="9"/>
      <c r="E996" s="13"/>
      <c r="F996" s="13"/>
      <c r="M996" s="9"/>
      <c r="N996" s="9"/>
      <c r="O996" s="9"/>
    </row>
    <row r="997">
      <c r="A997" s="9"/>
      <c r="D997" s="9"/>
      <c r="E997" s="13"/>
      <c r="F997" s="13"/>
      <c r="M997" s="9"/>
      <c r="N997" s="9"/>
      <c r="O997" s="9"/>
    </row>
    <row r="998">
      <c r="A998" s="9"/>
      <c r="D998" s="9"/>
      <c r="E998" s="13"/>
      <c r="F998" s="13"/>
      <c r="M998" s="9"/>
      <c r="N998" s="9"/>
      <c r="O998" s="9"/>
    </row>
    <row r="999">
      <c r="A999" s="9"/>
      <c r="D999" s="9"/>
      <c r="E999" s="13"/>
      <c r="F999" s="13"/>
      <c r="M999" s="9"/>
      <c r="N999" s="9"/>
      <c r="O999" s="9"/>
    </row>
    <row r="1000">
      <c r="A1000" s="9"/>
      <c r="D1000" s="9"/>
      <c r="E1000" s="13"/>
      <c r="F1000" s="13"/>
      <c r="M1000" s="9"/>
      <c r="N1000" s="9"/>
      <c r="O1000" s="9"/>
    </row>
    <row r="1001">
      <c r="A1001" s="9"/>
      <c r="D1001" s="9"/>
      <c r="E1001" s="13"/>
      <c r="F1001" s="13"/>
      <c r="M1001" s="9"/>
      <c r="N1001" s="9"/>
      <c r="O1001" s="9"/>
    </row>
    <row r="1002">
      <c r="A1002" s="9"/>
      <c r="D1002" s="9"/>
      <c r="E1002" s="13"/>
      <c r="F1002" s="13"/>
      <c r="M1002" s="9"/>
      <c r="N1002" s="9"/>
      <c r="O1002" s="9"/>
    </row>
    <row r="1003">
      <c r="A1003" s="9"/>
      <c r="D1003" s="9"/>
      <c r="E1003" s="13"/>
      <c r="F1003" s="13"/>
      <c r="M1003" s="9"/>
      <c r="N1003" s="9"/>
      <c r="O1003" s="9"/>
    </row>
    <row r="1004">
      <c r="A1004" s="9"/>
      <c r="D1004" s="9"/>
      <c r="E1004" s="13"/>
      <c r="F1004" s="13"/>
      <c r="M1004" s="9"/>
      <c r="N1004" s="9"/>
      <c r="O1004" s="9"/>
    </row>
    <row r="1005">
      <c r="A1005" s="9"/>
      <c r="D1005" s="9"/>
      <c r="E1005" s="13"/>
      <c r="F1005" s="13"/>
      <c r="M1005" s="9"/>
      <c r="N1005" s="9"/>
      <c r="O1005" s="9"/>
    </row>
    <row r="1006">
      <c r="A1006" s="9"/>
      <c r="D1006" s="9"/>
      <c r="E1006" s="13"/>
      <c r="F1006" s="13"/>
      <c r="M1006" s="9"/>
      <c r="N1006" s="9"/>
      <c r="O1006" s="9"/>
    </row>
    <row r="1007">
      <c r="A1007" s="9"/>
      <c r="D1007" s="9"/>
      <c r="E1007" s="13"/>
      <c r="F1007" s="13"/>
      <c r="M1007" s="9"/>
      <c r="N1007" s="9"/>
      <c r="O1007" s="9"/>
    </row>
    <row r="1008">
      <c r="A1008" s="9"/>
      <c r="D1008" s="9"/>
      <c r="E1008" s="13"/>
      <c r="F1008" s="13"/>
      <c r="M1008" s="9"/>
      <c r="N1008" s="9"/>
      <c r="O1008" s="9"/>
    </row>
    <row r="1009">
      <c r="A1009" s="9"/>
      <c r="D1009" s="9"/>
      <c r="E1009" s="13"/>
      <c r="F1009" s="13"/>
      <c r="M1009" s="9"/>
      <c r="N1009" s="9"/>
      <c r="O1009" s="9"/>
    </row>
    <row r="1010">
      <c r="A1010" s="9"/>
      <c r="D1010" s="9"/>
      <c r="E1010" s="13"/>
      <c r="F1010" s="13"/>
      <c r="M1010" s="9"/>
      <c r="N1010" s="9"/>
      <c r="O1010" s="9"/>
    </row>
    <row r="1011">
      <c r="A1011" s="9"/>
      <c r="D1011" s="9"/>
      <c r="E1011" s="13"/>
      <c r="F1011" s="13"/>
      <c r="M1011" s="9"/>
      <c r="N1011" s="9"/>
      <c r="O1011" s="9"/>
    </row>
    <row r="1012">
      <c r="A1012" s="9"/>
      <c r="D1012" s="9"/>
      <c r="E1012" s="13"/>
      <c r="F1012" s="13"/>
      <c r="M1012" s="9"/>
      <c r="N1012" s="9"/>
      <c r="O1012" s="9"/>
    </row>
    <row r="1013">
      <c r="A1013" s="9"/>
      <c r="D1013" s="9"/>
      <c r="E1013" s="13"/>
      <c r="F1013" s="13"/>
      <c r="M1013" s="9"/>
      <c r="N1013" s="9"/>
      <c r="O1013" s="9"/>
    </row>
    <row r="1014">
      <c r="A1014" s="9"/>
      <c r="D1014" s="9"/>
      <c r="E1014" s="13"/>
      <c r="F1014" s="13"/>
      <c r="M1014" s="9"/>
      <c r="N1014" s="9"/>
      <c r="O1014" s="9"/>
    </row>
    <row r="1015">
      <c r="A1015" s="9"/>
      <c r="D1015" s="9"/>
      <c r="E1015" s="13"/>
      <c r="F1015" s="13"/>
      <c r="M1015" s="9"/>
      <c r="N1015" s="9"/>
      <c r="O1015" s="9"/>
    </row>
    <row r="1016">
      <c r="A1016" s="9"/>
      <c r="D1016" s="9"/>
      <c r="E1016" s="13"/>
      <c r="F1016" s="13"/>
      <c r="M1016" s="9"/>
      <c r="N1016" s="9"/>
      <c r="O1016" s="9"/>
    </row>
    <row r="1017">
      <c r="A1017" s="9"/>
      <c r="D1017" s="9"/>
      <c r="E1017" s="13"/>
      <c r="F1017" s="13"/>
      <c r="M1017" s="9"/>
      <c r="N1017" s="9"/>
      <c r="O1017" s="9"/>
    </row>
    <row r="1018">
      <c r="A1018" s="9"/>
      <c r="D1018" s="9"/>
      <c r="E1018" s="13"/>
      <c r="F1018" s="13"/>
      <c r="M1018" s="9"/>
      <c r="N1018" s="9"/>
      <c r="O1018" s="9"/>
    </row>
    <row r="1019">
      <c r="A1019" s="9"/>
      <c r="D1019" s="9"/>
      <c r="E1019" s="13"/>
      <c r="F1019" s="13"/>
      <c r="M1019" s="9"/>
      <c r="N1019" s="9"/>
      <c r="O1019" s="9"/>
    </row>
    <row r="1020">
      <c r="A1020" s="9"/>
      <c r="D1020" s="9"/>
      <c r="E1020" s="13"/>
      <c r="F1020" s="13"/>
      <c r="M1020" s="9"/>
      <c r="N1020" s="9"/>
      <c r="O1020" s="9"/>
    </row>
    <row r="1021">
      <c r="A1021" s="9"/>
      <c r="D1021" s="9"/>
      <c r="E1021" s="13"/>
      <c r="F1021" s="13"/>
      <c r="M1021" s="9"/>
      <c r="N1021" s="9"/>
      <c r="O1021" s="9"/>
    </row>
    <row r="1022">
      <c r="A1022" s="9"/>
      <c r="D1022" s="9"/>
      <c r="E1022" s="13"/>
      <c r="F1022" s="13"/>
      <c r="M1022" s="9"/>
      <c r="N1022" s="9"/>
      <c r="O1022" s="9"/>
    </row>
    <row r="1023">
      <c r="A1023" s="9"/>
      <c r="D1023" s="9"/>
      <c r="E1023" s="13"/>
      <c r="F1023" s="13"/>
      <c r="M1023" s="9"/>
      <c r="N1023" s="9"/>
      <c r="O1023" s="9"/>
    </row>
    <row r="1024">
      <c r="A1024" s="9"/>
      <c r="D1024" s="9"/>
      <c r="E1024" s="13"/>
      <c r="F1024" s="13"/>
      <c r="M1024" s="9"/>
      <c r="N1024" s="9"/>
      <c r="O1024" s="9"/>
    </row>
    <row r="1025">
      <c r="A1025" s="9"/>
      <c r="D1025" s="9"/>
      <c r="E1025" s="13"/>
      <c r="F1025" s="13"/>
      <c r="M1025" s="9"/>
      <c r="N1025" s="9"/>
      <c r="O1025" s="9"/>
    </row>
    <row r="1026">
      <c r="A1026" s="9"/>
      <c r="D1026" s="9"/>
      <c r="E1026" s="13"/>
      <c r="F1026" s="13"/>
      <c r="M1026" s="9"/>
      <c r="N1026" s="9"/>
      <c r="O1026" s="9"/>
    </row>
    <row r="1027">
      <c r="A1027" s="9"/>
      <c r="D1027" s="9"/>
      <c r="E1027" s="13"/>
      <c r="F1027" s="13"/>
      <c r="M1027" s="9"/>
      <c r="N1027" s="9"/>
      <c r="O1027" s="9"/>
    </row>
    <row r="1028">
      <c r="A1028" s="9"/>
      <c r="D1028" s="9"/>
      <c r="E1028" s="13"/>
      <c r="F1028" s="13"/>
      <c r="M1028" s="9"/>
      <c r="N1028" s="9"/>
      <c r="O1028" s="9"/>
    </row>
    <row r="1029">
      <c r="A1029" s="9"/>
      <c r="D1029" s="9"/>
      <c r="E1029" s="13"/>
      <c r="F1029" s="13"/>
      <c r="M1029" s="9"/>
      <c r="N1029" s="9"/>
      <c r="O1029" s="9"/>
    </row>
    <row r="1030">
      <c r="A1030" s="9"/>
      <c r="D1030" s="9"/>
      <c r="E1030" s="13"/>
      <c r="F1030" s="13"/>
      <c r="M1030" s="9"/>
      <c r="N1030" s="9"/>
      <c r="O1030" s="9"/>
    </row>
    <row r="1031">
      <c r="A1031" s="9"/>
      <c r="D1031" s="9"/>
      <c r="E1031" s="13"/>
      <c r="F1031" s="13"/>
      <c r="M1031" s="9"/>
      <c r="N1031" s="9"/>
      <c r="O1031" s="9"/>
    </row>
    <row r="1032">
      <c r="A1032" s="9"/>
      <c r="D1032" s="9"/>
      <c r="E1032" s="13"/>
      <c r="F1032" s="13"/>
      <c r="M1032" s="9"/>
      <c r="N1032" s="9"/>
      <c r="O1032" s="9"/>
    </row>
    <row r="1033">
      <c r="A1033" s="9"/>
      <c r="D1033" s="9"/>
      <c r="E1033" s="13"/>
      <c r="F1033" s="13"/>
      <c r="M1033" s="9"/>
      <c r="N1033" s="9"/>
      <c r="O1033" s="9"/>
    </row>
    <row r="1034">
      <c r="A1034" s="9"/>
      <c r="D1034" s="9"/>
      <c r="E1034" s="13"/>
      <c r="F1034" s="13"/>
      <c r="M1034" s="9"/>
      <c r="N1034" s="9"/>
      <c r="O1034" s="9"/>
    </row>
    <row r="1035">
      <c r="A1035" s="9"/>
      <c r="D1035" s="9"/>
      <c r="E1035" s="13"/>
      <c r="F1035" s="13"/>
      <c r="M1035" s="9"/>
      <c r="N1035" s="9"/>
      <c r="O1035" s="9"/>
    </row>
    <row r="1036">
      <c r="A1036" s="9"/>
      <c r="D1036" s="9"/>
      <c r="E1036" s="13"/>
      <c r="F1036" s="13"/>
      <c r="M1036" s="9"/>
      <c r="N1036" s="9"/>
      <c r="O1036" s="9"/>
    </row>
    <row r="1037">
      <c r="A1037" s="9"/>
      <c r="D1037" s="9"/>
      <c r="E1037" s="13"/>
      <c r="F1037" s="13"/>
      <c r="M1037" s="9"/>
      <c r="N1037" s="9"/>
      <c r="O1037" s="9"/>
    </row>
    <row r="1038">
      <c r="A1038" s="9"/>
      <c r="D1038" s="9"/>
      <c r="E1038" s="13"/>
      <c r="F1038" s="13"/>
      <c r="M1038" s="9"/>
      <c r="N1038" s="9"/>
      <c r="O1038" s="9"/>
    </row>
    <row r="1039">
      <c r="A1039" s="9"/>
      <c r="D1039" s="9"/>
      <c r="E1039" s="13"/>
      <c r="F1039" s="13"/>
      <c r="M1039" s="9"/>
      <c r="N1039" s="9"/>
      <c r="O1039" s="9"/>
    </row>
    <row r="1040">
      <c r="A1040" s="9"/>
      <c r="D1040" s="9"/>
      <c r="E1040" s="13"/>
      <c r="F1040" s="13"/>
      <c r="M1040" s="9"/>
      <c r="N1040" s="9"/>
      <c r="O1040" s="9"/>
    </row>
    <row r="1041">
      <c r="A1041" s="9"/>
      <c r="D1041" s="9"/>
      <c r="E1041" s="13"/>
      <c r="F1041" s="13"/>
      <c r="M1041" s="9"/>
      <c r="N1041" s="9"/>
      <c r="O1041" s="9"/>
    </row>
    <row r="1042">
      <c r="A1042" s="9"/>
      <c r="D1042" s="9"/>
      <c r="E1042" s="13"/>
      <c r="F1042" s="13"/>
      <c r="M1042" s="9"/>
      <c r="N1042" s="9"/>
      <c r="O1042" s="9"/>
    </row>
    <row r="1043">
      <c r="A1043" s="9"/>
      <c r="D1043" s="9"/>
      <c r="E1043" s="13"/>
      <c r="F1043" s="13"/>
      <c r="M1043" s="9"/>
      <c r="N1043" s="9"/>
      <c r="O1043" s="9"/>
    </row>
    <row r="1044">
      <c r="A1044" s="9"/>
      <c r="D1044" s="9"/>
      <c r="E1044" s="13"/>
      <c r="F1044" s="13"/>
      <c r="M1044" s="9"/>
      <c r="N1044" s="9"/>
      <c r="O1044" s="9"/>
    </row>
    <row r="1045">
      <c r="A1045" s="9"/>
      <c r="D1045" s="9"/>
      <c r="E1045" s="13"/>
      <c r="F1045" s="13"/>
      <c r="M1045" s="9"/>
      <c r="N1045" s="9"/>
      <c r="O1045" s="9"/>
    </row>
    <row r="1046">
      <c r="A1046" s="9"/>
      <c r="D1046" s="9"/>
      <c r="E1046" s="13"/>
      <c r="F1046" s="13"/>
      <c r="M1046" s="9"/>
      <c r="N1046" s="9"/>
      <c r="O1046" s="9"/>
    </row>
    <row r="1047">
      <c r="A1047" s="9"/>
      <c r="D1047" s="9"/>
      <c r="E1047" s="13"/>
      <c r="F1047" s="13"/>
      <c r="M1047" s="9"/>
      <c r="N1047" s="9"/>
      <c r="O1047" s="9"/>
    </row>
    <row r="1048">
      <c r="A1048" s="9"/>
      <c r="D1048" s="9"/>
      <c r="E1048" s="13"/>
      <c r="F1048" s="13"/>
      <c r="M1048" s="9"/>
      <c r="N1048" s="9"/>
      <c r="O1048" s="9"/>
    </row>
    <row r="1049">
      <c r="A1049" s="9"/>
      <c r="D1049" s="9"/>
      <c r="E1049" s="13"/>
      <c r="F1049" s="13"/>
      <c r="M1049" s="9"/>
      <c r="N1049" s="9"/>
      <c r="O1049" s="9"/>
    </row>
    <row r="1050">
      <c r="A1050" s="9"/>
      <c r="D1050" s="9"/>
      <c r="E1050" s="13"/>
      <c r="F1050" s="13"/>
      <c r="M1050" s="9"/>
      <c r="N1050" s="9"/>
      <c r="O1050" s="9"/>
    </row>
    <row r="1051">
      <c r="A1051" s="9"/>
      <c r="D1051" s="9"/>
      <c r="E1051" s="13"/>
      <c r="F1051" s="13"/>
      <c r="M1051" s="9"/>
      <c r="N1051" s="9"/>
      <c r="O1051" s="9"/>
    </row>
    <row r="1052">
      <c r="A1052" s="9"/>
      <c r="D1052" s="9"/>
      <c r="E1052" s="13"/>
      <c r="F1052" s="13"/>
      <c r="M1052" s="9"/>
      <c r="N1052" s="9"/>
      <c r="O1052" s="9"/>
    </row>
    <row r="1053">
      <c r="A1053" s="9"/>
      <c r="D1053" s="9"/>
      <c r="E1053" s="13"/>
      <c r="F1053" s="13"/>
      <c r="M1053" s="9"/>
      <c r="N1053" s="9"/>
      <c r="O1053" s="9"/>
    </row>
    <row r="1054">
      <c r="A1054" s="9"/>
      <c r="D1054" s="9"/>
      <c r="E1054" s="13"/>
      <c r="F1054" s="13"/>
      <c r="M1054" s="9"/>
      <c r="N1054" s="9"/>
      <c r="O1054" s="9"/>
    </row>
    <row r="1055">
      <c r="A1055" s="9"/>
      <c r="D1055" s="9"/>
      <c r="E1055" s="13"/>
      <c r="F1055" s="13"/>
      <c r="M1055" s="9"/>
      <c r="N1055" s="9"/>
      <c r="O1055" s="9"/>
    </row>
    <row r="1056">
      <c r="A1056" s="9"/>
      <c r="D1056" s="9"/>
      <c r="E1056" s="13"/>
      <c r="F1056" s="13"/>
      <c r="M1056" s="9"/>
      <c r="N1056" s="9"/>
      <c r="O1056" s="9"/>
    </row>
    <row r="1057">
      <c r="A1057" s="9"/>
      <c r="D1057" s="9"/>
      <c r="E1057" s="13"/>
      <c r="F1057" s="13"/>
      <c r="M1057" s="9"/>
      <c r="N1057" s="9"/>
      <c r="O1057" s="9"/>
    </row>
    <row r="1058">
      <c r="A1058" s="9"/>
      <c r="D1058" s="9"/>
      <c r="E1058" s="13"/>
      <c r="F1058" s="13"/>
      <c r="M1058" s="9"/>
      <c r="N1058" s="9"/>
      <c r="O1058" s="9"/>
    </row>
    <row r="1059">
      <c r="A1059" s="9"/>
      <c r="D1059" s="9"/>
      <c r="E1059" s="13"/>
      <c r="F1059" s="13"/>
      <c r="M1059" s="9"/>
      <c r="N1059" s="9"/>
      <c r="O1059" s="9"/>
    </row>
    <row r="1060">
      <c r="A1060" s="9"/>
      <c r="D1060" s="9"/>
      <c r="E1060" s="13"/>
      <c r="F1060" s="13"/>
      <c r="M1060" s="9"/>
      <c r="N1060" s="9"/>
      <c r="O1060" s="9"/>
    </row>
    <row r="1061">
      <c r="A1061" s="9"/>
      <c r="D1061" s="9"/>
      <c r="E1061" s="13"/>
      <c r="F1061" s="13"/>
      <c r="M1061" s="9"/>
      <c r="N1061" s="9"/>
      <c r="O1061" s="9"/>
    </row>
    <row r="1062">
      <c r="A1062" s="9"/>
      <c r="D1062" s="9"/>
      <c r="E1062" s="13"/>
      <c r="F1062" s="13"/>
      <c r="M1062" s="9"/>
      <c r="N1062" s="9"/>
      <c r="O1062" s="9"/>
    </row>
    <row r="1063">
      <c r="A1063" s="9"/>
      <c r="D1063" s="9"/>
      <c r="E1063" s="13"/>
      <c r="F1063" s="13"/>
      <c r="M1063" s="9"/>
      <c r="N1063" s="9"/>
      <c r="O1063" s="9"/>
    </row>
    <row r="1064">
      <c r="A1064" s="9"/>
      <c r="D1064" s="9"/>
      <c r="E1064" s="13"/>
      <c r="F1064" s="13"/>
      <c r="M1064" s="9"/>
      <c r="N1064" s="9"/>
      <c r="O1064" s="9"/>
    </row>
    <row r="1065">
      <c r="A1065" s="9"/>
      <c r="D1065" s="9"/>
      <c r="E1065" s="13"/>
      <c r="F1065" s="13"/>
      <c r="M1065" s="9"/>
      <c r="N1065" s="9"/>
      <c r="O1065" s="9"/>
    </row>
    <row r="1066">
      <c r="A1066" s="9"/>
      <c r="D1066" s="9"/>
      <c r="E1066" s="13"/>
      <c r="F1066" s="13"/>
      <c r="M1066" s="9"/>
      <c r="N1066" s="9"/>
      <c r="O1066" s="9"/>
    </row>
    <row r="1067">
      <c r="A1067" s="9"/>
      <c r="D1067" s="9"/>
      <c r="E1067" s="13"/>
      <c r="F1067" s="13"/>
      <c r="M1067" s="9"/>
      <c r="N1067" s="9"/>
      <c r="O1067" s="9"/>
    </row>
    <row r="1068">
      <c r="A1068" s="9"/>
      <c r="D1068" s="9"/>
      <c r="E1068" s="13"/>
      <c r="F1068" s="13"/>
      <c r="M1068" s="9"/>
      <c r="N1068" s="9"/>
      <c r="O1068" s="9"/>
    </row>
    <row r="1069">
      <c r="A1069" s="9"/>
      <c r="D1069" s="9"/>
      <c r="E1069" s="13"/>
      <c r="F1069" s="13"/>
      <c r="M1069" s="9"/>
      <c r="N1069" s="9"/>
      <c r="O1069" s="9"/>
    </row>
    <row r="1070">
      <c r="A1070" s="9"/>
      <c r="D1070" s="9"/>
      <c r="E1070" s="13"/>
      <c r="F1070" s="13"/>
      <c r="M1070" s="9"/>
      <c r="N1070" s="9"/>
      <c r="O1070" s="9"/>
    </row>
    <row r="1071">
      <c r="A1071" s="9"/>
      <c r="D1071" s="9"/>
      <c r="E1071" s="13"/>
      <c r="F1071" s="13"/>
      <c r="M1071" s="9"/>
      <c r="N1071" s="9"/>
      <c r="O1071" s="9"/>
    </row>
    <row r="1072">
      <c r="A1072" s="9"/>
      <c r="D1072" s="9"/>
      <c r="E1072" s="13"/>
      <c r="F1072" s="13"/>
      <c r="M1072" s="9"/>
      <c r="N1072" s="9"/>
      <c r="O1072" s="9"/>
    </row>
    <row r="1073">
      <c r="A1073" s="9"/>
      <c r="D1073" s="9"/>
      <c r="E1073" s="13"/>
      <c r="F1073" s="13"/>
      <c r="M1073" s="9"/>
      <c r="N1073" s="9"/>
      <c r="O1073" s="9"/>
    </row>
    <row r="1074">
      <c r="A1074" s="9"/>
      <c r="D1074" s="9"/>
      <c r="E1074" s="13"/>
      <c r="F1074" s="13"/>
      <c r="M1074" s="9"/>
      <c r="N1074" s="9"/>
      <c r="O1074" s="9"/>
    </row>
    <row r="1075">
      <c r="A1075" s="9"/>
      <c r="D1075" s="9"/>
      <c r="E1075" s="13"/>
      <c r="F1075" s="13"/>
      <c r="M1075" s="9"/>
      <c r="N1075" s="9"/>
      <c r="O1075" s="9"/>
    </row>
    <row r="1076">
      <c r="A1076" s="9"/>
      <c r="D1076" s="9"/>
      <c r="E1076" s="13"/>
      <c r="F1076" s="13"/>
      <c r="M1076" s="9"/>
      <c r="N1076" s="9"/>
      <c r="O1076" s="9"/>
    </row>
    <row r="1077">
      <c r="A1077" s="9"/>
      <c r="D1077" s="9"/>
      <c r="E1077" s="13"/>
      <c r="F1077" s="13"/>
      <c r="M1077" s="9"/>
      <c r="N1077" s="9"/>
      <c r="O1077" s="9"/>
    </row>
    <row r="1078">
      <c r="A1078" s="9"/>
      <c r="D1078" s="9"/>
      <c r="E1078" s="13"/>
      <c r="F1078" s="13"/>
      <c r="M1078" s="9"/>
      <c r="N1078" s="9"/>
      <c r="O1078" s="9"/>
    </row>
    <row r="1079">
      <c r="A1079" s="9"/>
      <c r="D1079" s="9"/>
      <c r="E1079" s="13"/>
      <c r="F1079" s="13"/>
      <c r="M1079" s="9"/>
      <c r="N1079" s="9"/>
      <c r="O1079" s="9"/>
    </row>
    <row r="1080">
      <c r="A1080" s="9"/>
      <c r="D1080" s="9"/>
      <c r="E1080" s="13"/>
      <c r="F1080" s="13"/>
      <c r="M1080" s="9"/>
      <c r="N1080" s="9"/>
      <c r="O1080" s="9"/>
    </row>
    <row r="1081">
      <c r="A1081" s="9"/>
      <c r="D1081" s="9"/>
      <c r="E1081" s="13"/>
      <c r="F1081" s="13"/>
      <c r="M1081" s="9"/>
      <c r="N1081" s="9"/>
      <c r="O1081" s="9"/>
    </row>
    <row r="1082">
      <c r="A1082" s="9"/>
      <c r="D1082" s="9"/>
      <c r="E1082" s="13"/>
      <c r="F1082" s="13"/>
      <c r="M1082" s="9"/>
      <c r="N1082" s="9"/>
      <c r="O1082" s="9"/>
    </row>
    <row r="1083">
      <c r="A1083" s="9"/>
      <c r="D1083" s="9"/>
      <c r="E1083" s="13"/>
      <c r="F1083" s="13"/>
      <c r="M1083" s="9"/>
      <c r="N1083" s="9"/>
      <c r="O1083" s="9"/>
    </row>
    <row r="1084">
      <c r="A1084" s="9"/>
      <c r="D1084" s="9"/>
      <c r="E1084" s="13"/>
      <c r="F1084" s="13"/>
      <c r="M1084" s="9"/>
      <c r="N1084" s="9"/>
      <c r="O1084" s="9"/>
    </row>
    <row r="1085">
      <c r="A1085" s="9"/>
      <c r="D1085" s="9"/>
      <c r="E1085" s="13"/>
      <c r="F1085" s="13"/>
      <c r="M1085" s="9"/>
      <c r="N1085" s="9"/>
      <c r="O1085" s="9"/>
    </row>
    <row r="1086">
      <c r="A1086" s="9"/>
      <c r="D1086" s="9"/>
      <c r="E1086" s="13"/>
      <c r="F1086" s="13"/>
      <c r="M1086" s="9"/>
      <c r="N1086" s="9"/>
      <c r="O1086" s="9"/>
    </row>
    <row r="1087">
      <c r="A1087" s="9"/>
      <c r="D1087" s="9"/>
      <c r="E1087" s="13"/>
      <c r="F1087" s="13"/>
      <c r="M1087" s="9"/>
      <c r="N1087" s="9"/>
      <c r="O1087" s="9"/>
    </row>
    <row r="1088">
      <c r="A1088" s="9"/>
      <c r="D1088" s="9"/>
      <c r="E1088" s="13"/>
      <c r="F1088" s="13"/>
      <c r="M1088" s="9"/>
      <c r="N1088" s="9"/>
      <c r="O1088" s="9"/>
    </row>
    <row r="1089">
      <c r="A1089" s="9"/>
      <c r="D1089" s="9"/>
      <c r="E1089" s="13"/>
      <c r="F1089" s="13"/>
      <c r="M1089" s="9"/>
      <c r="N1089" s="9"/>
      <c r="O1089" s="9"/>
    </row>
    <row r="1090">
      <c r="A1090" s="9"/>
      <c r="D1090" s="9"/>
      <c r="E1090" s="13"/>
      <c r="F1090" s="13"/>
      <c r="M1090" s="9"/>
      <c r="N1090" s="9"/>
      <c r="O1090" s="9"/>
    </row>
    <row r="1091">
      <c r="A1091" s="9"/>
      <c r="D1091" s="9"/>
      <c r="E1091" s="13"/>
      <c r="F1091" s="13"/>
      <c r="M1091" s="9"/>
      <c r="N1091" s="9"/>
      <c r="O1091" s="9"/>
    </row>
    <row r="1092">
      <c r="A1092" s="9"/>
      <c r="D1092" s="9"/>
      <c r="E1092" s="13"/>
      <c r="F1092" s="13"/>
      <c r="M1092" s="9"/>
      <c r="N1092" s="9"/>
      <c r="O1092" s="9"/>
    </row>
    <row r="1093">
      <c r="A1093" s="9"/>
      <c r="D1093" s="9"/>
      <c r="E1093" s="13"/>
      <c r="F1093" s="13"/>
      <c r="M1093" s="9"/>
      <c r="N1093" s="9"/>
      <c r="O1093" s="9"/>
    </row>
    <row r="1094">
      <c r="A1094" s="9"/>
      <c r="D1094" s="9"/>
      <c r="E1094" s="13"/>
      <c r="F1094" s="13"/>
      <c r="M1094" s="9"/>
      <c r="N1094" s="9"/>
      <c r="O1094" s="9"/>
    </row>
    <row r="1095">
      <c r="A1095" s="9"/>
      <c r="D1095" s="9"/>
      <c r="E1095" s="13"/>
      <c r="F1095" s="13"/>
      <c r="M1095" s="9"/>
      <c r="N1095" s="9"/>
      <c r="O1095" s="9"/>
    </row>
    <row r="1096">
      <c r="A1096" s="9"/>
      <c r="D1096" s="9"/>
      <c r="E1096" s="13"/>
      <c r="F1096" s="13"/>
      <c r="M1096" s="9"/>
      <c r="N1096" s="9"/>
      <c r="O1096" s="9"/>
    </row>
    <row r="1097">
      <c r="A1097" s="9"/>
      <c r="D1097" s="9"/>
      <c r="E1097" s="13"/>
      <c r="F1097" s="13"/>
      <c r="M1097" s="9"/>
      <c r="N1097" s="9"/>
      <c r="O1097" s="9"/>
    </row>
    <row r="1098">
      <c r="A1098" s="9"/>
      <c r="D1098" s="9"/>
      <c r="E1098" s="13"/>
      <c r="F1098" s="13"/>
      <c r="M1098" s="9"/>
      <c r="N1098" s="9"/>
      <c r="O1098" s="9"/>
    </row>
    <row r="1099">
      <c r="A1099" s="9"/>
      <c r="D1099" s="9"/>
      <c r="E1099" s="13"/>
      <c r="F1099" s="13"/>
      <c r="M1099" s="9"/>
      <c r="N1099" s="9"/>
      <c r="O1099" s="9"/>
    </row>
    <row r="1100">
      <c r="A1100" s="9"/>
      <c r="D1100" s="9"/>
      <c r="E1100" s="13"/>
      <c r="F1100" s="13"/>
      <c r="M1100" s="9"/>
      <c r="N1100" s="9"/>
      <c r="O1100" s="9"/>
    </row>
    <row r="1101">
      <c r="A1101" s="9"/>
      <c r="D1101" s="9"/>
      <c r="E1101" s="13"/>
      <c r="F1101" s="13"/>
      <c r="M1101" s="9"/>
      <c r="N1101" s="9"/>
      <c r="O1101" s="9"/>
    </row>
    <row r="1102">
      <c r="A1102" s="9"/>
      <c r="D1102" s="9"/>
      <c r="E1102" s="13"/>
      <c r="F1102" s="13"/>
      <c r="M1102" s="9"/>
      <c r="N1102" s="9"/>
      <c r="O1102" s="9"/>
    </row>
    <row r="1103">
      <c r="A1103" s="9"/>
      <c r="D1103" s="9"/>
      <c r="E1103" s="13"/>
      <c r="F1103" s="13"/>
      <c r="M1103" s="9"/>
      <c r="N1103" s="9"/>
      <c r="O1103" s="9"/>
    </row>
    <row r="1104">
      <c r="A1104" s="9"/>
      <c r="D1104" s="9"/>
      <c r="E1104" s="13"/>
      <c r="F1104" s="13"/>
      <c r="M1104" s="9"/>
      <c r="N1104" s="9"/>
      <c r="O1104" s="9"/>
    </row>
    <row r="1105">
      <c r="A1105" s="9"/>
      <c r="D1105" s="9"/>
      <c r="E1105" s="13"/>
      <c r="F1105" s="13"/>
      <c r="M1105" s="9"/>
      <c r="N1105" s="9"/>
      <c r="O1105" s="9"/>
    </row>
    <row r="1106">
      <c r="A1106" s="9"/>
      <c r="D1106" s="9"/>
      <c r="E1106" s="13"/>
      <c r="F1106" s="13"/>
      <c r="M1106" s="9"/>
      <c r="N1106" s="9"/>
      <c r="O1106" s="9"/>
    </row>
    <row r="1107">
      <c r="A1107" s="9"/>
      <c r="D1107" s="9"/>
      <c r="E1107" s="13"/>
      <c r="F1107" s="13"/>
      <c r="M1107" s="9"/>
      <c r="N1107" s="9"/>
      <c r="O1107" s="9"/>
    </row>
    <row r="1108">
      <c r="A1108" s="9"/>
      <c r="D1108" s="9"/>
      <c r="E1108" s="13"/>
      <c r="F1108" s="13"/>
      <c r="M1108" s="9"/>
      <c r="N1108" s="9"/>
      <c r="O1108" s="9"/>
    </row>
    <row r="1109">
      <c r="A1109" s="9"/>
      <c r="D1109" s="9"/>
      <c r="E1109" s="13"/>
      <c r="F1109" s="13"/>
      <c r="M1109" s="9"/>
      <c r="N1109" s="9"/>
      <c r="O1109" s="9"/>
    </row>
    <row r="1110">
      <c r="A1110" s="9"/>
      <c r="D1110" s="9"/>
      <c r="E1110" s="13"/>
      <c r="F1110" s="13"/>
      <c r="M1110" s="9"/>
      <c r="N1110" s="9"/>
      <c r="O1110" s="9"/>
    </row>
    <row r="1111">
      <c r="A1111" s="9"/>
      <c r="D1111" s="9"/>
      <c r="E1111" s="13"/>
      <c r="F1111" s="13"/>
      <c r="M1111" s="9"/>
      <c r="N1111" s="9"/>
      <c r="O1111" s="9"/>
    </row>
    <row r="1112">
      <c r="A1112" s="9"/>
      <c r="D1112" s="9"/>
      <c r="E1112" s="13"/>
      <c r="F1112" s="13"/>
      <c r="M1112" s="9"/>
      <c r="N1112" s="9"/>
      <c r="O1112" s="9"/>
    </row>
    <row r="1113">
      <c r="A1113" s="9"/>
      <c r="D1113" s="9"/>
      <c r="E1113" s="13"/>
      <c r="F1113" s="13"/>
      <c r="M1113" s="9"/>
      <c r="N1113" s="9"/>
      <c r="O1113" s="9"/>
    </row>
    <row r="1114">
      <c r="A1114" s="9"/>
      <c r="D1114" s="9"/>
      <c r="E1114" s="13"/>
      <c r="F1114" s="13"/>
      <c r="M1114" s="9"/>
      <c r="N1114" s="9"/>
      <c r="O1114" s="9"/>
    </row>
    <row r="1115">
      <c r="A1115" s="9"/>
      <c r="D1115" s="9"/>
      <c r="E1115" s="13"/>
      <c r="F1115" s="13"/>
      <c r="M1115" s="9"/>
      <c r="N1115" s="9"/>
      <c r="O1115" s="9"/>
    </row>
    <row r="1116">
      <c r="A1116" s="9"/>
      <c r="D1116" s="9"/>
      <c r="E1116" s="13"/>
      <c r="F1116" s="13"/>
      <c r="M1116" s="9"/>
      <c r="N1116" s="9"/>
      <c r="O1116" s="9"/>
    </row>
    <row r="1117">
      <c r="A1117" s="9"/>
      <c r="D1117" s="9"/>
      <c r="E1117" s="13"/>
      <c r="F1117" s="13"/>
      <c r="M1117" s="9"/>
      <c r="N1117" s="9"/>
      <c r="O1117" s="9"/>
    </row>
    <row r="1118">
      <c r="A1118" s="9"/>
      <c r="D1118" s="9"/>
      <c r="E1118" s="13"/>
      <c r="F1118" s="13"/>
      <c r="M1118" s="9"/>
      <c r="N1118" s="9"/>
      <c r="O1118" s="9"/>
    </row>
    <row r="1119">
      <c r="A1119" s="9"/>
      <c r="D1119" s="9"/>
      <c r="E1119" s="13"/>
      <c r="F1119" s="13"/>
      <c r="M1119" s="9"/>
      <c r="N1119" s="9"/>
      <c r="O1119" s="9"/>
    </row>
    <row r="1120">
      <c r="A1120" s="9"/>
      <c r="D1120" s="9"/>
      <c r="E1120" s="13"/>
      <c r="F1120" s="13"/>
      <c r="M1120" s="9"/>
      <c r="N1120" s="9"/>
      <c r="O1120" s="9"/>
    </row>
    <row r="1121">
      <c r="A1121" s="9"/>
      <c r="D1121" s="9"/>
      <c r="E1121" s="13"/>
      <c r="F1121" s="13"/>
      <c r="M1121" s="9"/>
      <c r="N1121" s="9"/>
      <c r="O1121" s="9"/>
    </row>
    <row r="1122">
      <c r="A1122" s="9"/>
      <c r="D1122" s="9"/>
      <c r="E1122" s="13"/>
      <c r="F1122" s="13"/>
      <c r="M1122" s="9"/>
      <c r="N1122" s="9"/>
      <c r="O1122" s="9"/>
    </row>
    <row r="1123">
      <c r="A1123" s="9"/>
      <c r="D1123" s="9"/>
      <c r="E1123" s="13"/>
      <c r="F1123" s="13"/>
      <c r="M1123" s="9"/>
      <c r="N1123" s="9"/>
      <c r="O1123" s="9"/>
    </row>
    <row r="1124">
      <c r="A1124" s="9"/>
      <c r="D1124" s="9"/>
      <c r="E1124" s="13"/>
      <c r="F1124" s="13"/>
      <c r="M1124" s="9"/>
      <c r="N1124" s="9"/>
      <c r="O1124" s="9"/>
    </row>
    <row r="1125">
      <c r="A1125" s="9"/>
      <c r="D1125" s="9"/>
      <c r="E1125" s="13"/>
      <c r="F1125" s="13"/>
      <c r="M1125" s="9"/>
      <c r="N1125" s="9"/>
      <c r="O1125" s="9"/>
    </row>
    <row r="1126">
      <c r="A1126" s="9"/>
      <c r="D1126" s="9"/>
      <c r="E1126" s="13"/>
      <c r="F1126" s="13"/>
      <c r="M1126" s="9"/>
      <c r="N1126" s="9"/>
      <c r="O1126" s="9"/>
    </row>
    <row r="1127">
      <c r="A1127" s="9"/>
      <c r="D1127" s="9"/>
      <c r="E1127" s="13"/>
      <c r="F1127" s="13"/>
      <c r="M1127" s="9"/>
      <c r="N1127" s="9"/>
      <c r="O1127" s="9"/>
    </row>
    <row r="1128">
      <c r="A1128" s="9"/>
      <c r="D1128" s="9"/>
      <c r="E1128" s="13"/>
      <c r="F1128" s="13"/>
      <c r="M1128" s="9"/>
      <c r="N1128" s="9"/>
      <c r="O1128" s="9"/>
    </row>
    <row r="1129">
      <c r="A1129" s="9"/>
      <c r="D1129" s="9"/>
      <c r="E1129" s="13"/>
      <c r="F1129" s="13"/>
      <c r="M1129" s="9"/>
      <c r="N1129" s="9"/>
      <c r="O1129" s="9"/>
    </row>
    <row r="1130">
      <c r="A1130" s="9"/>
      <c r="D1130" s="9"/>
      <c r="E1130" s="13"/>
      <c r="F1130" s="13"/>
      <c r="M1130" s="9"/>
      <c r="N1130" s="9"/>
      <c r="O1130" s="9"/>
    </row>
    <row r="1131">
      <c r="A1131" s="9"/>
      <c r="D1131" s="9"/>
      <c r="E1131" s="13"/>
      <c r="F1131" s="13"/>
      <c r="M1131" s="9"/>
      <c r="N1131" s="9"/>
      <c r="O1131" s="9"/>
    </row>
    <row r="1132">
      <c r="A1132" s="9"/>
      <c r="D1132" s="9"/>
      <c r="E1132" s="13"/>
      <c r="F1132" s="13"/>
      <c r="M1132" s="9"/>
      <c r="N1132" s="9"/>
      <c r="O1132" s="9"/>
    </row>
    <row r="1133">
      <c r="A1133" s="9"/>
      <c r="D1133" s="9"/>
      <c r="E1133" s="13"/>
      <c r="F1133" s="13"/>
      <c r="M1133" s="9"/>
      <c r="N1133" s="9"/>
      <c r="O1133" s="9"/>
    </row>
    <row r="1134">
      <c r="A1134" s="9"/>
      <c r="D1134" s="9"/>
      <c r="E1134" s="13"/>
      <c r="F1134" s="13"/>
      <c r="M1134" s="9"/>
      <c r="N1134" s="9"/>
      <c r="O1134" s="9"/>
    </row>
    <row r="1135">
      <c r="A1135" s="9"/>
      <c r="D1135" s="9"/>
      <c r="E1135" s="13"/>
      <c r="F1135" s="13"/>
      <c r="M1135" s="9"/>
      <c r="N1135" s="9"/>
      <c r="O1135" s="9"/>
    </row>
    <row r="1136">
      <c r="A1136" s="9"/>
      <c r="D1136" s="9"/>
      <c r="E1136" s="13"/>
      <c r="F1136" s="13"/>
      <c r="M1136" s="9"/>
      <c r="N1136" s="9"/>
      <c r="O1136" s="9"/>
    </row>
    <row r="1137">
      <c r="A1137" s="9"/>
      <c r="D1137" s="9"/>
      <c r="E1137" s="13"/>
      <c r="F1137" s="13"/>
      <c r="M1137" s="9"/>
      <c r="N1137" s="9"/>
      <c r="O1137" s="9"/>
    </row>
    <row r="1138">
      <c r="A1138" s="9"/>
      <c r="D1138" s="9"/>
      <c r="E1138" s="13"/>
      <c r="F1138" s="13"/>
      <c r="M1138" s="9"/>
      <c r="N1138" s="9"/>
      <c r="O1138" s="9"/>
    </row>
    <row r="1139">
      <c r="A1139" s="9"/>
      <c r="D1139" s="9"/>
      <c r="E1139" s="13"/>
      <c r="F1139" s="13"/>
      <c r="M1139" s="9"/>
      <c r="N1139" s="9"/>
      <c r="O1139" s="9"/>
    </row>
    <row r="1140">
      <c r="A1140" s="9"/>
      <c r="D1140" s="9"/>
      <c r="E1140" s="13"/>
      <c r="F1140" s="13"/>
      <c r="M1140" s="9"/>
      <c r="N1140" s="9"/>
      <c r="O1140" s="9"/>
    </row>
    <row r="1141">
      <c r="A1141" s="9"/>
      <c r="D1141" s="9"/>
      <c r="E1141" s="13"/>
      <c r="F1141" s="13"/>
      <c r="M1141" s="9"/>
      <c r="N1141" s="9"/>
      <c r="O1141" s="9"/>
    </row>
    <row r="1142">
      <c r="A1142" s="9"/>
      <c r="D1142" s="9"/>
      <c r="E1142" s="13"/>
      <c r="F1142" s="13"/>
      <c r="M1142" s="9"/>
      <c r="N1142" s="9"/>
      <c r="O1142" s="9"/>
    </row>
    <row r="1143">
      <c r="A1143" s="9"/>
      <c r="D1143" s="9"/>
      <c r="E1143" s="13"/>
      <c r="F1143" s="13"/>
      <c r="M1143" s="9"/>
      <c r="N1143" s="9"/>
      <c r="O1143" s="9"/>
    </row>
    <row r="1144">
      <c r="A1144" s="9"/>
      <c r="D1144" s="9"/>
      <c r="E1144" s="13"/>
      <c r="F1144" s="13"/>
      <c r="M1144" s="9"/>
      <c r="N1144" s="9"/>
      <c r="O1144" s="9"/>
    </row>
    <row r="1145">
      <c r="A1145" s="9"/>
      <c r="D1145" s="9"/>
      <c r="E1145" s="13"/>
      <c r="F1145" s="13"/>
      <c r="M1145" s="9"/>
      <c r="N1145" s="9"/>
      <c r="O1145" s="9"/>
    </row>
    <row r="1146">
      <c r="A1146" s="9"/>
      <c r="D1146" s="9"/>
      <c r="E1146" s="13"/>
      <c r="F1146" s="13"/>
      <c r="M1146" s="9"/>
      <c r="N1146" s="9"/>
      <c r="O1146" s="9"/>
    </row>
    <row r="1147">
      <c r="A1147" s="9"/>
      <c r="D1147" s="9"/>
      <c r="E1147" s="13"/>
      <c r="F1147" s="13"/>
      <c r="M1147" s="9"/>
      <c r="N1147" s="9"/>
      <c r="O1147" s="9"/>
    </row>
    <row r="1148">
      <c r="A1148" s="9"/>
      <c r="D1148" s="9"/>
      <c r="E1148" s="13"/>
      <c r="F1148" s="13"/>
      <c r="M1148" s="9"/>
      <c r="N1148" s="9"/>
      <c r="O1148" s="9"/>
    </row>
    <row r="1149">
      <c r="A1149" s="9"/>
      <c r="D1149" s="9"/>
      <c r="E1149" s="13"/>
      <c r="F1149" s="13"/>
      <c r="M1149" s="9"/>
      <c r="N1149" s="9"/>
      <c r="O1149" s="9"/>
    </row>
    <row r="1150">
      <c r="A1150" s="9"/>
      <c r="D1150" s="9"/>
      <c r="E1150" s="13"/>
      <c r="F1150" s="13"/>
      <c r="M1150" s="9"/>
      <c r="N1150" s="9"/>
      <c r="O1150" s="9"/>
    </row>
    <row r="1151">
      <c r="A1151" s="9"/>
      <c r="D1151" s="9"/>
      <c r="E1151" s="13"/>
      <c r="F1151" s="13"/>
      <c r="M1151" s="9"/>
      <c r="N1151" s="9"/>
      <c r="O1151" s="9"/>
    </row>
    <row r="1152">
      <c r="A1152" s="9"/>
      <c r="D1152" s="9"/>
      <c r="E1152" s="13"/>
      <c r="F1152" s="13"/>
      <c r="M1152" s="9"/>
      <c r="N1152" s="9"/>
      <c r="O1152" s="9"/>
    </row>
    <row r="1153">
      <c r="A1153" s="9"/>
      <c r="D1153" s="9"/>
      <c r="E1153" s="13"/>
      <c r="F1153" s="13"/>
      <c r="M1153" s="9"/>
      <c r="N1153" s="9"/>
      <c r="O1153" s="9"/>
    </row>
    <row r="1154">
      <c r="A1154" s="9"/>
      <c r="D1154" s="9"/>
      <c r="E1154" s="13"/>
      <c r="F1154" s="13"/>
      <c r="M1154" s="9"/>
      <c r="N1154" s="9"/>
      <c r="O1154" s="9"/>
    </row>
    <row r="1155">
      <c r="A1155" s="9"/>
      <c r="D1155" s="9"/>
      <c r="E1155" s="13"/>
      <c r="F1155" s="13"/>
      <c r="M1155" s="9"/>
      <c r="N1155" s="9"/>
      <c r="O1155" s="9"/>
    </row>
    <row r="1156">
      <c r="A1156" s="9"/>
      <c r="D1156" s="9"/>
      <c r="E1156" s="13"/>
      <c r="F1156" s="13"/>
      <c r="M1156" s="9"/>
      <c r="N1156" s="9"/>
      <c r="O1156" s="9"/>
    </row>
    <row r="1157">
      <c r="A1157" s="9"/>
      <c r="D1157" s="9"/>
      <c r="E1157" s="13"/>
      <c r="F1157" s="13"/>
      <c r="M1157" s="9"/>
      <c r="N1157" s="9"/>
      <c r="O1157" s="9"/>
    </row>
    <row r="1158">
      <c r="A1158" s="9"/>
      <c r="D1158" s="9"/>
      <c r="E1158" s="13"/>
      <c r="F1158" s="13"/>
      <c r="M1158" s="9"/>
      <c r="N1158" s="9"/>
      <c r="O1158" s="9"/>
    </row>
    <row r="1159">
      <c r="A1159" s="9"/>
      <c r="D1159" s="9"/>
      <c r="E1159" s="13"/>
      <c r="F1159" s="13"/>
      <c r="M1159" s="9"/>
      <c r="N1159" s="9"/>
      <c r="O1159" s="9"/>
    </row>
    <row r="1160">
      <c r="A1160" s="9"/>
      <c r="D1160" s="9"/>
      <c r="E1160" s="13"/>
      <c r="F1160" s="13"/>
      <c r="M1160" s="9"/>
      <c r="N1160" s="9"/>
      <c r="O1160" s="9"/>
    </row>
    <row r="1161">
      <c r="A1161" s="9"/>
      <c r="D1161" s="9"/>
      <c r="E1161" s="13"/>
      <c r="F1161" s="13"/>
      <c r="M1161" s="9"/>
      <c r="N1161" s="9"/>
      <c r="O1161" s="9"/>
    </row>
    <row r="1162">
      <c r="A1162" s="9"/>
      <c r="D1162" s="9"/>
      <c r="E1162" s="13"/>
      <c r="F1162" s="13"/>
      <c r="M1162" s="9"/>
      <c r="N1162" s="9"/>
      <c r="O1162" s="9"/>
    </row>
    <row r="1163">
      <c r="A1163" s="9"/>
      <c r="D1163" s="9"/>
      <c r="E1163" s="13"/>
      <c r="F1163" s="13"/>
      <c r="M1163" s="9"/>
      <c r="N1163" s="9"/>
      <c r="O1163" s="9"/>
    </row>
    <row r="1164">
      <c r="A1164" s="9"/>
      <c r="D1164" s="9"/>
      <c r="E1164" s="13"/>
      <c r="F1164" s="13"/>
      <c r="M1164" s="9"/>
      <c r="N1164" s="9"/>
      <c r="O1164" s="9"/>
    </row>
    <row r="1165">
      <c r="A1165" s="9"/>
      <c r="D1165" s="9"/>
      <c r="E1165" s="13"/>
      <c r="F1165" s="13"/>
      <c r="M1165" s="9"/>
      <c r="N1165" s="9"/>
      <c r="O1165" s="9"/>
    </row>
    <row r="1166">
      <c r="A1166" s="9"/>
      <c r="D1166" s="9"/>
      <c r="E1166" s="13"/>
      <c r="F1166" s="13"/>
      <c r="M1166" s="9"/>
      <c r="N1166" s="9"/>
      <c r="O1166" s="9"/>
    </row>
    <row r="1167">
      <c r="A1167" s="9"/>
      <c r="D1167" s="9"/>
      <c r="E1167" s="13"/>
      <c r="F1167" s="13"/>
      <c r="M1167" s="9"/>
      <c r="N1167" s="9"/>
      <c r="O1167" s="9"/>
    </row>
    <row r="1168">
      <c r="A1168" s="9"/>
      <c r="D1168" s="9"/>
      <c r="E1168" s="13"/>
      <c r="F1168" s="13"/>
      <c r="M1168" s="9"/>
      <c r="N1168" s="9"/>
      <c r="O1168" s="9"/>
    </row>
    <row r="1169">
      <c r="A1169" s="9"/>
      <c r="D1169" s="9"/>
      <c r="E1169" s="13"/>
      <c r="F1169" s="13"/>
      <c r="M1169" s="9"/>
      <c r="N1169" s="9"/>
      <c r="O1169" s="9"/>
    </row>
    <row r="1170">
      <c r="A1170" s="9"/>
      <c r="D1170" s="9"/>
      <c r="E1170" s="13"/>
      <c r="F1170" s="13"/>
      <c r="M1170" s="9"/>
      <c r="N1170" s="9"/>
      <c r="O1170" s="9"/>
    </row>
    <row r="1171">
      <c r="A1171" s="9"/>
      <c r="D1171" s="9"/>
      <c r="E1171" s="13"/>
      <c r="F1171" s="13"/>
      <c r="M1171" s="9"/>
      <c r="N1171" s="9"/>
      <c r="O1171" s="9"/>
    </row>
    <row r="1172">
      <c r="A1172" s="9"/>
      <c r="D1172" s="9"/>
      <c r="E1172" s="13"/>
      <c r="F1172" s="13"/>
      <c r="M1172" s="9"/>
      <c r="N1172" s="9"/>
      <c r="O1172" s="9"/>
    </row>
    <row r="1173">
      <c r="A1173" s="9"/>
      <c r="D1173" s="9"/>
      <c r="E1173" s="13"/>
      <c r="F1173" s="13"/>
      <c r="M1173" s="9"/>
      <c r="N1173" s="9"/>
      <c r="O1173" s="9"/>
    </row>
    <row r="1174">
      <c r="A1174" s="9"/>
      <c r="D1174" s="9"/>
      <c r="E1174" s="13"/>
      <c r="F1174" s="13"/>
      <c r="M1174" s="9"/>
      <c r="N1174" s="9"/>
      <c r="O1174" s="9"/>
    </row>
    <row r="1175">
      <c r="A1175" s="9"/>
      <c r="D1175" s="9"/>
      <c r="E1175" s="13"/>
      <c r="F1175" s="13"/>
      <c r="M1175" s="9"/>
      <c r="N1175" s="9"/>
      <c r="O1175" s="9"/>
    </row>
    <row r="1176">
      <c r="A1176" s="9"/>
      <c r="D1176" s="9"/>
      <c r="E1176" s="13"/>
      <c r="F1176" s="13"/>
      <c r="M1176" s="9"/>
      <c r="N1176" s="9"/>
      <c r="O1176" s="9"/>
    </row>
    <row r="1177">
      <c r="A1177" s="9"/>
      <c r="D1177" s="9"/>
      <c r="E1177" s="13"/>
      <c r="F1177" s="13"/>
      <c r="M1177" s="9"/>
      <c r="N1177" s="9"/>
      <c r="O1177" s="9"/>
    </row>
    <row r="1178">
      <c r="A1178" s="9"/>
      <c r="D1178" s="9"/>
      <c r="E1178" s="13"/>
      <c r="F1178" s="13"/>
      <c r="M1178" s="9"/>
      <c r="N1178" s="9"/>
      <c r="O1178" s="9"/>
    </row>
    <row r="1179">
      <c r="A1179" s="9"/>
      <c r="D1179" s="9"/>
      <c r="E1179" s="13"/>
      <c r="F1179" s="13"/>
      <c r="M1179" s="9"/>
      <c r="N1179" s="9"/>
      <c r="O1179" s="9"/>
    </row>
    <row r="1180">
      <c r="A1180" s="9"/>
      <c r="D1180" s="9"/>
      <c r="E1180" s="13"/>
      <c r="F1180" s="13"/>
      <c r="M1180" s="9"/>
      <c r="N1180" s="9"/>
      <c r="O1180" s="9"/>
    </row>
    <row r="1181">
      <c r="A1181" s="9"/>
      <c r="D1181" s="9"/>
      <c r="E1181" s="13"/>
      <c r="F1181" s="13"/>
      <c r="M1181" s="9"/>
      <c r="N1181" s="9"/>
      <c r="O1181" s="9"/>
    </row>
    <row r="1182">
      <c r="A1182" s="9"/>
      <c r="D1182" s="9"/>
      <c r="E1182" s="13"/>
      <c r="F1182" s="13"/>
      <c r="M1182" s="9"/>
      <c r="N1182" s="9"/>
      <c r="O1182" s="9"/>
    </row>
    <row r="1183">
      <c r="A1183" s="9"/>
      <c r="D1183" s="9"/>
      <c r="E1183" s="13"/>
      <c r="F1183" s="13"/>
      <c r="M1183" s="9"/>
      <c r="N1183" s="9"/>
      <c r="O1183" s="9"/>
    </row>
    <row r="1184">
      <c r="A1184" s="9"/>
      <c r="D1184" s="9"/>
      <c r="E1184" s="13"/>
      <c r="F1184" s="13"/>
      <c r="M1184" s="9"/>
      <c r="N1184" s="9"/>
      <c r="O1184" s="9"/>
    </row>
    <row r="1185">
      <c r="A1185" s="9"/>
      <c r="D1185" s="9"/>
      <c r="E1185" s="13"/>
      <c r="F1185" s="13"/>
      <c r="M1185" s="9"/>
      <c r="N1185" s="9"/>
      <c r="O1185" s="9"/>
    </row>
    <row r="1186">
      <c r="A1186" s="9"/>
      <c r="D1186" s="9"/>
      <c r="E1186" s="13"/>
      <c r="F1186" s="13"/>
      <c r="M1186" s="9"/>
      <c r="N1186" s="9"/>
      <c r="O1186" s="9"/>
    </row>
    <row r="1187">
      <c r="A1187" s="9"/>
      <c r="D1187" s="9"/>
      <c r="E1187" s="13"/>
      <c r="F1187" s="13"/>
      <c r="M1187" s="9"/>
      <c r="N1187" s="9"/>
      <c r="O1187" s="9"/>
    </row>
    <row r="1188">
      <c r="A1188" s="9"/>
      <c r="D1188" s="9"/>
      <c r="E1188" s="13"/>
      <c r="F1188" s="13"/>
      <c r="M1188" s="9"/>
      <c r="N1188" s="9"/>
      <c r="O1188" s="9"/>
    </row>
    <row r="1189">
      <c r="A1189" s="9"/>
      <c r="D1189" s="9"/>
      <c r="E1189" s="13"/>
      <c r="F1189" s="13"/>
      <c r="M1189" s="9"/>
      <c r="N1189" s="9"/>
      <c r="O1189" s="9"/>
    </row>
    <row r="1190">
      <c r="A1190" s="9"/>
      <c r="D1190" s="9"/>
      <c r="E1190" s="13"/>
      <c r="F1190" s="13"/>
      <c r="M1190" s="9"/>
      <c r="N1190" s="9"/>
      <c r="O1190" s="9"/>
    </row>
    <row r="1191">
      <c r="A1191" s="9"/>
      <c r="D1191" s="9"/>
      <c r="E1191" s="13"/>
      <c r="F1191" s="13"/>
      <c r="M1191" s="9"/>
      <c r="N1191" s="9"/>
      <c r="O1191" s="9"/>
    </row>
    <row r="1192">
      <c r="A1192" s="9"/>
      <c r="D1192" s="9"/>
      <c r="E1192" s="13"/>
      <c r="F1192" s="13"/>
      <c r="M1192" s="9"/>
      <c r="N1192" s="9"/>
      <c r="O1192" s="9"/>
    </row>
    <row r="1193">
      <c r="A1193" s="9"/>
      <c r="D1193" s="9"/>
      <c r="E1193" s="13"/>
      <c r="F1193" s="13"/>
      <c r="M1193" s="9"/>
      <c r="N1193" s="9"/>
      <c r="O1193" s="9"/>
    </row>
    <row r="1194">
      <c r="A1194" s="9"/>
      <c r="D1194" s="9"/>
      <c r="E1194" s="13"/>
      <c r="F1194" s="13"/>
      <c r="M1194" s="9"/>
      <c r="N1194" s="9"/>
      <c r="O1194" s="9"/>
    </row>
    <row r="1195">
      <c r="A1195" s="9"/>
      <c r="D1195" s="9"/>
      <c r="E1195" s="13"/>
      <c r="F1195" s="13"/>
      <c r="M1195" s="9"/>
      <c r="N1195" s="9"/>
      <c r="O1195" s="9"/>
    </row>
    <row r="1196">
      <c r="A1196" s="9"/>
      <c r="D1196" s="9"/>
      <c r="E1196" s="13"/>
      <c r="F1196" s="13"/>
      <c r="M1196" s="9"/>
      <c r="N1196" s="9"/>
      <c r="O1196" s="9"/>
    </row>
    <row r="1197">
      <c r="A1197" s="9"/>
      <c r="D1197" s="9"/>
      <c r="E1197" s="13"/>
      <c r="F1197" s="13"/>
      <c r="M1197" s="9"/>
      <c r="N1197" s="9"/>
      <c r="O1197" s="9"/>
    </row>
    <row r="1198">
      <c r="A1198" s="9"/>
      <c r="D1198" s="9"/>
      <c r="E1198" s="13"/>
      <c r="F1198" s="13"/>
      <c r="M1198" s="9"/>
      <c r="N1198" s="9"/>
      <c r="O1198" s="9"/>
    </row>
    <row r="1199">
      <c r="A1199" s="9"/>
      <c r="D1199" s="9"/>
      <c r="E1199" s="13"/>
      <c r="F1199" s="13"/>
      <c r="M1199" s="9"/>
      <c r="N1199" s="9"/>
      <c r="O1199" s="9"/>
    </row>
    <row r="1200">
      <c r="A1200" s="9"/>
      <c r="D1200" s="9"/>
      <c r="E1200" s="13"/>
      <c r="F1200" s="13"/>
      <c r="M1200" s="9"/>
      <c r="N1200" s="9"/>
      <c r="O1200" s="9"/>
    </row>
    <row r="1201">
      <c r="A1201" s="9"/>
      <c r="D1201" s="9"/>
      <c r="E1201" s="13"/>
      <c r="F1201" s="13"/>
      <c r="M1201" s="9"/>
      <c r="N1201" s="9"/>
      <c r="O1201" s="9"/>
    </row>
    <row r="1202">
      <c r="A1202" s="9"/>
      <c r="D1202" s="9"/>
      <c r="E1202" s="13"/>
      <c r="F1202" s="13"/>
      <c r="M1202" s="9"/>
      <c r="N1202" s="9"/>
      <c r="O1202" s="9"/>
    </row>
    <row r="1203">
      <c r="A1203" s="9"/>
      <c r="D1203" s="9"/>
      <c r="E1203" s="13"/>
      <c r="F1203" s="13"/>
      <c r="M1203" s="9"/>
      <c r="N1203" s="9"/>
      <c r="O1203" s="9"/>
    </row>
    <row r="1204">
      <c r="A1204" s="9"/>
      <c r="D1204" s="9"/>
      <c r="E1204" s="13"/>
      <c r="F1204" s="13"/>
      <c r="M1204" s="9"/>
      <c r="N1204" s="9"/>
      <c r="O1204" s="9"/>
    </row>
    <row r="1205">
      <c r="A1205" s="9"/>
      <c r="D1205" s="9"/>
      <c r="E1205" s="13"/>
      <c r="F1205" s="13"/>
      <c r="M1205" s="9"/>
      <c r="N1205" s="9"/>
      <c r="O1205" s="9"/>
    </row>
    <row r="1206">
      <c r="A1206" s="9"/>
      <c r="D1206" s="9"/>
      <c r="E1206" s="13"/>
      <c r="F1206" s="13"/>
      <c r="M1206" s="9"/>
      <c r="N1206" s="9"/>
      <c r="O1206" s="9"/>
    </row>
    <row r="1207">
      <c r="A1207" s="9"/>
      <c r="D1207" s="9"/>
      <c r="E1207" s="13"/>
      <c r="F1207" s="13"/>
      <c r="M1207" s="9"/>
      <c r="N1207" s="9"/>
      <c r="O1207" s="9"/>
    </row>
    <row r="1208">
      <c r="A1208" s="9"/>
      <c r="D1208" s="9"/>
      <c r="E1208" s="13"/>
      <c r="F1208" s="13"/>
      <c r="M1208" s="9"/>
      <c r="N1208" s="9"/>
      <c r="O1208" s="9"/>
    </row>
    <row r="1209">
      <c r="A1209" s="9"/>
      <c r="D1209" s="9"/>
      <c r="E1209" s="13"/>
      <c r="F1209" s="13"/>
      <c r="M1209" s="9"/>
      <c r="N1209" s="9"/>
      <c r="O1209" s="9"/>
    </row>
    <row r="1210">
      <c r="A1210" s="9"/>
      <c r="D1210" s="9"/>
      <c r="E1210" s="13"/>
      <c r="F1210" s="13"/>
      <c r="M1210" s="9"/>
      <c r="N1210" s="9"/>
      <c r="O1210" s="9"/>
    </row>
    <row r="1211">
      <c r="A1211" s="9"/>
      <c r="D1211" s="9"/>
      <c r="E1211" s="13"/>
      <c r="F1211" s="13"/>
      <c r="M1211" s="9"/>
      <c r="N1211" s="9"/>
      <c r="O1211" s="9"/>
    </row>
    <row r="1212">
      <c r="A1212" s="9"/>
      <c r="D1212" s="9"/>
      <c r="E1212" s="13"/>
      <c r="F1212" s="13"/>
      <c r="M1212" s="9"/>
      <c r="N1212" s="9"/>
      <c r="O1212" s="9"/>
    </row>
    <row r="1213">
      <c r="A1213" s="9"/>
      <c r="D1213" s="9"/>
      <c r="E1213" s="13"/>
      <c r="F1213" s="13"/>
      <c r="M1213" s="9"/>
      <c r="N1213" s="9"/>
      <c r="O1213" s="9"/>
    </row>
    <row r="1214">
      <c r="A1214" s="9"/>
      <c r="D1214" s="9"/>
      <c r="E1214" s="13"/>
      <c r="F1214" s="13"/>
      <c r="M1214" s="9"/>
      <c r="N1214" s="9"/>
      <c r="O1214" s="9"/>
    </row>
    <row r="1215">
      <c r="A1215" s="9"/>
      <c r="D1215" s="9"/>
      <c r="E1215" s="13"/>
      <c r="F1215" s="13"/>
      <c r="M1215" s="9"/>
      <c r="N1215" s="9"/>
      <c r="O1215" s="9"/>
    </row>
    <row r="1216">
      <c r="A1216" s="9"/>
      <c r="D1216" s="9"/>
      <c r="E1216" s="13"/>
      <c r="F1216" s="13"/>
      <c r="M1216" s="9"/>
      <c r="N1216" s="9"/>
      <c r="O1216" s="9"/>
    </row>
    <row r="1217">
      <c r="A1217" s="9"/>
      <c r="D1217" s="9"/>
      <c r="E1217" s="13"/>
      <c r="F1217" s="13"/>
      <c r="M1217" s="9"/>
      <c r="N1217" s="9"/>
      <c r="O1217" s="9"/>
    </row>
    <row r="1218">
      <c r="A1218" s="9"/>
      <c r="D1218" s="9"/>
      <c r="E1218" s="13"/>
      <c r="F1218" s="13"/>
      <c r="M1218" s="9"/>
      <c r="N1218" s="9"/>
      <c r="O1218" s="9"/>
    </row>
    <row r="1219">
      <c r="A1219" s="9"/>
      <c r="D1219" s="9"/>
      <c r="E1219" s="13"/>
      <c r="F1219" s="13"/>
      <c r="M1219" s="9"/>
      <c r="N1219" s="9"/>
      <c r="O1219" s="9"/>
    </row>
    <row r="1220">
      <c r="A1220" s="9"/>
      <c r="D1220" s="9"/>
      <c r="E1220" s="13"/>
      <c r="F1220" s="13"/>
      <c r="M1220" s="9"/>
      <c r="N1220" s="9"/>
      <c r="O1220" s="9"/>
    </row>
    <row r="1221">
      <c r="A1221" s="9"/>
      <c r="D1221" s="9"/>
      <c r="E1221" s="13"/>
      <c r="F1221" s="13"/>
      <c r="M1221" s="9"/>
      <c r="N1221" s="9"/>
      <c r="O1221" s="9"/>
    </row>
    <row r="1222">
      <c r="A1222" s="9"/>
      <c r="D1222" s="9"/>
      <c r="E1222" s="13"/>
      <c r="F1222" s="13"/>
      <c r="M1222" s="9"/>
      <c r="N1222" s="9"/>
      <c r="O1222" s="9"/>
    </row>
    <row r="1223">
      <c r="A1223" s="9"/>
      <c r="D1223" s="9"/>
      <c r="E1223" s="13"/>
      <c r="F1223" s="13"/>
      <c r="M1223" s="9"/>
      <c r="N1223" s="9"/>
      <c r="O1223" s="9"/>
    </row>
    <row r="1224">
      <c r="A1224" s="9"/>
      <c r="D1224" s="9"/>
      <c r="E1224" s="13"/>
      <c r="F1224" s="13"/>
      <c r="M1224" s="9"/>
      <c r="N1224" s="9"/>
      <c r="O1224" s="9"/>
    </row>
    <row r="1225">
      <c r="A1225" s="9"/>
      <c r="D1225" s="9"/>
      <c r="E1225" s="13"/>
      <c r="F1225" s="13"/>
      <c r="M1225" s="9"/>
      <c r="N1225" s="9"/>
      <c r="O1225" s="9"/>
    </row>
    <row r="1226">
      <c r="A1226" s="9"/>
      <c r="D1226" s="9"/>
      <c r="E1226" s="13"/>
      <c r="F1226" s="13"/>
      <c r="M1226" s="9"/>
      <c r="N1226" s="9"/>
      <c r="O1226" s="9"/>
    </row>
    <row r="1227">
      <c r="A1227" s="9"/>
      <c r="D1227" s="9"/>
      <c r="E1227" s="13"/>
      <c r="F1227" s="13"/>
      <c r="M1227" s="9"/>
      <c r="N1227" s="9"/>
      <c r="O1227" s="9"/>
    </row>
    <row r="1228">
      <c r="A1228" s="9"/>
      <c r="D1228" s="9"/>
      <c r="E1228" s="13"/>
      <c r="F1228" s="13"/>
      <c r="M1228" s="9"/>
      <c r="N1228" s="9"/>
      <c r="O1228" s="9"/>
    </row>
    <row r="1229">
      <c r="A1229" s="9"/>
      <c r="D1229" s="9"/>
      <c r="E1229" s="13"/>
      <c r="F1229" s="13"/>
      <c r="M1229" s="9"/>
      <c r="N1229" s="9"/>
      <c r="O1229" s="9"/>
    </row>
    <row r="1230">
      <c r="A1230" s="9"/>
      <c r="D1230" s="9"/>
      <c r="E1230" s="13"/>
      <c r="F1230" s="13"/>
      <c r="M1230" s="9"/>
      <c r="N1230" s="9"/>
      <c r="O1230" s="9"/>
    </row>
    <row r="1231">
      <c r="A1231" s="9"/>
      <c r="D1231" s="9"/>
      <c r="E1231" s="13"/>
      <c r="F1231" s="13"/>
      <c r="M1231" s="9"/>
      <c r="N1231" s="9"/>
      <c r="O1231" s="9"/>
    </row>
    <row r="1232">
      <c r="A1232" s="9"/>
      <c r="D1232" s="9"/>
      <c r="E1232" s="13"/>
      <c r="F1232" s="13"/>
      <c r="M1232" s="9"/>
      <c r="N1232" s="9"/>
      <c r="O1232" s="9"/>
    </row>
    <row r="1233">
      <c r="A1233" s="9"/>
      <c r="D1233" s="9"/>
      <c r="E1233" s="13"/>
      <c r="F1233" s="13"/>
      <c r="M1233" s="9"/>
      <c r="N1233" s="9"/>
      <c r="O1233" s="9"/>
    </row>
    <row r="1234">
      <c r="A1234" s="9"/>
      <c r="D1234" s="9"/>
      <c r="E1234" s="13"/>
      <c r="F1234" s="13"/>
      <c r="M1234" s="9"/>
      <c r="N1234" s="9"/>
      <c r="O1234" s="9"/>
    </row>
    <row r="1235">
      <c r="A1235" s="9"/>
      <c r="D1235" s="9"/>
      <c r="E1235" s="13"/>
      <c r="F1235" s="13"/>
      <c r="M1235" s="9"/>
      <c r="N1235" s="9"/>
      <c r="O1235" s="9"/>
    </row>
    <row r="1236">
      <c r="A1236" s="9"/>
      <c r="D1236" s="9"/>
      <c r="E1236" s="13"/>
      <c r="F1236" s="13"/>
      <c r="M1236" s="9"/>
      <c r="N1236" s="9"/>
      <c r="O1236" s="9"/>
    </row>
    <row r="1237">
      <c r="A1237" s="9"/>
      <c r="D1237" s="9"/>
      <c r="E1237" s="13"/>
      <c r="F1237" s="13"/>
      <c r="M1237" s="9"/>
      <c r="N1237" s="9"/>
      <c r="O1237" s="9"/>
    </row>
    <row r="1238">
      <c r="A1238" s="9"/>
      <c r="D1238" s="9"/>
      <c r="E1238" s="13"/>
      <c r="F1238" s="13"/>
      <c r="M1238" s="9"/>
      <c r="N1238" s="9"/>
      <c r="O1238" s="9"/>
    </row>
    <row r="1239">
      <c r="A1239" s="9"/>
      <c r="D1239" s="9"/>
      <c r="E1239" s="13"/>
      <c r="F1239" s="13"/>
      <c r="M1239" s="9"/>
      <c r="N1239" s="9"/>
      <c r="O1239" s="9"/>
    </row>
    <row r="1240">
      <c r="A1240" s="9"/>
      <c r="D1240" s="9"/>
      <c r="E1240" s="13"/>
      <c r="F1240" s="13"/>
      <c r="M1240" s="9"/>
      <c r="N1240" s="9"/>
      <c r="O1240" s="9"/>
    </row>
    <row r="1241">
      <c r="A1241" s="9"/>
      <c r="D1241" s="9"/>
      <c r="E1241" s="13"/>
      <c r="F1241" s="13"/>
      <c r="M1241" s="9"/>
      <c r="N1241" s="9"/>
      <c r="O1241" s="9"/>
    </row>
    <row r="1242">
      <c r="A1242" s="9"/>
      <c r="D1242" s="9"/>
      <c r="E1242" s="13"/>
      <c r="F1242" s="13"/>
      <c r="M1242" s="9"/>
      <c r="N1242" s="9"/>
      <c r="O1242" s="9"/>
    </row>
    <row r="1243">
      <c r="A1243" s="9"/>
      <c r="D1243" s="9"/>
      <c r="E1243" s="13"/>
      <c r="F1243" s="13"/>
      <c r="M1243" s="9"/>
      <c r="N1243" s="9"/>
      <c r="O1243" s="9"/>
    </row>
    <row r="1244">
      <c r="A1244" s="9"/>
      <c r="D1244" s="9"/>
      <c r="E1244" s="13"/>
      <c r="F1244" s="13"/>
      <c r="M1244" s="9"/>
      <c r="N1244" s="9"/>
      <c r="O1244" s="9"/>
    </row>
    <row r="1245">
      <c r="A1245" s="9"/>
      <c r="D1245" s="9"/>
      <c r="E1245" s="13"/>
      <c r="F1245" s="13"/>
      <c r="M1245" s="9"/>
      <c r="N1245" s="9"/>
      <c r="O1245" s="9"/>
    </row>
    <row r="1246">
      <c r="A1246" s="9"/>
      <c r="D1246" s="9"/>
      <c r="E1246" s="13"/>
      <c r="F1246" s="13"/>
      <c r="M1246" s="9"/>
      <c r="N1246" s="9"/>
      <c r="O1246" s="9"/>
    </row>
    <row r="1247">
      <c r="A1247" s="9"/>
      <c r="D1247" s="9"/>
      <c r="E1247" s="13"/>
      <c r="F1247" s="13"/>
      <c r="M1247" s="9"/>
      <c r="N1247" s="9"/>
      <c r="O1247" s="9"/>
    </row>
    <row r="1248">
      <c r="A1248" s="9"/>
      <c r="D1248" s="9"/>
      <c r="E1248" s="13"/>
      <c r="F1248" s="13"/>
      <c r="M1248" s="9"/>
      <c r="N1248" s="9"/>
      <c r="O1248" s="9"/>
    </row>
    <row r="1249">
      <c r="A1249" s="9"/>
      <c r="D1249" s="9"/>
      <c r="E1249" s="13"/>
      <c r="F1249" s="13"/>
      <c r="M1249" s="9"/>
      <c r="N1249" s="9"/>
      <c r="O1249" s="9"/>
    </row>
    <row r="1250">
      <c r="A1250" s="9"/>
      <c r="D1250" s="9"/>
      <c r="E1250" s="13"/>
      <c r="F1250" s="13"/>
      <c r="M1250" s="9"/>
      <c r="N1250" s="9"/>
      <c r="O1250" s="9"/>
    </row>
    <row r="1251">
      <c r="A1251" s="9"/>
      <c r="D1251" s="9"/>
      <c r="E1251" s="13"/>
      <c r="F1251" s="13"/>
      <c r="M1251" s="9"/>
      <c r="N1251" s="9"/>
      <c r="O1251" s="9"/>
    </row>
    <row r="1252">
      <c r="A1252" s="9"/>
      <c r="D1252" s="9"/>
      <c r="E1252" s="13"/>
      <c r="F1252" s="13"/>
      <c r="M1252" s="9"/>
      <c r="N1252" s="9"/>
      <c r="O1252" s="9"/>
    </row>
    <row r="1253">
      <c r="A1253" s="9"/>
      <c r="D1253" s="9"/>
      <c r="E1253" s="13"/>
      <c r="F1253" s="13"/>
      <c r="M1253" s="9"/>
      <c r="N1253" s="9"/>
      <c r="O1253" s="9"/>
    </row>
    <row r="1254">
      <c r="A1254" s="9"/>
      <c r="D1254" s="9"/>
      <c r="E1254" s="13"/>
      <c r="F1254" s="13"/>
      <c r="M1254" s="9"/>
      <c r="N1254" s="9"/>
      <c r="O1254" s="9"/>
    </row>
    <row r="1255">
      <c r="A1255" s="9"/>
      <c r="D1255" s="9"/>
      <c r="E1255" s="13"/>
      <c r="F1255" s="13"/>
      <c r="M1255" s="9"/>
      <c r="N1255" s="9"/>
      <c r="O1255" s="9"/>
    </row>
    <row r="1256">
      <c r="A1256" s="9"/>
      <c r="D1256" s="9"/>
      <c r="E1256" s="13"/>
      <c r="F1256" s="13"/>
      <c r="M1256" s="9"/>
      <c r="N1256" s="9"/>
      <c r="O1256" s="9"/>
    </row>
    <row r="1257">
      <c r="A1257" s="9"/>
      <c r="D1257" s="9"/>
      <c r="E1257" s="13"/>
      <c r="F1257" s="13"/>
      <c r="M1257" s="9"/>
      <c r="N1257" s="9"/>
      <c r="O1257" s="9"/>
    </row>
    <row r="1258">
      <c r="A1258" s="9"/>
      <c r="D1258" s="9"/>
      <c r="E1258" s="13"/>
      <c r="F1258" s="13"/>
      <c r="M1258" s="9"/>
      <c r="N1258" s="9"/>
      <c r="O1258" s="9"/>
    </row>
    <row r="1259">
      <c r="A1259" s="9"/>
      <c r="D1259" s="9"/>
      <c r="E1259" s="13"/>
      <c r="F1259" s="13"/>
      <c r="M1259" s="9"/>
      <c r="N1259" s="9"/>
      <c r="O1259" s="9"/>
    </row>
    <row r="1260">
      <c r="A1260" s="9"/>
      <c r="D1260" s="9"/>
      <c r="E1260" s="13"/>
      <c r="F1260" s="13"/>
      <c r="M1260" s="9"/>
      <c r="N1260" s="9"/>
      <c r="O1260" s="9"/>
    </row>
    <row r="1261">
      <c r="A1261" s="9"/>
      <c r="D1261" s="9"/>
      <c r="E1261" s="13"/>
      <c r="F1261" s="13"/>
      <c r="M1261" s="9"/>
      <c r="N1261" s="9"/>
      <c r="O1261" s="9"/>
    </row>
    <row r="1262">
      <c r="A1262" s="9"/>
      <c r="D1262" s="9"/>
      <c r="E1262" s="13"/>
      <c r="F1262" s="13"/>
      <c r="M1262" s="9"/>
      <c r="N1262" s="9"/>
      <c r="O1262" s="9"/>
    </row>
    <row r="1263">
      <c r="A1263" s="9"/>
      <c r="D1263" s="9"/>
      <c r="E1263" s="13"/>
      <c r="F1263" s="13"/>
      <c r="M1263" s="9"/>
      <c r="N1263" s="9"/>
      <c r="O1263" s="9"/>
    </row>
    <row r="1264">
      <c r="A1264" s="9"/>
      <c r="D1264" s="9"/>
      <c r="E1264" s="13"/>
      <c r="F1264" s="13"/>
      <c r="M1264" s="9"/>
      <c r="N1264" s="9"/>
      <c r="O1264" s="9"/>
    </row>
    <row r="1265">
      <c r="A1265" s="9"/>
      <c r="D1265" s="9"/>
      <c r="E1265" s="13"/>
      <c r="F1265" s="13"/>
      <c r="M1265" s="9"/>
      <c r="N1265" s="9"/>
      <c r="O1265" s="9"/>
    </row>
    <row r="1266">
      <c r="A1266" s="9"/>
      <c r="D1266" s="9"/>
      <c r="E1266" s="13"/>
      <c r="F1266" s="13"/>
      <c r="M1266" s="9"/>
      <c r="N1266" s="9"/>
      <c r="O1266" s="9"/>
    </row>
    <row r="1267">
      <c r="A1267" s="9"/>
      <c r="D1267" s="9"/>
      <c r="E1267" s="13"/>
      <c r="F1267" s="13"/>
      <c r="M1267" s="9"/>
      <c r="N1267" s="9"/>
      <c r="O1267" s="9"/>
    </row>
    <row r="1268">
      <c r="A1268" s="9"/>
      <c r="D1268" s="9"/>
      <c r="E1268" s="13"/>
      <c r="F1268" s="13"/>
      <c r="M1268" s="9"/>
      <c r="N1268" s="9"/>
      <c r="O1268" s="9"/>
    </row>
    <row r="1269">
      <c r="A1269" s="9"/>
      <c r="D1269" s="9"/>
      <c r="E1269" s="13"/>
      <c r="F1269" s="13"/>
      <c r="M1269" s="9"/>
      <c r="N1269" s="9"/>
      <c r="O1269" s="9"/>
    </row>
    <row r="1270">
      <c r="A1270" s="9"/>
      <c r="D1270" s="9"/>
      <c r="E1270" s="13"/>
      <c r="F1270" s="13"/>
      <c r="M1270" s="9"/>
      <c r="N1270" s="9"/>
      <c r="O1270" s="9"/>
    </row>
    <row r="1271">
      <c r="A1271" s="9"/>
      <c r="D1271" s="9"/>
      <c r="E1271" s="13"/>
      <c r="F1271" s="13"/>
      <c r="M1271" s="9"/>
      <c r="N1271" s="9"/>
      <c r="O1271" s="9"/>
    </row>
    <row r="1272">
      <c r="A1272" s="9"/>
      <c r="D1272" s="9"/>
      <c r="E1272" s="13"/>
      <c r="F1272" s="13"/>
      <c r="M1272" s="9"/>
      <c r="N1272" s="9"/>
      <c r="O1272" s="9"/>
    </row>
    <row r="1273">
      <c r="A1273" s="9"/>
      <c r="D1273" s="9"/>
      <c r="E1273" s="13"/>
      <c r="F1273" s="13"/>
      <c r="M1273" s="9"/>
      <c r="N1273" s="9"/>
      <c r="O1273" s="9"/>
    </row>
    <row r="1274">
      <c r="A1274" s="9"/>
      <c r="D1274" s="9"/>
      <c r="E1274" s="13"/>
      <c r="F1274" s="13"/>
      <c r="M1274" s="9"/>
      <c r="N1274" s="9"/>
      <c r="O1274" s="9"/>
    </row>
    <row r="1275">
      <c r="A1275" s="9"/>
      <c r="D1275" s="9"/>
      <c r="E1275" s="13"/>
      <c r="F1275" s="13"/>
      <c r="M1275" s="9"/>
      <c r="N1275" s="9"/>
      <c r="O1275" s="9"/>
    </row>
    <row r="1276">
      <c r="A1276" s="9"/>
      <c r="D1276" s="9"/>
      <c r="E1276" s="13"/>
      <c r="F1276" s="13"/>
      <c r="M1276" s="9"/>
      <c r="N1276" s="9"/>
      <c r="O1276" s="9"/>
    </row>
    <row r="1277">
      <c r="A1277" s="9"/>
      <c r="D1277" s="9"/>
      <c r="E1277" s="13"/>
      <c r="F1277" s="13"/>
      <c r="M1277" s="9"/>
      <c r="N1277" s="9"/>
      <c r="O1277" s="9"/>
    </row>
    <row r="1278">
      <c r="A1278" s="9"/>
      <c r="D1278" s="9"/>
      <c r="E1278" s="13"/>
      <c r="F1278" s="13"/>
      <c r="M1278" s="9"/>
      <c r="N1278" s="9"/>
      <c r="O1278" s="9"/>
    </row>
    <row r="1279">
      <c r="A1279" s="9"/>
      <c r="D1279" s="9"/>
      <c r="E1279" s="13"/>
      <c r="F1279" s="13"/>
      <c r="M1279" s="9"/>
      <c r="N1279" s="9"/>
      <c r="O1279" s="9"/>
    </row>
    <row r="1280">
      <c r="A1280" s="9"/>
      <c r="D1280" s="9"/>
      <c r="E1280" s="13"/>
      <c r="F1280" s="13"/>
      <c r="M1280" s="9"/>
      <c r="N1280" s="9"/>
      <c r="O1280" s="9"/>
    </row>
    <row r="1281">
      <c r="A1281" s="9"/>
      <c r="D1281" s="9"/>
      <c r="E1281" s="13"/>
      <c r="F1281" s="13"/>
      <c r="M1281" s="9"/>
      <c r="N1281" s="9"/>
      <c r="O1281" s="9"/>
    </row>
    <row r="1282">
      <c r="A1282" s="9"/>
      <c r="D1282" s="9"/>
      <c r="E1282" s="13"/>
      <c r="F1282" s="13"/>
      <c r="M1282" s="9"/>
      <c r="N1282" s="9"/>
      <c r="O1282" s="9"/>
    </row>
    <row r="1283">
      <c r="A1283" s="9"/>
      <c r="D1283" s="9"/>
      <c r="E1283" s="13"/>
      <c r="F1283" s="13"/>
      <c r="M1283" s="9"/>
      <c r="N1283" s="9"/>
      <c r="O1283" s="9"/>
    </row>
    <row r="1284">
      <c r="A1284" s="9"/>
      <c r="D1284" s="9"/>
      <c r="E1284" s="13"/>
      <c r="F1284" s="13"/>
      <c r="M1284" s="9"/>
      <c r="N1284" s="9"/>
      <c r="O1284" s="9"/>
    </row>
    <row r="1285">
      <c r="A1285" s="9"/>
      <c r="D1285" s="9"/>
      <c r="E1285" s="13"/>
      <c r="F1285" s="13"/>
      <c r="M1285" s="9"/>
      <c r="N1285" s="9"/>
      <c r="O1285" s="9"/>
    </row>
    <row r="1286">
      <c r="A1286" s="9"/>
      <c r="D1286" s="9"/>
      <c r="E1286" s="13"/>
      <c r="F1286" s="13"/>
      <c r="M1286" s="9"/>
      <c r="N1286" s="9"/>
      <c r="O1286" s="9"/>
    </row>
    <row r="1287">
      <c r="A1287" s="9"/>
      <c r="D1287" s="9"/>
      <c r="E1287" s="13"/>
      <c r="F1287" s="13"/>
      <c r="M1287" s="9"/>
      <c r="N1287" s="9"/>
      <c r="O1287" s="9"/>
    </row>
    <row r="1288">
      <c r="A1288" s="9"/>
      <c r="D1288" s="9"/>
      <c r="E1288" s="13"/>
      <c r="F1288" s="13"/>
      <c r="M1288" s="9"/>
      <c r="N1288" s="9"/>
      <c r="O1288" s="9"/>
    </row>
    <row r="1289">
      <c r="A1289" s="9"/>
      <c r="D1289" s="9"/>
      <c r="E1289" s="13"/>
      <c r="F1289" s="13"/>
      <c r="M1289" s="9"/>
      <c r="N1289" s="9"/>
      <c r="O1289" s="9"/>
    </row>
    <row r="1290">
      <c r="A1290" s="9"/>
      <c r="D1290" s="9"/>
      <c r="E1290" s="13"/>
      <c r="F1290" s="13"/>
      <c r="M1290" s="9"/>
      <c r="N1290" s="9"/>
      <c r="O1290" s="9"/>
    </row>
    <row r="1291">
      <c r="A1291" s="9"/>
      <c r="D1291" s="9"/>
      <c r="E1291" s="13"/>
      <c r="F1291" s="13"/>
      <c r="M1291" s="9"/>
      <c r="N1291" s="9"/>
      <c r="O1291" s="9"/>
    </row>
    <row r="1292">
      <c r="A1292" s="9"/>
      <c r="D1292" s="9"/>
      <c r="E1292" s="13"/>
      <c r="F1292" s="13"/>
      <c r="M1292" s="9"/>
      <c r="N1292" s="9"/>
      <c r="O1292" s="9"/>
    </row>
    <row r="1293">
      <c r="A1293" s="9"/>
      <c r="D1293" s="9"/>
      <c r="E1293" s="13"/>
      <c r="F1293" s="13"/>
      <c r="M1293" s="9"/>
      <c r="N1293" s="9"/>
      <c r="O1293" s="9"/>
    </row>
    <row r="1294">
      <c r="A1294" s="9"/>
      <c r="D1294" s="9"/>
      <c r="E1294" s="13"/>
      <c r="F1294" s="13"/>
      <c r="M1294" s="9"/>
      <c r="N1294" s="9"/>
      <c r="O1294" s="9"/>
    </row>
    <row r="1295">
      <c r="A1295" s="9"/>
      <c r="D1295" s="9"/>
      <c r="E1295" s="13"/>
      <c r="F1295" s="13"/>
      <c r="M1295" s="9"/>
      <c r="N1295" s="9"/>
      <c r="O1295" s="9"/>
    </row>
    <row r="1296">
      <c r="A1296" s="9"/>
      <c r="D1296" s="9"/>
      <c r="E1296" s="13"/>
      <c r="F1296" s="13"/>
      <c r="M1296" s="9"/>
      <c r="N1296" s="9"/>
      <c r="O1296" s="9"/>
    </row>
    <row r="1297">
      <c r="A1297" s="9"/>
      <c r="D1297" s="9"/>
      <c r="E1297" s="13"/>
      <c r="F1297" s="13"/>
      <c r="M1297" s="9"/>
      <c r="N1297" s="9"/>
      <c r="O1297" s="9"/>
    </row>
    <row r="1298">
      <c r="A1298" s="9"/>
      <c r="D1298" s="9"/>
      <c r="E1298" s="13"/>
      <c r="F1298" s="13"/>
      <c r="M1298" s="9"/>
      <c r="N1298" s="9"/>
      <c r="O1298" s="9"/>
    </row>
    <row r="1299">
      <c r="A1299" s="9"/>
      <c r="D1299" s="9"/>
      <c r="E1299" s="13"/>
      <c r="F1299" s="13"/>
      <c r="M1299" s="9"/>
      <c r="N1299" s="9"/>
      <c r="O1299" s="9"/>
    </row>
    <row r="1300">
      <c r="A1300" s="9"/>
      <c r="D1300" s="9"/>
      <c r="E1300" s="13"/>
      <c r="F1300" s="13"/>
      <c r="M1300" s="9"/>
      <c r="N1300" s="9"/>
      <c r="O1300" s="9"/>
    </row>
    <row r="1301">
      <c r="A1301" s="9"/>
      <c r="D1301" s="9"/>
      <c r="E1301" s="13"/>
      <c r="F1301" s="13"/>
      <c r="M1301" s="9"/>
      <c r="N1301" s="9"/>
      <c r="O1301" s="9"/>
    </row>
    <row r="1302">
      <c r="A1302" s="9"/>
      <c r="D1302" s="9"/>
      <c r="E1302" s="13"/>
      <c r="F1302" s="13"/>
      <c r="M1302" s="9"/>
      <c r="N1302" s="9"/>
      <c r="O1302" s="9"/>
    </row>
    <row r="1303">
      <c r="A1303" s="9"/>
      <c r="D1303" s="9"/>
      <c r="E1303" s="13"/>
      <c r="F1303" s="13"/>
      <c r="M1303" s="9"/>
      <c r="N1303" s="9"/>
      <c r="O1303" s="9"/>
    </row>
    <row r="1304">
      <c r="A1304" s="9"/>
      <c r="D1304" s="9"/>
      <c r="E1304" s="13"/>
      <c r="F1304" s="13"/>
      <c r="M1304" s="9"/>
      <c r="N1304" s="9"/>
      <c r="O1304" s="9"/>
    </row>
    <row r="1305">
      <c r="A1305" s="9"/>
      <c r="D1305" s="9"/>
      <c r="E1305" s="13"/>
      <c r="F1305" s="13"/>
      <c r="M1305" s="9"/>
      <c r="N1305" s="9"/>
      <c r="O1305" s="9"/>
    </row>
    <row r="1306">
      <c r="A1306" s="9"/>
      <c r="D1306" s="9"/>
      <c r="E1306" s="13"/>
      <c r="F1306" s="13"/>
      <c r="M1306" s="9"/>
      <c r="N1306" s="9"/>
      <c r="O1306" s="9"/>
    </row>
    <row r="1307">
      <c r="A1307" s="9"/>
      <c r="D1307" s="9"/>
      <c r="E1307" s="13"/>
      <c r="F1307" s="13"/>
      <c r="M1307" s="9"/>
      <c r="N1307" s="9"/>
      <c r="O1307" s="9"/>
    </row>
    <row r="1308">
      <c r="A1308" s="9"/>
      <c r="D1308" s="9"/>
      <c r="E1308" s="13"/>
      <c r="F1308" s="13"/>
      <c r="M1308" s="9"/>
      <c r="N1308" s="9"/>
      <c r="O1308" s="9"/>
    </row>
    <row r="1309">
      <c r="A1309" s="9"/>
      <c r="D1309" s="9"/>
      <c r="E1309" s="13"/>
      <c r="F1309" s="13"/>
      <c r="M1309" s="9"/>
      <c r="N1309" s="9"/>
      <c r="O1309" s="9"/>
    </row>
    <row r="1310">
      <c r="A1310" s="9"/>
      <c r="D1310" s="9"/>
      <c r="E1310" s="13"/>
      <c r="F1310" s="13"/>
      <c r="M1310" s="9"/>
      <c r="N1310" s="9"/>
      <c r="O1310" s="9"/>
    </row>
    <row r="1311">
      <c r="A1311" s="9"/>
      <c r="D1311" s="9"/>
      <c r="E1311" s="13"/>
      <c r="F1311" s="13"/>
      <c r="M1311" s="9"/>
      <c r="N1311" s="9"/>
      <c r="O1311" s="9"/>
    </row>
    <row r="1312">
      <c r="A1312" s="9"/>
      <c r="D1312" s="9"/>
      <c r="E1312" s="13"/>
      <c r="F1312" s="13"/>
      <c r="M1312" s="9"/>
      <c r="N1312" s="9"/>
      <c r="O1312" s="9"/>
    </row>
    <row r="1313">
      <c r="A1313" s="9"/>
      <c r="D1313" s="9"/>
      <c r="E1313" s="13"/>
      <c r="F1313" s="13"/>
      <c r="M1313" s="9"/>
      <c r="N1313" s="9"/>
      <c r="O1313" s="9"/>
    </row>
    <row r="1314">
      <c r="A1314" s="9"/>
      <c r="D1314" s="9"/>
      <c r="E1314" s="13"/>
      <c r="F1314" s="13"/>
      <c r="M1314" s="9"/>
      <c r="N1314" s="9"/>
      <c r="O1314" s="9"/>
    </row>
    <row r="1315">
      <c r="A1315" s="9"/>
      <c r="D1315" s="9"/>
      <c r="E1315" s="13"/>
      <c r="F1315" s="13"/>
      <c r="M1315" s="9"/>
      <c r="N1315" s="9"/>
      <c r="O1315" s="9"/>
    </row>
    <row r="1316">
      <c r="A1316" s="9"/>
      <c r="D1316" s="9"/>
      <c r="E1316" s="13"/>
      <c r="F1316" s="13"/>
      <c r="M1316" s="9"/>
      <c r="N1316" s="9"/>
      <c r="O1316" s="9"/>
    </row>
    <row r="1317">
      <c r="A1317" s="9"/>
      <c r="D1317" s="9"/>
      <c r="E1317" s="13"/>
      <c r="F1317" s="13"/>
      <c r="M1317" s="9"/>
      <c r="N1317" s="9"/>
      <c r="O1317" s="9"/>
    </row>
    <row r="1318">
      <c r="A1318" s="9"/>
      <c r="D1318" s="9"/>
      <c r="E1318" s="13"/>
      <c r="F1318" s="13"/>
      <c r="M1318" s="9"/>
      <c r="N1318" s="9"/>
      <c r="O1318" s="9"/>
    </row>
    <row r="1319">
      <c r="A1319" s="9"/>
      <c r="D1319" s="9"/>
      <c r="E1319" s="13"/>
      <c r="F1319" s="13"/>
      <c r="M1319" s="9"/>
      <c r="N1319" s="9"/>
      <c r="O1319" s="9"/>
    </row>
    <row r="1320">
      <c r="A1320" s="9"/>
      <c r="D1320" s="9"/>
      <c r="E1320" s="13"/>
      <c r="F1320" s="13"/>
      <c r="M1320" s="9"/>
      <c r="N1320" s="9"/>
      <c r="O1320" s="9"/>
    </row>
    <row r="1321">
      <c r="A1321" s="9"/>
      <c r="D1321" s="9"/>
      <c r="E1321" s="13"/>
      <c r="F1321" s="13"/>
      <c r="M1321" s="9"/>
      <c r="N1321" s="9"/>
      <c r="O1321" s="9"/>
    </row>
    <row r="1322">
      <c r="A1322" s="9"/>
      <c r="D1322" s="9"/>
      <c r="E1322" s="13"/>
      <c r="F1322" s="13"/>
      <c r="M1322" s="9"/>
      <c r="N1322" s="9"/>
      <c r="O1322" s="9"/>
    </row>
    <row r="1323">
      <c r="A1323" s="9"/>
      <c r="D1323" s="9"/>
      <c r="E1323" s="13"/>
      <c r="F1323" s="13"/>
      <c r="M1323" s="9"/>
      <c r="N1323" s="9"/>
      <c r="O1323" s="9"/>
    </row>
    <row r="1324">
      <c r="A1324" s="9"/>
      <c r="D1324" s="9"/>
      <c r="E1324" s="13"/>
      <c r="F1324" s="13"/>
      <c r="M1324" s="9"/>
      <c r="N1324" s="9"/>
      <c r="O1324" s="9"/>
    </row>
    <row r="1325">
      <c r="A1325" s="9"/>
      <c r="D1325" s="9"/>
      <c r="E1325" s="13"/>
      <c r="F1325" s="13"/>
      <c r="M1325" s="9"/>
      <c r="N1325" s="9"/>
      <c r="O1325" s="9"/>
    </row>
    <row r="1326">
      <c r="A1326" s="9"/>
      <c r="D1326" s="9"/>
      <c r="E1326" s="13"/>
      <c r="F1326" s="13"/>
      <c r="M1326" s="9"/>
      <c r="N1326" s="9"/>
      <c r="O1326" s="9"/>
    </row>
    <row r="1327">
      <c r="A1327" s="9"/>
      <c r="D1327" s="9"/>
      <c r="E1327" s="13"/>
      <c r="F1327" s="13"/>
      <c r="M1327" s="9"/>
      <c r="N1327" s="9"/>
      <c r="O1327" s="9"/>
    </row>
    <row r="1328">
      <c r="A1328" s="9"/>
      <c r="D1328" s="9"/>
      <c r="E1328" s="13"/>
      <c r="F1328" s="13"/>
      <c r="M1328" s="9"/>
      <c r="N1328" s="9"/>
      <c r="O1328" s="9"/>
    </row>
    <row r="1329">
      <c r="A1329" s="9"/>
      <c r="D1329" s="9"/>
      <c r="E1329" s="13"/>
      <c r="F1329" s="13"/>
      <c r="M1329" s="9"/>
      <c r="N1329" s="9"/>
      <c r="O1329" s="9"/>
    </row>
    <row r="1330">
      <c r="A1330" s="9"/>
      <c r="D1330" s="9"/>
      <c r="E1330" s="13"/>
      <c r="F1330" s="13"/>
      <c r="M1330" s="9"/>
      <c r="N1330" s="9"/>
      <c r="O1330" s="9"/>
    </row>
    <row r="1331">
      <c r="A1331" s="9"/>
      <c r="D1331" s="9"/>
      <c r="E1331" s="13"/>
      <c r="F1331" s="13"/>
      <c r="M1331" s="9"/>
      <c r="N1331" s="9"/>
      <c r="O1331" s="9"/>
    </row>
    <row r="1332">
      <c r="A1332" s="9"/>
      <c r="D1332" s="9"/>
      <c r="E1332" s="13"/>
      <c r="F1332" s="13"/>
      <c r="M1332" s="9"/>
      <c r="N1332" s="9"/>
      <c r="O1332" s="9"/>
    </row>
    <row r="1333">
      <c r="A1333" s="9"/>
      <c r="D1333" s="9"/>
      <c r="E1333" s="13"/>
      <c r="F1333" s="13"/>
      <c r="M1333" s="9"/>
      <c r="N1333" s="9"/>
      <c r="O1333" s="9"/>
    </row>
    <row r="1334">
      <c r="A1334" s="9"/>
      <c r="D1334" s="9"/>
      <c r="E1334" s="13"/>
      <c r="F1334" s="13"/>
      <c r="M1334" s="9"/>
      <c r="N1334" s="9"/>
      <c r="O1334" s="9"/>
    </row>
    <row r="1335">
      <c r="A1335" s="9"/>
      <c r="D1335" s="9"/>
      <c r="E1335" s="13"/>
      <c r="F1335" s="13"/>
      <c r="M1335" s="9"/>
      <c r="N1335" s="9"/>
      <c r="O1335" s="9"/>
    </row>
    <row r="1336">
      <c r="A1336" s="9"/>
      <c r="D1336" s="9"/>
      <c r="E1336" s="13"/>
      <c r="F1336" s="13"/>
      <c r="M1336" s="9"/>
      <c r="N1336" s="9"/>
      <c r="O1336" s="9"/>
    </row>
    <row r="1337">
      <c r="A1337" s="9"/>
      <c r="D1337" s="9"/>
      <c r="E1337" s="13"/>
      <c r="F1337" s="13"/>
      <c r="M1337" s="9"/>
      <c r="N1337" s="9"/>
      <c r="O1337" s="9"/>
    </row>
    <row r="1338">
      <c r="A1338" s="9"/>
      <c r="D1338" s="9"/>
      <c r="E1338" s="13"/>
      <c r="F1338" s="13"/>
      <c r="M1338" s="9"/>
      <c r="N1338" s="9"/>
      <c r="O1338" s="9"/>
    </row>
    <row r="1339">
      <c r="A1339" s="9"/>
      <c r="D1339" s="9"/>
      <c r="E1339" s="13"/>
      <c r="F1339" s="13"/>
      <c r="M1339" s="9"/>
      <c r="N1339" s="9"/>
      <c r="O1339" s="9"/>
    </row>
    <row r="1340">
      <c r="A1340" s="9"/>
      <c r="D1340" s="9"/>
      <c r="E1340" s="13"/>
      <c r="F1340" s="13"/>
      <c r="M1340" s="9"/>
      <c r="N1340" s="9"/>
      <c r="O1340" s="9"/>
    </row>
    <row r="1341">
      <c r="A1341" s="9"/>
      <c r="D1341" s="9"/>
      <c r="E1341" s="13"/>
      <c r="F1341" s="13"/>
      <c r="M1341" s="9"/>
      <c r="N1341" s="9"/>
      <c r="O1341" s="9"/>
    </row>
    <row r="1342">
      <c r="A1342" s="9"/>
      <c r="D1342" s="9"/>
      <c r="E1342" s="13"/>
      <c r="F1342" s="13"/>
      <c r="M1342" s="9"/>
      <c r="N1342" s="9"/>
      <c r="O1342" s="9"/>
    </row>
    <row r="1343">
      <c r="A1343" s="9"/>
      <c r="D1343" s="9"/>
      <c r="E1343" s="13"/>
      <c r="F1343" s="13"/>
      <c r="M1343" s="9"/>
      <c r="N1343" s="9"/>
      <c r="O1343" s="9"/>
    </row>
    <row r="1344">
      <c r="A1344" s="9"/>
      <c r="D1344" s="9"/>
      <c r="E1344" s="13"/>
      <c r="F1344" s="13"/>
      <c r="M1344" s="9"/>
      <c r="N1344" s="9"/>
      <c r="O1344" s="9"/>
    </row>
    <row r="1345">
      <c r="A1345" s="9"/>
      <c r="D1345" s="9"/>
      <c r="E1345" s="13"/>
      <c r="F1345" s="13"/>
      <c r="M1345" s="9"/>
      <c r="N1345" s="9"/>
      <c r="O1345" s="9"/>
    </row>
    <row r="1346">
      <c r="A1346" s="9"/>
      <c r="D1346" s="9"/>
      <c r="E1346" s="13"/>
      <c r="F1346" s="13"/>
      <c r="M1346" s="9"/>
      <c r="N1346" s="9"/>
      <c r="O1346" s="9"/>
    </row>
    <row r="1347">
      <c r="A1347" s="9"/>
      <c r="D1347" s="9"/>
      <c r="E1347" s="13"/>
      <c r="F1347" s="13"/>
      <c r="M1347" s="9"/>
      <c r="N1347" s="9"/>
      <c r="O1347" s="9"/>
    </row>
    <row r="1348">
      <c r="A1348" s="9"/>
      <c r="D1348" s="9"/>
      <c r="E1348" s="13"/>
      <c r="F1348" s="13"/>
      <c r="M1348" s="9"/>
      <c r="N1348" s="9"/>
      <c r="O1348" s="9"/>
    </row>
    <row r="1349">
      <c r="A1349" s="9"/>
      <c r="D1349" s="9"/>
      <c r="E1349" s="13"/>
      <c r="F1349" s="13"/>
      <c r="M1349" s="9"/>
      <c r="N1349" s="9"/>
      <c r="O1349" s="9"/>
    </row>
    <row r="1350">
      <c r="A1350" s="9"/>
      <c r="D1350" s="9"/>
      <c r="E1350" s="13"/>
      <c r="F1350" s="13"/>
      <c r="M1350" s="9"/>
      <c r="N1350" s="9"/>
      <c r="O1350" s="9"/>
    </row>
    <row r="1351">
      <c r="A1351" s="9"/>
      <c r="D1351" s="9"/>
      <c r="E1351" s="13"/>
      <c r="F1351" s="13"/>
      <c r="M1351" s="9"/>
      <c r="N1351" s="9"/>
      <c r="O1351" s="9"/>
    </row>
    <row r="1352">
      <c r="A1352" s="9"/>
      <c r="D1352" s="9"/>
      <c r="E1352" s="13"/>
      <c r="F1352" s="13"/>
      <c r="M1352" s="9"/>
      <c r="N1352" s="9"/>
      <c r="O1352" s="9"/>
    </row>
    <row r="1353">
      <c r="A1353" s="9"/>
      <c r="D1353" s="9"/>
      <c r="E1353" s="13"/>
      <c r="F1353" s="13"/>
      <c r="M1353" s="9"/>
      <c r="N1353" s="9"/>
      <c r="O1353" s="9"/>
    </row>
    <row r="1354">
      <c r="A1354" s="9"/>
      <c r="D1354" s="9"/>
      <c r="E1354" s="13"/>
      <c r="F1354" s="13"/>
      <c r="M1354" s="9"/>
      <c r="N1354" s="9"/>
      <c r="O1354" s="9"/>
    </row>
    <row r="1355">
      <c r="A1355" s="9"/>
      <c r="D1355" s="9"/>
      <c r="E1355" s="13"/>
      <c r="F1355" s="13"/>
      <c r="M1355" s="9"/>
      <c r="N1355" s="9"/>
      <c r="O1355" s="9"/>
    </row>
    <row r="1356">
      <c r="A1356" s="9"/>
      <c r="D1356" s="9"/>
      <c r="E1356" s="13"/>
      <c r="F1356" s="13"/>
      <c r="M1356" s="9"/>
      <c r="N1356" s="9"/>
      <c r="O1356" s="9"/>
    </row>
    <row r="1357">
      <c r="A1357" s="9"/>
      <c r="D1357" s="9"/>
      <c r="E1357" s="13"/>
      <c r="F1357" s="13"/>
      <c r="M1357" s="9"/>
      <c r="N1357" s="9"/>
      <c r="O1357" s="9"/>
    </row>
    <row r="1358">
      <c r="A1358" s="9"/>
      <c r="D1358" s="9"/>
      <c r="E1358" s="13"/>
      <c r="F1358" s="13"/>
      <c r="M1358" s="9"/>
      <c r="N1358" s="9"/>
      <c r="O1358" s="9"/>
    </row>
    <row r="1359">
      <c r="A1359" s="9"/>
      <c r="D1359" s="9"/>
      <c r="E1359" s="13"/>
      <c r="F1359" s="13"/>
      <c r="M1359" s="9"/>
      <c r="N1359" s="9"/>
      <c r="O1359" s="9"/>
    </row>
    <row r="1360">
      <c r="A1360" s="9"/>
      <c r="D1360" s="9"/>
      <c r="E1360" s="13"/>
      <c r="F1360" s="13"/>
      <c r="M1360" s="9"/>
      <c r="N1360" s="9"/>
      <c r="O1360" s="9"/>
    </row>
    <row r="1361">
      <c r="A1361" s="9"/>
      <c r="D1361" s="9"/>
      <c r="E1361" s="13"/>
      <c r="F1361" s="13"/>
      <c r="M1361" s="9"/>
      <c r="N1361" s="9"/>
      <c r="O1361" s="9"/>
    </row>
    <row r="1362">
      <c r="A1362" s="9"/>
      <c r="D1362" s="9"/>
      <c r="E1362" s="13"/>
      <c r="F1362" s="13"/>
      <c r="M1362" s="9"/>
      <c r="N1362" s="9"/>
      <c r="O1362" s="9"/>
    </row>
    <row r="1363">
      <c r="A1363" s="9"/>
      <c r="D1363" s="9"/>
      <c r="E1363" s="13"/>
      <c r="F1363" s="13"/>
      <c r="M1363" s="9"/>
      <c r="N1363" s="9"/>
      <c r="O1363" s="9"/>
    </row>
    <row r="1364">
      <c r="A1364" s="9"/>
      <c r="D1364" s="9"/>
      <c r="E1364" s="13"/>
      <c r="F1364" s="13"/>
      <c r="M1364" s="9"/>
      <c r="N1364" s="9"/>
      <c r="O1364" s="9"/>
    </row>
    <row r="1365">
      <c r="A1365" s="9"/>
      <c r="D1365" s="9"/>
      <c r="E1365" s="13"/>
      <c r="F1365" s="13"/>
      <c r="M1365" s="9"/>
      <c r="N1365" s="9"/>
      <c r="O1365" s="9"/>
    </row>
    <row r="1366">
      <c r="A1366" s="9"/>
      <c r="D1366" s="9"/>
      <c r="E1366" s="13"/>
      <c r="F1366" s="13"/>
      <c r="M1366" s="9"/>
      <c r="N1366" s="9"/>
      <c r="O1366" s="9"/>
    </row>
    <row r="1367">
      <c r="A1367" s="9"/>
      <c r="D1367" s="9"/>
      <c r="E1367" s="13"/>
      <c r="F1367" s="13"/>
      <c r="M1367" s="9"/>
      <c r="N1367" s="9"/>
      <c r="O1367" s="9"/>
    </row>
    <row r="1368">
      <c r="A1368" s="9"/>
      <c r="D1368" s="9"/>
      <c r="E1368" s="13"/>
      <c r="F1368" s="13"/>
      <c r="M1368" s="9"/>
      <c r="N1368" s="9"/>
      <c r="O1368" s="9"/>
    </row>
    <row r="1369">
      <c r="A1369" s="9"/>
      <c r="D1369" s="9"/>
      <c r="E1369" s="13"/>
      <c r="F1369" s="13"/>
      <c r="M1369" s="9"/>
      <c r="N1369" s="9"/>
      <c r="O1369" s="9"/>
    </row>
    <row r="1370">
      <c r="A1370" s="9"/>
      <c r="D1370" s="9"/>
      <c r="E1370" s="13"/>
      <c r="F1370" s="13"/>
      <c r="M1370" s="9"/>
      <c r="N1370" s="9"/>
      <c r="O1370" s="9"/>
    </row>
    <row r="1371">
      <c r="A1371" s="9"/>
      <c r="D1371" s="9"/>
      <c r="E1371" s="13"/>
      <c r="F1371" s="13"/>
      <c r="M1371" s="9"/>
      <c r="N1371" s="9"/>
      <c r="O1371" s="9"/>
    </row>
    <row r="1372">
      <c r="A1372" s="9"/>
      <c r="D1372" s="9"/>
      <c r="E1372" s="13"/>
      <c r="F1372" s="13"/>
      <c r="M1372" s="9"/>
      <c r="N1372" s="9"/>
      <c r="O1372" s="9"/>
    </row>
    <row r="1373">
      <c r="A1373" s="9"/>
      <c r="D1373" s="9"/>
      <c r="E1373" s="13"/>
      <c r="F1373" s="13"/>
      <c r="M1373" s="9"/>
      <c r="N1373" s="9"/>
      <c r="O1373" s="9"/>
    </row>
    <row r="1374">
      <c r="A1374" s="9"/>
      <c r="D1374" s="9"/>
      <c r="E1374" s="13"/>
      <c r="F1374" s="13"/>
      <c r="M1374" s="9"/>
      <c r="N1374" s="9"/>
      <c r="O1374" s="9"/>
    </row>
    <row r="1375">
      <c r="A1375" s="9"/>
      <c r="D1375" s="9"/>
      <c r="E1375" s="13"/>
      <c r="F1375" s="13"/>
      <c r="M1375" s="9"/>
      <c r="N1375" s="9"/>
      <c r="O1375" s="9"/>
    </row>
    <row r="1376">
      <c r="A1376" s="9"/>
      <c r="D1376" s="9"/>
      <c r="E1376" s="13"/>
      <c r="F1376" s="13"/>
      <c r="M1376" s="9"/>
      <c r="N1376" s="9"/>
      <c r="O1376" s="9"/>
    </row>
    <row r="1377">
      <c r="A1377" s="9"/>
      <c r="D1377" s="9"/>
      <c r="E1377" s="13"/>
      <c r="F1377" s="13"/>
      <c r="M1377" s="9"/>
      <c r="N1377" s="9"/>
      <c r="O1377" s="9"/>
    </row>
    <row r="1378">
      <c r="A1378" s="9"/>
      <c r="D1378" s="9"/>
      <c r="E1378" s="13"/>
      <c r="F1378" s="13"/>
      <c r="M1378" s="9"/>
      <c r="N1378" s="9"/>
      <c r="O1378" s="9"/>
    </row>
    <row r="1379">
      <c r="A1379" s="9"/>
      <c r="D1379" s="9"/>
      <c r="E1379" s="13"/>
      <c r="F1379" s="13"/>
      <c r="M1379" s="9"/>
      <c r="N1379" s="9"/>
      <c r="O1379" s="9"/>
    </row>
    <row r="1380">
      <c r="A1380" s="9"/>
      <c r="D1380" s="9"/>
      <c r="E1380" s="13"/>
      <c r="F1380" s="13"/>
      <c r="M1380" s="9"/>
      <c r="N1380" s="9"/>
      <c r="O1380" s="9"/>
    </row>
    <row r="1381">
      <c r="A1381" s="9"/>
      <c r="D1381" s="9"/>
      <c r="E1381" s="13"/>
      <c r="F1381" s="13"/>
      <c r="M1381" s="9"/>
      <c r="N1381" s="9"/>
      <c r="O1381" s="9"/>
    </row>
    <row r="1382">
      <c r="A1382" s="9"/>
      <c r="D1382" s="9"/>
      <c r="E1382" s="13"/>
      <c r="F1382" s="13"/>
      <c r="M1382" s="9"/>
      <c r="N1382" s="9"/>
      <c r="O1382" s="9"/>
    </row>
    <row r="1383">
      <c r="A1383" s="9"/>
      <c r="D1383" s="9"/>
      <c r="E1383" s="13"/>
      <c r="F1383" s="13"/>
      <c r="M1383" s="9"/>
      <c r="N1383" s="9"/>
      <c r="O1383" s="9"/>
    </row>
    <row r="1384">
      <c r="A1384" s="9"/>
      <c r="D1384" s="9"/>
      <c r="E1384" s="13"/>
      <c r="F1384" s="13"/>
      <c r="M1384" s="9"/>
      <c r="N1384" s="9"/>
      <c r="O1384" s="9"/>
    </row>
    <row r="1385">
      <c r="A1385" s="9"/>
      <c r="D1385" s="9"/>
      <c r="E1385" s="13"/>
      <c r="F1385" s="13"/>
      <c r="M1385" s="9"/>
      <c r="N1385" s="9"/>
      <c r="O1385" s="9"/>
    </row>
    <row r="1386">
      <c r="A1386" s="9"/>
      <c r="D1386" s="9"/>
      <c r="E1386" s="13"/>
      <c r="F1386" s="13"/>
      <c r="M1386" s="9"/>
      <c r="N1386" s="9"/>
      <c r="O1386" s="9"/>
    </row>
    <row r="1387">
      <c r="A1387" s="9"/>
      <c r="D1387" s="9"/>
      <c r="E1387" s="13"/>
      <c r="F1387" s="13"/>
      <c r="M1387" s="9"/>
      <c r="N1387" s="9"/>
      <c r="O1387" s="9"/>
    </row>
    <row r="1388">
      <c r="A1388" s="9"/>
      <c r="D1388" s="9"/>
      <c r="E1388" s="13"/>
      <c r="F1388" s="13"/>
      <c r="M1388" s="9"/>
      <c r="N1388" s="9"/>
      <c r="O1388" s="9"/>
    </row>
    <row r="1389">
      <c r="A1389" s="9"/>
      <c r="D1389" s="9"/>
      <c r="E1389" s="13"/>
      <c r="F1389" s="13"/>
      <c r="M1389" s="9"/>
      <c r="N1389" s="9"/>
      <c r="O1389" s="9"/>
    </row>
    <row r="1390">
      <c r="A1390" s="9"/>
      <c r="D1390" s="9"/>
      <c r="E1390" s="13"/>
      <c r="F1390" s="13"/>
      <c r="M1390" s="9"/>
      <c r="N1390" s="9"/>
      <c r="O1390" s="9"/>
    </row>
    <row r="1391">
      <c r="A1391" s="9"/>
      <c r="D1391" s="9"/>
      <c r="E1391" s="13"/>
      <c r="F1391" s="13"/>
      <c r="M1391" s="9"/>
      <c r="N1391" s="9"/>
      <c r="O1391" s="9"/>
    </row>
    <row r="1392">
      <c r="A1392" s="9"/>
      <c r="D1392" s="9"/>
      <c r="E1392" s="13"/>
      <c r="F1392" s="13"/>
      <c r="M1392" s="9"/>
      <c r="N1392" s="9"/>
      <c r="O1392" s="9"/>
    </row>
    <row r="1393">
      <c r="A1393" s="9"/>
      <c r="D1393" s="9"/>
      <c r="E1393" s="13"/>
      <c r="F1393" s="13"/>
      <c r="M1393" s="9"/>
      <c r="N1393" s="9"/>
      <c r="O1393" s="9"/>
    </row>
    <row r="1394">
      <c r="A1394" s="9"/>
      <c r="D1394" s="9"/>
      <c r="E1394" s="13"/>
      <c r="F1394" s="13"/>
      <c r="M1394" s="9"/>
      <c r="N1394" s="9"/>
      <c r="O1394" s="9"/>
    </row>
    <row r="1395">
      <c r="A1395" s="9"/>
      <c r="D1395" s="9"/>
      <c r="E1395" s="13"/>
      <c r="F1395" s="13"/>
      <c r="M1395" s="9"/>
      <c r="N1395" s="9"/>
      <c r="O1395" s="9"/>
    </row>
    <row r="1396">
      <c r="A1396" s="9"/>
      <c r="D1396" s="9"/>
      <c r="E1396" s="13"/>
      <c r="F1396" s="13"/>
      <c r="M1396" s="9"/>
      <c r="N1396" s="9"/>
      <c r="O1396" s="9"/>
    </row>
    <row r="1397">
      <c r="A1397" s="9"/>
      <c r="D1397" s="9"/>
      <c r="E1397" s="13"/>
      <c r="F1397" s="13"/>
      <c r="M1397" s="9"/>
      <c r="N1397" s="9"/>
      <c r="O1397" s="9"/>
    </row>
    <row r="1398">
      <c r="A1398" s="9"/>
      <c r="D1398" s="9"/>
      <c r="E1398" s="13"/>
      <c r="F1398" s="13"/>
      <c r="M1398" s="9"/>
      <c r="N1398" s="9"/>
      <c r="O1398" s="9"/>
    </row>
    <row r="1399">
      <c r="A1399" s="9"/>
      <c r="D1399" s="9"/>
      <c r="E1399" s="13"/>
      <c r="F1399" s="13"/>
      <c r="M1399" s="9"/>
      <c r="N1399" s="9"/>
      <c r="O1399" s="9"/>
    </row>
    <row r="1400">
      <c r="A1400" s="9"/>
      <c r="D1400" s="9"/>
      <c r="E1400" s="13"/>
      <c r="F1400" s="13"/>
      <c r="M1400" s="9"/>
      <c r="N1400" s="9"/>
      <c r="O1400" s="9"/>
    </row>
    <row r="1401">
      <c r="A1401" s="9"/>
      <c r="D1401" s="9"/>
      <c r="E1401" s="13"/>
      <c r="F1401" s="13"/>
      <c r="M1401" s="9"/>
      <c r="N1401" s="9"/>
      <c r="O1401" s="9"/>
    </row>
    <row r="1402">
      <c r="A1402" s="9"/>
      <c r="D1402" s="9"/>
      <c r="E1402" s="13"/>
      <c r="F1402" s="13"/>
      <c r="M1402" s="9"/>
      <c r="N1402" s="9"/>
      <c r="O1402" s="9"/>
    </row>
    <row r="1403">
      <c r="A1403" s="9"/>
      <c r="D1403" s="9"/>
      <c r="E1403" s="13"/>
      <c r="F1403" s="13"/>
      <c r="M1403" s="9"/>
      <c r="N1403" s="9"/>
      <c r="O1403" s="9"/>
    </row>
    <row r="1404">
      <c r="A1404" s="9"/>
      <c r="D1404" s="9"/>
      <c r="E1404" s="13"/>
      <c r="F1404" s="13"/>
      <c r="M1404" s="9"/>
      <c r="N1404" s="9"/>
      <c r="O1404" s="9"/>
    </row>
    <row r="1405">
      <c r="A1405" s="9"/>
      <c r="D1405" s="9"/>
      <c r="E1405" s="13"/>
      <c r="F1405" s="13"/>
      <c r="M1405" s="9"/>
      <c r="N1405" s="9"/>
      <c r="O1405" s="9"/>
    </row>
    <row r="1406">
      <c r="A1406" s="9"/>
      <c r="D1406" s="9"/>
      <c r="E1406" s="13"/>
      <c r="F1406" s="13"/>
      <c r="M1406" s="9"/>
      <c r="N1406" s="9"/>
      <c r="O1406" s="9"/>
    </row>
    <row r="1407">
      <c r="A1407" s="9"/>
      <c r="D1407" s="9"/>
      <c r="E1407" s="13"/>
      <c r="F1407" s="13"/>
      <c r="M1407" s="9"/>
      <c r="N1407" s="9"/>
      <c r="O1407" s="9"/>
    </row>
    <row r="1408">
      <c r="A1408" s="9"/>
      <c r="D1408" s="9"/>
      <c r="E1408" s="13"/>
      <c r="F1408" s="13"/>
      <c r="M1408" s="9"/>
      <c r="N1408" s="9"/>
      <c r="O1408" s="9"/>
    </row>
    <row r="1409">
      <c r="A1409" s="9"/>
      <c r="D1409" s="9"/>
      <c r="E1409" s="13"/>
      <c r="F1409" s="13"/>
      <c r="M1409" s="9"/>
      <c r="N1409" s="9"/>
      <c r="O1409" s="9"/>
    </row>
    <row r="1410">
      <c r="A1410" s="9"/>
      <c r="D1410" s="9"/>
      <c r="E1410" s="13"/>
      <c r="F1410" s="13"/>
      <c r="M1410" s="9"/>
      <c r="N1410" s="9"/>
      <c r="O1410" s="9"/>
    </row>
    <row r="1411">
      <c r="A1411" s="9"/>
      <c r="D1411" s="9"/>
      <c r="E1411" s="13"/>
      <c r="F1411" s="13"/>
      <c r="M1411" s="9"/>
      <c r="N1411" s="9"/>
      <c r="O1411" s="9"/>
    </row>
    <row r="1412">
      <c r="A1412" s="9"/>
      <c r="D1412" s="9"/>
      <c r="E1412" s="13"/>
      <c r="F1412" s="13"/>
      <c r="M1412" s="9"/>
      <c r="N1412" s="9"/>
      <c r="O1412" s="9"/>
    </row>
    <row r="1413">
      <c r="A1413" s="9"/>
      <c r="D1413" s="9"/>
      <c r="E1413" s="13"/>
      <c r="F1413" s="13"/>
      <c r="M1413" s="9"/>
      <c r="N1413" s="9"/>
      <c r="O1413" s="9"/>
    </row>
    <row r="1414">
      <c r="A1414" s="9"/>
      <c r="D1414" s="9"/>
      <c r="E1414" s="13"/>
      <c r="F1414" s="13"/>
      <c r="M1414" s="9"/>
      <c r="N1414" s="9"/>
      <c r="O1414" s="9"/>
    </row>
    <row r="1415">
      <c r="A1415" s="9"/>
      <c r="D1415" s="9"/>
      <c r="E1415" s="13"/>
      <c r="F1415" s="13"/>
      <c r="M1415" s="9"/>
      <c r="N1415" s="9"/>
      <c r="O1415" s="9"/>
    </row>
    <row r="1416">
      <c r="A1416" s="9"/>
      <c r="D1416" s="9"/>
      <c r="E1416" s="13"/>
      <c r="F1416" s="13"/>
      <c r="M1416" s="9"/>
      <c r="N1416" s="9"/>
      <c r="O1416" s="9"/>
    </row>
    <row r="1417">
      <c r="A1417" s="9"/>
      <c r="D1417" s="9"/>
      <c r="E1417" s="13"/>
      <c r="F1417" s="13"/>
      <c r="M1417" s="9"/>
      <c r="N1417" s="9"/>
      <c r="O1417" s="9"/>
    </row>
    <row r="1418">
      <c r="A1418" s="9"/>
      <c r="D1418" s="9"/>
      <c r="E1418" s="13"/>
      <c r="F1418" s="13"/>
      <c r="M1418" s="9"/>
      <c r="N1418" s="9"/>
      <c r="O1418" s="9"/>
    </row>
    <row r="1419">
      <c r="A1419" s="9"/>
      <c r="D1419" s="9"/>
      <c r="E1419" s="13"/>
      <c r="F1419" s="13"/>
      <c r="M1419" s="9"/>
      <c r="N1419" s="9"/>
      <c r="O1419" s="9"/>
    </row>
    <row r="1420">
      <c r="A1420" s="9"/>
      <c r="D1420" s="9"/>
      <c r="E1420" s="13"/>
      <c r="F1420" s="13"/>
      <c r="M1420" s="9"/>
      <c r="N1420" s="9"/>
      <c r="O1420" s="9"/>
    </row>
    <row r="1421">
      <c r="A1421" s="9"/>
      <c r="D1421" s="9"/>
      <c r="E1421" s="13"/>
      <c r="F1421" s="13"/>
      <c r="M1421" s="9"/>
      <c r="N1421" s="9"/>
      <c r="O1421" s="9"/>
    </row>
    <row r="1422">
      <c r="A1422" s="9"/>
      <c r="D1422" s="9"/>
      <c r="E1422" s="13"/>
      <c r="F1422" s="13"/>
      <c r="M1422" s="9"/>
      <c r="N1422" s="9"/>
      <c r="O1422" s="9"/>
    </row>
    <row r="1423">
      <c r="A1423" s="9"/>
      <c r="D1423" s="9"/>
      <c r="E1423" s="13"/>
      <c r="F1423" s="13"/>
      <c r="M1423" s="9"/>
      <c r="N1423" s="9"/>
      <c r="O1423" s="9"/>
    </row>
    <row r="1424">
      <c r="A1424" s="9"/>
      <c r="D1424" s="9"/>
      <c r="E1424" s="13"/>
      <c r="F1424" s="13"/>
      <c r="M1424" s="9"/>
      <c r="N1424" s="9"/>
      <c r="O1424" s="9"/>
    </row>
    <row r="1425">
      <c r="A1425" s="9"/>
      <c r="D1425" s="9"/>
      <c r="E1425" s="13"/>
      <c r="F1425" s="13"/>
      <c r="M1425" s="9"/>
      <c r="N1425" s="9"/>
      <c r="O1425" s="9"/>
    </row>
    <row r="1426">
      <c r="A1426" s="9"/>
      <c r="D1426" s="9"/>
      <c r="E1426" s="13"/>
      <c r="F1426" s="13"/>
      <c r="M1426" s="9"/>
      <c r="N1426" s="9"/>
      <c r="O1426" s="9"/>
    </row>
    <row r="1427">
      <c r="A1427" s="9"/>
      <c r="D1427" s="9"/>
      <c r="E1427" s="13"/>
      <c r="F1427" s="13"/>
      <c r="M1427" s="9"/>
      <c r="N1427" s="9"/>
      <c r="O1427" s="9"/>
    </row>
    <row r="1428">
      <c r="A1428" s="9"/>
      <c r="D1428" s="9"/>
      <c r="E1428" s="13"/>
      <c r="F1428" s="13"/>
      <c r="M1428" s="9"/>
      <c r="N1428" s="9"/>
      <c r="O1428" s="9"/>
    </row>
    <row r="1429">
      <c r="A1429" s="9"/>
      <c r="D1429" s="9"/>
      <c r="E1429" s="13"/>
      <c r="F1429" s="13"/>
      <c r="M1429" s="9"/>
      <c r="N1429" s="9"/>
      <c r="O1429" s="9"/>
    </row>
    <row r="1430">
      <c r="A1430" s="9"/>
      <c r="D1430" s="9"/>
      <c r="E1430" s="13"/>
      <c r="F1430" s="13"/>
      <c r="M1430" s="9"/>
      <c r="N1430" s="9"/>
      <c r="O1430" s="9"/>
    </row>
    <row r="1431">
      <c r="A1431" s="9"/>
      <c r="D1431" s="9"/>
      <c r="E1431" s="13"/>
      <c r="F1431" s="13"/>
      <c r="M1431" s="9"/>
      <c r="N1431" s="9"/>
      <c r="O1431" s="9"/>
    </row>
    <row r="1432">
      <c r="A1432" s="9"/>
      <c r="D1432" s="9"/>
      <c r="E1432" s="13"/>
      <c r="F1432" s="13"/>
      <c r="M1432" s="9"/>
      <c r="N1432" s="9"/>
      <c r="O1432" s="9"/>
    </row>
    <row r="1433">
      <c r="A1433" s="9"/>
      <c r="D1433" s="9"/>
      <c r="E1433" s="13"/>
      <c r="F1433" s="13"/>
      <c r="M1433" s="9"/>
      <c r="N1433" s="9"/>
      <c r="O1433" s="9"/>
    </row>
    <row r="1434">
      <c r="A1434" s="9"/>
      <c r="D1434" s="9"/>
      <c r="E1434" s="13"/>
      <c r="F1434" s="13"/>
      <c r="M1434" s="9"/>
      <c r="N1434" s="9"/>
      <c r="O1434" s="9"/>
    </row>
    <row r="1435">
      <c r="A1435" s="9"/>
      <c r="D1435" s="9"/>
      <c r="E1435" s="13"/>
      <c r="F1435" s="13"/>
      <c r="M1435" s="9"/>
      <c r="N1435" s="9"/>
      <c r="O1435" s="9"/>
    </row>
    <row r="1436">
      <c r="A1436" s="9"/>
      <c r="D1436" s="9"/>
      <c r="E1436" s="13"/>
      <c r="F1436" s="13"/>
      <c r="M1436" s="9"/>
      <c r="N1436" s="9"/>
      <c r="O1436" s="9"/>
    </row>
    <row r="1437">
      <c r="A1437" s="9"/>
      <c r="D1437" s="9"/>
      <c r="E1437" s="13"/>
      <c r="F1437" s="13"/>
      <c r="M1437" s="9"/>
      <c r="N1437" s="9"/>
      <c r="O1437" s="9"/>
    </row>
    <row r="1438">
      <c r="A1438" s="9"/>
      <c r="D1438" s="9"/>
      <c r="E1438" s="13"/>
      <c r="F1438" s="13"/>
      <c r="M1438" s="9"/>
      <c r="N1438" s="9"/>
      <c r="O1438" s="9"/>
    </row>
    <row r="1439">
      <c r="A1439" s="9"/>
      <c r="D1439" s="9"/>
      <c r="E1439" s="13"/>
      <c r="F1439" s="13"/>
      <c r="M1439" s="9"/>
      <c r="N1439" s="9"/>
      <c r="O1439" s="9"/>
    </row>
    <row r="1440">
      <c r="A1440" s="9"/>
      <c r="D1440" s="9"/>
      <c r="E1440" s="13"/>
      <c r="F1440" s="13"/>
      <c r="M1440" s="9"/>
      <c r="N1440" s="9"/>
      <c r="O1440" s="9"/>
    </row>
    <row r="1441">
      <c r="A1441" s="9"/>
      <c r="D1441" s="9"/>
      <c r="E1441" s="13"/>
      <c r="F1441" s="13"/>
      <c r="M1441" s="9"/>
      <c r="N1441" s="9"/>
      <c r="O1441" s="9"/>
    </row>
    <row r="1442">
      <c r="A1442" s="9"/>
      <c r="D1442" s="9"/>
      <c r="E1442" s="13"/>
      <c r="F1442" s="13"/>
      <c r="M1442" s="9"/>
      <c r="N1442" s="9"/>
      <c r="O1442" s="9"/>
    </row>
    <row r="1443">
      <c r="A1443" s="9"/>
      <c r="D1443" s="9"/>
      <c r="E1443" s="13"/>
      <c r="F1443" s="13"/>
      <c r="M1443" s="9"/>
      <c r="N1443" s="9"/>
      <c r="O1443" s="9"/>
    </row>
    <row r="1444">
      <c r="A1444" s="9"/>
      <c r="D1444" s="9"/>
      <c r="E1444" s="13"/>
      <c r="F1444" s="13"/>
      <c r="M1444" s="9"/>
      <c r="N1444" s="9"/>
      <c r="O1444" s="9"/>
    </row>
    <row r="1445">
      <c r="A1445" s="9"/>
      <c r="D1445" s="9"/>
      <c r="E1445" s="13"/>
      <c r="F1445" s="13"/>
      <c r="M1445" s="9"/>
      <c r="N1445" s="9"/>
      <c r="O1445" s="9"/>
    </row>
    <row r="1446">
      <c r="A1446" s="9"/>
      <c r="D1446" s="9"/>
      <c r="E1446" s="13"/>
      <c r="F1446" s="13"/>
      <c r="M1446" s="9"/>
      <c r="N1446" s="9"/>
      <c r="O1446" s="9"/>
    </row>
    <row r="1447">
      <c r="A1447" s="9"/>
      <c r="D1447" s="9"/>
      <c r="E1447" s="13"/>
      <c r="F1447" s="13"/>
      <c r="M1447" s="9"/>
      <c r="N1447" s="9"/>
      <c r="O1447" s="9"/>
    </row>
    <row r="1448">
      <c r="A1448" s="9"/>
      <c r="D1448" s="9"/>
      <c r="E1448" s="13"/>
      <c r="F1448" s="13"/>
      <c r="M1448" s="9"/>
      <c r="N1448" s="9"/>
      <c r="O1448" s="9"/>
    </row>
    <row r="1449">
      <c r="A1449" s="9"/>
      <c r="D1449" s="9"/>
      <c r="E1449" s="13"/>
      <c r="F1449" s="13"/>
      <c r="M1449" s="9"/>
      <c r="N1449" s="9"/>
      <c r="O1449" s="9"/>
    </row>
    <row r="1450">
      <c r="A1450" s="9"/>
      <c r="D1450" s="9"/>
      <c r="E1450" s="13"/>
      <c r="F1450" s="13"/>
      <c r="M1450" s="9"/>
      <c r="N1450" s="9"/>
      <c r="O1450" s="9"/>
    </row>
    <row r="1451">
      <c r="A1451" s="9"/>
      <c r="D1451" s="9"/>
      <c r="E1451" s="13"/>
      <c r="F1451" s="13"/>
      <c r="M1451" s="9"/>
      <c r="N1451" s="9"/>
      <c r="O1451" s="9"/>
    </row>
    <row r="1452">
      <c r="A1452" s="9"/>
      <c r="D1452" s="9"/>
      <c r="E1452" s="13"/>
      <c r="F1452" s="13"/>
      <c r="M1452" s="9"/>
      <c r="N1452" s="9"/>
      <c r="O1452" s="9"/>
    </row>
    <row r="1453">
      <c r="A1453" s="9"/>
      <c r="D1453" s="9"/>
      <c r="E1453" s="13"/>
      <c r="F1453" s="13"/>
      <c r="M1453" s="9"/>
      <c r="N1453" s="9"/>
      <c r="O1453" s="9"/>
    </row>
    <row r="1454">
      <c r="A1454" s="9"/>
      <c r="D1454" s="9"/>
      <c r="E1454" s="13"/>
      <c r="F1454" s="13"/>
      <c r="M1454" s="9"/>
      <c r="N1454" s="9"/>
      <c r="O1454" s="9"/>
    </row>
    <row r="1455">
      <c r="A1455" s="9"/>
      <c r="D1455" s="9"/>
      <c r="E1455" s="13"/>
      <c r="F1455" s="13"/>
      <c r="M1455" s="9"/>
      <c r="N1455" s="9"/>
      <c r="O1455" s="9"/>
    </row>
    <row r="1456">
      <c r="A1456" s="9"/>
      <c r="D1456" s="9"/>
      <c r="E1456" s="13"/>
      <c r="F1456" s="13"/>
      <c r="M1456" s="9"/>
      <c r="N1456" s="9"/>
      <c r="O1456" s="9"/>
    </row>
    <row r="1457">
      <c r="A1457" s="9"/>
      <c r="D1457" s="9"/>
      <c r="E1457" s="13"/>
      <c r="F1457" s="13"/>
      <c r="M1457" s="9"/>
      <c r="N1457" s="9"/>
      <c r="O1457" s="9"/>
    </row>
    <row r="1458">
      <c r="A1458" s="9"/>
      <c r="D1458" s="9"/>
      <c r="E1458" s="13"/>
      <c r="F1458" s="13"/>
      <c r="M1458" s="9"/>
      <c r="N1458" s="9"/>
      <c r="O1458" s="9"/>
    </row>
    <row r="1459">
      <c r="A1459" s="9"/>
      <c r="D1459" s="9"/>
      <c r="E1459" s="13"/>
      <c r="F1459" s="13"/>
      <c r="M1459" s="9"/>
      <c r="N1459" s="9"/>
      <c r="O1459" s="9"/>
    </row>
    <row r="1460">
      <c r="A1460" s="9"/>
      <c r="D1460" s="9"/>
      <c r="E1460" s="13"/>
      <c r="F1460" s="13"/>
      <c r="M1460" s="9"/>
      <c r="N1460" s="9"/>
      <c r="O1460" s="9"/>
    </row>
    <row r="1461">
      <c r="A1461" s="9"/>
      <c r="D1461" s="9"/>
      <c r="E1461" s="13"/>
      <c r="F1461" s="13"/>
      <c r="M1461" s="9"/>
      <c r="N1461" s="9"/>
      <c r="O1461" s="9"/>
    </row>
    <row r="1462">
      <c r="A1462" s="9"/>
      <c r="D1462" s="9"/>
      <c r="E1462" s="13"/>
      <c r="F1462" s="13"/>
      <c r="M1462" s="9"/>
      <c r="N1462" s="9"/>
      <c r="O1462" s="9"/>
    </row>
    <row r="1463">
      <c r="A1463" s="9"/>
      <c r="D1463" s="9"/>
      <c r="E1463" s="13"/>
      <c r="F1463" s="13"/>
      <c r="M1463" s="9"/>
      <c r="N1463" s="9"/>
      <c r="O1463" s="9"/>
    </row>
    <row r="1464">
      <c r="A1464" s="9"/>
      <c r="D1464" s="9"/>
      <c r="E1464" s="13"/>
      <c r="F1464" s="13"/>
      <c r="M1464" s="9"/>
      <c r="N1464" s="9"/>
      <c r="O1464" s="9"/>
    </row>
    <row r="1465">
      <c r="A1465" s="9"/>
      <c r="D1465" s="9"/>
      <c r="E1465" s="13"/>
      <c r="F1465" s="13"/>
      <c r="M1465" s="9"/>
      <c r="N1465" s="9"/>
      <c r="O1465" s="9"/>
    </row>
    <row r="1466">
      <c r="A1466" s="9"/>
      <c r="D1466" s="9"/>
      <c r="E1466" s="13"/>
      <c r="F1466" s="13"/>
      <c r="M1466" s="9"/>
      <c r="N1466" s="9"/>
      <c r="O1466" s="9"/>
    </row>
    <row r="1467">
      <c r="A1467" s="9"/>
      <c r="D1467" s="9"/>
      <c r="E1467" s="13"/>
      <c r="F1467" s="13"/>
      <c r="M1467" s="9"/>
      <c r="N1467" s="9"/>
      <c r="O1467" s="9"/>
    </row>
    <row r="1468">
      <c r="A1468" s="9"/>
      <c r="D1468" s="9"/>
      <c r="E1468" s="13"/>
      <c r="F1468" s="13"/>
      <c r="M1468" s="9"/>
      <c r="N1468" s="9"/>
      <c r="O1468" s="9"/>
    </row>
    <row r="1469">
      <c r="A1469" s="9"/>
      <c r="D1469" s="9"/>
      <c r="E1469" s="13"/>
      <c r="F1469" s="13"/>
      <c r="M1469" s="9"/>
      <c r="N1469" s="9"/>
      <c r="O1469" s="9"/>
    </row>
    <row r="1470">
      <c r="A1470" s="9"/>
      <c r="D1470" s="9"/>
      <c r="E1470" s="13"/>
      <c r="F1470" s="13"/>
      <c r="M1470" s="9"/>
      <c r="N1470" s="9"/>
      <c r="O1470" s="9"/>
    </row>
    <row r="1471">
      <c r="A1471" s="9"/>
      <c r="D1471" s="9"/>
      <c r="E1471" s="13"/>
      <c r="F1471" s="13"/>
      <c r="M1471" s="9"/>
      <c r="N1471" s="9"/>
      <c r="O1471" s="9"/>
    </row>
    <row r="1472">
      <c r="A1472" s="9"/>
      <c r="D1472" s="9"/>
      <c r="E1472" s="13"/>
      <c r="F1472" s="13"/>
      <c r="M1472" s="9"/>
      <c r="N1472" s="9"/>
      <c r="O1472" s="9"/>
    </row>
    <row r="1473">
      <c r="A1473" s="9"/>
      <c r="D1473" s="9"/>
      <c r="E1473" s="13"/>
      <c r="F1473" s="13"/>
      <c r="M1473" s="9"/>
      <c r="N1473" s="9"/>
      <c r="O1473" s="9"/>
    </row>
    <row r="1474">
      <c r="A1474" s="9"/>
      <c r="D1474" s="9"/>
      <c r="E1474" s="13"/>
      <c r="F1474" s="13"/>
      <c r="M1474" s="9"/>
      <c r="N1474" s="9"/>
      <c r="O1474" s="9"/>
    </row>
    <row r="1475">
      <c r="A1475" s="9"/>
      <c r="D1475" s="9"/>
      <c r="E1475" s="13"/>
      <c r="F1475" s="13"/>
      <c r="M1475" s="9"/>
      <c r="N1475" s="9"/>
      <c r="O1475" s="9"/>
    </row>
    <row r="1476">
      <c r="A1476" s="9"/>
      <c r="D1476" s="9"/>
      <c r="E1476" s="13"/>
      <c r="F1476" s="13"/>
      <c r="M1476" s="9"/>
      <c r="N1476" s="9"/>
      <c r="O1476" s="9"/>
    </row>
    <row r="1477">
      <c r="A1477" s="9"/>
      <c r="D1477" s="9"/>
      <c r="E1477" s="13"/>
      <c r="F1477" s="13"/>
      <c r="M1477" s="9"/>
      <c r="N1477" s="9"/>
      <c r="O1477" s="9"/>
    </row>
    <row r="1478">
      <c r="A1478" s="9"/>
      <c r="D1478" s="9"/>
      <c r="E1478" s="13"/>
      <c r="F1478" s="13"/>
      <c r="M1478" s="9"/>
      <c r="N1478" s="9"/>
      <c r="O1478" s="9"/>
    </row>
    <row r="1479">
      <c r="A1479" s="9"/>
      <c r="D1479" s="9"/>
      <c r="E1479" s="13"/>
      <c r="F1479" s="13"/>
      <c r="M1479" s="9"/>
      <c r="N1479" s="9"/>
      <c r="O1479" s="9"/>
    </row>
    <row r="1480">
      <c r="A1480" s="9"/>
      <c r="D1480" s="9"/>
      <c r="E1480" s="13"/>
      <c r="F1480" s="13"/>
      <c r="M1480" s="9"/>
      <c r="N1480" s="9"/>
      <c r="O1480" s="9"/>
    </row>
    <row r="1481">
      <c r="A1481" s="9"/>
      <c r="D1481" s="9"/>
      <c r="E1481" s="13"/>
      <c r="F1481" s="13"/>
      <c r="M1481" s="9"/>
      <c r="N1481" s="9"/>
      <c r="O1481" s="9"/>
    </row>
    <row r="1482">
      <c r="A1482" s="9"/>
      <c r="D1482" s="9"/>
      <c r="E1482" s="13"/>
      <c r="F1482" s="13"/>
      <c r="M1482" s="9"/>
      <c r="N1482" s="9"/>
      <c r="O1482" s="9"/>
    </row>
    <row r="1483">
      <c r="A1483" s="9"/>
      <c r="D1483" s="9"/>
      <c r="E1483" s="13"/>
      <c r="F1483" s="13"/>
      <c r="M1483" s="9"/>
      <c r="N1483" s="9"/>
      <c r="O1483" s="9"/>
    </row>
    <row r="1484">
      <c r="A1484" s="9"/>
      <c r="D1484" s="9"/>
      <c r="E1484" s="13"/>
      <c r="F1484" s="13"/>
      <c r="M1484" s="9"/>
      <c r="N1484" s="9"/>
      <c r="O1484" s="9"/>
    </row>
    <row r="1485">
      <c r="A1485" s="9"/>
      <c r="D1485" s="9"/>
      <c r="E1485" s="13"/>
      <c r="F1485" s="13"/>
      <c r="M1485" s="9"/>
      <c r="N1485" s="9"/>
      <c r="O1485" s="9"/>
    </row>
    <row r="1486">
      <c r="A1486" s="9"/>
      <c r="D1486" s="9"/>
      <c r="E1486" s="13"/>
      <c r="F1486" s="13"/>
      <c r="M1486" s="9"/>
      <c r="N1486" s="9"/>
      <c r="O1486" s="9"/>
    </row>
    <row r="1487">
      <c r="A1487" s="9"/>
      <c r="D1487" s="9"/>
      <c r="E1487" s="13"/>
      <c r="F1487" s="13"/>
      <c r="M1487" s="9"/>
      <c r="N1487" s="9"/>
      <c r="O1487" s="9"/>
    </row>
    <row r="1488">
      <c r="A1488" s="9"/>
      <c r="D1488" s="9"/>
      <c r="E1488" s="13"/>
      <c r="F1488" s="13"/>
      <c r="M1488" s="9"/>
      <c r="N1488" s="9"/>
      <c r="O1488" s="9"/>
    </row>
    <row r="1489">
      <c r="A1489" s="9"/>
      <c r="D1489" s="9"/>
      <c r="E1489" s="13"/>
      <c r="F1489" s="13"/>
      <c r="M1489" s="9"/>
      <c r="N1489" s="9"/>
      <c r="O1489" s="9"/>
    </row>
    <row r="1490">
      <c r="A1490" s="9"/>
      <c r="D1490" s="9"/>
      <c r="E1490" s="13"/>
      <c r="F1490" s="13"/>
      <c r="M1490" s="9"/>
      <c r="N1490" s="9"/>
      <c r="O1490" s="9"/>
    </row>
    <row r="1491">
      <c r="A1491" s="9"/>
      <c r="D1491" s="9"/>
      <c r="E1491" s="13"/>
      <c r="F1491" s="13"/>
      <c r="M1491" s="9"/>
      <c r="N1491" s="9"/>
      <c r="O1491" s="9"/>
    </row>
    <row r="1492">
      <c r="A1492" s="9"/>
      <c r="D1492" s="9"/>
      <c r="E1492" s="13"/>
      <c r="F1492" s="13"/>
      <c r="M1492" s="9"/>
      <c r="N1492" s="9"/>
      <c r="O1492" s="9"/>
    </row>
    <row r="1493">
      <c r="A1493" s="9"/>
      <c r="D1493" s="9"/>
      <c r="E1493" s="13"/>
      <c r="F1493" s="13"/>
      <c r="M1493" s="9"/>
      <c r="N1493" s="9"/>
      <c r="O1493" s="9"/>
    </row>
    <row r="1494">
      <c r="A1494" s="9"/>
      <c r="D1494" s="9"/>
      <c r="E1494" s="13"/>
      <c r="F1494" s="13"/>
      <c r="M1494" s="9"/>
      <c r="N1494" s="9"/>
      <c r="O1494" s="9"/>
    </row>
    <row r="1495">
      <c r="A1495" s="9"/>
      <c r="D1495" s="9"/>
      <c r="E1495" s="13"/>
      <c r="F1495" s="13"/>
      <c r="M1495" s="9"/>
      <c r="N1495" s="9"/>
      <c r="O1495" s="9"/>
    </row>
    <row r="1496">
      <c r="A1496" s="9"/>
      <c r="D1496" s="9"/>
      <c r="E1496" s="13"/>
      <c r="F1496" s="13"/>
      <c r="M1496" s="9"/>
      <c r="N1496" s="9"/>
      <c r="O1496" s="9"/>
    </row>
    <row r="1497">
      <c r="A1497" s="9"/>
      <c r="D1497" s="9"/>
      <c r="E1497" s="13"/>
      <c r="F1497" s="13"/>
      <c r="M1497" s="9"/>
      <c r="N1497" s="9"/>
      <c r="O1497" s="9"/>
    </row>
    <row r="1498">
      <c r="A1498" s="9"/>
      <c r="D1498" s="9"/>
      <c r="E1498" s="13"/>
      <c r="F1498" s="13"/>
      <c r="M1498" s="9"/>
      <c r="N1498" s="9"/>
      <c r="O1498" s="9"/>
    </row>
    <row r="1499">
      <c r="A1499" s="9"/>
      <c r="D1499" s="9"/>
      <c r="E1499" s="13"/>
      <c r="F1499" s="13"/>
      <c r="M1499" s="9"/>
      <c r="N1499" s="9"/>
      <c r="O1499" s="9"/>
    </row>
    <row r="1500">
      <c r="A1500" s="9"/>
      <c r="D1500" s="9"/>
      <c r="E1500" s="13"/>
      <c r="F1500" s="13"/>
      <c r="M1500" s="9"/>
      <c r="N1500" s="9"/>
      <c r="O1500" s="9"/>
    </row>
    <row r="1501">
      <c r="A1501" s="9"/>
      <c r="D1501" s="9"/>
      <c r="E1501" s="13"/>
      <c r="F1501" s="13"/>
      <c r="M1501" s="9"/>
      <c r="N1501" s="9"/>
      <c r="O1501" s="9"/>
    </row>
    <row r="1502">
      <c r="A1502" s="9"/>
      <c r="D1502" s="9"/>
      <c r="E1502" s="13"/>
      <c r="F1502" s="13"/>
      <c r="M1502" s="9"/>
      <c r="N1502" s="9"/>
      <c r="O1502" s="9"/>
    </row>
    <row r="1503">
      <c r="A1503" s="9"/>
      <c r="D1503" s="9"/>
      <c r="E1503" s="13"/>
      <c r="F1503" s="13"/>
      <c r="M1503" s="9"/>
      <c r="N1503" s="9"/>
      <c r="O1503" s="9"/>
    </row>
    <row r="1504">
      <c r="A1504" s="9"/>
      <c r="D1504" s="9"/>
      <c r="E1504" s="13"/>
      <c r="F1504" s="13"/>
      <c r="M1504" s="9"/>
      <c r="N1504" s="9"/>
      <c r="O1504" s="9"/>
    </row>
    <row r="1505">
      <c r="A1505" s="9"/>
      <c r="D1505" s="9"/>
      <c r="E1505" s="13"/>
      <c r="F1505" s="13"/>
      <c r="M1505" s="9"/>
      <c r="N1505" s="9"/>
      <c r="O1505" s="9"/>
    </row>
    <row r="1506">
      <c r="A1506" s="9"/>
      <c r="D1506" s="9"/>
      <c r="E1506" s="13"/>
      <c r="F1506" s="13"/>
      <c r="M1506" s="9"/>
      <c r="N1506" s="9"/>
      <c r="O1506" s="9"/>
    </row>
    <row r="1507">
      <c r="A1507" s="9"/>
      <c r="D1507" s="9"/>
      <c r="E1507" s="13"/>
      <c r="F1507" s="13"/>
      <c r="M1507" s="9"/>
      <c r="N1507" s="9"/>
      <c r="O1507" s="9"/>
    </row>
    <row r="1508">
      <c r="A1508" s="9"/>
      <c r="D1508" s="9"/>
      <c r="E1508" s="13"/>
      <c r="F1508" s="13"/>
      <c r="M1508" s="9"/>
      <c r="N1508" s="9"/>
      <c r="O1508" s="9"/>
    </row>
    <row r="1509">
      <c r="A1509" s="9"/>
      <c r="D1509" s="9"/>
      <c r="E1509" s="13"/>
      <c r="F1509" s="13"/>
      <c r="M1509" s="9"/>
      <c r="N1509" s="9"/>
      <c r="O1509" s="9"/>
    </row>
    <row r="1510">
      <c r="A1510" s="9"/>
      <c r="D1510" s="9"/>
      <c r="E1510" s="13"/>
      <c r="F1510" s="13"/>
      <c r="M1510" s="9"/>
      <c r="N1510" s="9"/>
      <c r="O1510" s="9"/>
    </row>
    <row r="1511">
      <c r="A1511" s="9"/>
      <c r="D1511" s="9"/>
      <c r="E1511" s="13"/>
      <c r="F1511" s="13"/>
      <c r="M1511" s="9"/>
      <c r="N1511" s="9"/>
      <c r="O1511" s="9"/>
    </row>
    <row r="1512">
      <c r="A1512" s="9"/>
      <c r="D1512" s="9"/>
      <c r="E1512" s="13"/>
      <c r="F1512" s="13"/>
      <c r="M1512" s="9"/>
      <c r="N1512" s="9"/>
      <c r="O1512" s="9"/>
    </row>
    <row r="1513">
      <c r="A1513" s="9"/>
      <c r="D1513" s="9"/>
      <c r="E1513" s="13"/>
      <c r="F1513" s="13"/>
      <c r="M1513" s="9"/>
      <c r="N1513" s="9"/>
      <c r="O1513" s="9"/>
    </row>
    <row r="1514">
      <c r="A1514" s="9"/>
      <c r="D1514" s="9"/>
      <c r="E1514" s="13"/>
      <c r="F1514" s="13"/>
      <c r="M1514" s="9"/>
      <c r="N1514" s="9"/>
      <c r="O1514" s="9"/>
    </row>
    <row r="1515">
      <c r="A1515" s="9"/>
      <c r="D1515" s="9"/>
      <c r="E1515" s="13"/>
      <c r="F1515" s="13"/>
      <c r="M1515" s="9"/>
      <c r="N1515" s="9"/>
      <c r="O1515" s="9"/>
    </row>
    <row r="1516">
      <c r="A1516" s="9"/>
      <c r="D1516" s="9"/>
      <c r="E1516" s="13"/>
      <c r="F1516" s="13"/>
      <c r="M1516" s="9"/>
      <c r="N1516" s="9"/>
      <c r="O1516" s="9"/>
    </row>
    <row r="1517">
      <c r="A1517" s="9"/>
      <c r="D1517" s="9"/>
      <c r="E1517" s="13"/>
      <c r="F1517" s="13"/>
      <c r="M1517" s="9"/>
      <c r="N1517" s="9"/>
      <c r="O1517" s="9"/>
    </row>
    <row r="1518">
      <c r="A1518" s="9"/>
      <c r="D1518" s="9"/>
      <c r="E1518" s="13"/>
      <c r="F1518" s="13"/>
      <c r="M1518" s="9"/>
      <c r="N1518" s="9"/>
      <c r="O1518" s="9"/>
    </row>
    <row r="1519">
      <c r="A1519" s="9"/>
      <c r="D1519" s="9"/>
      <c r="E1519" s="13"/>
      <c r="F1519" s="13"/>
      <c r="M1519" s="9"/>
      <c r="N1519" s="9"/>
      <c r="O1519" s="9"/>
    </row>
    <row r="1520">
      <c r="A1520" s="9"/>
      <c r="D1520" s="9"/>
      <c r="E1520" s="13"/>
      <c r="F1520" s="13"/>
      <c r="M1520" s="9"/>
      <c r="N1520" s="9"/>
      <c r="O1520" s="9"/>
    </row>
    <row r="1521">
      <c r="A1521" s="9"/>
      <c r="D1521" s="9"/>
      <c r="E1521" s="13"/>
      <c r="F1521" s="13"/>
      <c r="M1521" s="9"/>
      <c r="N1521" s="9"/>
      <c r="O1521" s="9"/>
    </row>
    <row r="1522">
      <c r="A1522" s="9"/>
      <c r="D1522" s="9"/>
      <c r="E1522" s="13"/>
      <c r="F1522" s="13"/>
      <c r="M1522" s="9"/>
      <c r="N1522" s="9"/>
      <c r="O1522" s="9"/>
    </row>
    <row r="1523">
      <c r="A1523" s="9"/>
      <c r="D1523" s="9"/>
      <c r="E1523" s="13"/>
      <c r="F1523" s="13"/>
      <c r="M1523" s="9"/>
      <c r="N1523" s="9"/>
      <c r="O1523" s="9"/>
    </row>
    <row r="1524">
      <c r="A1524" s="9"/>
      <c r="D1524" s="9"/>
      <c r="E1524" s="13"/>
      <c r="F1524" s="13"/>
      <c r="M1524" s="9"/>
      <c r="N1524" s="9"/>
      <c r="O1524" s="9"/>
    </row>
    <row r="1525">
      <c r="A1525" s="9"/>
      <c r="D1525" s="9"/>
      <c r="E1525" s="13"/>
      <c r="F1525" s="13"/>
      <c r="M1525" s="9"/>
      <c r="N1525" s="9"/>
      <c r="O1525" s="9"/>
    </row>
    <row r="1526">
      <c r="A1526" s="9"/>
      <c r="D1526" s="9"/>
      <c r="E1526" s="13"/>
      <c r="F1526" s="13"/>
      <c r="M1526" s="9"/>
      <c r="N1526" s="9"/>
      <c r="O1526" s="9"/>
    </row>
    <row r="1527">
      <c r="A1527" s="9"/>
      <c r="D1527" s="9"/>
      <c r="E1527" s="13"/>
      <c r="F1527" s="13"/>
      <c r="M1527" s="9"/>
      <c r="N1527" s="9"/>
      <c r="O1527" s="9"/>
    </row>
    <row r="1528">
      <c r="A1528" s="9"/>
      <c r="D1528" s="9"/>
      <c r="E1528" s="13"/>
      <c r="F1528" s="13"/>
      <c r="M1528" s="9"/>
      <c r="N1528" s="9"/>
      <c r="O1528" s="9"/>
    </row>
    <row r="1529">
      <c r="A1529" s="9"/>
      <c r="D1529" s="9"/>
      <c r="E1529" s="13"/>
      <c r="F1529" s="13"/>
      <c r="M1529" s="9"/>
      <c r="N1529" s="9"/>
      <c r="O1529" s="9"/>
    </row>
    <row r="1530">
      <c r="A1530" s="9"/>
      <c r="D1530" s="9"/>
      <c r="E1530" s="13"/>
      <c r="F1530" s="13"/>
      <c r="M1530" s="9"/>
      <c r="N1530" s="9"/>
      <c r="O1530" s="9"/>
    </row>
    <row r="1531">
      <c r="A1531" s="9"/>
      <c r="D1531" s="9"/>
      <c r="E1531" s="13"/>
      <c r="F1531" s="13"/>
      <c r="M1531" s="9"/>
      <c r="N1531" s="9"/>
      <c r="O1531" s="9"/>
    </row>
    <row r="1532">
      <c r="A1532" s="9"/>
      <c r="D1532" s="9"/>
      <c r="E1532" s="13"/>
      <c r="F1532" s="13"/>
      <c r="M1532" s="9"/>
      <c r="N1532" s="9"/>
      <c r="O1532" s="9"/>
    </row>
    <row r="1533">
      <c r="A1533" s="9"/>
      <c r="D1533" s="9"/>
      <c r="E1533" s="13"/>
      <c r="F1533" s="13"/>
      <c r="M1533" s="9"/>
      <c r="N1533" s="9"/>
      <c r="O1533" s="9"/>
    </row>
    <row r="1534">
      <c r="A1534" s="9"/>
      <c r="D1534" s="9"/>
      <c r="E1534" s="13"/>
      <c r="F1534" s="13"/>
      <c r="M1534" s="9"/>
      <c r="N1534" s="9"/>
      <c r="O1534" s="9"/>
    </row>
    <row r="1535">
      <c r="A1535" s="9"/>
      <c r="D1535" s="9"/>
      <c r="E1535" s="13"/>
      <c r="F1535" s="13"/>
      <c r="M1535" s="9"/>
      <c r="N1535" s="9"/>
      <c r="O1535" s="9"/>
    </row>
    <row r="1536">
      <c r="A1536" s="9"/>
      <c r="D1536" s="9"/>
      <c r="E1536" s="13"/>
      <c r="F1536" s="13"/>
      <c r="M1536" s="9"/>
      <c r="N1536" s="9"/>
      <c r="O1536" s="9"/>
    </row>
    <row r="1537">
      <c r="A1537" s="9"/>
      <c r="D1537" s="9"/>
      <c r="E1537" s="13"/>
      <c r="F1537" s="13"/>
      <c r="M1537" s="9"/>
      <c r="N1537" s="9"/>
      <c r="O1537" s="9"/>
    </row>
    <row r="1538">
      <c r="A1538" s="9"/>
      <c r="D1538" s="9"/>
      <c r="E1538" s="13"/>
      <c r="F1538" s="13"/>
      <c r="M1538" s="9"/>
      <c r="N1538" s="9"/>
      <c r="O1538" s="9"/>
    </row>
    <row r="1539">
      <c r="A1539" s="9"/>
      <c r="D1539" s="9"/>
      <c r="E1539" s="13"/>
      <c r="F1539" s="13"/>
      <c r="M1539" s="9"/>
      <c r="N1539" s="9"/>
      <c r="O1539" s="9"/>
    </row>
    <row r="1540">
      <c r="A1540" s="9"/>
      <c r="D1540" s="9"/>
      <c r="E1540" s="13"/>
      <c r="F1540" s="13"/>
      <c r="M1540" s="9"/>
      <c r="N1540" s="9"/>
      <c r="O1540" s="9"/>
    </row>
    <row r="1541">
      <c r="A1541" s="9"/>
      <c r="D1541" s="9"/>
      <c r="E1541" s="13"/>
      <c r="F1541" s="13"/>
      <c r="M1541" s="9"/>
      <c r="N1541" s="9"/>
      <c r="O1541" s="9"/>
    </row>
    <row r="1542">
      <c r="A1542" s="9"/>
      <c r="D1542" s="9"/>
      <c r="E1542" s="13"/>
      <c r="F1542" s="13"/>
      <c r="M1542" s="9"/>
      <c r="N1542" s="9"/>
      <c r="O1542" s="9"/>
    </row>
    <row r="1543">
      <c r="A1543" s="9"/>
      <c r="D1543" s="9"/>
      <c r="E1543" s="13"/>
      <c r="F1543" s="13"/>
      <c r="M1543" s="9"/>
      <c r="N1543" s="9"/>
      <c r="O1543" s="9"/>
    </row>
    <row r="1544">
      <c r="A1544" s="9"/>
      <c r="D1544" s="9"/>
      <c r="E1544" s="13"/>
      <c r="F1544" s="13"/>
      <c r="M1544" s="9"/>
      <c r="N1544" s="9"/>
      <c r="O1544" s="9"/>
    </row>
    <row r="1545">
      <c r="A1545" s="9"/>
      <c r="D1545" s="9"/>
      <c r="E1545" s="13"/>
      <c r="F1545" s="13"/>
      <c r="M1545" s="9"/>
      <c r="N1545" s="9"/>
      <c r="O1545" s="9"/>
    </row>
    <row r="1546">
      <c r="A1546" s="9"/>
      <c r="D1546" s="9"/>
      <c r="E1546" s="13"/>
      <c r="F1546" s="13"/>
      <c r="M1546" s="9"/>
      <c r="N1546" s="9"/>
      <c r="O1546" s="9"/>
    </row>
    <row r="1547">
      <c r="A1547" s="9"/>
      <c r="D1547" s="9"/>
      <c r="E1547" s="13"/>
      <c r="F1547" s="13"/>
      <c r="M1547" s="9"/>
      <c r="N1547" s="9"/>
      <c r="O1547" s="9"/>
    </row>
    <row r="1548">
      <c r="A1548" s="9"/>
      <c r="D1548" s="9"/>
      <c r="E1548" s="13"/>
      <c r="F1548" s="13"/>
      <c r="M1548" s="9"/>
      <c r="N1548" s="9"/>
      <c r="O1548" s="9"/>
    </row>
    <row r="1549">
      <c r="A1549" s="9"/>
      <c r="D1549" s="9"/>
      <c r="E1549" s="13"/>
      <c r="F1549" s="13"/>
      <c r="M1549" s="9"/>
      <c r="N1549" s="9"/>
      <c r="O1549" s="9"/>
    </row>
    <row r="1550">
      <c r="A1550" s="9"/>
      <c r="D1550" s="9"/>
      <c r="E1550" s="13"/>
      <c r="F1550" s="13"/>
      <c r="M1550" s="9"/>
      <c r="N1550" s="9"/>
      <c r="O1550" s="9"/>
    </row>
    <row r="1551">
      <c r="A1551" s="9"/>
      <c r="D1551" s="9"/>
      <c r="E1551" s="13"/>
      <c r="F1551" s="13"/>
      <c r="M1551" s="9"/>
      <c r="N1551" s="9"/>
      <c r="O1551" s="9"/>
    </row>
    <row r="1552">
      <c r="A1552" s="9"/>
      <c r="D1552" s="9"/>
      <c r="E1552" s="13"/>
      <c r="F1552" s="13"/>
      <c r="M1552" s="9"/>
      <c r="N1552" s="9"/>
      <c r="O1552" s="9"/>
    </row>
    <row r="1553">
      <c r="A1553" s="9"/>
      <c r="D1553" s="9"/>
      <c r="E1553" s="13"/>
      <c r="F1553" s="13"/>
      <c r="M1553" s="9"/>
      <c r="N1553" s="9"/>
      <c r="O1553" s="9"/>
    </row>
    <row r="1554">
      <c r="A1554" s="9"/>
      <c r="D1554" s="9"/>
      <c r="E1554" s="13"/>
      <c r="F1554" s="13"/>
      <c r="M1554" s="9"/>
      <c r="N1554" s="9"/>
      <c r="O1554" s="9"/>
    </row>
    <row r="1555">
      <c r="A1555" s="9"/>
      <c r="D1555" s="9"/>
      <c r="E1555" s="13"/>
      <c r="F1555" s="13"/>
      <c r="M1555" s="9"/>
      <c r="N1555" s="9"/>
      <c r="O1555" s="9"/>
    </row>
    <row r="1556">
      <c r="A1556" s="9"/>
      <c r="D1556" s="9"/>
      <c r="E1556" s="13"/>
      <c r="F1556" s="13"/>
      <c r="M1556" s="9"/>
      <c r="N1556" s="9"/>
      <c r="O1556" s="9"/>
    </row>
    <row r="1557">
      <c r="A1557" s="9"/>
      <c r="D1557" s="9"/>
      <c r="E1557" s="13"/>
      <c r="F1557" s="13"/>
      <c r="M1557" s="9"/>
      <c r="N1557" s="9"/>
      <c r="O1557" s="9"/>
    </row>
    <row r="1558">
      <c r="A1558" s="9"/>
      <c r="D1558" s="9"/>
      <c r="E1558" s="13"/>
      <c r="F1558" s="13"/>
      <c r="M1558" s="9"/>
      <c r="N1558" s="9"/>
      <c r="O1558" s="9"/>
    </row>
    <row r="1559">
      <c r="A1559" s="9"/>
      <c r="D1559" s="9"/>
      <c r="E1559" s="13"/>
      <c r="F1559" s="13"/>
      <c r="M1559" s="9"/>
      <c r="N1559" s="9"/>
      <c r="O1559" s="9"/>
    </row>
    <row r="1560">
      <c r="A1560" s="9"/>
      <c r="D1560" s="9"/>
      <c r="E1560" s="13"/>
      <c r="F1560" s="13"/>
      <c r="M1560" s="9"/>
      <c r="N1560" s="9"/>
      <c r="O1560" s="9"/>
    </row>
    <row r="1561">
      <c r="A1561" s="9"/>
      <c r="D1561" s="9"/>
      <c r="E1561" s="13"/>
      <c r="F1561" s="13"/>
      <c r="M1561" s="9"/>
      <c r="N1561" s="9"/>
      <c r="O1561" s="9"/>
    </row>
    <row r="1562">
      <c r="A1562" s="9"/>
      <c r="D1562" s="9"/>
      <c r="E1562" s="13"/>
      <c r="F1562" s="13"/>
      <c r="M1562" s="9"/>
      <c r="N1562" s="9"/>
      <c r="O1562" s="9"/>
    </row>
    <row r="1563">
      <c r="A1563" s="9"/>
      <c r="D1563" s="9"/>
      <c r="E1563" s="13"/>
      <c r="F1563" s="13"/>
      <c r="M1563" s="9"/>
      <c r="N1563" s="9"/>
      <c r="O1563" s="9"/>
    </row>
    <row r="1564">
      <c r="A1564" s="9"/>
      <c r="D1564" s="9"/>
      <c r="E1564" s="13"/>
      <c r="F1564" s="13"/>
      <c r="M1564" s="9"/>
      <c r="N1564" s="9"/>
      <c r="O1564" s="9"/>
    </row>
    <row r="1565">
      <c r="A1565" s="9"/>
      <c r="D1565" s="9"/>
      <c r="E1565" s="13"/>
      <c r="F1565" s="13"/>
      <c r="M1565" s="9"/>
      <c r="N1565" s="9"/>
      <c r="O1565" s="9"/>
    </row>
    <row r="1566">
      <c r="A1566" s="9"/>
      <c r="D1566" s="9"/>
      <c r="E1566" s="13"/>
      <c r="F1566" s="13"/>
      <c r="M1566" s="9"/>
      <c r="N1566" s="9"/>
      <c r="O1566" s="9"/>
    </row>
    <row r="1567">
      <c r="A1567" s="9"/>
      <c r="D1567" s="9"/>
      <c r="E1567" s="13"/>
      <c r="F1567" s="13"/>
      <c r="M1567" s="9"/>
      <c r="N1567" s="9"/>
      <c r="O1567" s="9"/>
    </row>
    <row r="1568">
      <c r="A1568" s="9"/>
      <c r="D1568" s="9"/>
      <c r="E1568" s="13"/>
      <c r="F1568" s="13"/>
      <c r="M1568" s="9"/>
      <c r="N1568" s="9"/>
      <c r="O1568" s="9"/>
    </row>
    <row r="1569">
      <c r="A1569" s="9"/>
      <c r="D1569" s="9"/>
      <c r="E1569" s="13"/>
      <c r="F1569" s="13"/>
      <c r="M1569" s="9"/>
      <c r="N1569" s="9"/>
      <c r="O1569" s="9"/>
    </row>
    <row r="1570">
      <c r="A1570" s="9"/>
      <c r="D1570" s="9"/>
      <c r="E1570" s="13"/>
      <c r="F1570" s="13"/>
      <c r="M1570" s="9"/>
      <c r="N1570" s="9"/>
      <c r="O1570" s="9"/>
    </row>
    <row r="1571">
      <c r="A1571" s="9"/>
      <c r="D1571" s="9"/>
      <c r="E1571" s="13"/>
      <c r="F1571" s="13"/>
      <c r="M1571" s="9"/>
      <c r="N1571" s="9"/>
      <c r="O1571" s="9"/>
    </row>
    <row r="1572">
      <c r="A1572" s="9"/>
      <c r="D1572" s="9"/>
      <c r="E1572" s="13"/>
      <c r="F1572" s="13"/>
      <c r="M1572" s="9"/>
      <c r="N1572" s="9"/>
      <c r="O1572" s="9"/>
    </row>
    <row r="1573">
      <c r="A1573" s="9"/>
      <c r="D1573" s="9"/>
      <c r="E1573" s="13"/>
      <c r="F1573" s="13"/>
      <c r="M1573" s="9"/>
      <c r="N1573" s="9"/>
      <c r="O1573" s="9"/>
    </row>
    <row r="1574">
      <c r="A1574" s="9"/>
      <c r="D1574" s="9"/>
      <c r="E1574" s="13"/>
      <c r="F1574" s="13"/>
      <c r="M1574" s="9"/>
      <c r="N1574" s="9"/>
      <c r="O1574" s="9"/>
    </row>
    <row r="1575">
      <c r="A1575" s="9"/>
      <c r="D1575" s="9"/>
      <c r="E1575" s="13"/>
      <c r="F1575" s="13"/>
      <c r="M1575" s="9"/>
      <c r="N1575" s="9"/>
      <c r="O1575" s="9"/>
    </row>
    <row r="1576">
      <c r="A1576" s="9"/>
      <c r="D1576" s="9"/>
      <c r="E1576" s="13"/>
      <c r="F1576" s="13"/>
      <c r="M1576" s="9"/>
      <c r="N1576" s="9"/>
      <c r="O1576" s="9"/>
    </row>
    <row r="1577">
      <c r="A1577" s="9"/>
      <c r="D1577" s="9"/>
      <c r="E1577" s="13"/>
      <c r="F1577" s="13"/>
      <c r="M1577" s="9"/>
      <c r="N1577" s="9"/>
      <c r="O1577" s="9"/>
    </row>
    <row r="1578">
      <c r="A1578" s="9"/>
      <c r="D1578" s="9"/>
      <c r="E1578" s="13"/>
      <c r="F1578" s="13"/>
      <c r="M1578" s="9"/>
      <c r="N1578" s="9"/>
      <c r="O1578" s="9"/>
    </row>
    <row r="1579">
      <c r="A1579" s="9"/>
      <c r="D1579" s="9"/>
      <c r="E1579" s="13"/>
      <c r="F1579" s="13"/>
      <c r="M1579" s="9"/>
      <c r="N1579" s="9"/>
      <c r="O1579" s="9"/>
    </row>
    <row r="1580">
      <c r="A1580" s="9"/>
      <c r="D1580" s="9"/>
      <c r="E1580" s="13"/>
      <c r="F1580" s="13"/>
      <c r="M1580" s="9"/>
      <c r="N1580" s="9"/>
      <c r="O1580" s="9"/>
    </row>
    <row r="1581">
      <c r="A1581" s="9"/>
      <c r="D1581" s="9"/>
      <c r="E1581" s="13"/>
      <c r="F1581" s="13"/>
      <c r="M1581" s="9"/>
      <c r="N1581" s="9"/>
      <c r="O1581" s="9"/>
    </row>
    <row r="1582">
      <c r="A1582" s="9"/>
      <c r="D1582" s="9"/>
      <c r="E1582" s="13"/>
      <c r="F1582" s="13"/>
      <c r="M1582" s="9"/>
      <c r="N1582" s="9"/>
      <c r="O1582" s="9"/>
    </row>
    <row r="1583">
      <c r="A1583" s="9"/>
      <c r="D1583" s="9"/>
      <c r="E1583" s="13"/>
      <c r="F1583" s="13"/>
      <c r="M1583" s="9"/>
      <c r="N1583" s="9"/>
      <c r="O1583" s="9"/>
    </row>
    <row r="1584">
      <c r="A1584" s="9"/>
      <c r="D1584" s="9"/>
      <c r="E1584" s="13"/>
      <c r="F1584" s="13"/>
      <c r="M1584" s="9"/>
      <c r="N1584" s="9"/>
      <c r="O1584" s="9"/>
    </row>
    <row r="1585">
      <c r="A1585" s="9"/>
      <c r="D1585" s="9"/>
      <c r="E1585" s="13"/>
      <c r="F1585" s="13"/>
      <c r="M1585" s="9"/>
      <c r="N1585" s="9"/>
      <c r="O1585" s="9"/>
    </row>
    <row r="1586">
      <c r="A1586" s="9"/>
      <c r="D1586" s="9"/>
      <c r="E1586" s="13"/>
      <c r="F1586" s="13"/>
      <c r="M1586" s="9"/>
      <c r="N1586" s="9"/>
      <c r="O1586" s="9"/>
    </row>
    <row r="1587">
      <c r="A1587" s="9"/>
      <c r="D1587" s="9"/>
      <c r="E1587" s="13"/>
      <c r="F1587" s="13"/>
      <c r="M1587" s="9"/>
      <c r="N1587" s="9"/>
      <c r="O1587" s="9"/>
    </row>
    <row r="1588">
      <c r="A1588" s="9"/>
      <c r="D1588" s="9"/>
      <c r="E1588" s="13"/>
      <c r="F1588" s="13"/>
      <c r="M1588" s="9"/>
      <c r="N1588" s="9"/>
      <c r="O1588" s="9"/>
    </row>
    <row r="1589">
      <c r="A1589" s="9"/>
      <c r="D1589" s="9"/>
      <c r="E1589" s="13"/>
      <c r="F1589" s="13"/>
      <c r="M1589" s="9"/>
      <c r="N1589" s="9"/>
      <c r="O1589" s="9"/>
    </row>
    <row r="1590">
      <c r="A1590" s="9"/>
      <c r="D1590" s="9"/>
      <c r="E1590" s="13"/>
      <c r="F1590" s="13"/>
      <c r="M1590" s="9"/>
      <c r="N1590" s="9"/>
      <c r="O1590" s="9"/>
    </row>
    <row r="1591">
      <c r="A1591" s="9"/>
      <c r="D1591" s="9"/>
      <c r="E1591" s="13"/>
      <c r="F1591" s="13"/>
      <c r="M1591" s="9"/>
      <c r="N1591" s="9"/>
      <c r="O1591" s="9"/>
    </row>
    <row r="1592">
      <c r="A1592" s="9"/>
      <c r="D1592" s="9"/>
      <c r="E1592" s="13"/>
      <c r="F1592" s="13"/>
      <c r="M1592" s="9"/>
      <c r="N1592" s="9"/>
      <c r="O1592" s="9"/>
    </row>
    <row r="1593">
      <c r="A1593" s="9"/>
      <c r="D1593" s="9"/>
      <c r="E1593" s="13"/>
      <c r="F1593" s="13"/>
      <c r="M1593" s="9"/>
      <c r="N1593" s="9"/>
      <c r="O1593" s="9"/>
    </row>
    <row r="1594">
      <c r="A1594" s="9"/>
      <c r="D1594" s="9"/>
      <c r="E1594" s="13"/>
      <c r="F1594" s="13"/>
      <c r="M1594" s="9"/>
      <c r="N1594" s="9"/>
      <c r="O1594" s="9"/>
    </row>
    <row r="1595">
      <c r="A1595" s="9"/>
      <c r="D1595" s="9"/>
      <c r="E1595" s="13"/>
      <c r="F1595" s="13"/>
      <c r="M1595" s="9"/>
      <c r="N1595" s="9"/>
      <c r="O1595" s="9"/>
    </row>
    <row r="1596">
      <c r="A1596" s="9"/>
      <c r="D1596" s="9"/>
      <c r="E1596" s="13"/>
      <c r="F1596" s="13"/>
      <c r="M1596" s="9"/>
      <c r="N1596" s="9"/>
      <c r="O1596" s="9"/>
    </row>
    <row r="1597">
      <c r="A1597" s="9"/>
      <c r="D1597" s="9"/>
      <c r="E1597" s="13"/>
      <c r="F1597" s="13"/>
      <c r="M1597" s="9"/>
      <c r="N1597" s="9"/>
      <c r="O1597" s="9"/>
    </row>
    <row r="1598">
      <c r="A1598" s="9"/>
      <c r="D1598" s="9"/>
      <c r="E1598" s="13"/>
      <c r="F1598" s="13"/>
      <c r="M1598" s="9"/>
      <c r="N1598" s="9"/>
      <c r="O1598" s="9"/>
    </row>
    <row r="1599">
      <c r="A1599" s="9"/>
      <c r="D1599" s="9"/>
      <c r="E1599" s="13"/>
      <c r="F1599" s="13"/>
      <c r="M1599" s="9"/>
      <c r="N1599" s="9"/>
      <c r="O1599" s="9"/>
    </row>
    <row r="1600">
      <c r="A1600" s="9"/>
      <c r="D1600" s="9"/>
      <c r="E1600" s="13"/>
      <c r="F1600" s="13"/>
      <c r="M1600" s="9"/>
      <c r="N1600" s="9"/>
      <c r="O1600" s="9"/>
    </row>
    <row r="1601">
      <c r="A1601" s="9"/>
      <c r="D1601" s="9"/>
      <c r="E1601" s="13"/>
      <c r="F1601" s="13"/>
      <c r="M1601" s="9"/>
      <c r="N1601" s="9"/>
      <c r="O1601" s="9"/>
    </row>
    <row r="1602">
      <c r="A1602" s="9"/>
      <c r="D1602" s="9"/>
      <c r="E1602" s="13"/>
      <c r="F1602" s="13"/>
      <c r="M1602" s="9"/>
      <c r="N1602" s="9"/>
      <c r="O1602" s="9"/>
    </row>
    <row r="1603">
      <c r="A1603" s="9"/>
      <c r="D1603" s="9"/>
      <c r="E1603" s="13"/>
      <c r="F1603" s="13"/>
      <c r="M1603" s="9"/>
      <c r="N1603" s="9"/>
      <c r="O1603" s="9"/>
    </row>
    <row r="1604">
      <c r="A1604" s="9"/>
      <c r="D1604" s="9"/>
      <c r="E1604" s="13"/>
      <c r="F1604" s="13"/>
      <c r="M1604" s="9"/>
      <c r="N1604" s="9"/>
      <c r="O1604" s="9"/>
    </row>
    <row r="1605">
      <c r="A1605" s="9"/>
      <c r="D1605" s="9"/>
      <c r="E1605" s="13"/>
      <c r="F1605" s="13"/>
      <c r="M1605" s="9"/>
      <c r="N1605" s="9"/>
      <c r="O1605" s="9"/>
    </row>
    <row r="1606">
      <c r="A1606" s="9"/>
      <c r="D1606" s="9"/>
      <c r="E1606" s="13"/>
      <c r="F1606" s="13"/>
      <c r="M1606" s="9"/>
      <c r="N1606" s="9"/>
      <c r="O1606" s="9"/>
    </row>
    <row r="1607">
      <c r="A1607" s="9"/>
      <c r="D1607" s="9"/>
      <c r="E1607" s="13"/>
      <c r="F1607" s="13"/>
      <c r="M1607" s="9"/>
      <c r="N1607" s="9"/>
      <c r="O1607" s="9"/>
    </row>
    <row r="1608">
      <c r="A1608" s="9"/>
      <c r="D1608" s="9"/>
      <c r="E1608" s="13"/>
      <c r="F1608" s="13"/>
      <c r="M1608" s="9"/>
      <c r="N1608" s="9"/>
      <c r="O1608" s="9"/>
    </row>
    <row r="1609">
      <c r="A1609" s="9"/>
      <c r="D1609" s="9"/>
      <c r="E1609" s="13"/>
      <c r="F1609" s="13"/>
      <c r="M1609" s="9"/>
      <c r="N1609" s="9"/>
      <c r="O1609" s="9"/>
    </row>
    <row r="1610">
      <c r="A1610" s="9"/>
      <c r="D1610" s="9"/>
      <c r="E1610" s="13"/>
      <c r="F1610" s="13"/>
      <c r="M1610" s="9"/>
      <c r="N1610" s="9"/>
      <c r="O1610" s="9"/>
    </row>
    <row r="1611">
      <c r="A1611" s="9"/>
      <c r="D1611" s="9"/>
      <c r="E1611" s="13"/>
      <c r="F1611" s="13"/>
      <c r="M1611" s="9"/>
      <c r="N1611" s="9"/>
      <c r="O1611" s="9"/>
    </row>
    <row r="1612">
      <c r="A1612" s="9"/>
      <c r="D1612" s="9"/>
      <c r="E1612" s="13"/>
      <c r="F1612" s="13"/>
      <c r="M1612" s="9"/>
      <c r="N1612" s="9"/>
      <c r="O1612" s="9"/>
    </row>
    <row r="1613">
      <c r="A1613" s="9"/>
      <c r="D1613" s="9"/>
      <c r="E1613" s="13"/>
      <c r="F1613" s="13"/>
      <c r="M1613" s="9"/>
      <c r="N1613" s="9"/>
      <c r="O1613" s="9"/>
    </row>
    <row r="1614">
      <c r="A1614" s="9"/>
      <c r="D1614" s="9"/>
      <c r="E1614" s="13"/>
      <c r="F1614" s="13"/>
      <c r="M1614" s="9"/>
      <c r="N1614" s="9"/>
      <c r="O1614" s="9"/>
    </row>
    <row r="1615">
      <c r="A1615" s="9"/>
      <c r="D1615" s="9"/>
      <c r="E1615" s="13"/>
      <c r="F1615" s="13"/>
      <c r="M1615" s="9"/>
      <c r="N1615" s="9"/>
      <c r="O1615" s="9"/>
    </row>
    <row r="1616">
      <c r="A1616" s="9"/>
      <c r="D1616" s="9"/>
      <c r="E1616" s="13"/>
      <c r="F1616" s="13"/>
      <c r="M1616" s="9"/>
      <c r="N1616" s="9"/>
      <c r="O1616" s="9"/>
    </row>
    <row r="1617">
      <c r="A1617" s="9"/>
      <c r="D1617" s="9"/>
      <c r="E1617" s="13"/>
      <c r="F1617" s="13"/>
      <c r="M1617" s="9"/>
      <c r="N1617" s="9"/>
      <c r="O1617" s="9"/>
    </row>
    <row r="1618">
      <c r="A1618" s="9"/>
      <c r="D1618" s="9"/>
      <c r="E1618" s="13"/>
      <c r="F1618" s="13"/>
      <c r="M1618" s="9"/>
      <c r="N1618" s="9"/>
      <c r="O1618" s="9"/>
    </row>
    <row r="1619">
      <c r="A1619" s="9"/>
      <c r="D1619" s="9"/>
      <c r="E1619" s="13"/>
      <c r="F1619" s="13"/>
      <c r="M1619" s="9"/>
      <c r="N1619" s="9"/>
      <c r="O1619" s="9"/>
    </row>
    <row r="1620">
      <c r="A1620" s="9"/>
      <c r="D1620" s="9"/>
      <c r="E1620" s="13"/>
      <c r="F1620" s="13"/>
      <c r="M1620" s="9"/>
      <c r="N1620" s="9"/>
      <c r="O1620" s="9"/>
    </row>
    <row r="1621">
      <c r="A1621" s="9"/>
      <c r="D1621" s="9"/>
      <c r="E1621" s="13"/>
      <c r="F1621" s="13"/>
      <c r="M1621" s="9"/>
      <c r="N1621" s="9"/>
      <c r="O1621" s="9"/>
    </row>
    <row r="1622">
      <c r="A1622" s="9"/>
      <c r="D1622" s="9"/>
      <c r="E1622" s="13"/>
      <c r="F1622" s="13"/>
      <c r="M1622" s="9"/>
      <c r="N1622" s="9"/>
      <c r="O1622" s="9"/>
    </row>
    <row r="1623">
      <c r="A1623" s="9"/>
      <c r="D1623" s="9"/>
      <c r="E1623" s="13"/>
      <c r="F1623" s="13"/>
      <c r="M1623" s="9"/>
      <c r="N1623" s="9"/>
      <c r="O1623" s="9"/>
    </row>
    <row r="1624">
      <c r="A1624" s="9"/>
      <c r="D1624" s="9"/>
      <c r="E1624" s="13"/>
      <c r="F1624" s="13"/>
      <c r="M1624" s="9"/>
      <c r="N1624" s="9"/>
      <c r="O1624" s="9"/>
    </row>
    <row r="1625">
      <c r="A1625" s="9"/>
      <c r="D1625" s="9"/>
      <c r="E1625" s="13"/>
      <c r="F1625" s="13"/>
      <c r="M1625" s="9"/>
      <c r="N1625" s="9"/>
      <c r="O1625" s="9"/>
    </row>
    <row r="1626">
      <c r="A1626" s="9"/>
      <c r="D1626" s="9"/>
      <c r="E1626" s="13"/>
      <c r="F1626" s="13"/>
      <c r="M1626" s="9"/>
      <c r="N1626" s="9"/>
      <c r="O1626" s="9"/>
    </row>
    <row r="1627">
      <c r="A1627" s="9"/>
      <c r="D1627" s="9"/>
      <c r="E1627" s="13"/>
      <c r="F1627" s="13"/>
      <c r="M1627" s="9"/>
      <c r="N1627" s="9"/>
      <c r="O1627" s="9"/>
    </row>
    <row r="1628">
      <c r="A1628" s="9"/>
      <c r="D1628" s="9"/>
      <c r="E1628" s="13"/>
      <c r="F1628" s="13"/>
      <c r="M1628" s="9"/>
      <c r="N1628" s="9"/>
      <c r="O1628" s="9"/>
    </row>
    <row r="1629">
      <c r="A1629" s="9"/>
      <c r="D1629" s="9"/>
      <c r="E1629" s="13"/>
      <c r="F1629" s="13"/>
      <c r="M1629" s="9"/>
      <c r="N1629" s="9"/>
      <c r="O1629" s="9"/>
    </row>
    <row r="1630">
      <c r="A1630" s="9"/>
      <c r="D1630" s="9"/>
      <c r="E1630" s="13"/>
      <c r="F1630" s="13"/>
      <c r="M1630" s="9"/>
      <c r="N1630" s="9"/>
      <c r="O1630" s="9"/>
    </row>
    <row r="1631">
      <c r="A1631" s="9"/>
      <c r="D1631" s="9"/>
      <c r="E1631" s="13"/>
      <c r="F1631" s="13"/>
      <c r="M1631" s="9"/>
      <c r="N1631" s="9"/>
      <c r="O1631" s="9"/>
    </row>
    <row r="1632">
      <c r="A1632" s="9"/>
      <c r="D1632" s="9"/>
      <c r="E1632" s="13"/>
      <c r="F1632" s="13"/>
      <c r="M1632" s="9"/>
      <c r="N1632" s="9"/>
      <c r="O1632" s="9"/>
    </row>
    <row r="1633">
      <c r="A1633" s="9"/>
      <c r="D1633" s="9"/>
      <c r="E1633" s="13"/>
      <c r="F1633" s="13"/>
      <c r="M1633" s="9"/>
      <c r="N1633" s="9"/>
      <c r="O1633" s="9"/>
    </row>
    <row r="1634">
      <c r="A1634" s="9"/>
      <c r="D1634" s="9"/>
      <c r="E1634" s="13"/>
      <c r="F1634" s="13"/>
      <c r="M1634" s="9"/>
      <c r="N1634" s="9"/>
      <c r="O1634" s="9"/>
    </row>
    <row r="1635">
      <c r="A1635" s="9"/>
      <c r="D1635" s="9"/>
      <c r="E1635" s="13"/>
      <c r="F1635" s="13"/>
      <c r="M1635" s="9"/>
      <c r="N1635" s="9"/>
      <c r="O1635" s="9"/>
    </row>
    <row r="1636">
      <c r="A1636" s="9"/>
      <c r="D1636" s="9"/>
      <c r="E1636" s="13"/>
      <c r="F1636" s="13"/>
      <c r="M1636" s="9"/>
      <c r="N1636" s="9"/>
      <c r="O1636" s="9"/>
    </row>
    <row r="1637">
      <c r="A1637" s="9"/>
      <c r="D1637" s="9"/>
      <c r="E1637" s="13"/>
      <c r="F1637" s="13"/>
      <c r="M1637" s="9"/>
      <c r="N1637" s="9"/>
      <c r="O1637" s="9"/>
    </row>
    <row r="1638">
      <c r="A1638" s="9"/>
      <c r="D1638" s="9"/>
      <c r="E1638" s="13"/>
      <c r="F1638" s="13"/>
      <c r="M1638" s="9"/>
      <c r="N1638" s="9"/>
      <c r="O1638" s="9"/>
    </row>
    <row r="1639">
      <c r="A1639" s="9"/>
      <c r="D1639" s="9"/>
      <c r="E1639" s="13"/>
      <c r="F1639" s="13"/>
      <c r="M1639" s="9"/>
      <c r="N1639" s="9"/>
      <c r="O1639" s="9"/>
    </row>
    <row r="1640">
      <c r="A1640" s="9"/>
      <c r="D1640" s="9"/>
      <c r="E1640" s="13"/>
      <c r="F1640" s="13"/>
      <c r="M1640" s="9"/>
      <c r="N1640" s="9"/>
      <c r="O1640" s="9"/>
    </row>
    <row r="1641">
      <c r="A1641" s="9"/>
      <c r="D1641" s="9"/>
      <c r="E1641" s="13"/>
      <c r="F1641" s="13"/>
      <c r="M1641" s="9"/>
      <c r="N1641" s="9"/>
      <c r="O1641" s="9"/>
    </row>
    <row r="1642">
      <c r="A1642" s="9"/>
      <c r="D1642" s="9"/>
      <c r="E1642" s="13"/>
      <c r="F1642" s="13"/>
      <c r="M1642" s="9"/>
      <c r="N1642" s="9"/>
      <c r="O1642" s="9"/>
    </row>
    <row r="1643">
      <c r="A1643" s="9"/>
      <c r="D1643" s="9"/>
      <c r="E1643" s="13"/>
      <c r="F1643" s="13"/>
      <c r="M1643" s="9"/>
      <c r="N1643" s="9"/>
      <c r="O1643" s="9"/>
    </row>
    <row r="1644">
      <c r="A1644" s="9"/>
      <c r="D1644" s="9"/>
      <c r="E1644" s="13"/>
      <c r="F1644" s="13"/>
      <c r="M1644" s="9"/>
      <c r="N1644" s="9"/>
      <c r="O1644" s="9"/>
    </row>
    <row r="1645">
      <c r="A1645" s="9"/>
      <c r="D1645" s="9"/>
      <c r="E1645" s="13"/>
      <c r="F1645" s="13"/>
      <c r="M1645" s="9"/>
      <c r="N1645" s="9"/>
      <c r="O1645" s="9"/>
    </row>
    <row r="1646">
      <c r="A1646" s="9"/>
      <c r="D1646" s="9"/>
      <c r="E1646" s="13"/>
      <c r="F1646" s="13"/>
      <c r="M1646" s="9"/>
      <c r="N1646" s="9"/>
      <c r="O1646" s="9"/>
    </row>
    <row r="1647">
      <c r="A1647" s="9"/>
      <c r="D1647" s="9"/>
      <c r="E1647" s="13"/>
      <c r="F1647" s="13"/>
      <c r="M1647" s="9"/>
      <c r="N1647" s="9"/>
      <c r="O1647" s="9"/>
    </row>
    <row r="1648">
      <c r="A1648" s="9"/>
      <c r="D1648" s="9"/>
      <c r="E1648" s="13"/>
      <c r="F1648" s="13"/>
      <c r="M1648" s="9"/>
      <c r="N1648" s="9"/>
      <c r="O1648" s="9"/>
    </row>
    <row r="1649">
      <c r="A1649" s="9"/>
      <c r="D1649" s="9"/>
      <c r="E1649" s="13"/>
      <c r="F1649" s="13"/>
      <c r="M1649" s="9"/>
      <c r="N1649" s="9"/>
      <c r="O1649" s="9"/>
    </row>
    <row r="1650">
      <c r="A1650" s="9"/>
      <c r="D1650" s="9"/>
      <c r="E1650" s="13"/>
      <c r="F1650" s="13"/>
      <c r="M1650" s="9"/>
      <c r="N1650" s="9"/>
      <c r="O1650" s="9"/>
    </row>
    <row r="1651">
      <c r="A1651" s="9"/>
      <c r="D1651" s="9"/>
      <c r="E1651" s="13"/>
      <c r="F1651" s="13"/>
      <c r="M1651" s="9"/>
      <c r="N1651" s="9"/>
      <c r="O1651" s="9"/>
    </row>
    <row r="1652">
      <c r="A1652" s="9"/>
      <c r="D1652" s="9"/>
      <c r="E1652" s="13"/>
      <c r="F1652" s="13"/>
      <c r="M1652" s="9"/>
      <c r="N1652" s="9"/>
      <c r="O1652" s="9"/>
    </row>
    <row r="1653">
      <c r="A1653" s="9"/>
      <c r="D1653" s="9"/>
      <c r="E1653" s="13"/>
      <c r="F1653" s="13"/>
      <c r="M1653" s="9"/>
      <c r="N1653" s="9"/>
      <c r="O1653" s="9"/>
    </row>
    <row r="1654">
      <c r="A1654" s="9"/>
      <c r="D1654" s="9"/>
      <c r="E1654" s="13"/>
      <c r="F1654" s="13"/>
      <c r="M1654" s="9"/>
      <c r="N1654" s="9"/>
      <c r="O1654" s="9"/>
    </row>
    <row r="1655">
      <c r="A1655" s="9"/>
      <c r="D1655" s="9"/>
      <c r="E1655" s="13"/>
      <c r="F1655" s="13"/>
      <c r="M1655" s="9"/>
      <c r="N1655" s="9"/>
      <c r="O1655" s="9"/>
    </row>
    <row r="1656">
      <c r="A1656" s="9"/>
      <c r="D1656" s="9"/>
      <c r="E1656" s="13"/>
      <c r="F1656" s="13"/>
      <c r="M1656" s="9"/>
      <c r="N1656" s="9"/>
      <c r="O1656" s="9"/>
    </row>
    <row r="1657">
      <c r="A1657" s="9"/>
      <c r="D1657" s="9"/>
      <c r="E1657" s="13"/>
      <c r="F1657" s="13"/>
      <c r="M1657" s="9"/>
      <c r="N1657" s="9"/>
      <c r="O1657" s="9"/>
    </row>
    <row r="1658">
      <c r="A1658" s="9"/>
      <c r="D1658" s="9"/>
      <c r="E1658" s="13"/>
      <c r="F1658" s="13"/>
      <c r="M1658" s="9"/>
      <c r="N1658" s="9"/>
      <c r="O1658" s="9"/>
    </row>
    <row r="1659">
      <c r="A1659" s="9"/>
      <c r="D1659" s="9"/>
      <c r="E1659" s="13"/>
      <c r="F1659" s="13"/>
      <c r="M1659" s="9"/>
      <c r="N1659" s="9"/>
      <c r="O1659" s="9"/>
    </row>
    <row r="1660">
      <c r="A1660" s="9"/>
      <c r="D1660" s="9"/>
      <c r="E1660" s="13"/>
      <c r="F1660" s="13"/>
      <c r="M1660" s="9"/>
      <c r="N1660" s="9"/>
      <c r="O1660" s="9"/>
    </row>
    <row r="1661">
      <c r="A1661" s="9"/>
      <c r="D1661" s="9"/>
      <c r="E1661" s="13"/>
      <c r="F1661" s="13"/>
      <c r="M1661" s="9"/>
      <c r="N1661" s="9"/>
      <c r="O1661" s="9"/>
    </row>
    <row r="1662">
      <c r="A1662" s="9"/>
      <c r="D1662" s="9"/>
      <c r="E1662" s="13"/>
      <c r="F1662" s="13"/>
      <c r="M1662" s="9"/>
      <c r="N1662" s="9"/>
      <c r="O1662" s="9"/>
    </row>
    <row r="1663">
      <c r="A1663" s="9"/>
      <c r="D1663" s="9"/>
      <c r="E1663" s="13"/>
      <c r="F1663" s="13"/>
      <c r="M1663" s="9"/>
      <c r="N1663" s="9"/>
      <c r="O1663" s="9"/>
    </row>
    <row r="1664">
      <c r="A1664" s="9"/>
      <c r="D1664" s="9"/>
      <c r="E1664" s="13"/>
      <c r="F1664" s="13"/>
      <c r="M1664" s="9"/>
      <c r="N1664" s="9"/>
      <c r="O1664" s="9"/>
    </row>
    <row r="1665">
      <c r="A1665" s="9"/>
      <c r="D1665" s="9"/>
      <c r="E1665" s="13"/>
      <c r="F1665" s="13"/>
      <c r="M1665" s="9"/>
      <c r="N1665" s="9"/>
      <c r="O1665" s="9"/>
    </row>
    <row r="1666">
      <c r="A1666" s="9"/>
      <c r="D1666" s="9"/>
      <c r="E1666" s="13"/>
      <c r="F1666" s="13"/>
      <c r="M1666" s="9"/>
      <c r="N1666" s="9"/>
      <c r="O1666" s="9"/>
    </row>
    <row r="1667">
      <c r="A1667" s="9"/>
      <c r="D1667" s="9"/>
      <c r="E1667" s="13"/>
      <c r="F1667" s="13"/>
      <c r="M1667" s="9"/>
      <c r="N1667" s="9"/>
      <c r="O1667" s="9"/>
    </row>
    <row r="1668">
      <c r="A1668" s="9"/>
      <c r="D1668" s="9"/>
      <c r="E1668" s="13"/>
      <c r="F1668" s="13"/>
      <c r="M1668" s="9"/>
      <c r="N1668" s="9"/>
      <c r="O1668" s="9"/>
    </row>
    <row r="1669">
      <c r="A1669" s="9"/>
      <c r="D1669" s="9"/>
      <c r="E1669" s="13"/>
      <c r="F1669" s="13"/>
      <c r="M1669" s="9"/>
      <c r="N1669" s="9"/>
      <c r="O1669" s="9"/>
    </row>
    <row r="1670">
      <c r="A1670" s="9"/>
      <c r="D1670" s="9"/>
      <c r="E1670" s="13"/>
      <c r="F1670" s="13"/>
      <c r="M1670" s="9"/>
      <c r="N1670" s="9"/>
      <c r="O1670" s="9"/>
    </row>
    <row r="1671">
      <c r="A1671" s="9"/>
      <c r="D1671" s="9"/>
      <c r="E1671" s="13"/>
      <c r="F1671" s="13"/>
      <c r="M1671" s="9"/>
      <c r="N1671" s="9"/>
      <c r="O1671" s="9"/>
    </row>
    <row r="1672">
      <c r="A1672" s="9"/>
      <c r="D1672" s="9"/>
      <c r="E1672" s="13"/>
      <c r="F1672" s="13"/>
      <c r="M1672" s="9"/>
      <c r="N1672" s="9"/>
      <c r="O1672" s="9"/>
    </row>
    <row r="1673">
      <c r="A1673" s="9"/>
      <c r="D1673" s="9"/>
      <c r="E1673" s="13"/>
      <c r="F1673" s="13"/>
      <c r="M1673" s="9"/>
      <c r="N1673" s="9"/>
      <c r="O1673" s="9"/>
    </row>
    <row r="1674">
      <c r="A1674" s="9"/>
      <c r="D1674" s="9"/>
      <c r="E1674" s="13"/>
      <c r="F1674" s="13"/>
      <c r="M1674" s="9"/>
      <c r="N1674" s="9"/>
      <c r="O1674" s="9"/>
    </row>
    <row r="1675">
      <c r="A1675" s="9"/>
      <c r="D1675" s="9"/>
      <c r="E1675" s="13"/>
      <c r="F1675" s="13"/>
      <c r="M1675" s="9"/>
      <c r="N1675" s="9"/>
      <c r="O1675" s="9"/>
    </row>
    <row r="1676">
      <c r="A1676" s="9"/>
      <c r="D1676" s="9"/>
      <c r="E1676" s="13"/>
      <c r="F1676" s="13"/>
      <c r="M1676" s="9"/>
      <c r="N1676" s="9"/>
      <c r="O1676" s="9"/>
    </row>
    <row r="1677">
      <c r="A1677" s="9"/>
      <c r="D1677" s="9"/>
      <c r="E1677" s="13"/>
      <c r="F1677" s="13"/>
      <c r="M1677" s="9"/>
      <c r="N1677" s="9"/>
      <c r="O1677" s="9"/>
    </row>
    <row r="1678">
      <c r="A1678" s="9"/>
      <c r="D1678" s="9"/>
      <c r="E1678" s="13"/>
      <c r="F1678" s="13"/>
      <c r="M1678" s="9"/>
      <c r="N1678" s="9"/>
      <c r="O1678" s="9"/>
    </row>
    <row r="1679">
      <c r="A1679" s="9"/>
      <c r="D1679" s="9"/>
      <c r="E1679" s="13"/>
      <c r="F1679" s="13"/>
      <c r="M1679" s="9"/>
      <c r="N1679" s="9"/>
      <c r="O1679" s="9"/>
    </row>
    <row r="1680">
      <c r="A1680" s="9"/>
      <c r="D1680" s="9"/>
      <c r="E1680" s="13"/>
      <c r="F1680" s="13"/>
      <c r="M1680" s="9"/>
      <c r="N1680" s="9"/>
      <c r="O1680" s="9"/>
    </row>
    <row r="1681">
      <c r="A1681" s="9"/>
      <c r="D1681" s="9"/>
      <c r="E1681" s="13"/>
      <c r="F1681" s="13"/>
      <c r="M1681" s="9"/>
      <c r="N1681" s="9"/>
      <c r="O1681" s="9"/>
    </row>
    <row r="1682">
      <c r="A1682" s="9"/>
      <c r="D1682" s="9"/>
      <c r="E1682" s="13"/>
      <c r="F1682" s="13"/>
      <c r="M1682" s="9"/>
      <c r="N1682" s="9"/>
      <c r="O1682" s="9"/>
    </row>
    <row r="1683">
      <c r="A1683" s="9"/>
      <c r="D1683" s="9"/>
      <c r="E1683" s="13"/>
      <c r="F1683" s="13"/>
      <c r="M1683" s="9"/>
      <c r="N1683" s="9"/>
      <c r="O1683" s="9"/>
    </row>
    <row r="1684">
      <c r="A1684" s="9"/>
      <c r="D1684" s="9"/>
      <c r="E1684" s="13"/>
      <c r="F1684" s="13"/>
      <c r="M1684" s="9"/>
      <c r="N1684" s="9"/>
      <c r="O1684" s="9"/>
    </row>
    <row r="1685">
      <c r="A1685" s="9"/>
      <c r="D1685" s="9"/>
      <c r="E1685" s="13"/>
      <c r="F1685" s="13"/>
      <c r="M1685" s="9"/>
      <c r="N1685" s="9"/>
      <c r="O1685" s="9"/>
    </row>
    <row r="1686">
      <c r="A1686" s="9"/>
      <c r="D1686" s="9"/>
      <c r="E1686" s="13"/>
      <c r="F1686" s="13"/>
      <c r="M1686" s="9"/>
      <c r="N1686" s="9"/>
      <c r="O1686" s="9"/>
    </row>
    <row r="1687">
      <c r="A1687" s="9"/>
      <c r="D1687" s="9"/>
      <c r="E1687" s="13"/>
      <c r="F1687" s="13"/>
      <c r="M1687" s="9"/>
      <c r="N1687" s="9"/>
      <c r="O1687" s="9"/>
    </row>
    <row r="1688">
      <c r="A1688" s="9"/>
      <c r="D1688" s="9"/>
      <c r="E1688" s="13"/>
      <c r="F1688" s="13"/>
      <c r="M1688" s="9"/>
      <c r="N1688" s="9"/>
      <c r="O1688" s="9"/>
    </row>
    <row r="1689">
      <c r="A1689" s="9"/>
      <c r="D1689" s="9"/>
      <c r="E1689" s="13"/>
      <c r="F1689" s="13"/>
      <c r="M1689" s="9"/>
      <c r="N1689" s="9"/>
      <c r="O1689" s="9"/>
    </row>
    <row r="1690">
      <c r="A1690" s="9"/>
      <c r="D1690" s="9"/>
      <c r="E1690" s="13"/>
      <c r="F1690" s="13"/>
      <c r="M1690" s="9"/>
      <c r="N1690" s="9"/>
      <c r="O1690" s="9"/>
    </row>
    <row r="1691">
      <c r="A1691" s="9"/>
      <c r="D1691" s="9"/>
      <c r="E1691" s="13"/>
      <c r="F1691" s="13"/>
      <c r="M1691" s="9"/>
      <c r="N1691" s="9"/>
      <c r="O1691" s="9"/>
    </row>
    <row r="1692">
      <c r="A1692" s="9"/>
      <c r="D1692" s="9"/>
      <c r="E1692" s="13"/>
      <c r="F1692" s="13"/>
      <c r="M1692" s="9"/>
      <c r="N1692" s="9"/>
      <c r="O1692" s="9"/>
    </row>
    <row r="1693">
      <c r="A1693" s="9"/>
      <c r="D1693" s="9"/>
      <c r="E1693" s="13"/>
      <c r="F1693" s="13"/>
      <c r="M1693" s="9"/>
      <c r="N1693" s="9"/>
      <c r="O1693" s="9"/>
    </row>
    <row r="1694">
      <c r="A1694" s="9"/>
      <c r="D1694" s="9"/>
      <c r="E1694" s="13"/>
      <c r="F1694" s="13"/>
      <c r="M1694" s="9"/>
      <c r="N1694" s="9"/>
      <c r="O1694" s="9"/>
    </row>
    <row r="1695">
      <c r="A1695" s="9"/>
      <c r="D1695" s="9"/>
      <c r="E1695" s="13"/>
      <c r="F1695" s="13"/>
      <c r="M1695" s="9"/>
      <c r="N1695" s="9"/>
      <c r="O1695" s="9"/>
    </row>
    <row r="1696">
      <c r="A1696" s="9"/>
      <c r="D1696" s="9"/>
      <c r="E1696" s="13"/>
      <c r="F1696" s="13"/>
      <c r="M1696" s="9"/>
      <c r="N1696" s="9"/>
      <c r="O1696" s="9"/>
    </row>
    <row r="1697">
      <c r="A1697" s="9"/>
      <c r="D1697" s="9"/>
      <c r="E1697" s="13"/>
      <c r="F1697" s="13"/>
      <c r="M1697" s="9"/>
      <c r="N1697" s="9"/>
      <c r="O1697" s="9"/>
    </row>
    <row r="1698">
      <c r="A1698" s="9"/>
      <c r="D1698" s="9"/>
      <c r="E1698" s="13"/>
      <c r="F1698" s="13"/>
      <c r="M1698" s="9"/>
      <c r="N1698" s="9"/>
      <c r="O1698" s="9"/>
    </row>
    <row r="1699">
      <c r="A1699" s="9"/>
      <c r="D1699" s="9"/>
      <c r="E1699" s="13"/>
      <c r="F1699" s="13"/>
      <c r="M1699" s="9"/>
      <c r="N1699" s="9"/>
      <c r="O1699" s="9"/>
    </row>
    <row r="1700">
      <c r="A1700" s="9"/>
      <c r="D1700" s="9"/>
      <c r="E1700" s="13"/>
      <c r="F1700" s="13"/>
      <c r="M1700" s="9"/>
      <c r="N1700" s="9"/>
      <c r="O1700" s="9"/>
    </row>
    <row r="1701">
      <c r="A1701" s="9"/>
      <c r="D1701" s="9"/>
      <c r="E1701" s="13"/>
      <c r="F1701" s="13"/>
      <c r="M1701" s="9"/>
      <c r="N1701" s="9"/>
      <c r="O1701" s="9"/>
    </row>
    <row r="1702">
      <c r="A1702" s="9"/>
      <c r="D1702" s="9"/>
      <c r="E1702" s="13"/>
      <c r="F1702" s="13"/>
      <c r="M1702" s="9"/>
      <c r="N1702" s="9"/>
      <c r="O1702" s="9"/>
    </row>
    <row r="1703">
      <c r="A1703" s="9"/>
      <c r="D1703" s="9"/>
      <c r="E1703" s="13"/>
      <c r="F1703" s="13"/>
      <c r="M1703" s="9"/>
      <c r="N1703" s="9"/>
      <c r="O1703" s="9"/>
    </row>
    <row r="1704">
      <c r="A1704" s="9"/>
      <c r="D1704" s="9"/>
      <c r="E1704" s="13"/>
      <c r="F1704" s="13"/>
      <c r="M1704" s="9"/>
      <c r="N1704" s="9"/>
      <c r="O1704" s="9"/>
    </row>
    <row r="1705">
      <c r="A1705" s="9"/>
      <c r="D1705" s="9"/>
      <c r="E1705" s="13"/>
      <c r="F1705" s="13"/>
      <c r="M1705" s="9"/>
      <c r="N1705" s="9"/>
      <c r="O1705" s="9"/>
    </row>
    <row r="1706">
      <c r="A1706" s="9"/>
      <c r="D1706" s="9"/>
      <c r="E1706" s="13"/>
      <c r="F1706" s="13"/>
      <c r="M1706" s="9"/>
      <c r="N1706" s="9"/>
      <c r="O1706" s="9"/>
    </row>
    <row r="1707">
      <c r="A1707" s="9"/>
      <c r="D1707" s="9"/>
      <c r="E1707" s="13"/>
      <c r="F1707" s="13"/>
      <c r="M1707" s="9"/>
      <c r="N1707" s="9"/>
      <c r="O1707" s="9"/>
    </row>
    <row r="1708">
      <c r="A1708" s="9"/>
      <c r="D1708" s="9"/>
      <c r="E1708" s="13"/>
      <c r="F1708" s="13"/>
      <c r="M1708" s="9"/>
      <c r="N1708" s="9"/>
      <c r="O1708" s="9"/>
    </row>
    <row r="1709">
      <c r="A1709" s="9"/>
      <c r="D1709" s="9"/>
      <c r="E1709" s="13"/>
      <c r="F1709" s="13"/>
      <c r="M1709" s="9"/>
      <c r="N1709" s="9"/>
      <c r="O1709" s="9"/>
    </row>
    <row r="1710">
      <c r="A1710" s="9"/>
      <c r="D1710" s="9"/>
      <c r="E1710" s="13"/>
      <c r="F1710" s="13"/>
      <c r="M1710" s="9"/>
      <c r="N1710" s="9"/>
      <c r="O1710" s="9"/>
    </row>
    <row r="1711">
      <c r="A1711" s="9"/>
      <c r="D1711" s="9"/>
      <c r="E1711" s="13"/>
      <c r="F1711" s="13"/>
      <c r="M1711" s="9"/>
      <c r="N1711" s="9"/>
      <c r="O1711" s="9"/>
    </row>
    <row r="1712">
      <c r="A1712" s="9"/>
      <c r="D1712" s="9"/>
      <c r="E1712" s="13"/>
      <c r="F1712" s="13"/>
      <c r="M1712" s="9"/>
      <c r="N1712" s="9"/>
      <c r="O1712" s="9"/>
    </row>
    <row r="1713">
      <c r="A1713" s="9"/>
      <c r="D1713" s="9"/>
      <c r="E1713" s="13"/>
      <c r="F1713" s="13"/>
      <c r="M1713" s="9"/>
      <c r="N1713" s="9"/>
      <c r="O1713" s="9"/>
    </row>
    <row r="1714">
      <c r="A1714" s="9"/>
      <c r="D1714" s="9"/>
      <c r="E1714" s="13"/>
      <c r="F1714" s="13"/>
      <c r="M1714" s="9"/>
      <c r="N1714" s="9"/>
      <c r="O1714" s="9"/>
    </row>
    <row r="1715">
      <c r="A1715" s="9"/>
      <c r="D1715" s="9"/>
      <c r="E1715" s="13"/>
      <c r="F1715" s="13"/>
      <c r="M1715" s="9"/>
      <c r="N1715" s="9"/>
      <c r="O1715" s="9"/>
    </row>
    <row r="1716">
      <c r="A1716" s="9"/>
      <c r="D1716" s="9"/>
      <c r="E1716" s="13"/>
      <c r="F1716" s="13"/>
      <c r="M1716" s="9"/>
      <c r="N1716" s="9"/>
      <c r="O1716" s="9"/>
    </row>
    <row r="1717">
      <c r="A1717" s="9"/>
      <c r="D1717" s="9"/>
      <c r="E1717" s="13"/>
      <c r="F1717" s="13"/>
      <c r="M1717" s="9"/>
      <c r="N1717" s="9"/>
      <c r="O1717" s="9"/>
    </row>
    <row r="1718">
      <c r="A1718" s="9"/>
      <c r="D1718" s="9"/>
      <c r="E1718" s="13"/>
      <c r="F1718" s="13"/>
      <c r="M1718" s="9"/>
      <c r="N1718" s="9"/>
      <c r="O1718" s="9"/>
    </row>
    <row r="1719">
      <c r="A1719" s="9"/>
      <c r="D1719" s="9"/>
      <c r="E1719" s="13"/>
      <c r="F1719" s="13"/>
      <c r="M1719" s="9"/>
      <c r="N1719" s="9"/>
      <c r="O1719" s="9"/>
    </row>
    <row r="1720">
      <c r="A1720" s="9"/>
      <c r="D1720" s="9"/>
      <c r="E1720" s="13"/>
      <c r="F1720" s="13"/>
      <c r="M1720" s="9"/>
      <c r="N1720" s="9"/>
      <c r="O1720" s="9"/>
    </row>
    <row r="1721">
      <c r="A1721" s="9"/>
      <c r="D1721" s="9"/>
      <c r="E1721" s="13"/>
      <c r="F1721" s="13"/>
      <c r="M1721" s="9"/>
      <c r="N1721" s="9"/>
      <c r="O1721" s="9"/>
    </row>
    <row r="1722">
      <c r="A1722" s="9"/>
      <c r="D1722" s="9"/>
      <c r="E1722" s="13"/>
      <c r="F1722" s="13"/>
      <c r="M1722" s="9"/>
      <c r="N1722" s="9"/>
      <c r="O1722" s="9"/>
    </row>
    <row r="1723">
      <c r="A1723" s="9"/>
      <c r="D1723" s="9"/>
      <c r="E1723" s="13"/>
      <c r="F1723" s="13"/>
      <c r="M1723" s="9"/>
      <c r="N1723" s="9"/>
      <c r="O1723" s="9"/>
    </row>
    <row r="1724">
      <c r="A1724" s="9"/>
      <c r="D1724" s="9"/>
      <c r="E1724" s="13"/>
      <c r="F1724" s="13"/>
      <c r="M1724" s="9"/>
      <c r="N1724" s="9"/>
      <c r="O1724" s="9"/>
    </row>
    <row r="1725">
      <c r="A1725" s="9"/>
      <c r="D1725" s="9"/>
      <c r="E1725" s="13"/>
      <c r="F1725" s="13"/>
      <c r="M1725" s="9"/>
      <c r="N1725" s="9"/>
      <c r="O1725" s="9"/>
    </row>
    <row r="1726">
      <c r="A1726" s="9"/>
      <c r="D1726" s="9"/>
      <c r="E1726" s="13"/>
      <c r="F1726" s="13"/>
      <c r="M1726" s="9"/>
      <c r="N1726" s="9"/>
      <c r="O1726" s="9"/>
    </row>
    <row r="1727">
      <c r="A1727" s="9"/>
      <c r="D1727" s="9"/>
      <c r="E1727" s="13"/>
      <c r="F1727" s="13"/>
      <c r="M1727" s="9"/>
      <c r="N1727" s="9"/>
      <c r="O1727" s="9"/>
    </row>
    <row r="1728">
      <c r="A1728" s="9"/>
      <c r="D1728" s="9"/>
      <c r="E1728" s="13"/>
      <c r="F1728" s="13"/>
      <c r="M1728" s="9"/>
      <c r="N1728" s="9"/>
      <c r="O1728" s="9"/>
    </row>
    <row r="1729">
      <c r="A1729" s="9"/>
      <c r="D1729" s="9"/>
      <c r="E1729" s="13"/>
      <c r="F1729" s="13"/>
      <c r="M1729" s="9"/>
      <c r="N1729" s="9"/>
      <c r="O1729" s="9"/>
    </row>
    <row r="1730">
      <c r="A1730" s="9"/>
      <c r="D1730" s="9"/>
      <c r="E1730" s="13"/>
      <c r="F1730" s="13"/>
      <c r="M1730" s="9"/>
      <c r="N1730" s="9"/>
      <c r="O1730" s="9"/>
    </row>
    <row r="1731">
      <c r="A1731" s="9"/>
      <c r="D1731" s="9"/>
      <c r="E1731" s="13"/>
      <c r="F1731" s="13"/>
      <c r="M1731" s="9"/>
      <c r="N1731" s="9"/>
      <c r="O1731" s="9"/>
    </row>
    <row r="1732">
      <c r="A1732" s="9"/>
      <c r="D1732" s="9"/>
      <c r="E1732" s="13"/>
      <c r="F1732" s="13"/>
      <c r="M1732" s="9"/>
      <c r="N1732" s="9"/>
      <c r="O1732" s="9"/>
    </row>
    <row r="1733">
      <c r="A1733" s="9"/>
      <c r="D1733" s="9"/>
      <c r="E1733" s="13"/>
      <c r="F1733" s="13"/>
      <c r="M1733" s="9"/>
      <c r="N1733" s="9"/>
      <c r="O1733" s="9"/>
    </row>
    <row r="1734">
      <c r="A1734" s="9"/>
      <c r="D1734" s="9"/>
      <c r="E1734" s="13"/>
      <c r="F1734" s="13"/>
      <c r="M1734" s="9"/>
      <c r="N1734" s="9"/>
      <c r="O1734" s="9"/>
    </row>
    <row r="1735">
      <c r="A1735" s="9"/>
      <c r="D1735" s="9"/>
      <c r="E1735" s="13"/>
      <c r="F1735" s="13"/>
      <c r="M1735" s="9"/>
      <c r="N1735" s="9"/>
      <c r="O1735" s="9"/>
    </row>
    <row r="1736">
      <c r="A1736" s="9"/>
      <c r="D1736" s="9"/>
      <c r="E1736" s="13"/>
      <c r="F1736" s="13"/>
      <c r="M1736" s="9"/>
      <c r="N1736" s="9"/>
      <c r="O1736" s="9"/>
    </row>
    <row r="1737">
      <c r="A1737" s="9"/>
      <c r="D1737" s="9"/>
      <c r="E1737" s="13"/>
      <c r="F1737" s="13"/>
      <c r="M1737" s="9"/>
      <c r="N1737" s="9"/>
      <c r="O1737" s="9"/>
    </row>
    <row r="1738">
      <c r="A1738" s="9"/>
      <c r="D1738" s="9"/>
      <c r="E1738" s="13"/>
      <c r="F1738" s="13"/>
      <c r="M1738" s="9"/>
      <c r="N1738" s="9"/>
      <c r="O1738" s="9"/>
    </row>
    <row r="1739">
      <c r="A1739" s="9"/>
      <c r="D1739" s="9"/>
      <c r="E1739" s="13"/>
      <c r="F1739" s="13"/>
      <c r="M1739" s="9"/>
      <c r="N1739" s="9"/>
      <c r="O1739" s="9"/>
    </row>
    <row r="1740">
      <c r="A1740" s="9"/>
      <c r="D1740" s="9"/>
      <c r="E1740" s="13"/>
      <c r="F1740" s="13"/>
      <c r="M1740" s="9"/>
      <c r="N1740" s="9"/>
      <c r="O1740" s="9"/>
    </row>
    <row r="1741">
      <c r="A1741" s="9"/>
      <c r="D1741" s="9"/>
      <c r="E1741" s="13"/>
      <c r="F1741" s="13"/>
      <c r="M1741" s="9"/>
      <c r="N1741" s="9"/>
      <c r="O1741" s="9"/>
    </row>
    <row r="1742">
      <c r="A1742" s="9"/>
      <c r="D1742" s="9"/>
      <c r="E1742" s="13"/>
      <c r="F1742" s="13"/>
      <c r="M1742" s="9"/>
      <c r="N1742" s="9"/>
      <c r="O1742" s="9"/>
    </row>
    <row r="1743">
      <c r="A1743" s="9"/>
      <c r="D1743" s="9"/>
      <c r="E1743" s="13"/>
      <c r="F1743" s="13"/>
      <c r="M1743" s="9"/>
      <c r="N1743" s="9"/>
      <c r="O1743" s="9"/>
    </row>
    <row r="1744">
      <c r="A1744" s="9"/>
      <c r="D1744" s="9"/>
      <c r="E1744" s="13"/>
      <c r="F1744" s="13"/>
      <c r="M1744" s="9"/>
      <c r="N1744" s="9"/>
      <c r="O1744" s="9"/>
    </row>
    <row r="1745">
      <c r="A1745" s="9"/>
      <c r="D1745" s="9"/>
      <c r="E1745" s="13"/>
      <c r="F1745" s="13"/>
      <c r="M1745" s="9"/>
      <c r="N1745" s="9"/>
      <c r="O1745" s="9"/>
    </row>
    <row r="1746">
      <c r="A1746" s="9"/>
      <c r="D1746" s="9"/>
      <c r="E1746" s="13"/>
      <c r="F1746" s="13"/>
      <c r="M1746" s="9"/>
      <c r="N1746" s="9"/>
      <c r="O1746" s="9"/>
    </row>
    <row r="1747">
      <c r="A1747" s="9"/>
      <c r="D1747" s="9"/>
      <c r="E1747" s="13"/>
      <c r="F1747" s="13"/>
      <c r="M1747" s="9"/>
      <c r="N1747" s="9"/>
      <c r="O1747" s="9"/>
    </row>
    <row r="1748">
      <c r="A1748" s="9"/>
      <c r="D1748" s="9"/>
      <c r="E1748" s="13"/>
      <c r="F1748" s="13"/>
      <c r="M1748" s="9"/>
      <c r="N1748" s="9"/>
      <c r="O1748" s="9"/>
    </row>
    <row r="1749">
      <c r="A1749" s="9"/>
      <c r="D1749" s="9"/>
      <c r="E1749" s="13"/>
      <c r="F1749" s="13"/>
      <c r="M1749" s="9"/>
      <c r="N1749" s="9"/>
      <c r="O1749" s="9"/>
    </row>
    <row r="1750">
      <c r="A1750" s="9"/>
      <c r="D1750" s="9"/>
      <c r="E1750" s="13"/>
      <c r="F1750" s="13"/>
      <c r="M1750" s="9"/>
      <c r="N1750" s="9"/>
      <c r="O1750" s="9"/>
    </row>
    <row r="1751">
      <c r="A1751" s="9"/>
      <c r="D1751" s="9"/>
      <c r="E1751" s="13"/>
      <c r="F1751" s="13"/>
      <c r="M1751" s="9"/>
      <c r="N1751" s="9"/>
      <c r="O1751" s="9"/>
    </row>
    <row r="1752">
      <c r="A1752" s="9"/>
      <c r="D1752" s="9"/>
      <c r="E1752" s="13"/>
      <c r="F1752" s="13"/>
      <c r="M1752" s="9"/>
      <c r="N1752" s="9"/>
      <c r="O1752" s="9"/>
    </row>
    <row r="1753">
      <c r="A1753" s="9"/>
      <c r="D1753" s="9"/>
      <c r="E1753" s="13"/>
      <c r="F1753" s="13"/>
      <c r="M1753" s="9"/>
      <c r="N1753" s="9"/>
      <c r="O1753" s="9"/>
    </row>
    <row r="1754">
      <c r="A1754" s="9"/>
      <c r="D1754" s="9"/>
      <c r="E1754" s="13"/>
      <c r="F1754" s="13"/>
      <c r="M1754" s="9"/>
      <c r="N1754" s="9"/>
      <c r="O1754" s="9"/>
    </row>
    <row r="1755">
      <c r="A1755" s="9"/>
      <c r="D1755" s="9"/>
      <c r="E1755" s="13"/>
      <c r="F1755" s="13"/>
      <c r="M1755" s="9"/>
      <c r="N1755" s="9"/>
      <c r="O1755" s="9"/>
    </row>
    <row r="1756">
      <c r="A1756" s="9"/>
      <c r="D1756" s="9"/>
      <c r="E1756" s="13"/>
      <c r="F1756" s="13"/>
      <c r="M1756" s="9"/>
      <c r="N1756" s="9"/>
      <c r="O1756" s="9"/>
    </row>
    <row r="1757">
      <c r="A1757" s="9"/>
      <c r="D1757" s="9"/>
      <c r="E1757" s="13"/>
      <c r="F1757" s="13"/>
      <c r="M1757" s="9"/>
      <c r="N1757" s="9"/>
      <c r="O1757" s="9"/>
    </row>
    <row r="1758">
      <c r="A1758" s="9"/>
      <c r="D1758" s="9"/>
      <c r="E1758" s="13"/>
      <c r="F1758" s="13"/>
      <c r="M1758" s="9"/>
      <c r="N1758" s="9"/>
      <c r="O1758" s="9"/>
    </row>
    <row r="1759">
      <c r="A1759" s="9"/>
      <c r="D1759" s="9"/>
      <c r="E1759" s="13"/>
      <c r="F1759" s="13"/>
      <c r="M1759" s="9"/>
      <c r="N1759" s="9"/>
      <c r="O1759" s="9"/>
    </row>
    <row r="1760">
      <c r="A1760" s="9"/>
      <c r="D1760" s="9"/>
      <c r="E1760" s="13"/>
      <c r="F1760" s="13"/>
      <c r="M1760" s="9"/>
      <c r="N1760" s="9"/>
      <c r="O1760" s="9"/>
    </row>
    <row r="1761">
      <c r="A1761" s="9"/>
      <c r="D1761" s="9"/>
      <c r="E1761" s="13"/>
      <c r="F1761" s="13"/>
      <c r="M1761" s="9"/>
      <c r="N1761" s="9"/>
      <c r="O1761" s="9"/>
    </row>
    <row r="1762">
      <c r="A1762" s="9"/>
      <c r="D1762" s="9"/>
      <c r="E1762" s="13"/>
      <c r="F1762" s="13"/>
      <c r="M1762" s="9"/>
      <c r="N1762" s="9"/>
      <c r="O1762" s="9"/>
    </row>
    <row r="1763">
      <c r="A1763" s="9"/>
      <c r="D1763" s="9"/>
      <c r="E1763" s="13"/>
      <c r="F1763" s="13"/>
      <c r="M1763" s="9"/>
      <c r="N1763" s="9"/>
      <c r="O1763" s="9"/>
    </row>
    <row r="1764">
      <c r="A1764" s="9"/>
      <c r="D1764" s="9"/>
      <c r="E1764" s="13"/>
      <c r="F1764" s="13"/>
      <c r="M1764" s="9"/>
      <c r="N1764" s="9"/>
      <c r="O1764" s="9"/>
    </row>
    <row r="1765">
      <c r="A1765" s="9"/>
      <c r="D1765" s="9"/>
      <c r="E1765" s="13"/>
      <c r="F1765" s="13"/>
      <c r="M1765" s="9"/>
      <c r="N1765" s="9"/>
      <c r="O1765" s="9"/>
    </row>
    <row r="1766">
      <c r="A1766" s="9"/>
      <c r="D1766" s="9"/>
      <c r="E1766" s="13"/>
      <c r="F1766" s="13"/>
      <c r="M1766" s="9"/>
      <c r="N1766" s="9"/>
      <c r="O1766" s="9"/>
    </row>
    <row r="1767">
      <c r="A1767" s="9"/>
      <c r="D1767" s="9"/>
      <c r="E1767" s="13"/>
      <c r="F1767" s="13"/>
      <c r="M1767" s="9"/>
      <c r="N1767" s="9"/>
      <c r="O1767" s="9"/>
    </row>
    <row r="1768">
      <c r="A1768" s="9"/>
      <c r="D1768" s="9"/>
      <c r="E1768" s="13"/>
      <c r="F1768" s="13"/>
      <c r="M1768" s="9"/>
      <c r="N1768" s="9"/>
      <c r="O1768" s="9"/>
    </row>
    <row r="1769">
      <c r="A1769" s="9"/>
      <c r="D1769" s="9"/>
      <c r="E1769" s="13"/>
      <c r="F1769" s="13"/>
      <c r="M1769" s="9"/>
      <c r="N1769" s="9"/>
      <c r="O1769" s="9"/>
    </row>
    <row r="1770">
      <c r="A1770" s="9"/>
      <c r="D1770" s="9"/>
      <c r="E1770" s="13"/>
      <c r="F1770" s="13"/>
      <c r="M1770" s="9"/>
      <c r="N1770" s="9"/>
      <c r="O1770" s="9"/>
    </row>
    <row r="1771">
      <c r="A1771" s="9"/>
      <c r="D1771" s="9"/>
      <c r="E1771" s="13"/>
      <c r="F1771" s="13"/>
      <c r="M1771" s="9"/>
      <c r="N1771" s="9"/>
      <c r="O1771" s="9"/>
    </row>
    <row r="1772">
      <c r="A1772" s="9"/>
      <c r="D1772" s="9"/>
      <c r="E1772" s="13"/>
      <c r="F1772" s="13"/>
      <c r="M1772" s="9"/>
      <c r="N1772" s="9"/>
      <c r="O1772" s="9"/>
    </row>
    <row r="1773">
      <c r="A1773" s="9"/>
      <c r="D1773" s="9"/>
      <c r="E1773" s="13"/>
      <c r="F1773" s="13"/>
      <c r="M1773" s="9"/>
      <c r="N1773" s="9"/>
      <c r="O1773" s="9"/>
    </row>
    <row r="1774">
      <c r="A1774" s="9"/>
      <c r="D1774" s="9"/>
      <c r="E1774" s="13"/>
      <c r="F1774" s="13"/>
      <c r="M1774" s="9"/>
      <c r="N1774" s="9"/>
      <c r="O1774" s="9"/>
    </row>
    <row r="1775">
      <c r="A1775" s="9"/>
      <c r="D1775" s="9"/>
      <c r="E1775" s="13"/>
      <c r="F1775" s="13"/>
      <c r="M1775" s="9"/>
      <c r="N1775" s="9"/>
      <c r="O1775" s="9"/>
    </row>
    <row r="1776">
      <c r="A1776" s="9"/>
      <c r="D1776" s="9"/>
      <c r="E1776" s="13"/>
      <c r="F1776" s="13"/>
      <c r="M1776" s="9"/>
      <c r="N1776" s="9"/>
      <c r="O1776" s="9"/>
    </row>
    <row r="1777">
      <c r="A1777" s="9"/>
      <c r="D1777" s="9"/>
      <c r="E1777" s="13"/>
      <c r="F1777" s="13"/>
      <c r="M1777" s="9"/>
      <c r="N1777" s="9"/>
      <c r="O1777" s="9"/>
    </row>
    <row r="1778">
      <c r="A1778" s="9"/>
      <c r="D1778" s="9"/>
      <c r="E1778" s="13"/>
      <c r="F1778" s="13"/>
      <c r="M1778" s="9"/>
      <c r="N1778" s="9"/>
      <c r="O1778" s="9"/>
    </row>
    <row r="1779">
      <c r="A1779" s="9"/>
      <c r="D1779" s="9"/>
      <c r="E1779" s="13"/>
      <c r="F1779" s="13"/>
      <c r="M1779" s="9"/>
      <c r="N1779" s="9"/>
      <c r="O1779" s="9"/>
    </row>
    <row r="1780">
      <c r="A1780" s="9"/>
      <c r="D1780" s="9"/>
      <c r="E1780" s="13"/>
      <c r="F1780" s="13"/>
      <c r="M1780" s="9"/>
      <c r="N1780" s="9"/>
      <c r="O1780" s="9"/>
    </row>
    <row r="1781">
      <c r="A1781" s="9"/>
      <c r="D1781" s="9"/>
      <c r="E1781" s="13"/>
      <c r="F1781" s="13"/>
      <c r="M1781" s="9"/>
      <c r="N1781" s="9"/>
      <c r="O1781" s="9"/>
    </row>
    <row r="1782">
      <c r="A1782" s="9"/>
      <c r="D1782" s="9"/>
      <c r="E1782" s="13"/>
      <c r="F1782" s="13"/>
      <c r="M1782" s="9"/>
      <c r="N1782" s="9"/>
      <c r="O1782" s="9"/>
    </row>
    <row r="1783">
      <c r="A1783" s="9"/>
      <c r="D1783" s="9"/>
      <c r="E1783" s="13"/>
      <c r="F1783" s="13"/>
      <c r="M1783" s="9"/>
      <c r="N1783" s="9"/>
      <c r="O1783" s="9"/>
    </row>
    <row r="1784">
      <c r="A1784" s="9"/>
      <c r="D1784" s="9"/>
      <c r="E1784" s="13"/>
      <c r="F1784" s="13"/>
      <c r="M1784" s="9"/>
      <c r="N1784" s="9"/>
      <c r="O1784" s="9"/>
    </row>
    <row r="1785">
      <c r="A1785" s="9"/>
      <c r="D1785" s="9"/>
      <c r="E1785" s="13"/>
      <c r="F1785" s="13"/>
      <c r="M1785" s="9"/>
      <c r="N1785" s="9"/>
      <c r="O1785" s="9"/>
    </row>
    <row r="1786">
      <c r="A1786" s="9"/>
      <c r="D1786" s="9"/>
      <c r="E1786" s="13"/>
      <c r="F1786" s="13"/>
      <c r="M1786" s="9"/>
      <c r="N1786" s="9"/>
      <c r="O1786" s="9"/>
    </row>
    <row r="1787">
      <c r="A1787" s="9"/>
      <c r="D1787" s="9"/>
      <c r="E1787" s="13"/>
      <c r="F1787" s="13"/>
      <c r="M1787" s="9"/>
      <c r="N1787" s="9"/>
      <c r="O1787" s="9"/>
    </row>
    <row r="1788">
      <c r="A1788" s="9"/>
      <c r="D1788" s="9"/>
      <c r="E1788" s="13"/>
      <c r="F1788" s="13"/>
      <c r="M1788" s="9"/>
      <c r="N1788" s="9"/>
      <c r="O1788" s="9"/>
    </row>
    <row r="1789">
      <c r="A1789" s="9"/>
      <c r="D1789" s="9"/>
      <c r="E1789" s="13"/>
      <c r="F1789" s="13"/>
      <c r="M1789" s="9"/>
      <c r="N1789" s="9"/>
      <c r="O1789" s="9"/>
    </row>
    <row r="1790">
      <c r="A1790" s="9"/>
      <c r="D1790" s="9"/>
      <c r="E1790" s="13"/>
      <c r="F1790" s="13"/>
      <c r="M1790" s="9"/>
      <c r="N1790" s="9"/>
      <c r="O1790" s="9"/>
    </row>
    <row r="1791">
      <c r="A1791" s="9"/>
      <c r="D1791" s="9"/>
      <c r="E1791" s="13"/>
      <c r="F1791" s="13"/>
      <c r="M1791" s="9"/>
      <c r="N1791" s="9"/>
      <c r="O1791" s="9"/>
    </row>
    <row r="1792">
      <c r="A1792" s="9"/>
      <c r="D1792" s="9"/>
      <c r="E1792" s="13"/>
      <c r="F1792" s="13"/>
      <c r="M1792" s="9"/>
      <c r="N1792" s="9"/>
      <c r="O1792" s="9"/>
    </row>
    <row r="1793">
      <c r="A1793" s="9"/>
      <c r="D1793" s="9"/>
      <c r="E1793" s="13"/>
      <c r="F1793" s="13"/>
      <c r="M1793" s="9"/>
      <c r="N1793" s="9"/>
      <c r="O1793" s="9"/>
    </row>
    <row r="1794">
      <c r="A1794" s="9"/>
      <c r="D1794" s="9"/>
      <c r="E1794" s="13"/>
      <c r="F1794" s="13"/>
      <c r="M1794" s="9"/>
      <c r="N1794" s="9"/>
      <c r="O1794" s="9"/>
    </row>
    <row r="1795">
      <c r="A1795" s="9"/>
      <c r="D1795" s="9"/>
      <c r="E1795" s="13"/>
      <c r="F1795" s="13"/>
      <c r="M1795" s="9"/>
      <c r="N1795" s="9"/>
      <c r="O1795" s="9"/>
    </row>
    <row r="1796">
      <c r="A1796" s="9"/>
      <c r="D1796" s="9"/>
      <c r="E1796" s="13"/>
      <c r="F1796" s="13"/>
      <c r="M1796" s="9"/>
      <c r="N1796" s="9"/>
      <c r="O1796" s="9"/>
    </row>
    <row r="1797">
      <c r="A1797" s="9"/>
      <c r="D1797" s="9"/>
      <c r="E1797" s="13"/>
      <c r="F1797" s="13"/>
      <c r="M1797" s="9"/>
      <c r="N1797" s="9"/>
      <c r="O1797" s="9"/>
    </row>
    <row r="1798">
      <c r="A1798" s="9"/>
      <c r="D1798" s="9"/>
      <c r="E1798" s="13"/>
      <c r="F1798" s="13"/>
      <c r="M1798" s="9"/>
      <c r="N1798" s="9"/>
      <c r="O1798" s="9"/>
    </row>
    <row r="1799">
      <c r="A1799" s="9"/>
      <c r="D1799" s="9"/>
      <c r="E1799" s="13"/>
      <c r="F1799" s="13"/>
      <c r="M1799" s="9"/>
      <c r="N1799" s="9"/>
      <c r="O1799" s="9"/>
    </row>
    <row r="1800">
      <c r="A1800" s="9"/>
      <c r="D1800" s="9"/>
      <c r="E1800" s="13"/>
      <c r="F1800" s="13"/>
      <c r="M1800" s="9"/>
      <c r="N1800" s="9"/>
      <c r="O1800" s="9"/>
    </row>
    <row r="1801">
      <c r="A1801" s="9"/>
      <c r="D1801" s="9"/>
      <c r="E1801" s="13"/>
      <c r="F1801" s="13"/>
      <c r="M1801" s="9"/>
      <c r="N1801" s="9"/>
      <c r="O1801" s="9"/>
    </row>
    <row r="1802">
      <c r="A1802" s="9"/>
      <c r="D1802" s="9"/>
      <c r="E1802" s="13"/>
      <c r="F1802" s="13"/>
      <c r="M1802" s="9"/>
      <c r="N1802" s="9"/>
      <c r="O1802" s="9"/>
    </row>
    <row r="1803">
      <c r="A1803" s="9"/>
      <c r="D1803" s="9"/>
      <c r="E1803" s="13"/>
      <c r="F1803" s="13"/>
      <c r="M1803" s="9"/>
      <c r="N1803" s="9"/>
      <c r="O1803" s="9"/>
    </row>
    <row r="1804">
      <c r="A1804" s="9"/>
      <c r="D1804" s="9"/>
      <c r="E1804" s="13"/>
      <c r="F1804" s="13"/>
      <c r="M1804" s="9"/>
      <c r="N1804" s="9"/>
      <c r="O1804" s="9"/>
    </row>
    <row r="1805">
      <c r="A1805" s="9"/>
      <c r="D1805" s="9"/>
      <c r="E1805" s="13"/>
      <c r="F1805" s="13"/>
      <c r="M1805" s="9"/>
      <c r="N1805" s="9"/>
      <c r="O1805" s="9"/>
    </row>
    <row r="1806">
      <c r="A1806" s="9"/>
      <c r="D1806" s="9"/>
      <c r="E1806" s="13"/>
      <c r="F1806" s="13"/>
      <c r="M1806" s="9"/>
      <c r="N1806" s="9"/>
      <c r="O1806" s="9"/>
    </row>
    <row r="1807">
      <c r="A1807" s="9"/>
      <c r="D1807" s="9"/>
      <c r="E1807" s="13"/>
      <c r="F1807" s="13"/>
      <c r="M1807" s="9"/>
      <c r="N1807" s="9"/>
      <c r="O1807" s="9"/>
    </row>
    <row r="1808">
      <c r="A1808" s="9"/>
      <c r="D1808" s="9"/>
      <c r="E1808" s="13"/>
      <c r="F1808" s="13"/>
      <c r="M1808" s="9"/>
      <c r="N1808" s="9"/>
      <c r="O1808" s="9"/>
    </row>
    <row r="1809">
      <c r="A1809" s="9"/>
      <c r="D1809" s="9"/>
      <c r="E1809" s="13"/>
      <c r="F1809" s="13"/>
      <c r="M1809" s="9"/>
      <c r="N1809" s="9"/>
      <c r="O1809" s="9"/>
    </row>
    <row r="1810">
      <c r="A1810" s="9"/>
      <c r="D1810" s="9"/>
      <c r="E1810" s="13"/>
      <c r="F1810" s="13"/>
      <c r="M1810" s="9"/>
      <c r="N1810" s="9"/>
      <c r="O1810" s="9"/>
    </row>
    <row r="1811">
      <c r="A1811" s="9"/>
      <c r="D1811" s="9"/>
      <c r="E1811" s="13"/>
      <c r="F1811" s="13"/>
      <c r="M1811" s="9"/>
      <c r="N1811" s="9"/>
      <c r="O1811" s="9"/>
    </row>
    <row r="1812">
      <c r="A1812" s="9"/>
      <c r="D1812" s="9"/>
      <c r="E1812" s="13"/>
      <c r="F1812" s="13"/>
      <c r="M1812" s="9"/>
      <c r="N1812" s="9"/>
      <c r="O1812" s="9"/>
    </row>
    <row r="1813">
      <c r="A1813" s="9"/>
      <c r="D1813" s="9"/>
      <c r="E1813" s="13"/>
      <c r="F1813" s="13"/>
      <c r="M1813" s="9"/>
      <c r="N1813" s="9"/>
      <c r="O1813" s="9"/>
    </row>
    <row r="1814">
      <c r="A1814" s="9"/>
      <c r="D1814" s="9"/>
      <c r="E1814" s="13"/>
      <c r="F1814" s="13"/>
      <c r="M1814" s="9"/>
      <c r="N1814" s="9"/>
      <c r="O1814" s="9"/>
    </row>
    <row r="1815">
      <c r="A1815" s="9"/>
      <c r="D1815" s="9"/>
      <c r="E1815" s="13"/>
      <c r="F1815" s="13"/>
      <c r="M1815" s="9"/>
      <c r="N1815" s="9"/>
      <c r="O1815" s="9"/>
    </row>
    <row r="1816">
      <c r="A1816" s="9"/>
      <c r="D1816" s="9"/>
      <c r="E1816" s="13"/>
      <c r="F1816" s="13"/>
      <c r="M1816" s="9"/>
      <c r="N1816" s="9"/>
      <c r="O1816" s="9"/>
    </row>
    <row r="1817">
      <c r="A1817" s="9"/>
      <c r="D1817" s="9"/>
      <c r="E1817" s="13"/>
      <c r="F1817" s="13"/>
      <c r="M1817" s="9"/>
      <c r="N1817" s="9"/>
      <c r="O1817" s="9"/>
    </row>
    <row r="1818">
      <c r="A1818" s="9"/>
      <c r="D1818" s="9"/>
      <c r="E1818" s="13"/>
      <c r="F1818" s="13"/>
      <c r="M1818" s="9"/>
      <c r="N1818" s="9"/>
      <c r="O1818" s="9"/>
    </row>
    <row r="1819">
      <c r="A1819" s="9"/>
      <c r="D1819" s="9"/>
      <c r="E1819" s="13"/>
      <c r="F1819" s="13"/>
      <c r="M1819" s="9"/>
      <c r="N1819" s="9"/>
      <c r="O1819" s="9"/>
    </row>
    <row r="1820">
      <c r="A1820" s="9"/>
      <c r="D1820" s="9"/>
      <c r="E1820" s="13"/>
      <c r="F1820" s="13"/>
      <c r="M1820" s="9"/>
      <c r="N1820" s="9"/>
      <c r="O1820" s="9"/>
    </row>
    <row r="1821">
      <c r="A1821" s="9"/>
      <c r="D1821" s="9"/>
      <c r="E1821" s="13"/>
      <c r="F1821" s="13"/>
      <c r="M1821" s="9"/>
      <c r="N1821" s="9"/>
      <c r="O1821" s="9"/>
    </row>
    <row r="1822">
      <c r="A1822" s="9"/>
      <c r="D1822" s="9"/>
      <c r="E1822" s="13"/>
      <c r="F1822" s="13"/>
      <c r="M1822" s="9"/>
      <c r="N1822" s="9"/>
      <c r="O1822" s="9"/>
    </row>
    <row r="1823">
      <c r="A1823" s="9"/>
      <c r="D1823" s="9"/>
      <c r="E1823" s="13"/>
      <c r="F1823" s="13"/>
      <c r="M1823" s="9"/>
      <c r="N1823" s="9"/>
      <c r="O1823" s="9"/>
    </row>
    <row r="1824">
      <c r="A1824" s="9"/>
      <c r="D1824" s="9"/>
      <c r="E1824" s="13"/>
      <c r="F1824" s="13"/>
      <c r="M1824" s="9"/>
      <c r="N1824" s="9"/>
      <c r="O1824" s="9"/>
    </row>
    <row r="1825">
      <c r="A1825" s="9"/>
      <c r="D1825" s="9"/>
      <c r="E1825" s="13"/>
      <c r="F1825" s="13"/>
      <c r="M1825" s="9"/>
      <c r="N1825" s="9"/>
      <c r="O1825" s="9"/>
    </row>
    <row r="1826">
      <c r="A1826" s="9"/>
      <c r="D1826" s="9"/>
      <c r="E1826" s="13"/>
      <c r="F1826" s="13"/>
      <c r="M1826" s="9"/>
      <c r="N1826" s="9"/>
      <c r="O1826" s="9"/>
    </row>
    <row r="1827">
      <c r="A1827" s="9"/>
      <c r="D1827" s="9"/>
      <c r="E1827" s="13"/>
      <c r="F1827" s="13"/>
      <c r="M1827" s="9"/>
      <c r="N1827" s="9"/>
      <c r="O1827" s="9"/>
    </row>
    <row r="1828">
      <c r="A1828" s="9"/>
      <c r="D1828" s="9"/>
      <c r="E1828" s="13"/>
      <c r="F1828" s="13"/>
      <c r="M1828" s="9"/>
      <c r="N1828" s="9"/>
      <c r="O1828" s="9"/>
    </row>
    <row r="1829">
      <c r="A1829" s="9"/>
      <c r="D1829" s="9"/>
      <c r="E1829" s="13"/>
      <c r="F1829" s="13"/>
      <c r="M1829" s="9"/>
      <c r="N1829" s="9"/>
      <c r="O1829" s="9"/>
    </row>
    <row r="1830">
      <c r="A1830" s="9"/>
      <c r="D1830" s="9"/>
      <c r="E1830" s="13"/>
      <c r="F1830" s="13"/>
      <c r="M1830" s="9"/>
      <c r="N1830" s="9"/>
      <c r="O1830" s="9"/>
    </row>
    <row r="1831">
      <c r="A1831" s="9"/>
      <c r="D1831" s="9"/>
      <c r="E1831" s="13"/>
      <c r="F1831" s="13"/>
      <c r="M1831" s="9"/>
      <c r="N1831" s="9"/>
      <c r="O1831" s="9"/>
    </row>
    <row r="1832">
      <c r="A1832" s="9"/>
      <c r="D1832" s="9"/>
      <c r="E1832" s="13"/>
      <c r="F1832" s="13"/>
      <c r="M1832" s="9"/>
      <c r="N1832" s="9"/>
      <c r="O1832" s="9"/>
    </row>
    <row r="1833">
      <c r="A1833" s="9"/>
      <c r="D1833" s="9"/>
      <c r="E1833" s="13"/>
      <c r="F1833" s="13"/>
      <c r="M1833" s="9"/>
      <c r="N1833" s="9"/>
      <c r="O1833" s="9"/>
    </row>
    <row r="1834">
      <c r="A1834" s="9"/>
      <c r="D1834" s="9"/>
      <c r="E1834" s="13"/>
      <c r="F1834" s="13"/>
      <c r="M1834" s="9"/>
      <c r="N1834" s="9"/>
      <c r="O1834" s="9"/>
    </row>
    <row r="1835">
      <c r="A1835" s="9"/>
      <c r="D1835" s="9"/>
      <c r="E1835" s="13"/>
      <c r="F1835" s="13"/>
      <c r="M1835" s="9"/>
      <c r="N1835" s="9"/>
      <c r="O1835" s="9"/>
    </row>
    <row r="1836">
      <c r="A1836" s="9"/>
      <c r="D1836" s="9"/>
      <c r="E1836" s="13"/>
      <c r="F1836" s="13"/>
      <c r="M1836" s="9"/>
      <c r="N1836" s="9"/>
      <c r="O1836" s="9"/>
    </row>
    <row r="1837">
      <c r="A1837" s="9"/>
      <c r="D1837" s="9"/>
      <c r="E1837" s="13"/>
      <c r="F1837" s="13"/>
      <c r="M1837" s="9"/>
      <c r="N1837" s="9"/>
      <c r="O1837" s="9"/>
    </row>
    <row r="1838">
      <c r="A1838" s="9"/>
      <c r="D1838" s="9"/>
      <c r="E1838" s="13"/>
      <c r="F1838" s="13"/>
      <c r="M1838" s="9"/>
      <c r="N1838" s="9"/>
      <c r="O1838" s="9"/>
    </row>
    <row r="1839">
      <c r="A1839" s="9"/>
      <c r="D1839" s="9"/>
      <c r="E1839" s="13"/>
      <c r="F1839" s="13"/>
      <c r="M1839" s="9"/>
      <c r="N1839" s="9"/>
      <c r="O1839" s="9"/>
    </row>
    <row r="1840">
      <c r="A1840" s="9"/>
      <c r="D1840" s="9"/>
      <c r="E1840" s="13"/>
      <c r="F1840" s="13"/>
      <c r="M1840" s="9"/>
      <c r="N1840" s="9"/>
      <c r="O1840" s="9"/>
    </row>
    <row r="1841">
      <c r="A1841" s="9"/>
      <c r="D1841" s="9"/>
      <c r="E1841" s="13"/>
      <c r="F1841" s="13"/>
      <c r="M1841" s="9"/>
      <c r="N1841" s="9"/>
      <c r="O1841" s="9"/>
    </row>
    <row r="1842">
      <c r="A1842" s="9"/>
      <c r="D1842" s="9"/>
      <c r="E1842" s="13"/>
      <c r="F1842" s="13"/>
      <c r="M1842" s="9"/>
      <c r="N1842" s="9"/>
      <c r="O1842" s="9"/>
    </row>
    <row r="1843">
      <c r="A1843" s="9"/>
      <c r="D1843" s="9"/>
      <c r="E1843" s="13"/>
      <c r="F1843" s="13"/>
      <c r="M1843" s="9"/>
      <c r="N1843" s="9"/>
      <c r="O1843" s="9"/>
    </row>
    <row r="1844">
      <c r="A1844" s="9"/>
      <c r="D1844" s="9"/>
      <c r="E1844" s="13"/>
      <c r="F1844" s="13"/>
      <c r="M1844" s="9"/>
      <c r="N1844" s="9"/>
      <c r="O1844" s="9"/>
    </row>
    <row r="1845">
      <c r="A1845" s="9"/>
      <c r="D1845" s="9"/>
      <c r="E1845" s="13"/>
      <c r="F1845" s="13"/>
      <c r="M1845" s="9"/>
      <c r="N1845" s="9"/>
      <c r="O1845" s="9"/>
    </row>
    <row r="1846">
      <c r="A1846" s="9"/>
      <c r="D1846" s="9"/>
      <c r="E1846" s="13"/>
      <c r="F1846" s="13"/>
      <c r="M1846" s="9"/>
      <c r="N1846" s="9"/>
      <c r="O1846" s="9"/>
    </row>
    <row r="1847">
      <c r="A1847" s="9"/>
      <c r="D1847" s="9"/>
      <c r="E1847" s="13"/>
      <c r="F1847" s="13"/>
      <c r="M1847" s="9"/>
      <c r="N1847" s="9"/>
      <c r="O1847" s="9"/>
    </row>
    <row r="1848">
      <c r="A1848" s="9"/>
      <c r="D1848" s="9"/>
      <c r="E1848" s="13"/>
      <c r="F1848" s="13"/>
      <c r="M1848" s="9"/>
      <c r="N1848" s="9"/>
      <c r="O1848" s="9"/>
    </row>
    <row r="1849">
      <c r="A1849" s="9"/>
      <c r="D1849" s="9"/>
      <c r="E1849" s="13"/>
      <c r="F1849" s="13"/>
      <c r="M1849" s="9"/>
      <c r="N1849" s="9"/>
      <c r="O1849" s="9"/>
    </row>
    <row r="1850">
      <c r="A1850" s="9"/>
      <c r="D1850" s="9"/>
      <c r="E1850" s="13"/>
      <c r="F1850" s="13"/>
      <c r="M1850" s="9"/>
      <c r="N1850" s="9"/>
      <c r="O1850" s="9"/>
    </row>
    <row r="1851">
      <c r="A1851" s="9"/>
      <c r="D1851" s="9"/>
      <c r="E1851" s="13"/>
      <c r="F1851" s="13"/>
      <c r="M1851" s="9"/>
      <c r="N1851" s="9"/>
      <c r="O1851" s="9"/>
    </row>
    <row r="1852">
      <c r="A1852" s="9"/>
      <c r="D1852" s="9"/>
      <c r="E1852" s="13"/>
      <c r="F1852" s="13"/>
      <c r="M1852" s="9"/>
      <c r="N1852" s="9"/>
      <c r="O1852" s="9"/>
    </row>
    <row r="1853">
      <c r="A1853" s="9"/>
      <c r="D1853" s="9"/>
      <c r="E1853" s="13"/>
      <c r="F1853" s="13"/>
      <c r="M1853" s="9"/>
      <c r="N1853" s="9"/>
      <c r="O1853" s="9"/>
    </row>
    <row r="1854">
      <c r="A1854" s="9"/>
      <c r="D1854" s="9"/>
      <c r="E1854" s="13"/>
      <c r="F1854" s="13"/>
      <c r="M1854" s="9"/>
      <c r="N1854" s="9"/>
      <c r="O1854" s="9"/>
    </row>
    <row r="1855">
      <c r="A1855" s="9"/>
      <c r="D1855" s="9"/>
      <c r="E1855" s="13"/>
      <c r="F1855" s="13"/>
      <c r="M1855" s="9"/>
      <c r="N1855" s="9"/>
      <c r="O1855" s="9"/>
    </row>
    <row r="1856">
      <c r="A1856" s="9"/>
      <c r="D1856" s="9"/>
      <c r="E1856" s="13"/>
      <c r="F1856" s="13"/>
      <c r="M1856" s="9"/>
      <c r="N1856" s="9"/>
      <c r="O1856" s="9"/>
    </row>
    <row r="1857">
      <c r="A1857" s="9"/>
      <c r="D1857" s="9"/>
      <c r="E1857" s="13"/>
      <c r="F1857" s="13"/>
      <c r="M1857" s="9"/>
      <c r="N1857" s="9"/>
      <c r="O1857" s="9"/>
    </row>
    <row r="1858">
      <c r="A1858" s="9"/>
      <c r="D1858" s="9"/>
      <c r="E1858" s="13"/>
      <c r="F1858" s="13"/>
      <c r="M1858" s="9"/>
      <c r="N1858" s="9"/>
      <c r="O1858" s="9"/>
    </row>
    <row r="1859">
      <c r="A1859" s="9"/>
      <c r="D1859" s="9"/>
      <c r="E1859" s="13"/>
      <c r="F1859" s="13"/>
      <c r="M1859" s="9"/>
      <c r="N1859" s="9"/>
      <c r="O1859" s="9"/>
    </row>
    <row r="1860">
      <c r="A1860" s="9"/>
      <c r="D1860" s="9"/>
      <c r="E1860" s="13"/>
      <c r="F1860" s="13"/>
      <c r="M1860" s="9"/>
      <c r="N1860" s="9"/>
      <c r="O1860" s="9"/>
    </row>
    <row r="1861">
      <c r="A1861" s="9"/>
      <c r="D1861" s="9"/>
      <c r="E1861" s="13"/>
      <c r="F1861" s="13"/>
      <c r="M1861" s="9"/>
      <c r="N1861" s="9"/>
      <c r="O1861" s="9"/>
    </row>
    <row r="1862">
      <c r="A1862" s="9"/>
      <c r="D1862" s="9"/>
      <c r="E1862" s="13"/>
      <c r="F1862" s="13"/>
      <c r="M1862" s="9"/>
      <c r="N1862" s="9"/>
      <c r="O1862" s="9"/>
    </row>
    <row r="1863">
      <c r="A1863" s="9"/>
      <c r="D1863" s="9"/>
      <c r="E1863" s="13"/>
      <c r="F1863" s="13"/>
      <c r="M1863" s="9"/>
      <c r="N1863" s="9"/>
      <c r="O1863" s="9"/>
    </row>
    <row r="1864">
      <c r="A1864" s="9"/>
      <c r="D1864" s="9"/>
      <c r="E1864" s="13"/>
      <c r="F1864" s="13"/>
      <c r="M1864" s="9"/>
      <c r="N1864" s="9"/>
      <c r="O1864" s="9"/>
    </row>
    <row r="1865">
      <c r="A1865" s="9"/>
      <c r="D1865" s="9"/>
      <c r="E1865" s="13"/>
      <c r="F1865" s="13"/>
      <c r="M1865" s="9"/>
      <c r="N1865" s="9"/>
      <c r="O1865" s="9"/>
    </row>
    <row r="1866">
      <c r="A1866" s="9"/>
      <c r="D1866" s="9"/>
      <c r="E1866" s="13"/>
      <c r="F1866" s="13"/>
      <c r="M1866" s="9"/>
      <c r="N1866" s="9"/>
      <c r="O1866" s="9"/>
    </row>
    <row r="1867">
      <c r="A1867" s="9"/>
      <c r="D1867" s="9"/>
      <c r="E1867" s="13"/>
      <c r="F1867" s="13"/>
      <c r="M1867" s="9"/>
      <c r="N1867" s="9"/>
      <c r="O1867" s="9"/>
    </row>
    <row r="1868">
      <c r="A1868" s="9"/>
      <c r="D1868" s="9"/>
      <c r="E1868" s="13"/>
      <c r="F1868" s="13"/>
      <c r="M1868" s="9"/>
      <c r="N1868" s="9"/>
      <c r="O1868" s="9"/>
    </row>
    <row r="1869">
      <c r="A1869" s="9"/>
      <c r="D1869" s="9"/>
      <c r="E1869" s="13"/>
      <c r="F1869" s="13"/>
      <c r="M1869" s="9"/>
      <c r="N1869" s="9"/>
      <c r="O1869" s="9"/>
    </row>
    <row r="1870">
      <c r="A1870" s="9"/>
      <c r="D1870" s="9"/>
      <c r="E1870" s="13"/>
      <c r="F1870" s="13"/>
      <c r="M1870" s="9"/>
      <c r="N1870" s="9"/>
      <c r="O1870" s="9"/>
    </row>
    <row r="1871">
      <c r="A1871" s="9"/>
      <c r="D1871" s="9"/>
      <c r="E1871" s="13"/>
      <c r="F1871" s="13"/>
      <c r="M1871" s="9"/>
      <c r="N1871" s="9"/>
      <c r="O1871" s="9"/>
    </row>
    <row r="1872">
      <c r="A1872" s="9"/>
      <c r="D1872" s="9"/>
      <c r="E1872" s="13"/>
      <c r="F1872" s="13"/>
      <c r="M1872" s="9"/>
      <c r="N1872" s="9"/>
      <c r="O1872" s="9"/>
    </row>
    <row r="1873">
      <c r="A1873" s="9"/>
      <c r="D1873" s="9"/>
      <c r="E1873" s="13"/>
      <c r="F1873" s="13"/>
      <c r="M1873" s="9"/>
      <c r="N1873" s="9"/>
      <c r="O1873" s="9"/>
    </row>
    <row r="1874">
      <c r="A1874" s="9"/>
      <c r="D1874" s="9"/>
      <c r="E1874" s="13"/>
      <c r="F1874" s="13"/>
      <c r="M1874" s="9"/>
      <c r="N1874" s="9"/>
      <c r="O1874" s="9"/>
    </row>
    <row r="1875">
      <c r="A1875" s="9"/>
      <c r="D1875" s="9"/>
      <c r="E1875" s="13"/>
      <c r="F1875" s="13"/>
      <c r="M1875" s="9"/>
      <c r="N1875" s="9"/>
      <c r="O1875" s="9"/>
    </row>
    <row r="1876">
      <c r="A1876" s="9"/>
      <c r="D1876" s="9"/>
      <c r="E1876" s="13"/>
      <c r="F1876" s="13"/>
      <c r="M1876" s="9"/>
      <c r="N1876" s="9"/>
      <c r="O1876" s="9"/>
    </row>
    <row r="1877">
      <c r="A1877" s="9"/>
      <c r="D1877" s="9"/>
      <c r="E1877" s="13"/>
      <c r="F1877" s="13"/>
      <c r="M1877" s="9"/>
      <c r="N1877" s="9"/>
      <c r="O1877" s="9"/>
    </row>
    <row r="1878">
      <c r="A1878" s="9"/>
      <c r="D1878" s="9"/>
      <c r="E1878" s="13"/>
      <c r="F1878" s="13"/>
      <c r="M1878" s="9"/>
      <c r="N1878" s="9"/>
      <c r="O1878" s="9"/>
    </row>
    <row r="1879">
      <c r="A1879" s="9"/>
      <c r="D1879" s="9"/>
      <c r="E1879" s="13"/>
      <c r="F1879" s="13"/>
      <c r="M1879" s="9"/>
      <c r="N1879" s="9"/>
      <c r="O1879" s="9"/>
    </row>
    <row r="1880">
      <c r="A1880" s="9"/>
      <c r="D1880" s="9"/>
      <c r="E1880" s="13"/>
      <c r="F1880" s="13"/>
      <c r="M1880" s="9"/>
      <c r="N1880" s="9"/>
      <c r="O1880" s="9"/>
    </row>
    <row r="1881">
      <c r="A1881" s="9"/>
      <c r="D1881" s="9"/>
      <c r="E1881" s="13"/>
      <c r="F1881" s="13"/>
      <c r="M1881" s="9"/>
      <c r="N1881" s="9"/>
      <c r="O1881" s="9"/>
    </row>
    <row r="1882">
      <c r="A1882" s="9"/>
      <c r="D1882" s="9"/>
      <c r="E1882" s="13"/>
      <c r="F1882" s="13"/>
      <c r="M1882" s="9"/>
      <c r="N1882" s="9"/>
      <c r="O1882" s="9"/>
    </row>
    <row r="1883">
      <c r="A1883" s="9"/>
      <c r="D1883" s="9"/>
      <c r="E1883" s="13"/>
      <c r="F1883" s="13"/>
      <c r="M1883" s="9"/>
      <c r="N1883" s="9"/>
      <c r="O1883" s="9"/>
    </row>
    <row r="1884">
      <c r="A1884" s="9"/>
      <c r="D1884" s="9"/>
      <c r="E1884" s="13"/>
      <c r="F1884" s="13"/>
      <c r="M1884" s="9"/>
      <c r="N1884" s="9"/>
      <c r="O1884" s="9"/>
    </row>
    <row r="1885">
      <c r="A1885" s="9"/>
      <c r="D1885" s="9"/>
      <c r="E1885" s="13"/>
      <c r="F1885" s="13"/>
      <c r="M1885" s="9"/>
      <c r="N1885" s="9"/>
      <c r="O1885" s="9"/>
    </row>
    <row r="1886">
      <c r="A1886" s="9"/>
      <c r="D1886" s="9"/>
      <c r="E1886" s="13"/>
      <c r="F1886" s="13"/>
      <c r="M1886" s="9"/>
      <c r="N1886" s="9"/>
      <c r="O1886" s="9"/>
    </row>
    <row r="1887">
      <c r="A1887" s="9"/>
      <c r="D1887" s="9"/>
      <c r="E1887" s="13"/>
      <c r="F1887" s="13"/>
      <c r="M1887" s="9"/>
      <c r="N1887" s="9"/>
      <c r="O1887" s="9"/>
    </row>
    <row r="1888">
      <c r="A1888" s="9"/>
      <c r="D1888" s="9"/>
      <c r="E1888" s="13"/>
      <c r="F1888" s="13"/>
      <c r="M1888" s="9"/>
      <c r="N1888" s="9"/>
      <c r="O1888" s="9"/>
    </row>
    <row r="1889">
      <c r="A1889" s="9"/>
      <c r="D1889" s="9"/>
      <c r="E1889" s="13"/>
      <c r="F1889" s="13"/>
      <c r="M1889" s="9"/>
      <c r="N1889" s="9"/>
      <c r="O1889" s="9"/>
    </row>
    <row r="1890">
      <c r="A1890" s="9"/>
      <c r="D1890" s="9"/>
      <c r="E1890" s="13"/>
      <c r="F1890" s="13"/>
      <c r="M1890" s="9"/>
      <c r="N1890" s="9"/>
      <c r="O1890" s="9"/>
    </row>
    <row r="1891">
      <c r="A1891" s="9"/>
      <c r="D1891" s="9"/>
      <c r="E1891" s="13"/>
      <c r="F1891" s="13"/>
      <c r="M1891" s="9"/>
      <c r="N1891" s="9"/>
      <c r="O1891" s="9"/>
    </row>
    <row r="1892">
      <c r="A1892" s="9"/>
      <c r="D1892" s="9"/>
      <c r="E1892" s="13"/>
      <c r="F1892" s="13"/>
      <c r="M1892" s="9"/>
      <c r="N1892" s="9"/>
      <c r="O1892" s="9"/>
    </row>
    <row r="1893">
      <c r="A1893" s="9"/>
      <c r="D1893" s="9"/>
      <c r="E1893" s="13"/>
      <c r="F1893" s="13"/>
      <c r="M1893" s="9"/>
      <c r="N1893" s="9"/>
      <c r="O1893" s="9"/>
    </row>
    <row r="1894">
      <c r="A1894" s="9"/>
      <c r="D1894" s="9"/>
      <c r="E1894" s="13"/>
      <c r="F1894" s="13"/>
      <c r="M1894" s="9"/>
      <c r="N1894" s="9"/>
      <c r="O1894" s="9"/>
    </row>
    <row r="1895">
      <c r="A1895" s="9"/>
      <c r="D1895" s="9"/>
      <c r="E1895" s="13"/>
      <c r="F1895" s="13"/>
      <c r="M1895" s="9"/>
      <c r="N1895" s="9"/>
      <c r="O1895" s="9"/>
    </row>
    <row r="1896">
      <c r="A1896" s="9"/>
      <c r="D1896" s="9"/>
      <c r="E1896" s="13"/>
      <c r="F1896" s="13"/>
      <c r="M1896" s="9"/>
      <c r="N1896" s="9"/>
      <c r="O1896" s="9"/>
    </row>
    <row r="1897">
      <c r="A1897" s="9"/>
      <c r="D1897" s="9"/>
      <c r="E1897" s="13"/>
      <c r="F1897" s="13"/>
      <c r="M1897" s="9"/>
      <c r="N1897" s="9"/>
      <c r="O1897" s="9"/>
    </row>
    <row r="1898">
      <c r="A1898" s="9"/>
      <c r="D1898" s="9"/>
      <c r="E1898" s="13"/>
      <c r="F1898" s="13"/>
      <c r="M1898" s="9"/>
      <c r="N1898" s="9"/>
      <c r="O1898" s="9"/>
    </row>
    <row r="1899">
      <c r="A1899" s="9"/>
      <c r="D1899" s="9"/>
      <c r="E1899" s="13"/>
      <c r="F1899" s="13"/>
      <c r="M1899" s="9"/>
      <c r="N1899" s="9"/>
      <c r="O1899" s="9"/>
    </row>
    <row r="1900">
      <c r="A1900" s="9"/>
      <c r="D1900" s="9"/>
      <c r="E1900" s="13"/>
      <c r="F1900" s="13"/>
      <c r="M1900" s="9"/>
      <c r="N1900" s="9"/>
      <c r="O1900" s="9"/>
    </row>
    <row r="1901">
      <c r="A1901" s="9"/>
      <c r="D1901" s="9"/>
      <c r="E1901" s="13"/>
      <c r="F1901" s="13"/>
      <c r="M1901" s="9"/>
      <c r="N1901" s="9"/>
      <c r="O1901" s="9"/>
    </row>
    <row r="1902">
      <c r="A1902" s="9"/>
      <c r="D1902" s="9"/>
      <c r="E1902" s="13"/>
      <c r="F1902" s="13"/>
      <c r="M1902" s="9"/>
      <c r="N1902" s="9"/>
      <c r="O1902" s="9"/>
    </row>
    <row r="1903">
      <c r="A1903" s="9"/>
      <c r="D1903" s="9"/>
      <c r="E1903" s="13"/>
      <c r="F1903" s="13"/>
      <c r="M1903" s="9"/>
      <c r="N1903" s="9"/>
      <c r="O1903" s="9"/>
    </row>
    <row r="1904">
      <c r="A1904" s="9"/>
      <c r="D1904" s="9"/>
      <c r="E1904" s="13"/>
      <c r="F1904" s="13"/>
      <c r="M1904" s="9"/>
      <c r="N1904" s="9"/>
      <c r="O1904" s="9"/>
    </row>
    <row r="1905">
      <c r="A1905" s="9"/>
      <c r="D1905" s="9"/>
      <c r="E1905" s="13"/>
      <c r="F1905" s="13"/>
      <c r="M1905" s="9"/>
      <c r="N1905" s="9"/>
      <c r="O1905" s="9"/>
    </row>
    <row r="1906">
      <c r="A1906" s="9"/>
      <c r="D1906" s="9"/>
      <c r="E1906" s="13"/>
      <c r="F1906" s="13"/>
      <c r="M1906" s="9"/>
      <c r="N1906" s="9"/>
      <c r="O1906" s="9"/>
    </row>
    <row r="1907">
      <c r="A1907" s="9"/>
      <c r="D1907" s="9"/>
      <c r="E1907" s="13"/>
      <c r="F1907" s="13"/>
      <c r="M1907" s="9"/>
      <c r="N1907" s="9"/>
      <c r="O1907" s="9"/>
    </row>
    <row r="1908">
      <c r="A1908" s="9"/>
      <c r="D1908" s="9"/>
      <c r="E1908" s="13"/>
      <c r="F1908" s="13"/>
      <c r="M1908" s="9"/>
      <c r="N1908" s="9"/>
      <c r="O1908" s="9"/>
    </row>
    <row r="1909">
      <c r="A1909" s="9"/>
      <c r="D1909" s="9"/>
      <c r="E1909" s="13"/>
      <c r="F1909" s="13"/>
      <c r="M1909" s="9"/>
      <c r="N1909" s="9"/>
      <c r="O1909" s="9"/>
    </row>
    <row r="1910">
      <c r="A1910" s="9"/>
      <c r="D1910" s="9"/>
      <c r="E1910" s="13"/>
      <c r="F1910" s="13"/>
      <c r="M1910" s="9"/>
      <c r="N1910" s="9"/>
      <c r="O1910" s="9"/>
    </row>
    <row r="1911">
      <c r="A1911" s="9"/>
      <c r="D1911" s="9"/>
      <c r="E1911" s="13"/>
      <c r="F1911" s="13"/>
      <c r="M1911" s="9"/>
      <c r="N1911" s="9"/>
      <c r="O1911" s="9"/>
    </row>
    <row r="1912">
      <c r="A1912" s="9"/>
      <c r="D1912" s="9"/>
      <c r="E1912" s="13"/>
      <c r="F1912" s="13"/>
      <c r="M1912" s="9"/>
      <c r="N1912" s="9"/>
      <c r="O1912" s="9"/>
    </row>
    <row r="1913">
      <c r="A1913" s="9"/>
      <c r="D1913" s="9"/>
      <c r="E1913" s="13"/>
      <c r="F1913" s="13"/>
      <c r="M1913" s="9"/>
      <c r="N1913" s="9"/>
      <c r="O1913" s="9"/>
    </row>
    <row r="1914">
      <c r="A1914" s="9"/>
      <c r="D1914" s="9"/>
      <c r="E1914" s="13"/>
      <c r="F1914" s="13"/>
      <c r="M1914" s="9"/>
      <c r="N1914" s="9"/>
      <c r="O1914" s="9"/>
    </row>
    <row r="1915">
      <c r="A1915" s="9"/>
      <c r="D1915" s="9"/>
      <c r="E1915" s="13"/>
      <c r="F1915" s="13"/>
      <c r="M1915" s="9"/>
      <c r="N1915" s="9"/>
      <c r="O1915" s="9"/>
    </row>
    <row r="1916">
      <c r="A1916" s="9"/>
      <c r="D1916" s="9"/>
      <c r="E1916" s="13"/>
      <c r="F1916" s="13"/>
      <c r="M1916" s="9"/>
      <c r="N1916" s="9"/>
      <c r="O1916" s="9"/>
    </row>
    <row r="1917">
      <c r="A1917" s="9"/>
      <c r="D1917" s="9"/>
      <c r="E1917" s="13"/>
      <c r="F1917" s="13"/>
      <c r="M1917" s="9"/>
      <c r="N1917" s="9"/>
      <c r="O1917" s="9"/>
    </row>
    <row r="1918">
      <c r="A1918" s="9"/>
      <c r="D1918" s="9"/>
      <c r="E1918" s="13"/>
      <c r="F1918" s="13"/>
      <c r="M1918" s="9"/>
      <c r="N1918" s="9"/>
      <c r="O1918" s="9"/>
    </row>
    <row r="1919">
      <c r="A1919" s="9"/>
      <c r="D1919" s="9"/>
      <c r="E1919" s="13"/>
      <c r="F1919" s="13"/>
      <c r="M1919" s="9"/>
      <c r="N1919" s="9"/>
      <c r="O1919" s="9"/>
    </row>
    <row r="1920">
      <c r="A1920" s="9"/>
      <c r="D1920" s="9"/>
      <c r="E1920" s="13"/>
      <c r="F1920" s="13"/>
      <c r="M1920" s="9"/>
      <c r="N1920" s="9"/>
      <c r="O1920" s="9"/>
    </row>
    <row r="1921">
      <c r="A1921" s="9"/>
      <c r="D1921" s="9"/>
      <c r="E1921" s="13"/>
      <c r="F1921" s="13"/>
      <c r="M1921" s="9"/>
      <c r="N1921" s="9"/>
      <c r="O1921" s="9"/>
    </row>
    <row r="1922">
      <c r="A1922" s="9"/>
      <c r="D1922" s="9"/>
      <c r="E1922" s="13"/>
      <c r="F1922" s="13"/>
      <c r="M1922" s="9"/>
      <c r="N1922" s="9"/>
      <c r="O1922" s="9"/>
    </row>
    <row r="1923">
      <c r="A1923" s="9"/>
      <c r="D1923" s="9"/>
      <c r="E1923" s="13"/>
      <c r="F1923" s="13"/>
      <c r="M1923" s="9"/>
      <c r="N1923" s="9"/>
      <c r="O1923" s="9"/>
    </row>
    <row r="1924">
      <c r="A1924" s="9"/>
      <c r="D1924" s="9"/>
      <c r="E1924" s="13"/>
      <c r="F1924" s="13"/>
      <c r="M1924" s="9"/>
      <c r="N1924" s="9"/>
      <c r="O1924" s="9"/>
    </row>
    <row r="1925">
      <c r="A1925" s="9"/>
      <c r="D1925" s="9"/>
      <c r="E1925" s="13"/>
      <c r="F1925" s="13"/>
      <c r="M1925" s="9"/>
      <c r="N1925" s="9"/>
      <c r="O1925" s="9"/>
    </row>
    <row r="1926">
      <c r="A1926" s="9"/>
      <c r="D1926" s="9"/>
      <c r="E1926" s="13"/>
      <c r="F1926" s="13"/>
      <c r="M1926" s="9"/>
      <c r="N1926" s="9"/>
      <c r="O1926" s="9"/>
    </row>
    <row r="1927">
      <c r="A1927" s="9"/>
      <c r="D1927" s="9"/>
      <c r="E1927" s="13"/>
      <c r="F1927" s="13"/>
      <c r="M1927" s="9"/>
      <c r="N1927" s="9"/>
      <c r="O1927" s="9"/>
    </row>
    <row r="1928">
      <c r="A1928" s="9"/>
      <c r="D1928" s="9"/>
      <c r="E1928" s="13"/>
      <c r="F1928" s="13"/>
      <c r="M1928" s="9"/>
      <c r="N1928" s="9"/>
      <c r="O1928" s="9"/>
    </row>
    <row r="1929">
      <c r="A1929" s="9"/>
      <c r="D1929" s="9"/>
      <c r="E1929" s="13"/>
      <c r="F1929" s="13"/>
      <c r="M1929" s="9"/>
      <c r="N1929" s="9"/>
      <c r="O1929" s="9"/>
    </row>
    <row r="1930">
      <c r="A1930" s="9"/>
      <c r="D1930" s="9"/>
      <c r="E1930" s="13"/>
      <c r="F1930" s="13"/>
      <c r="M1930" s="9"/>
      <c r="N1930" s="9"/>
      <c r="O1930" s="9"/>
    </row>
    <row r="1931">
      <c r="A1931" s="9"/>
      <c r="D1931" s="9"/>
      <c r="E1931" s="13"/>
      <c r="F1931" s="13"/>
      <c r="M1931" s="9"/>
      <c r="N1931" s="9"/>
      <c r="O1931" s="9"/>
    </row>
    <row r="1932">
      <c r="A1932" s="9"/>
      <c r="D1932" s="9"/>
      <c r="E1932" s="13"/>
      <c r="F1932" s="13"/>
      <c r="M1932" s="9"/>
      <c r="N1932" s="9"/>
      <c r="O1932" s="9"/>
    </row>
    <row r="1933">
      <c r="A1933" s="9"/>
      <c r="D1933" s="9"/>
      <c r="E1933" s="13"/>
      <c r="F1933" s="13"/>
      <c r="M1933" s="9"/>
      <c r="N1933" s="9"/>
      <c r="O1933" s="9"/>
    </row>
    <row r="1934">
      <c r="A1934" s="9"/>
      <c r="D1934" s="9"/>
      <c r="E1934" s="13"/>
      <c r="F1934" s="13"/>
      <c r="M1934" s="9"/>
      <c r="N1934" s="9"/>
      <c r="O1934" s="9"/>
    </row>
    <row r="1935">
      <c r="A1935" s="9"/>
      <c r="D1935" s="9"/>
      <c r="E1935" s="13"/>
      <c r="F1935" s="13"/>
      <c r="M1935" s="9"/>
      <c r="N1935" s="9"/>
      <c r="O1935" s="9"/>
    </row>
    <row r="1936">
      <c r="A1936" s="9"/>
      <c r="D1936" s="9"/>
      <c r="E1936" s="13"/>
      <c r="F1936" s="13"/>
      <c r="M1936" s="9"/>
      <c r="N1936" s="9"/>
      <c r="O1936" s="9"/>
    </row>
    <row r="1937">
      <c r="A1937" s="9"/>
      <c r="D1937" s="9"/>
      <c r="E1937" s="13"/>
      <c r="F1937" s="13"/>
      <c r="M1937" s="9"/>
      <c r="N1937" s="9"/>
      <c r="O1937" s="9"/>
    </row>
    <row r="1938">
      <c r="A1938" s="9"/>
      <c r="D1938" s="9"/>
      <c r="E1938" s="13"/>
      <c r="F1938" s="13"/>
      <c r="M1938" s="9"/>
      <c r="N1938" s="9"/>
      <c r="O1938" s="9"/>
    </row>
    <row r="1939">
      <c r="A1939" s="9"/>
      <c r="D1939" s="9"/>
      <c r="E1939" s="13"/>
      <c r="F1939" s="13"/>
      <c r="M1939" s="9"/>
      <c r="N1939" s="9"/>
      <c r="O1939" s="9"/>
    </row>
    <row r="1940">
      <c r="A1940" s="9"/>
      <c r="D1940" s="9"/>
      <c r="E1940" s="13"/>
      <c r="F1940" s="13"/>
      <c r="M1940" s="9"/>
      <c r="N1940" s="9"/>
      <c r="O1940" s="9"/>
    </row>
    <row r="1941">
      <c r="A1941" s="9"/>
      <c r="D1941" s="9"/>
      <c r="E1941" s="13"/>
      <c r="F1941" s="13"/>
      <c r="M1941" s="9"/>
      <c r="N1941" s="9"/>
      <c r="O1941" s="9"/>
    </row>
    <row r="1942">
      <c r="A1942" s="9"/>
      <c r="D1942" s="9"/>
      <c r="E1942" s="13"/>
      <c r="F1942" s="13"/>
      <c r="M1942" s="9"/>
      <c r="N1942" s="9"/>
      <c r="O1942" s="9"/>
    </row>
    <row r="1943">
      <c r="A1943" s="9"/>
      <c r="D1943" s="9"/>
      <c r="E1943" s="13"/>
      <c r="F1943" s="13"/>
      <c r="M1943" s="9"/>
      <c r="N1943" s="9"/>
      <c r="O1943" s="9"/>
    </row>
    <row r="1944">
      <c r="A1944" s="9"/>
      <c r="D1944" s="9"/>
      <c r="E1944" s="13"/>
      <c r="F1944" s="13"/>
      <c r="M1944" s="9"/>
      <c r="N1944" s="9"/>
      <c r="O1944" s="9"/>
    </row>
    <row r="1945">
      <c r="A1945" s="9"/>
      <c r="D1945" s="9"/>
      <c r="E1945" s="13"/>
      <c r="F1945" s="13"/>
      <c r="M1945" s="9"/>
      <c r="N1945" s="9"/>
      <c r="O1945" s="9"/>
    </row>
    <row r="1946">
      <c r="A1946" s="9"/>
      <c r="D1946" s="9"/>
      <c r="E1946" s="13"/>
      <c r="F1946" s="13"/>
      <c r="M1946" s="9"/>
      <c r="N1946" s="9"/>
      <c r="O1946" s="9"/>
    </row>
    <row r="1947">
      <c r="A1947" s="9"/>
      <c r="D1947" s="9"/>
      <c r="E1947" s="13"/>
      <c r="F1947" s="13"/>
      <c r="M1947" s="9"/>
      <c r="N1947" s="9"/>
      <c r="O1947" s="9"/>
    </row>
    <row r="1948">
      <c r="A1948" s="9"/>
      <c r="D1948" s="9"/>
      <c r="E1948" s="13"/>
      <c r="F1948" s="13"/>
      <c r="M1948" s="9"/>
      <c r="N1948" s="9"/>
      <c r="O1948" s="9"/>
    </row>
    <row r="1949">
      <c r="A1949" s="9"/>
      <c r="D1949" s="9"/>
      <c r="E1949" s="13"/>
      <c r="F1949" s="13"/>
      <c r="M1949" s="9"/>
      <c r="N1949" s="9"/>
      <c r="O1949" s="9"/>
    </row>
    <row r="1950">
      <c r="A1950" s="9"/>
      <c r="D1950" s="9"/>
      <c r="E1950" s="13"/>
      <c r="F1950" s="13"/>
      <c r="M1950" s="9"/>
      <c r="N1950" s="9"/>
      <c r="O1950" s="9"/>
    </row>
    <row r="1951">
      <c r="A1951" s="9"/>
      <c r="D1951" s="9"/>
      <c r="E1951" s="13"/>
      <c r="F1951" s="13"/>
      <c r="M1951" s="9"/>
      <c r="N1951" s="9"/>
      <c r="O1951" s="9"/>
    </row>
    <row r="1952">
      <c r="A1952" s="9"/>
      <c r="D1952" s="9"/>
      <c r="E1952" s="13"/>
      <c r="F1952" s="13"/>
      <c r="M1952" s="9"/>
      <c r="N1952" s="9"/>
      <c r="O1952" s="9"/>
    </row>
    <row r="1953">
      <c r="A1953" s="9"/>
      <c r="D1953" s="9"/>
      <c r="E1953" s="13"/>
      <c r="F1953" s="13"/>
      <c r="M1953" s="9"/>
      <c r="N1953" s="9"/>
      <c r="O1953" s="9"/>
    </row>
    <row r="1954">
      <c r="A1954" s="9"/>
      <c r="D1954" s="9"/>
      <c r="E1954" s="13"/>
      <c r="F1954" s="13"/>
      <c r="M1954" s="9"/>
      <c r="N1954" s="9"/>
      <c r="O1954" s="9"/>
    </row>
    <row r="1955">
      <c r="A1955" s="9"/>
      <c r="D1955" s="9"/>
      <c r="E1955" s="13"/>
      <c r="F1955" s="13"/>
      <c r="M1955" s="9"/>
      <c r="N1955" s="9"/>
      <c r="O1955" s="9"/>
    </row>
    <row r="1956">
      <c r="A1956" s="9"/>
      <c r="D1956" s="9"/>
      <c r="E1956" s="13"/>
      <c r="F1956" s="13"/>
      <c r="M1956" s="9"/>
      <c r="N1956" s="9"/>
      <c r="O1956" s="9"/>
    </row>
    <row r="1957">
      <c r="A1957" s="9"/>
      <c r="D1957" s="9"/>
      <c r="E1957" s="13"/>
      <c r="F1957" s="13"/>
      <c r="M1957" s="9"/>
      <c r="N1957" s="9"/>
      <c r="O1957" s="9"/>
    </row>
    <row r="1958">
      <c r="A1958" s="9"/>
      <c r="D1958" s="9"/>
      <c r="E1958" s="13"/>
      <c r="F1958" s="13"/>
      <c r="M1958" s="9"/>
      <c r="N1958" s="9"/>
      <c r="O1958" s="9"/>
    </row>
    <row r="1959">
      <c r="A1959" s="9"/>
      <c r="D1959" s="9"/>
      <c r="E1959" s="13"/>
      <c r="F1959" s="13"/>
      <c r="M1959" s="9"/>
      <c r="N1959" s="9"/>
      <c r="O1959" s="9"/>
    </row>
    <row r="1960">
      <c r="A1960" s="9"/>
      <c r="D1960" s="9"/>
      <c r="E1960" s="13"/>
      <c r="F1960" s="13"/>
      <c r="M1960" s="9"/>
      <c r="N1960" s="9"/>
      <c r="O1960" s="9"/>
    </row>
    <row r="1961">
      <c r="A1961" s="9"/>
      <c r="D1961" s="9"/>
      <c r="E1961" s="13"/>
      <c r="F1961" s="13"/>
      <c r="M1961" s="9"/>
      <c r="N1961" s="9"/>
      <c r="O1961" s="9"/>
    </row>
    <row r="1962">
      <c r="A1962" s="9"/>
      <c r="D1962" s="9"/>
      <c r="E1962" s="13"/>
      <c r="F1962" s="13"/>
      <c r="M1962" s="9"/>
      <c r="N1962" s="9"/>
      <c r="O1962" s="9"/>
    </row>
    <row r="1963">
      <c r="A1963" s="9"/>
      <c r="D1963" s="9"/>
      <c r="E1963" s="13"/>
      <c r="F1963" s="13"/>
      <c r="M1963" s="9"/>
      <c r="N1963" s="9"/>
      <c r="O1963" s="9"/>
    </row>
    <row r="1964">
      <c r="A1964" s="9"/>
      <c r="D1964" s="9"/>
      <c r="E1964" s="13"/>
      <c r="F1964" s="13"/>
      <c r="M1964" s="9"/>
      <c r="N1964" s="9"/>
      <c r="O1964" s="9"/>
    </row>
    <row r="1965">
      <c r="A1965" s="9"/>
      <c r="D1965" s="9"/>
      <c r="E1965" s="13"/>
      <c r="F1965" s="13"/>
      <c r="M1965" s="9"/>
      <c r="N1965" s="9"/>
      <c r="O1965" s="9"/>
    </row>
    <row r="1966">
      <c r="A1966" s="9"/>
      <c r="D1966" s="9"/>
      <c r="E1966" s="13"/>
      <c r="F1966" s="13"/>
      <c r="M1966" s="9"/>
      <c r="N1966" s="9"/>
      <c r="O1966" s="9"/>
    </row>
    <row r="1967">
      <c r="A1967" s="9"/>
      <c r="D1967" s="9"/>
      <c r="E1967" s="13"/>
      <c r="F1967" s="13"/>
      <c r="M1967" s="9"/>
      <c r="N1967" s="9"/>
      <c r="O1967" s="9"/>
    </row>
    <row r="1968">
      <c r="A1968" s="9"/>
      <c r="D1968" s="9"/>
      <c r="E1968" s="13"/>
      <c r="F1968" s="13"/>
      <c r="M1968" s="9"/>
      <c r="N1968" s="9"/>
      <c r="O1968" s="9"/>
    </row>
    <row r="1969">
      <c r="A1969" s="9"/>
      <c r="D1969" s="9"/>
      <c r="E1969" s="13"/>
      <c r="F1969" s="13"/>
      <c r="M1969" s="9"/>
      <c r="N1969" s="9"/>
      <c r="O1969" s="9"/>
    </row>
    <row r="1970">
      <c r="A1970" s="9"/>
      <c r="D1970" s="9"/>
      <c r="E1970" s="13"/>
      <c r="F1970" s="13"/>
      <c r="M1970" s="9"/>
      <c r="N1970" s="9"/>
      <c r="O1970" s="9"/>
    </row>
    <row r="1971">
      <c r="A1971" s="9"/>
      <c r="D1971" s="9"/>
      <c r="E1971" s="13"/>
      <c r="F1971" s="13"/>
      <c r="M1971" s="9"/>
      <c r="N1971" s="9"/>
      <c r="O1971" s="9"/>
    </row>
    <row r="1972">
      <c r="A1972" s="9"/>
      <c r="D1972" s="9"/>
      <c r="E1972" s="13"/>
      <c r="F1972" s="13"/>
      <c r="M1972" s="9"/>
      <c r="N1972" s="9"/>
      <c r="O1972" s="9"/>
    </row>
    <row r="1973">
      <c r="A1973" s="9"/>
      <c r="D1973" s="9"/>
      <c r="E1973" s="13"/>
      <c r="F1973" s="13"/>
      <c r="M1973" s="9"/>
      <c r="N1973" s="9"/>
      <c r="O1973" s="9"/>
    </row>
    <row r="1974">
      <c r="A1974" s="9"/>
      <c r="D1974" s="9"/>
      <c r="E1974" s="13"/>
      <c r="F1974" s="13"/>
      <c r="M1974" s="9"/>
      <c r="N1974" s="9"/>
      <c r="O1974" s="9"/>
    </row>
    <row r="1975">
      <c r="A1975" s="9"/>
      <c r="D1975" s="9"/>
      <c r="E1975" s="13"/>
      <c r="F1975" s="13"/>
      <c r="M1975" s="9"/>
      <c r="N1975" s="9"/>
      <c r="O1975" s="9"/>
    </row>
    <row r="1976">
      <c r="A1976" s="9"/>
      <c r="D1976" s="9"/>
      <c r="E1976" s="13"/>
      <c r="F1976" s="13"/>
      <c r="M1976" s="9"/>
      <c r="N1976" s="9"/>
      <c r="O1976" s="9"/>
    </row>
    <row r="1977">
      <c r="A1977" s="9"/>
      <c r="D1977" s="9"/>
      <c r="E1977" s="13"/>
      <c r="F1977" s="13"/>
      <c r="M1977" s="9"/>
      <c r="N1977" s="9"/>
      <c r="O1977" s="9"/>
    </row>
    <row r="1978">
      <c r="A1978" s="9"/>
      <c r="D1978" s="9"/>
      <c r="E1978" s="13"/>
      <c r="F1978" s="13"/>
      <c r="M1978" s="9"/>
      <c r="N1978" s="9"/>
      <c r="O1978" s="9"/>
    </row>
    <row r="1979">
      <c r="A1979" s="9"/>
      <c r="D1979" s="9"/>
      <c r="E1979" s="13"/>
      <c r="F1979" s="13"/>
      <c r="M1979" s="9"/>
      <c r="N1979" s="9"/>
      <c r="O1979" s="9"/>
    </row>
    <row r="1980">
      <c r="A1980" s="9"/>
      <c r="D1980" s="9"/>
      <c r="E1980" s="13"/>
      <c r="F1980" s="13"/>
      <c r="M1980" s="9"/>
      <c r="N1980" s="9"/>
      <c r="O1980" s="9"/>
    </row>
    <row r="1981">
      <c r="A1981" s="9"/>
      <c r="D1981" s="9"/>
      <c r="E1981" s="13"/>
      <c r="F1981" s="13"/>
      <c r="M1981" s="9"/>
      <c r="N1981" s="9"/>
      <c r="O1981" s="9"/>
    </row>
    <row r="1982">
      <c r="A1982" s="9"/>
      <c r="D1982" s="9"/>
      <c r="E1982" s="13"/>
      <c r="F1982" s="13"/>
      <c r="M1982" s="9"/>
      <c r="N1982" s="9"/>
      <c r="O1982" s="9"/>
    </row>
    <row r="1983">
      <c r="A1983" s="9"/>
      <c r="D1983" s="9"/>
      <c r="E1983" s="13"/>
      <c r="F1983" s="13"/>
      <c r="M1983" s="9"/>
      <c r="N1983" s="9"/>
      <c r="O1983" s="9"/>
    </row>
    <row r="1984">
      <c r="A1984" s="9"/>
      <c r="D1984" s="9"/>
      <c r="E1984" s="13"/>
      <c r="F1984" s="13"/>
      <c r="M1984" s="9"/>
      <c r="N1984" s="9"/>
      <c r="O1984" s="9"/>
    </row>
    <row r="1985">
      <c r="A1985" s="9"/>
      <c r="D1985" s="9"/>
      <c r="E1985" s="13"/>
      <c r="F1985" s="13"/>
      <c r="M1985" s="9"/>
      <c r="N1985" s="9"/>
      <c r="O1985" s="9"/>
    </row>
  </sheetData>
  <mergeCells count="1">
    <mergeCell ref="A1:P1"/>
  </mergeCells>
  <printOptions gridLines="1" horizontalCentered="1"/>
  <pageMargins bottom="0.75" footer="0.0" header="0.0" left="0.25" right="0.25" top="0.75"/>
  <pageSetup paperSize="9" cellComments="atEnd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13"/>
    <col customWidth="1" min="2" max="2" width="26.0"/>
    <col customWidth="1" min="3" max="3" width="25.88"/>
    <col customWidth="1" min="4" max="4" width="7.13"/>
    <col customWidth="1" min="5" max="5" width="8.38"/>
    <col customWidth="1" min="6" max="6" width="15.0"/>
    <col customWidth="1" min="8" max="10" width="5.75"/>
    <col customWidth="1" min="11" max="11" width="8.25"/>
    <col customWidth="1" min="12" max="12" width="5.75"/>
    <col customWidth="1" min="13" max="13" width="6.88"/>
    <col customWidth="1" min="14" max="14" width="6.5"/>
    <col customWidth="1" min="15" max="15" width="5.75"/>
    <col customWidth="1" min="16" max="16" width="11.75"/>
    <col customWidth="1" min="17" max="17" width="5.88"/>
    <col customWidth="1" min="18" max="18" width="4.75"/>
    <col customWidth="1" min="19" max="19" width="10.13"/>
    <col customWidth="1" min="20" max="20" width="5.88"/>
    <col customWidth="1" min="21" max="21" width="4.75"/>
    <col customWidth="1" min="22" max="22" width="8.88"/>
    <col customWidth="1" min="23" max="23" width="5.88"/>
    <col customWidth="1" min="24" max="24" width="3.5"/>
    <col customWidth="1" min="25" max="25" width="5.5"/>
  </cols>
  <sheetData>
    <row r="1">
      <c r="A1" s="167" t="s">
        <v>743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168"/>
      <c r="R1" s="39"/>
      <c r="S1" s="39"/>
      <c r="T1" s="39"/>
      <c r="U1" s="39"/>
      <c r="V1" s="39"/>
      <c r="W1" s="39"/>
      <c r="X1" s="39"/>
      <c r="Y1" s="40"/>
    </row>
    <row r="2">
      <c r="A2" s="169" t="s">
        <v>8</v>
      </c>
      <c r="B2" s="170" t="s">
        <v>9</v>
      </c>
      <c r="C2" s="170" t="s">
        <v>10</v>
      </c>
      <c r="D2" s="169" t="s">
        <v>582</v>
      </c>
      <c r="E2" s="171" t="s">
        <v>12</v>
      </c>
      <c r="F2" s="170" t="s">
        <v>13</v>
      </c>
      <c r="G2" s="169" t="s">
        <v>14</v>
      </c>
      <c r="H2" s="170" t="s">
        <v>248</v>
      </c>
      <c r="I2" s="170" t="s">
        <v>16</v>
      </c>
      <c r="J2" s="170" t="s">
        <v>17</v>
      </c>
      <c r="K2" s="170" t="s">
        <v>18</v>
      </c>
      <c r="L2" s="170" t="s">
        <v>19</v>
      </c>
      <c r="M2" s="169" t="s">
        <v>20</v>
      </c>
      <c r="N2" s="169" t="s">
        <v>249</v>
      </c>
      <c r="O2" s="169" t="s">
        <v>250</v>
      </c>
      <c r="P2" s="170" t="s">
        <v>23</v>
      </c>
      <c r="Q2" s="172" t="s">
        <v>24</v>
      </c>
      <c r="R2" s="172" t="s">
        <v>252</v>
      </c>
      <c r="S2" s="173" t="s">
        <v>253</v>
      </c>
      <c r="T2" s="172" t="s">
        <v>24</v>
      </c>
      <c r="U2" s="172" t="s">
        <v>252</v>
      </c>
      <c r="V2" s="172" t="s">
        <v>253</v>
      </c>
      <c r="W2" s="172" t="s">
        <v>24</v>
      </c>
      <c r="X2" s="172" t="s">
        <v>252</v>
      </c>
      <c r="Y2" s="172" t="s">
        <v>253</v>
      </c>
    </row>
    <row r="3">
      <c r="A3" s="174">
        <v>1.0</v>
      </c>
      <c r="B3" s="174" t="s">
        <v>744</v>
      </c>
      <c r="C3" s="174" t="s">
        <v>504</v>
      </c>
      <c r="D3" s="175" t="s">
        <v>745</v>
      </c>
      <c r="E3" s="176">
        <v>1447.0</v>
      </c>
      <c r="F3" s="174" t="s">
        <v>169</v>
      </c>
      <c r="G3" s="175">
        <v>6.375256594E9</v>
      </c>
      <c r="H3" s="177"/>
      <c r="I3" s="174">
        <v>17000.0</v>
      </c>
      <c r="J3" s="174">
        <v>7500.0</v>
      </c>
      <c r="K3" s="177"/>
      <c r="L3" s="177"/>
      <c r="M3" s="178">
        <f t="shared" ref="M3:M75" si="1">(H3+I3+J3+K3-L3)</f>
        <v>24500</v>
      </c>
      <c r="N3" s="178">
        <f t="shared" ref="N3:N75" si="2">SUM(Q3, T3, W3)</f>
        <v>10000</v>
      </c>
      <c r="O3" s="178">
        <f t="shared" ref="O3:O75" si="3">(M3-N3)</f>
        <v>14500</v>
      </c>
      <c r="P3" s="177"/>
      <c r="Q3" s="172">
        <v>5000.0</v>
      </c>
      <c r="R3" s="172">
        <v>3507.0</v>
      </c>
      <c r="S3" s="179">
        <v>45757.0</v>
      </c>
      <c r="T3" s="172">
        <v>5000.0</v>
      </c>
      <c r="U3" s="172">
        <v>3926.0</v>
      </c>
      <c r="V3" s="172" t="s">
        <v>349</v>
      </c>
      <c r="W3" s="180"/>
      <c r="X3" s="180"/>
      <c r="Y3" s="180"/>
    </row>
    <row r="4">
      <c r="A4" s="174">
        <v>2.0</v>
      </c>
      <c r="B4" s="174" t="s">
        <v>746</v>
      </c>
      <c r="C4" s="174" t="s">
        <v>747</v>
      </c>
      <c r="D4" s="175" t="s">
        <v>748</v>
      </c>
      <c r="E4" s="176">
        <v>1395.0</v>
      </c>
      <c r="F4" s="181" t="s">
        <v>165</v>
      </c>
      <c r="G4" s="182">
        <v>9.799778199E9</v>
      </c>
      <c r="H4" s="182">
        <v>0.0</v>
      </c>
      <c r="I4" s="174">
        <v>17000.0</v>
      </c>
      <c r="J4" s="182">
        <v>7000.0</v>
      </c>
      <c r="K4" s="181"/>
      <c r="L4" s="182">
        <v>4000.0</v>
      </c>
      <c r="M4" s="178">
        <f t="shared" si="1"/>
        <v>20000</v>
      </c>
      <c r="N4" s="178">
        <f t="shared" si="2"/>
        <v>20000</v>
      </c>
      <c r="O4" s="178">
        <f t="shared" si="3"/>
        <v>0</v>
      </c>
      <c r="P4" s="181" t="s">
        <v>44</v>
      </c>
      <c r="Q4" s="183">
        <v>20000.0</v>
      </c>
      <c r="R4" s="183">
        <v>3237.0</v>
      </c>
      <c r="S4" s="173" t="s">
        <v>220</v>
      </c>
      <c r="T4" s="184"/>
      <c r="U4" s="184"/>
      <c r="V4" s="184"/>
      <c r="W4" s="184"/>
      <c r="X4" s="184"/>
      <c r="Y4" s="184"/>
    </row>
    <row r="5">
      <c r="A5" s="174">
        <v>3.0</v>
      </c>
      <c r="B5" s="174" t="s">
        <v>749</v>
      </c>
      <c r="C5" s="174" t="s">
        <v>750</v>
      </c>
      <c r="D5" s="175" t="s">
        <v>125</v>
      </c>
      <c r="E5" s="176">
        <v>1741.0</v>
      </c>
      <c r="F5" s="181" t="s">
        <v>188</v>
      </c>
      <c r="G5" s="182">
        <v>9.636901597E9</v>
      </c>
      <c r="H5" s="182">
        <v>0.0</v>
      </c>
      <c r="I5" s="174">
        <v>17000.0</v>
      </c>
      <c r="J5" s="182">
        <v>5000.0</v>
      </c>
      <c r="K5" s="181"/>
      <c r="L5" s="182">
        <v>5000.0</v>
      </c>
      <c r="M5" s="178">
        <f t="shared" si="1"/>
        <v>17000</v>
      </c>
      <c r="N5" s="178">
        <f t="shared" si="2"/>
        <v>10000</v>
      </c>
      <c r="O5" s="178">
        <f t="shared" si="3"/>
        <v>7000</v>
      </c>
      <c r="P5" s="181" t="s">
        <v>44</v>
      </c>
      <c r="Q5" s="183">
        <v>5000.0</v>
      </c>
      <c r="R5" s="183">
        <v>3047.0</v>
      </c>
      <c r="S5" s="173" t="s">
        <v>422</v>
      </c>
      <c r="T5" s="172">
        <v>5000.0</v>
      </c>
      <c r="U5" s="172">
        <v>3532.0</v>
      </c>
      <c r="V5" s="185">
        <v>45818.0</v>
      </c>
      <c r="W5" s="184"/>
      <c r="X5" s="184"/>
      <c r="Y5" s="184"/>
    </row>
    <row r="6">
      <c r="A6" s="174">
        <v>4.0</v>
      </c>
      <c r="B6" s="174" t="s">
        <v>751</v>
      </c>
      <c r="C6" s="174" t="s">
        <v>752</v>
      </c>
      <c r="D6" s="175" t="s">
        <v>125</v>
      </c>
      <c r="E6" s="176">
        <v>1889.0</v>
      </c>
      <c r="F6" s="181" t="s">
        <v>753</v>
      </c>
      <c r="G6" s="182">
        <v>8.529887288E9</v>
      </c>
      <c r="H6" s="182">
        <v>1000.0</v>
      </c>
      <c r="I6" s="174">
        <v>17000.0</v>
      </c>
      <c r="J6" s="182">
        <v>9000.0</v>
      </c>
      <c r="K6" s="181"/>
      <c r="L6" s="182">
        <v>4000.0</v>
      </c>
      <c r="M6" s="178">
        <f t="shared" si="1"/>
        <v>23000</v>
      </c>
      <c r="N6" s="178">
        <f t="shared" si="2"/>
        <v>8000</v>
      </c>
      <c r="O6" s="178">
        <f t="shared" si="3"/>
        <v>15000</v>
      </c>
      <c r="P6" s="181" t="s">
        <v>44</v>
      </c>
      <c r="Q6" s="183">
        <v>5000.0</v>
      </c>
      <c r="R6" s="183">
        <v>3137.0</v>
      </c>
      <c r="S6" s="186">
        <v>45755.0</v>
      </c>
      <c r="T6" s="183">
        <v>3000.0</v>
      </c>
      <c r="U6" s="183">
        <v>3037.0</v>
      </c>
      <c r="V6" s="172" t="s">
        <v>166</v>
      </c>
      <c r="W6" s="184"/>
      <c r="X6" s="184"/>
      <c r="Y6" s="184"/>
    </row>
    <row r="7">
      <c r="A7" s="174">
        <v>6.0</v>
      </c>
      <c r="B7" s="174" t="s">
        <v>754</v>
      </c>
      <c r="C7" s="174" t="s">
        <v>755</v>
      </c>
      <c r="D7" s="175" t="s">
        <v>748</v>
      </c>
      <c r="E7" s="176">
        <v>1873.0</v>
      </c>
      <c r="F7" s="181" t="s">
        <v>756</v>
      </c>
      <c r="G7" s="182">
        <v>8.000854907E9</v>
      </c>
      <c r="H7" s="182">
        <v>1000.0</v>
      </c>
      <c r="I7" s="174">
        <v>17000.0</v>
      </c>
      <c r="J7" s="182">
        <v>9500.0</v>
      </c>
      <c r="K7" s="181"/>
      <c r="L7" s="182">
        <v>3500.0</v>
      </c>
      <c r="M7" s="178">
        <f t="shared" si="1"/>
        <v>24000</v>
      </c>
      <c r="N7" s="178">
        <f t="shared" si="2"/>
        <v>18000</v>
      </c>
      <c r="O7" s="178">
        <f t="shared" si="3"/>
        <v>6000</v>
      </c>
      <c r="P7" s="181" t="s">
        <v>44</v>
      </c>
      <c r="Q7" s="6">
        <v>1000.0</v>
      </c>
      <c r="R7" s="6">
        <v>3014.0</v>
      </c>
      <c r="S7" s="6" t="s">
        <v>370</v>
      </c>
      <c r="T7" s="172">
        <v>7000.0</v>
      </c>
      <c r="U7" s="172">
        <v>3183.0</v>
      </c>
      <c r="V7" s="185">
        <v>45969.0</v>
      </c>
      <c r="W7" s="172">
        <v>10000.0</v>
      </c>
      <c r="X7" s="172">
        <v>3832.0</v>
      </c>
      <c r="Y7" s="187">
        <v>45941.0</v>
      </c>
    </row>
    <row r="8">
      <c r="A8" s="174">
        <v>7.0</v>
      </c>
      <c r="B8" s="174" t="s">
        <v>757</v>
      </c>
      <c r="C8" s="174" t="s">
        <v>741</v>
      </c>
      <c r="D8" s="175" t="s">
        <v>745</v>
      </c>
      <c r="E8" s="176">
        <v>1994.0</v>
      </c>
      <c r="F8" s="174" t="s">
        <v>30</v>
      </c>
      <c r="G8" s="182">
        <v>8.955115357E9</v>
      </c>
      <c r="H8" s="182">
        <v>0.0</v>
      </c>
      <c r="I8" s="174">
        <v>17000.0</v>
      </c>
      <c r="J8" s="182">
        <v>9500.0</v>
      </c>
      <c r="K8" s="181"/>
      <c r="L8" s="182">
        <v>8500.0</v>
      </c>
      <c r="M8" s="178">
        <f t="shared" si="1"/>
        <v>18000</v>
      </c>
      <c r="N8" s="178">
        <f t="shared" si="2"/>
        <v>0</v>
      </c>
      <c r="O8" s="178">
        <f t="shared" si="3"/>
        <v>18000</v>
      </c>
      <c r="P8" s="181" t="s">
        <v>159</v>
      </c>
      <c r="Q8" s="184"/>
      <c r="R8" s="184"/>
      <c r="S8" s="188"/>
      <c r="T8" s="184"/>
      <c r="U8" s="184"/>
      <c r="V8" s="184"/>
      <c r="W8" s="184"/>
      <c r="X8" s="184"/>
      <c r="Y8" s="184"/>
    </row>
    <row r="9">
      <c r="A9" s="174">
        <v>8.0</v>
      </c>
      <c r="B9" s="174" t="s">
        <v>758</v>
      </c>
      <c r="C9" s="174" t="s">
        <v>759</v>
      </c>
      <c r="D9" s="175" t="s">
        <v>745</v>
      </c>
      <c r="E9" s="176"/>
      <c r="F9" s="174" t="s">
        <v>760</v>
      </c>
      <c r="G9" s="178"/>
      <c r="H9" s="174">
        <v>1000.0</v>
      </c>
      <c r="I9" s="174">
        <v>17000.0</v>
      </c>
      <c r="J9" s="174">
        <v>9500.0</v>
      </c>
      <c r="K9" s="177"/>
      <c r="L9" s="174">
        <v>4000.0</v>
      </c>
      <c r="M9" s="178">
        <f t="shared" si="1"/>
        <v>23500</v>
      </c>
      <c r="N9" s="178">
        <f t="shared" si="2"/>
        <v>8000</v>
      </c>
      <c r="O9" s="178">
        <f t="shared" si="3"/>
        <v>15500</v>
      </c>
      <c r="P9" s="177"/>
      <c r="Q9" s="183">
        <v>5000.0</v>
      </c>
      <c r="R9" s="183">
        <v>3278.0</v>
      </c>
      <c r="S9" s="173" t="s">
        <v>761</v>
      </c>
      <c r="T9" s="172">
        <v>3000.0</v>
      </c>
      <c r="U9" s="172">
        <v>4020.0</v>
      </c>
      <c r="V9" s="172" t="s">
        <v>132</v>
      </c>
      <c r="W9" s="184"/>
      <c r="X9" s="184"/>
      <c r="Y9" s="184"/>
    </row>
    <row r="10">
      <c r="A10" s="174">
        <v>9.0</v>
      </c>
      <c r="B10" s="174" t="s">
        <v>265</v>
      </c>
      <c r="C10" s="174" t="s">
        <v>762</v>
      </c>
      <c r="D10" s="175" t="s">
        <v>748</v>
      </c>
      <c r="E10" s="176">
        <v>1881.0</v>
      </c>
      <c r="F10" s="189" t="s">
        <v>763</v>
      </c>
      <c r="G10" s="182">
        <v>9.982846623E9</v>
      </c>
      <c r="H10" s="182">
        <v>1000.0</v>
      </c>
      <c r="I10" s="174">
        <v>17000.0</v>
      </c>
      <c r="J10" s="190">
        <v>9000.0</v>
      </c>
      <c r="K10" s="181"/>
      <c r="L10" s="190">
        <v>0.0</v>
      </c>
      <c r="M10" s="178">
        <f t="shared" si="1"/>
        <v>27000</v>
      </c>
      <c r="N10" s="178">
        <f t="shared" si="2"/>
        <v>4000</v>
      </c>
      <c r="O10" s="178">
        <f t="shared" si="3"/>
        <v>23000</v>
      </c>
      <c r="P10" s="181" t="s">
        <v>44</v>
      </c>
      <c r="Q10" s="183">
        <v>2000.0</v>
      </c>
      <c r="R10" s="183">
        <v>2901.0</v>
      </c>
      <c r="S10" s="186">
        <v>45784.0</v>
      </c>
      <c r="T10" s="172">
        <v>2000.0</v>
      </c>
      <c r="U10" s="172">
        <v>4037.0</v>
      </c>
      <c r="V10" s="172" t="s">
        <v>261</v>
      </c>
      <c r="W10" s="191"/>
      <c r="X10" s="184"/>
      <c r="Y10" s="184"/>
    </row>
    <row r="11">
      <c r="A11" s="174">
        <v>10.0</v>
      </c>
      <c r="B11" s="174" t="s">
        <v>764</v>
      </c>
      <c r="C11" s="174" t="s">
        <v>765</v>
      </c>
      <c r="D11" s="175" t="s">
        <v>745</v>
      </c>
      <c r="E11" s="176">
        <v>1592.0</v>
      </c>
      <c r="F11" s="181" t="s">
        <v>766</v>
      </c>
      <c r="G11" s="182">
        <v>6.378580848E9</v>
      </c>
      <c r="H11" s="182">
        <v>0.0</v>
      </c>
      <c r="I11" s="174">
        <v>17000.0</v>
      </c>
      <c r="J11" s="182">
        <v>10000.0</v>
      </c>
      <c r="K11" s="181"/>
      <c r="L11" s="182">
        <v>4000.0</v>
      </c>
      <c r="M11" s="178">
        <f t="shared" si="1"/>
        <v>23000</v>
      </c>
      <c r="N11" s="178">
        <f t="shared" si="2"/>
        <v>5000</v>
      </c>
      <c r="O11" s="178">
        <f t="shared" si="3"/>
        <v>18000</v>
      </c>
      <c r="P11" s="181" t="s">
        <v>44</v>
      </c>
      <c r="Q11" s="177"/>
      <c r="R11" s="177"/>
      <c r="S11" s="178"/>
      <c r="T11" s="172">
        <v>5000.0</v>
      </c>
      <c r="U11" s="172">
        <v>3591.0</v>
      </c>
      <c r="V11" s="185">
        <v>45848.0</v>
      </c>
      <c r="W11" s="184"/>
      <c r="X11" s="184"/>
      <c r="Y11" s="184"/>
    </row>
    <row r="12">
      <c r="A12" s="174">
        <v>11.0</v>
      </c>
      <c r="B12" s="174" t="s">
        <v>767</v>
      </c>
      <c r="C12" s="174" t="s">
        <v>768</v>
      </c>
      <c r="D12" s="175" t="s">
        <v>745</v>
      </c>
      <c r="E12" s="176">
        <v>985.0</v>
      </c>
      <c r="F12" s="181" t="s">
        <v>474</v>
      </c>
      <c r="G12" s="182">
        <v>9.982929942E9</v>
      </c>
      <c r="H12" s="182">
        <v>0.0</v>
      </c>
      <c r="I12" s="174">
        <v>17000.0</v>
      </c>
      <c r="J12" s="182">
        <v>5000.0</v>
      </c>
      <c r="K12" s="181"/>
      <c r="L12" s="182">
        <v>4000.0</v>
      </c>
      <c r="M12" s="178">
        <f t="shared" si="1"/>
        <v>18000</v>
      </c>
      <c r="N12" s="178">
        <f t="shared" si="2"/>
        <v>10000</v>
      </c>
      <c r="O12" s="178">
        <f t="shared" si="3"/>
        <v>8000</v>
      </c>
      <c r="P12" s="181" t="s">
        <v>44</v>
      </c>
      <c r="Q12" s="183">
        <v>5000.0</v>
      </c>
      <c r="R12" s="183">
        <v>3000.0</v>
      </c>
      <c r="S12" s="173" t="s">
        <v>191</v>
      </c>
      <c r="T12" s="172">
        <v>5000.0</v>
      </c>
      <c r="U12" s="172">
        <v>3789.0</v>
      </c>
      <c r="V12" s="185">
        <v>45880.0</v>
      </c>
      <c r="W12" s="184"/>
      <c r="X12" s="184"/>
      <c r="Y12" s="184"/>
    </row>
    <row r="13">
      <c r="A13" s="174">
        <v>12.0</v>
      </c>
      <c r="B13" s="174" t="s">
        <v>769</v>
      </c>
      <c r="C13" s="174" t="s">
        <v>770</v>
      </c>
      <c r="D13" s="175" t="s">
        <v>745</v>
      </c>
      <c r="E13" s="176">
        <v>1122.0</v>
      </c>
      <c r="F13" s="174" t="s">
        <v>3</v>
      </c>
      <c r="G13" s="175">
        <v>9.530275073E9</v>
      </c>
      <c r="H13" s="177"/>
      <c r="I13" s="174">
        <v>17000.0</v>
      </c>
      <c r="J13" s="174">
        <v>6500.0</v>
      </c>
      <c r="K13" s="177"/>
      <c r="L13" s="174">
        <v>4500.0</v>
      </c>
      <c r="M13" s="178">
        <f t="shared" si="1"/>
        <v>19000</v>
      </c>
      <c r="N13" s="178">
        <f t="shared" si="2"/>
        <v>8000</v>
      </c>
      <c r="O13" s="178">
        <f t="shared" si="3"/>
        <v>11000</v>
      </c>
      <c r="P13" s="174" t="s">
        <v>44</v>
      </c>
      <c r="Q13" s="174">
        <v>8000.0</v>
      </c>
      <c r="R13" s="174">
        <v>3780.0</v>
      </c>
      <c r="S13" s="175" t="s">
        <v>771</v>
      </c>
      <c r="T13" s="184"/>
      <c r="U13" s="184"/>
      <c r="V13" s="184"/>
      <c r="W13" s="184"/>
      <c r="X13" s="184"/>
      <c r="Y13" s="184"/>
    </row>
    <row r="14">
      <c r="A14" s="174">
        <v>13.0</v>
      </c>
      <c r="B14" s="174" t="s">
        <v>772</v>
      </c>
      <c r="C14" s="174" t="s">
        <v>773</v>
      </c>
      <c r="D14" s="175" t="s">
        <v>125</v>
      </c>
      <c r="E14" s="176">
        <v>1911.0</v>
      </c>
      <c r="F14" s="181" t="s">
        <v>169</v>
      </c>
      <c r="G14" s="182">
        <v>9.001603329E9</v>
      </c>
      <c r="H14" s="182">
        <v>1000.0</v>
      </c>
      <c r="I14" s="174">
        <v>17000.0</v>
      </c>
      <c r="J14" s="182">
        <v>7000.0</v>
      </c>
      <c r="K14" s="181"/>
      <c r="L14" s="182">
        <v>5400.0</v>
      </c>
      <c r="M14" s="178">
        <f t="shared" si="1"/>
        <v>19600</v>
      </c>
      <c r="N14" s="178">
        <f t="shared" si="2"/>
        <v>9000</v>
      </c>
      <c r="O14" s="178">
        <f t="shared" si="3"/>
        <v>10600</v>
      </c>
      <c r="P14" s="181" t="s">
        <v>159</v>
      </c>
      <c r="Q14" s="183">
        <v>5000.0</v>
      </c>
      <c r="R14" s="183">
        <v>3075.0</v>
      </c>
      <c r="S14" s="173" t="s">
        <v>170</v>
      </c>
      <c r="T14" s="172">
        <v>4000.0</v>
      </c>
      <c r="U14" s="172">
        <v>3900.0</v>
      </c>
      <c r="V14" s="172" t="s">
        <v>171</v>
      </c>
      <c r="W14" s="184"/>
      <c r="X14" s="184"/>
      <c r="Y14" s="184"/>
    </row>
    <row r="15">
      <c r="A15" s="174">
        <v>14.0</v>
      </c>
      <c r="B15" s="174" t="s">
        <v>772</v>
      </c>
      <c r="C15" s="174" t="s">
        <v>774</v>
      </c>
      <c r="D15" s="175" t="s">
        <v>748</v>
      </c>
      <c r="E15" s="192"/>
      <c r="F15" s="174" t="s">
        <v>169</v>
      </c>
      <c r="G15" s="175">
        <v>8.875474242E9</v>
      </c>
      <c r="H15" s="177"/>
      <c r="I15" s="174">
        <v>17000.0</v>
      </c>
      <c r="J15" s="174">
        <v>6500.0</v>
      </c>
      <c r="K15" s="177"/>
      <c r="L15" s="174">
        <v>2500.0</v>
      </c>
      <c r="M15" s="178">
        <f t="shared" si="1"/>
        <v>21000</v>
      </c>
      <c r="N15" s="178">
        <f t="shared" si="2"/>
        <v>5000</v>
      </c>
      <c r="O15" s="178">
        <f t="shared" si="3"/>
        <v>16000</v>
      </c>
      <c r="P15" s="177"/>
      <c r="Q15" s="172">
        <v>5000.0</v>
      </c>
      <c r="R15" s="172">
        <v>3768.0</v>
      </c>
      <c r="S15" s="187">
        <v>45972.0</v>
      </c>
      <c r="T15" s="184"/>
      <c r="U15" s="184"/>
      <c r="V15" s="184"/>
      <c r="W15" s="184"/>
      <c r="X15" s="184"/>
      <c r="Y15" s="184"/>
    </row>
    <row r="16">
      <c r="A16" s="174">
        <v>15.0</v>
      </c>
      <c r="B16" s="174" t="s">
        <v>775</v>
      </c>
      <c r="C16" s="174" t="s">
        <v>776</v>
      </c>
      <c r="D16" s="175" t="s">
        <v>125</v>
      </c>
      <c r="E16" s="176">
        <v>949.0</v>
      </c>
      <c r="F16" s="174" t="s">
        <v>3</v>
      </c>
      <c r="G16" s="175">
        <v>8.680273788E9</v>
      </c>
      <c r="H16" s="177"/>
      <c r="I16" s="174">
        <v>17000.0</v>
      </c>
      <c r="J16" s="174">
        <v>6500.0</v>
      </c>
      <c r="K16" s="177"/>
      <c r="L16" s="174">
        <v>3500.0</v>
      </c>
      <c r="M16" s="178">
        <f t="shared" si="1"/>
        <v>20000</v>
      </c>
      <c r="N16" s="178">
        <f t="shared" si="2"/>
        <v>10000</v>
      </c>
      <c r="O16" s="178">
        <f t="shared" si="3"/>
        <v>10000</v>
      </c>
      <c r="P16" s="177"/>
      <c r="Q16" s="172">
        <v>10000.0</v>
      </c>
      <c r="R16" s="172">
        <v>3492.0</v>
      </c>
      <c r="S16" s="179">
        <v>45757.0</v>
      </c>
      <c r="T16" s="184"/>
      <c r="U16" s="184"/>
      <c r="V16" s="184"/>
      <c r="W16" s="184"/>
      <c r="X16" s="184"/>
      <c r="Y16" s="184"/>
    </row>
    <row r="17">
      <c r="A17" s="174">
        <v>17.0</v>
      </c>
      <c r="B17" s="174" t="s">
        <v>777</v>
      </c>
      <c r="C17" s="174" t="s">
        <v>778</v>
      </c>
      <c r="D17" s="175" t="s">
        <v>125</v>
      </c>
      <c r="E17" s="176">
        <v>1477.0</v>
      </c>
      <c r="F17" s="174" t="s">
        <v>30</v>
      </c>
      <c r="G17" s="175">
        <v>7.7330273E9</v>
      </c>
      <c r="H17" s="177"/>
      <c r="I17" s="174">
        <v>17000.0</v>
      </c>
      <c r="J17" s="174">
        <v>9500.0</v>
      </c>
      <c r="K17" s="177"/>
      <c r="L17" s="177"/>
      <c r="M17" s="178">
        <f t="shared" si="1"/>
        <v>26500</v>
      </c>
      <c r="N17" s="178">
        <f t="shared" si="2"/>
        <v>0</v>
      </c>
      <c r="O17" s="178">
        <f t="shared" si="3"/>
        <v>26500</v>
      </c>
      <c r="P17" s="177"/>
      <c r="Q17" s="184"/>
      <c r="R17" s="184"/>
      <c r="S17" s="188"/>
      <c r="T17" s="184"/>
      <c r="U17" s="184"/>
      <c r="V17" s="184"/>
      <c r="W17" s="184"/>
      <c r="X17" s="184"/>
      <c r="Y17" s="184"/>
    </row>
    <row r="18">
      <c r="A18" s="174">
        <v>18.0</v>
      </c>
      <c r="B18" s="174" t="s">
        <v>779</v>
      </c>
      <c r="C18" s="174" t="s">
        <v>780</v>
      </c>
      <c r="D18" s="175" t="s">
        <v>125</v>
      </c>
      <c r="E18" s="176">
        <v>986.0</v>
      </c>
      <c r="F18" s="174" t="s">
        <v>145</v>
      </c>
      <c r="G18" s="175">
        <v>9.950985518E9</v>
      </c>
      <c r="H18" s="177"/>
      <c r="I18" s="174">
        <v>17000.0</v>
      </c>
      <c r="J18" s="174">
        <v>0.0</v>
      </c>
      <c r="K18" s="174">
        <v>0.0</v>
      </c>
      <c r="L18" s="174">
        <v>4500.0</v>
      </c>
      <c r="M18" s="178">
        <f t="shared" si="1"/>
        <v>12500</v>
      </c>
      <c r="N18" s="178">
        <f t="shared" si="2"/>
        <v>12500</v>
      </c>
      <c r="O18" s="178">
        <f t="shared" si="3"/>
        <v>0</v>
      </c>
      <c r="P18" s="177"/>
      <c r="Q18" s="177"/>
      <c r="R18" s="177"/>
      <c r="S18" s="178"/>
      <c r="T18" s="172">
        <v>12500.0</v>
      </c>
      <c r="U18" s="172">
        <v>3589.0</v>
      </c>
      <c r="V18" s="185">
        <v>45848.0</v>
      </c>
      <c r="W18" s="184"/>
      <c r="X18" s="184"/>
      <c r="Y18" s="184"/>
    </row>
    <row r="19">
      <c r="A19" s="174">
        <v>19.0</v>
      </c>
      <c r="B19" s="181" t="s">
        <v>781</v>
      </c>
      <c r="C19" s="181" t="s">
        <v>782</v>
      </c>
      <c r="D19" s="190" t="s">
        <v>748</v>
      </c>
      <c r="E19" s="177"/>
      <c r="F19" s="181" t="s">
        <v>48</v>
      </c>
      <c r="G19" s="182">
        <v>8.490845866E9</v>
      </c>
      <c r="H19" s="182">
        <v>0.0</v>
      </c>
      <c r="I19" s="174">
        <v>17000.0</v>
      </c>
      <c r="J19" s="182">
        <v>9500.0</v>
      </c>
      <c r="K19" s="181"/>
      <c r="L19" s="182">
        <v>5500.0</v>
      </c>
      <c r="M19" s="178">
        <f t="shared" si="1"/>
        <v>21000</v>
      </c>
      <c r="N19" s="178">
        <f t="shared" si="2"/>
        <v>10000</v>
      </c>
      <c r="O19" s="178">
        <f t="shared" si="3"/>
        <v>11000</v>
      </c>
      <c r="P19" s="181" t="s">
        <v>131</v>
      </c>
      <c r="Q19" s="183">
        <v>5000.0</v>
      </c>
      <c r="R19" s="183">
        <v>3099.0</v>
      </c>
      <c r="S19" s="173" t="s">
        <v>496</v>
      </c>
      <c r="T19" s="172">
        <v>5000.0</v>
      </c>
      <c r="U19" s="172">
        <v>3723.0</v>
      </c>
      <c r="V19" s="172" t="s">
        <v>783</v>
      </c>
      <c r="W19" s="184"/>
      <c r="X19" s="184"/>
      <c r="Y19" s="184"/>
    </row>
    <row r="20">
      <c r="A20" s="174">
        <v>20.0</v>
      </c>
      <c r="B20" s="174" t="s">
        <v>784</v>
      </c>
      <c r="C20" s="174" t="s">
        <v>494</v>
      </c>
      <c r="D20" s="175" t="s">
        <v>745</v>
      </c>
      <c r="E20" s="176">
        <v>1669.0</v>
      </c>
      <c r="F20" s="181" t="s">
        <v>298</v>
      </c>
      <c r="G20" s="182">
        <v>9.983849226E9</v>
      </c>
      <c r="H20" s="182">
        <v>0.0</v>
      </c>
      <c r="I20" s="174">
        <v>17000.0</v>
      </c>
      <c r="J20" s="182">
        <v>7000.0</v>
      </c>
      <c r="K20" s="181"/>
      <c r="L20" s="182">
        <v>4000.0</v>
      </c>
      <c r="M20" s="178">
        <f t="shared" si="1"/>
        <v>20000</v>
      </c>
      <c r="N20" s="178">
        <f t="shared" si="2"/>
        <v>20000</v>
      </c>
      <c r="O20" s="178">
        <f t="shared" si="3"/>
        <v>0</v>
      </c>
      <c r="P20" s="181" t="s">
        <v>44</v>
      </c>
      <c r="Q20" s="183">
        <v>20000.0</v>
      </c>
      <c r="R20" s="183">
        <v>3101.0</v>
      </c>
      <c r="S20" s="173" t="s">
        <v>496</v>
      </c>
      <c r="T20" s="184"/>
      <c r="U20" s="184"/>
      <c r="V20" s="184"/>
      <c r="W20" s="184"/>
      <c r="X20" s="184"/>
      <c r="Y20" s="184"/>
    </row>
    <row r="21">
      <c r="A21" s="174">
        <v>22.0</v>
      </c>
      <c r="B21" s="174" t="s">
        <v>785</v>
      </c>
      <c r="C21" s="174" t="s">
        <v>786</v>
      </c>
      <c r="D21" s="175" t="s">
        <v>787</v>
      </c>
      <c r="E21" s="176">
        <v>1572.0</v>
      </c>
      <c r="F21" s="177"/>
      <c r="G21" s="178"/>
      <c r="H21" s="177"/>
      <c r="I21" s="174">
        <v>17000.0</v>
      </c>
      <c r="J21" s="177"/>
      <c r="K21" s="177"/>
      <c r="L21" s="177"/>
      <c r="M21" s="178">
        <f t="shared" si="1"/>
        <v>17000</v>
      </c>
      <c r="N21" s="178">
        <f t="shared" si="2"/>
        <v>0</v>
      </c>
      <c r="O21" s="178">
        <f t="shared" si="3"/>
        <v>17000</v>
      </c>
      <c r="P21" s="177"/>
      <c r="Q21" s="184"/>
      <c r="R21" s="184"/>
      <c r="S21" s="188"/>
      <c r="T21" s="184"/>
      <c r="U21" s="184"/>
      <c r="V21" s="184"/>
      <c r="W21" s="184"/>
      <c r="X21" s="184"/>
      <c r="Y21" s="184"/>
    </row>
    <row r="22">
      <c r="A22" s="174">
        <v>24.0</v>
      </c>
      <c r="B22" s="174" t="s">
        <v>788</v>
      </c>
      <c r="C22" s="174" t="s">
        <v>789</v>
      </c>
      <c r="D22" s="175" t="s">
        <v>125</v>
      </c>
      <c r="E22" s="176">
        <v>1667.0</v>
      </c>
      <c r="F22" s="181" t="s">
        <v>616</v>
      </c>
      <c r="G22" s="182">
        <v>8.890526863E9</v>
      </c>
      <c r="H22" s="182">
        <v>0.0</v>
      </c>
      <c r="I22" s="174">
        <v>17000.0</v>
      </c>
      <c r="J22" s="182">
        <v>9000.0</v>
      </c>
      <c r="K22" s="181"/>
      <c r="L22" s="182">
        <v>3000.0</v>
      </c>
      <c r="M22" s="178">
        <f t="shared" si="1"/>
        <v>23000</v>
      </c>
      <c r="N22" s="178">
        <f t="shared" si="2"/>
        <v>9000</v>
      </c>
      <c r="O22" s="178">
        <f t="shared" si="3"/>
        <v>14000</v>
      </c>
      <c r="P22" s="181" t="s">
        <v>44</v>
      </c>
      <c r="Q22" s="172">
        <v>9000.0</v>
      </c>
      <c r="R22" s="172">
        <v>3811.0</v>
      </c>
      <c r="S22" s="187">
        <v>45941.0</v>
      </c>
      <c r="T22" s="184"/>
      <c r="U22" s="184"/>
      <c r="V22" s="184"/>
      <c r="W22" s="184"/>
      <c r="X22" s="184"/>
      <c r="Y22" s="184"/>
    </row>
    <row r="23">
      <c r="A23" s="174">
        <v>25.0</v>
      </c>
      <c r="B23" s="174" t="s">
        <v>790</v>
      </c>
      <c r="C23" s="174" t="s">
        <v>232</v>
      </c>
      <c r="D23" s="175" t="s">
        <v>125</v>
      </c>
      <c r="E23" s="176">
        <v>2.0220015E7</v>
      </c>
      <c r="F23" s="174" t="s">
        <v>145</v>
      </c>
      <c r="G23" s="175">
        <v>9.680240936E9</v>
      </c>
      <c r="H23" s="177"/>
      <c r="I23" s="174">
        <v>17000.0</v>
      </c>
      <c r="J23" s="174">
        <v>0.0</v>
      </c>
      <c r="K23" s="177"/>
      <c r="L23" s="177"/>
      <c r="M23" s="178">
        <f t="shared" si="1"/>
        <v>17000</v>
      </c>
      <c r="N23" s="178">
        <f t="shared" si="2"/>
        <v>0</v>
      </c>
      <c r="O23" s="178">
        <f t="shared" si="3"/>
        <v>17000</v>
      </c>
      <c r="P23" s="177"/>
      <c r="Q23" s="184"/>
      <c r="R23" s="184"/>
      <c r="S23" s="188"/>
      <c r="T23" s="184"/>
      <c r="U23" s="184"/>
      <c r="V23" s="184"/>
      <c r="W23" s="184"/>
      <c r="X23" s="184"/>
      <c r="Y23" s="184"/>
    </row>
    <row r="24">
      <c r="A24" s="174">
        <v>26.0</v>
      </c>
      <c r="B24" s="174" t="s">
        <v>791</v>
      </c>
      <c r="C24" s="174" t="s">
        <v>792</v>
      </c>
      <c r="D24" s="175" t="s">
        <v>125</v>
      </c>
      <c r="E24" s="176">
        <v>2.0220018E7</v>
      </c>
      <c r="F24" s="174" t="s">
        <v>126</v>
      </c>
      <c r="G24" s="175">
        <v>6.378546381E9</v>
      </c>
      <c r="H24" s="177"/>
      <c r="I24" s="174">
        <v>17000.0</v>
      </c>
      <c r="J24" s="174">
        <v>5000.0</v>
      </c>
      <c r="K24" s="177"/>
      <c r="L24" s="177"/>
      <c r="M24" s="178">
        <f t="shared" si="1"/>
        <v>22000</v>
      </c>
      <c r="N24" s="178">
        <f t="shared" si="2"/>
        <v>5000</v>
      </c>
      <c r="O24" s="178">
        <f t="shared" si="3"/>
        <v>17000</v>
      </c>
      <c r="P24" s="177"/>
      <c r="Q24" s="172">
        <v>2000.0</v>
      </c>
      <c r="R24" s="172">
        <v>219.0</v>
      </c>
      <c r="S24" s="179">
        <v>45818.0</v>
      </c>
      <c r="T24" s="172">
        <v>3000.0</v>
      </c>
      <c r="U24" s="172">
        <v>222.0</v>
      </c>
      <c r="V24" s="193">
        <v>45941.0</v>
      </c>
      <c r="W24" s="184"/>
      <c r="X24" s="184"/>
      <c r="Y24" s="184"/>
    </row>
    <row r="25">
      <c r="A25" s="174">
        <v>27.0</v>
      </c>
      <c r="B25" s="174" t="s">
        <v>176</v>
      </c>
      <c r="C25" s="174" t="s">
        <v>793</v>
      </c>
      <c r="D25" s="175" t="s">
        <v>745</v>
      </c>
      <c r="E25" s="192"/>
      <c r="F25" s="174" t="s">
        <v>597</v>
      </c>
      <c r="G25" s="175">
        <v>9.116822423E9</v>
      </c>
      <c r="H25" s="177"/>
      <c r="I25" s="174">
        <v>17000.0</v>
      </c>
      <c r="J25" s="174">
        <v>9500.0</v>
      </c>
      <c r="K25" s="177"/>
      <c r="L25" s="177"/>
      <c r="M25" s="178">
        <f t="shared" si="1"/>
        <v>26500</v>
      </c>
      <c r="N25" s="178">
        <f t="shared" si="2"/>
        <v>0</v>
      </c>
      <c r="O25" s="178">
        <f t="shared" si="3"/>
        <v>26500</v>
      </c>
      <c r="P25" s="177"/>
      <c r="Q25" s="184"/>
      <c r="R25" s="184"/>
      <c r="S25" s="188"/>
      <c r="T25" s="184"/>
      <c r="U25" s="184"/>
      <c r="V25" s="184"/>
      <c r="W25" s="184"/>
      <c r="X25" s="184"/>
      <c r="Y25" s="184"/>
    </row>
    <row r="26">
      <c r="A26" s="174">
        <v>28.0</v>
      </c>
      <c r="B26" s="174" t="s">
        <v>794</v>
      </c>
      <c r="C26" s="174" t="s">
        <v>795</v>
      </c>
      <c r="D26" s="175" t="s">
        <v>748</v>
      </c>
      <c r="E26" s="192"/>
      <c r="F26" s="174" t="s">
        <v>796</v>
      </c>
      <c r="G26" s="175">
        <v>9.636388283E9</v>
      </c>
      <c r="H26" s="177"/>
      <c r="I26" s="174">
        <v>17000.0</v>
      </c>
      <c r="J26" s="174">
        <v>8000.0</v>
      </c>
      <c r="K26" s="177"/>
      <c r="L26" s="177"/>
      <c r="M26" s="178">
        <f t="shared" si="1"/>
        <v>25000</v>
      </c>
      <c r="N26" s="178">
        <f t="shared" si="2"/>
        <v>15000</v>
      </c>
      <c r="O26" s="178">
        <f t="shared" si="3"/>
        <v>10000</v>
      </c>
      <c r="P26" s="177"/>
      <c r="Q26" s="172">
        <v>10000.0</v>
      </c>
      <c r="R26" s="172">
        <v>3485.0</v>
      </c>
      <c r="S26" s="179">
        <v>45757.0</v>
      </c>
      <c r="T26" s="172">
        <v>5000.0</v>
      </c>
      <c r="U26" s="172">
        <v>4030.0</v>
      </c>
      <c r="V26" s="172" t="s">
        <v>261</v>
      </c>
      <c r="W26" s="184"/>
      <c r="X26" s="184"/>
      <c r="Y26" s="184"/>
    </row>
    <row r="27">
      <c r="A27" s="174">
        <v>29.0</v>
      </c>
      <c r="B27" s="174" t="s">
        <v>797</v>
      </c>
      <c r="C27" s="174" t="s">
        <v>798</v>
      </c>
      <c r="D27" s="175" t="s">
        <v>748</v>
      </c>
      <c r="E27" s="176">
        <v>1220.0</v>
      </c>
      <c r="F27" s="174" t="s">
        <v>30</v>
      </c>
      <c r="G27" s="175">
        <v>8.209755159E9</v>
      </c>
      <c r="H27" s="177"/>
      <c r="I27" s="174">
        <v>17000.0</v>
      </c>
      <c r="J27" s="174">
        <v>9000.0</v>
      </c>
      <c r="K27" s="177"/>
      <c r="L27" s="177"/>
      <c r="M27" s="178">
        <f t="shared" si="1"/>
        <v>26000</v>
      </c>
      <c r="N27" s="178">
        <f t="shared" si="2"/>
        <v>10000</v>
      </c>
      <c r="O27" s="178">
        <f t="shared" si="3"/>
        <v>16000</v>
      </c>
      <c r="P27" s="177"/>
      <c r="Q27" s="172">
        <v>10000.0</v>
      </c>
      <c r="R27" s="172">
        <v>3846.0</v>
      </c>
      <c r="S27" s="187">
        <v>45941.0</v>
      </c>
      <c r="T27" s="184"/>
      <c r="U27" s="184"/>
      <c r="V27" s="184"/>
      <c r="W27" s="184"/>
      <c r="X27" s="184"/>
      <c r="Y27" s="184"/>
    </row>
    <row r="28">
      <c r="A28" s="174">
        <v>30.0</v>
      </c>
      <c r="B28" s="174" t="s">
        <v>799</v>
      </c>
      <c r="C28" s="174" t="s">
        <v>800</v>
      </c>
      <c r="D28" s="175" t="s">
        <v>745</v>
      </c>
      <c r="E28" s="176">
        <v>1444.0</v>
      </c>
      <c r="F28" s="174" t="s">
        <v>474</v>
      </c>
      <c r="G28" s="175">
        <v>9.610358438E9</v>
      </c>
      <c r="H28" s="177"/>
      <c r="I28" s="174">
        <v>17000.0</v>
      </c>
      <c r="J28" s="174">
        <v>5000.0</v>
      </c>
      <c r="K28" s="177"/>
      <c r="L28" s="177"/>
      <c r="M28" s="178">
        <f t="shared" si="1"/>
        <v>22000</v>
      </c>
      <c r="N28" s="178">
        <f t="shared" si="2"/>
        <v>0</v>
      </c>
      <c r="O28" s="178">
        <f t="shared" si="3"/>
        <v>22000</v>
      </c>
      <c r="P28" s="177"/>
      <c r="Q28" s="177"/>
      <c r="R28" s="177"/>
      <c r="S28" s="178"/>
      <c r="T28" s="184"/>
      <c r="U28" s="184"/>
      <c r="V28" s="184"/>
      <c r="W28" s="184"/>
      <c r="X28" s="184"/>
      <c r="Y28" s="184"/>
    </row>
    <row r="29">
      <c r="A29" s="174">
        <v>31.0</v>
      </c>
      <c r="B29" s="174" t="s">
        <v>801</v>
      </c>
      <c r="C29" s="174" t="s">
        <v>802</v>
      </c>
      <c r="D29" s="175" t="s">
        <v>748</v>
      </c>
      <c r="E29" s="176">
        <v>1871.0</v>
      </c>
      <c r="F29" s="181" t="s">
        <v>760</v>
      </c>
      <c r="G29" s="182">
        <v>8.875317709E9</v>
      </c>
      <c r="H29" s="182">
        <v>1000.0</v>
      </c>
      <c r="I29" s="174">
        <v>17000.0</v>
      </c>
      <c r="J29" s="182">
        <v>9000.0</v>
      </c>
      <c r="K29" s="181"/>
      <c r="L29" s="182">
        <v>4000.0</v>
      </c>
      <c r="M29" s="178">
        <f t="shared" si="1"/>
        <v>23000</v>
      </c>
      <c r="N29" s="178">
        <f t="shared" si="2"/>
        <v>10000</v>
      </c>
      <c r="O29" s="178">
        <f t="shared" si="3"/>
        <v>13000</v>
      </c>
      <c r="P29" s="181" t="s">
        <v>44</v>
      </c>
      <c r="Q29" s="183">
        <v>5000.0</v>
      </c>
      <c r="R29" s="183">
        <v>3005.0</v>
      </c>
      <c r="S29" s="173" t="s">
        <v>191</v>
      </c>
      <c r="T29" s="172">
        <v>5000.0</v>
      </c>
      <c r="U29" s="172">
        <v>3519.0</v>
      </c>
      <c r="V29" s="185">
        <v>45818.0</v>
      </c>
      <c r="W29" s="184"/>
      <c r="X29" s="184"/>
      <c r="Y29" s="184"/>
    </row>
    <row r="30">
      <c r="A30" s="174">
        <v>32.0</v>
      </c>
      <c r="B30" s="174" t="s">
        <v>803</v>
      </c>
      <c r="C30" s="174" t="s">
        <v>804</v>
      </c>
      <c r="D30" s="175" t="s">
        <v>745</v>
      </c>
      <c r="E30" s="176">
        <v>1476.0</v>
      </c>
      <c r="F30" s="174" t="s">
        <v>33</v>
      </c>
      <c r="G30" s="175">
        <v>8.302739757E9</v>
      </c>
      <c r="H30" s="177"/>
      <c r="I30" s="174">
        <v>17000.0</v>
      </c>
      <c r="J30" s="174">
        <v>5000.0</v>
      </c>
      <c r="K30" s="177"/>
      <c r="L30" s="177"/>
      <c r="M30" s="178">
        <f t="shared" si="1"/>
        <v>22000</v>
      </c>
      <c r="N30" s="178">
        <f t="shared" si="2"/>
        <v>0</v>
      </c>
      <c r="O30" s="178">
        <f t="shared" si="3"/>
        <v>22000</v>
      </c>
      <c r="P30" s="177"/>
      <c r="Q30" s="184"/>
      <c r="R30" s="184"/>
      <c r="S30" s="188"/>
      <c r="T30" s="184"/>
      <c r="U30" s="184"/>
      <c r="V30" s="184"/>
      <c r="W30" s="184"/>
      <c r="X30" s="184"/>
      <c r="Y30" s="184"/>
    </row>
    <row r="31">
      <c r="A31" s="174">
        <v>34.0</v>
      </c>
      <c r="B31" s="174" t="s">
        <v>805</v>
      </c>
      <c r="C31" s="174" t="s">
        <v>806</v>
      </c>
      <c r="D31" s="175" t="s">
        <v>745</v>
      </c>
      <c r="E31" s="192"/>
      <c r="F31" s="174" t="s">
        <v>807</v>
      </c>
      <c r="G31" s="175">
        <v>8.290905782E9</v>
      </c>
      <c r="H31" s="177"/>
      <c r="I31" s="174">
        <v>17000.0</v>
      </c>
      <c r="J31" s="174">
        <v>6000.0</v>
      </c>
      <c r="K31" s="177"/>
      <c r="L31" s="174">
        <v>3000.0</v>
      </c>
      <c r="M31" s="178">
        <f t="shared" si="1"/>
        <v>20000</v>
      </c>
      <c r="N31" s="178">
        <f t="shared" si="2"/>
        <v>10000</v>
      </c>
      <c r="O31" s="178">
        <f t="shared" si="3"/>
        <v>10000</v>
      </c>
      <c r="P31" s="174" t="s">
        <v>44</v>
      </c>
      <c r="Q31" s="172">
        <v>10000.0</v>
      </c>
      <c r="R31" s="172">
        <v>3947.0</v>
      </c>
      <c r="S31" s="173" t="s">
        <v>132</v>
      </c>
      <c r="T31" s="184"/>
      <c r="U31" s="184"/>
      <c r="V31" s="184"/>
      <c r="W31" s="184"/>
      <c r="X31" s="184"/>
      <c r="Y31" s="184"/>
    </row>
    <row r="32">
      <c r="A32" s="174">
        <v>35.0</v>
      </c>
      <c r="B32" s="194" t="s">
        <v>808</v>
      </c>
      <c r="C32" s="181" t="s">
        <v>809</v>
      </c>
      <c r="D32" s="190" t="s">
        <v>748</v>
      </c>
      <c r="E32" s="177"/>
      <c r="F32" s="181" t="s">
        <v>48</v>
      </c>
      <c r="G32" s="182">
        <v>7.726028113E9</v>
      </c>
      <c r="H32" s="182">
        <v>0.0</v>
      </c>
      <c r="I32" s="174">
        <v>17000.0</v>
      </c>
      <c r="J32" s="182">
        <v>9500.0</v>
      </c>
      <c r="K32" s="181"/>
      <c r="L32" s="182">
        <v>6500.0</v>
      </c>
      <c r="M32" s="178">
        <f t="shared" si="1"/>
        <v>20000</v>
      </c>
      <c r="N32" s="178">
        <f t="shared" si="2"/>
        <v>0</v>
      </c>
      <c r="O32" s="178">
        <f t="shared" si="3"/>
        <v>20000</v>
      </c>
      <c r="P32" s="181" t="s">
        <v>131</v>
      </c>
      <c r="Q32" s="184"/>
      <c r="R32" s="184"/>
      <c r="S32" s="188"/>
      <c r="T32" s="184"/>
      <c r="U32" s="184"/>
      <c r="V32" s="184"/>
      <c r="W32" s="184"/>
      <c r="X32" s="184"/>
      <c r="Y32" s="184"/>
    </row>
    <row r="33">
      <c r="A33" s="174">
        <v>36.0</v>
      </c>
      <c r="B33" s="174" t="s">
        <v>810</v>
      </c>
      <c r="C33" s="174" t="s">
        <v>811</v>
      </c>
      <c r="D33" s="175" t="s">
        <v>745</v>
      </c>
      <c r="E33" s="176">
        <v>1150.0</v>
      </c>
      <c r="F33" s="174" t="s">
        <v>165</v>
      </c>
      <c r="G33" s="175">
        <v>7.727963056E9</v>
      </c>
      <c r="H33" s="177"/>
      <c r="I33" s="174">
        <v>17000.0</v>
      </c>
      <c r="J33" s="174">
        <v>7000.0</v>
      </c>
      <c r="K33" s="177"/>
      <c r="L33" s="177"/>
      <c r="M33" s="178">
        <f t="shared" si="1"/>
        <v>24000</v>
      </c>
      <c r="N33" s="178">
        <f t="shared" si="2"/>
        <v>20000</v>
      </c>
      <c r="O33" s="178">
        <f t="shared" si="3"/>
        <v>4000</v>
      </c>
      <c r="P33" s="177"/>
      <c r="Q33" s="183">
        <v>20000.0</v>
      </c>
      <c r="R33" s="183">
        <v>3430.0</v>
      </c>
      <c r="S33" s="173" t="s">
        <v>136</v>
      </c>
      <c r="T33" s="180"/>
      <c r="U33" s="180"/>
      <c r="V33" s="180"/>
      <c r="W33" s="184"/>
      <c r="X33" s="184"/>
      <c r="Y33" s="184"/>
    </row>
    <row r="34">
      <c r="A34" s="174">
        <v>37.0</v>
      </c>
      <c r="B34" s="174" t="s">
        <v>812</v>
      </c>
      <c r="C34" s="174" t="s">
        <v>813</v>
      </c>
      <c r="D34" s="175" t="s">
        <v>125</v>
      </c>
      <c r="E34" s="176">
        <v>2045.0</v>
      </c>
      <c r="F34" s="174" t="s">
        <v>33</v>
      </c>
      <c r="G34" s="175">
        <v>9.521393487E9</v>
      </c>
      <c r="H34" s="177"/>
      <c r="I34" s="174">
        <v>17000.0</v>
      </c>
      <c r="J34" s="174">
        <v>5000.0</v>
      </c>
      <c r="K34" s="177"/>
      <c r="L34" s="177"/>
      <c r="M34" s="178">
        <f t="shared" si="1"/>
        <v>22000</v>
      </c>
      <c r="N34" s="178">
        <f t="shared" si="2"/>
        <v>0</v>
      </c>
      <c r="O34" s="178">
        <f t="shared" si="3"/>
        <v>22000</v>
      </c>
      <c r="P34" s="177"/>
      <c r="Q34" s="184"/>
      <c r="R34" s="184"/>
      <c r="S34" s="188"/>
      <c r="T34" s="184"/>
      <c r="U34" s="184"/>
      <c r="V34" s="184"/>
      <c r="W34" s="184"/>
      <c r="X34" s="184"/>
      <c r="Y34" s="184"/>
    </row>
    <row r="35">
      <c r="A35" s="174">
        <v>38.0</v>
      </c>
      <c r="B35" s="174" t="s">
        <v>814</v>
      </c>
      <c r="C35" s="174" t="s">
        <v>815</v>
      </c>
      <c r="D35" s="175" t="s">
        <v>748</v>
      </c>
      <c r="E35" s="192"/>
      <c r="F35" s="174" t="s">
        <v>165</v>
      </c>
      <c r="G35" s="175">
        <v>9.799899709E9</v>
      </c>
      <c r="H35" s="177"/>
      <c r="I35" s="174">
        <v>17000.0</v>
      </c>
      <c r="J35" s="174">
        <v>7000.0</v>
      </c>
      <c r="K35" s="177"/>
      <c r="L35" s="177"/>
      <c r="M35" s="178">
        <f t="shared" si="1"/>
        <v>24000</v>
      </c>
      <c r="N35" s="178">
        <f t="shared" si="2"/>
        <v>17000</v>
      </c>
      <c r="O35" s="178">
        <f t="shared" si="3"/>
        <v>7000</v>
      </c>
      <c r="P35" s="177"/>
      <c r="Q35" s="172">
        <v>17000.0</v>
      </c>
      <c r="R35" s="172">
        <v>3594.0</v>
      </c>
      <c r="S35" s="179">
        <v>45848.0</v>
      </c>
      <c r="T35" s="184"/>
      <c r="U35" s="184"/>
      <c r="V35" s="184"/>
      <c r="W35" s="184"/>
      <c r="X35" s="184"/>
      <c r="Y35" s="184"/>
    </row>
    <row r="36">
      <c r="A36" s="174">
        <v>39.0</v>
      </c>
      <c r="B36" s="174" t="s">
        <v>313</v>
      </c>
      <c r="C36" s="174" t="s">
        <v>515</v>
      </c>
      <c r="D36" s="175" t="s">
        <v>745</v>
      </c>
      <c r="E36" s="176">
        <v>1170.0</v>
      </c>
      <c r="F36" s="174" t="s">
        <v>145</v>
      </c>
      <c r="G36" s="175">
        <v>8.79905419E8</v>
      </c>
      <c r="H36" s="177"/>
      <c r="I36" s="174">
        <v>17000.0</v>
      </c>
      <c r="J36" s="174">
        <v>0.0</v>
      </c>
      <c r="K36" s="177"/>
      <c r="L36" s="177"/>
      <c r="M36" s="178">
        <f t="shared" si="1"/>
        <v>17000</v>
      </c>
      <c r="N36" s="178">
        <f t="shared" si="2"/>
        <v>0</v>
      </c>
      <c r="O36" s="178">
        <f t="shared" si="3"/>
        <v>17000</v>
      </c>
      <c r="P36" s="177"/>
      <c r="Q36" s="184"/>
      <c r="R36" s="184"/>
      <c r="S36" s="188"/>
      <c r="T36" s="184"/>
      <c r="U36" s="184"/>
      <c r="V36" s="184"/>
      <c r="W36" s="184"/>
      <c r="X36" s="184"/>
      <c r="Y36" s="184"/>
    </row>
    <row r="37">
      <c r="A37" s="174">
        <v>40.0</v>
      </c>
      <c r="B37" s="174" t="s">
        <v>816</v>
      </c>
      <c r="C37" s="174" t="s">
        <v>817</v>
      </c>
      <c r="D37" s="175" t="s">
        <v>125</v>
      </c>
      <c r="E37" s="176">
        <v>2.0220022E7</v>
      </c>
      <c r="F37" s="174" t="s">
        <v>126</v>
      </c>
      <c r="G37" s="175">
        <v>9.001200353E9</v>
      </c>
      <c r="H37" s="177"/>
      <c r="I37" s="174">
        <v>17000.0</v>
      </c>
      <c r="J37" s="174">
        <v>5000.0</v>
      </c>
      <c r="K37" s="177"/>
      <c r="L37" s="177"/>
      <c r="M37" s="178">
        <f t="shared" si="1"/>
        <v>22000</v>
      </c>
      <c r="N37" s="178">
        <f t="shared" si="2"/>
        <v>3000</v>
      </c>
      <c r="O37" s="178">
        <f t="shared" si="3"/>
        <v>19000</v>
      </c>
      <c r="P37" s="177"/>
      <c r="Q37" s="172">
        <v>3000.0</v>
      </c>
      <c r="R37" s="172">
        <v>3825.0</v>
      </c>
      <c r="S37" s="187">
        <v>45941.0</v>
      </c>
      <c r="T37" s="184"/>
      <c r="U37" s="184"/>
      <c r="V37" s="184"/>
      <c r="W37" s="184"/>
      <c r="X37" s="184"/>
      <c r="Y37" s="184"/>
    </row>
    <row r="38">
      <c r="A38" s="174">
        <v>41.0</v>
      </c>
      <c r="B38" s="174" t="s">
        <v>818</v>
      </c>
      <c r="C38" s="174" t="s">
        <v>819</v>
      </c>
      <c r="D38" s="175" t="s">
        <v>745</v>
      </c>
      <c r="E38" s="176">
        <v>1728.0</v>
      </c>
      <c r="F38" s="174" t="s">
        <v>298</v>
      </c>
      <c r="G38" s="175">
        <v>8.239928394E9</v>
      </c>
      <c r="H38" s="174">
        <v>0.0</v>
      </c>
      <c r="I38" s="174">
        <v>17000.0</v>
      </c>
      <c r="J38" s="174">
        <v>7500.0</v>
      </c>
      <c r="K38" s="177"/>
      <c r="L38" s="174">
        <v>3000.0</v>
      </c>
      <c r="M38" s="178">
        <f t="shared" si="1"/>
        <v>21500</v>
      </c>
      <c r="N38" s="178">
        <f t="shared" si="2"/>
        <v>5000</v>
      </c>
      <c r="O38" s="178">
        <f t="shared" si="3"/>
        <v>16500</v>
      </c>
      <c r="P38" s="174" t="s">
        <v>131</v>
      </c>
      <c r="Q38" s="172">
        <v>5000.0</v>
      </c>
      <c r="R38" s="172">
        <v>3561.0</v>
      </c>
      <c r="S38" s="179">
        <v>45848.0</v>
      </c>
      <c r="T38" s="184"/>
      <c r="U38" s="184"/>
      <c r="V38" s="184"/>
      <c r="W38" s="184"/>
      <c r="X38" s="184"/>
      <c r="Y38" s="184"/>
    </row>
    <row r="39">
      <c r="A39" s="174">
        <v>43.0</v>
      </c>
      <c r="B39" s="174" t="s">
        <v>820</v>
      </c>
      <c r="C39" s="174" t="s">
        <v>181</v>
      </c>
      <c r="D39" s="175" t="s">
        <v>125</v>
      </c>
      <c r="E39" s="176">
        <v>1666.0</v>
      </c>
      <c r="F39" s="174" t="s">
        <v>169</v>
      </c>
      <c r="G39" s="175">
        <v>9.54961209E9</v>
      </c>
      <c r="H39" s="177"/>
      <c r="I39" s="174">
        <v>17000.0</v>
      </c>
      <c r="J39" s="174">
        <v>7500.0</v>
      </c>
      <c r="K39" s="177"/>
      <c r="L39" s="177"/>
      <c r="M39" s="178">
        <f t="shared" si="1"/>
        <v>24500</v>
      </c>
      <c r="N39" s="178">
        <f t="shared" si="2"/>
        <v>5000</v>
      </c>
      <c r="O39" s="178">
        <f t="shared" si="3"/>
        <v>19500</v>
      </c>
      <c r="P39" s="177"/>
      <c r="Q39" s="172">
        <v>5000.0</v>
      </c>
      <c r="R39" s="172">
        <v>4074.0</v>
      </c>
      <c r="S39" s="179">
        <v>45759.0</v>
      </c>
      <c r="T39" s="184"/>
      <c r="U39" s="184"/>
      <c r="V39" s="184"/>
      <c r="W39" s="184"/>
      <c r="X39" s="184"/>
      <c r="Y39" s="184"/>
    </row>
    <row r="40">
      <c r="A40" s="174">
        <v>44.0</v>
      </c>
      <c r="B40" s="174" t="s">
        <v>821</v>
      </c>
      <c r="C40" s="174" t="s">
        <v>822</v>
      </c>
      <c r="D40" s="175" t="s">
        <v>125</v>
      </c>
      <c r="E40" s="176">
        <v>1254.0</v>
      </c>
      <c r="F40" s="174" t="s">
        <v>823</v>
      </c>
      <c r="G40" s="175">
        <v>8.003354355E9</v>
      </c>
      <c r="H40" s="177"/>
      <c r="I40" s="174">
        <v>17000.0</v>
      </c>
      <c r="J40" s="174">
        <v>6500.0</v>
      </c>
      <c r="K40" s="177"/>
      <c r="L40" s="177"/>
      <c r="M40" s="178">
        <f t="shared" si="1"/>
        <v>23500</v>
      </c>
      <c r="N40" s="178">
        <f t="shared" si="2"/>
        <v>5000</v>
      </c>
      <c r="O40" s="178">
        <f t="shared" si="3"/>
        <v>18500</v>
      </c>
      <c r="P40" s="177"/>
      <c r="Q40" s="177"/>
      <c r="R40" s="177"/>
      <c r="S40" s="178"/>
      <c r="T40" s="174">
        <v>5000.0</v>
      </c>
      <c r="U40" s="174">
        <v>3582.0</v>
      </c>
      <c r="V40" s="195">
        <v>45848.0</v>
      </c>
      <c r="W40" s="184"/>
      <c r="X40" s="184"/>
      <c r="Y40" s="184"/>
    </row>
    <row r="41">
      <c r="A41" s="174">
        <v>45.0</v>
      </c>
      <c r="B41" s="174" t="s">
        <v>824</v>
      </c>
      <c r="C41" s="174" t="s">
        <v>825</v>
      </c>
      <c r="D41" s="175" t="s">
        <v>745</v>
      </c>
      <c r="E41" s="176">
        <v>1462.0</v>
      </c>
      <c r="F41" s="181" t="s">
        <v>361</v>
      </c>
      <c r="G41" s="182">
        <v>9.351118928E9</v>
      </c>
      <c r="H41" s="182">
        <v>0.0</v>
      </c>
      <c r="I41" s="174">
        <v>17000.0</v>
      </c>
      <c r="J41" s="182">
        <v>5000.0</v>
      </c>
      <c r="K41" s="181"/>
      <c r="L41" s="182">
        <v>6000.0</v>
      </c>
      <c r="M41" s="178">
        <f t="shared" si="1"/>
        <v>16000</v>
      </c>
      <c r="N41" s="178">
        <f t="shared" si="2"/>
        <v>10000</v>
      </c>
      <c r="O41" s="178">
        <f t="shared" si="3"/>
        <v>6000</v>
      </c>
      <c r="P41" s="181" t="s">
        <v>34</v>
      </c>
      <c r="Q41" s="183">
        <v>5000.0</v>
      </c>
      <c r="R41" s="183">
        <v>2966.0</v>
      </c>
      <c r="S41" s="186">
        <v>45937.0</v>
      </c>
      <c r="T41" s="172">
        <v>5000.0</v>
      </c>
      <c r="U41" s="172">
        <v>3586.0</v>
      </c>
      <c r="V41" s="185">
        <v>45848.0</v>
      </c>
      <c r="W41" s="184"/>
      <c r="X41" s="184"/>
      <c r="Y41" s="184"/>
    </row>
    <row r="42">
      <c r="A42" s="174">
        <v>46.0</v>
      </c>
      <c r="B42" s="174" t="s">
        <v>826</v>
      </c>
      <c r="C42" s="174" t="s">
        <v>827</v>
      </c>
      <c r="D42" s="175" t="s">
        <v>748</v>
      </c>
      <c r="E42" s="176">
        <v>1125.0</v>
      </c>
      <c r="F42" s="174" t="s">
        <v>474</v>
      </c>
      <c r="G42" s="175">
        <v>9.950932809E9</v>
      </c>
      <c r="H42" s="177"/>
      <c r="I42" s="174">
        <v>17000.0</v>
      </c>
      <c r="J42" s="174">
        <v>5000.0</v>
      </c>
      <c r="K42" s="177"/>
      <c r="L42" s="177"/>
      <c r="M42" s="178">
        <f t="shared" si="1"/>
        <v>22000</v>
      </c>
      <c r="N42" s="178">
        <f t="shared" si="2"/>
        <v>10000</v>
      </c>
      <c r="O42" s="178">
        <f t="shared" si="3"/>
        <v>12000</v>
      </c>
      <c r="P42" s="177"/>
      <c r="Q42" s="183">
        <v>10000.0</v>
      </c>
      <c r="R42" s="183">
        <v>3425.0</v>
      </c>
      <c r="S42" s="173" t="s">
        <v>136</v>
      </c>
      <c r="T42" s="177"/>
      <c r="U42" s="177"/>
      <c r="V42" s="177"/>
      <c r="W42" s="184"/>
      <c r="X42" s="184"/>
      <c r="Y42" s="184"/>
    </row>
    <row r="43">
      <c r="A43" s="174">
        <v>48.0</v>
      </c>
      <c r="B43" s="174" t="s">
        <v>828</v>
      </c>
      <c r="C43" s="174" t="s">
        <v>829</v>
      </c>
      <c r="D43" s="175" t="s">
        <v>125</v>
      </c>
      <c r="E43" s="176">
        <v>1542.0</v>
      </c>
      <c r="F43" s="181" t="s">
        <v>301</v>
      </c>
      <c r="G43" s="182">
        <v>9.660892256E9</v>
      </c>
      <c r="H43" s="181"/>
      <c r="I43" s="174">
        <v>17000.0</v>
      </c>
      <c r="J43" s="194">
        <v>5000.0</v>
      </c>
      <c r="K43" s="181"/>
      <c r="L43" s="181"/>
      <c r="M43" s="178">
        <f t="shared" si="1"/>
        <v>22000</v>
      </c>
      <c r="N43" s="178">
        <f t="shared" si="2"/>
        <v>11500</v>
      </c>
      <c r="O43" s="178">
        <f t="shared" si="3"/>
        <v>10500</v>
      </c>
      <c r="P43" s="181"/>
      <c r="Q43" s="183">
        <v>5000.0</v>
      </c>
      <c r="R43" s="183">
        <v>3011.0</v>
      </c>
      <c r="S43" s="173" t="s">
        <v>370</v>
      </c>
      <c r="T43" s="183">
        <v>6500.0</v>
      </c>
      <c r="U43" s="183">
        <v>3362.0</v>
      </c>
      <c r="V43" s="196">
        <v>45725.0</v>
      </c>
      <c r="W43" s="184"/>
      <c r="X43" s="184"/>
      <c r="Y43" s="184"/>
    </row>
    <row r="44">
      <c r="A44" s="174">
        <v>49.0</v>
      </c>
      <c r="B44" s="174" t="s">
        <v>830</v>
      </c>
      <c r="C44" s="174" t="s">
        <v>831</v>
      </c>
      <c r="D44" s="175" t="s">
        <v>745</v>
      </c>
      <c r="E44" s="176">
        <v>1130.0</v>
      </c>
      <c r="F44" s="174" t="s">
        <v>474</v>
      </c>
      <c r="G44" s="175">
        <v>9.571667012E9</v>
      </c>
      <c r="H44" s="177"/>
      <c r="I44" s="174">
        <v>17000.0</v>
      </c>
      <c r="J44" s="174">
        <v>5000.0</v>
      </c>
      <c r="K44" s="177"/>
      <c r="L44" s="177"/>
      <c r="M44" s="178">
        <f t="shared" si="1"/>
        <v>22000</v>
      </c>
      <c r="N44" s="178">
        <f t="shared" si="2"/>
        <v>0</v>
      </c>
      <c r="O44" s="178">
        <f t="shared" si="3"/>
        <v>22000</v>
      </c>
      <c r="P44" s="177"/>
      <c r="Q44" s="184"/>
      <c r="R44" s="184"/>
      <c r="S44" s="188"/>
      <c r="T44" s="184"/>
      <c r="U44" s="184"/>
      <c r="V44" s="184"/>
      <c r="W44" s="184"/>
      <c r="X44" s="191"/>
      <c r="Y44" s="191"/>
    </row>
    <row r="45">
      <c r="A45" s="174">
        <v>50.0</v>
      </c>
      <c r="B45" s="174" t="s">
        <v>832</v>
      </c>
      <c r="C45" s="174" t="s">
        <v>833</v>
      </c>
      <c r="D45" s="175" t="s">
        <v>748</v>
      </c>
      <c r="E45" s="176">
        <v>1626.0</v>
      </c>
      <c r="F45" s="174" t="s">
        <v>834</v>
      </c>
      <c r="G45" s="175">
        <v>9.601497884E9</v>
      </c>
      <c r="H45" s="177"/>
      <c r="I45" s="174">
        <v>17000.0</v>
      </c>
      <c r="J45" s="174">
        <v>8500.0</v>
      </c>
      <c r="K45" s="174">
        <v>0.0</v>
      </c>
      <c r="L45" s="174">
        <v>5500.0</v>
      </c>
      <c r="M45" s="178">
        <f t="shared" si="1"/>
        <v>20000</v>
      </c>
      <c r="N45" s="178">
        <f t="shared" si="2"/>
        <v>0</v>
      </c>
      <c r="O45" s="178">
        <f t="shared" si="3"/>
        <v>20000</v>
      </c>
      <c r="P45" s="177"/>
      <c r="Q45" s="184"/>
      <c r="R45" s="184"/>
      <c r="S45" s="188"/>
      <c r="T45" s="184"/>
      <c r="U45" s="184"/>
      <c r="V45" s="184"/>
      <c r="W45" s="184"/>
      <c r="X45" s="184"/>
      <c r="Y45" s="184"/>
    </row>
    <row r="46">
      <c r="A46" s="174">
        <v>52.0</v>
      </c>
      <c r="B46" s="174" t="s">
        <v>835</v>
      </c>
      <c r="C46" s="174" t="s">
        <v>836</v>
      </c>
      <c r="D46" s="175" t="s">
        <v>748</v>
      </c>
      <c r="E46" s="176">
        <v>2.022002E7</v>
      </c>
      <c r="F46" s="174" t="s">
        <v>126</v>
      </c>
      <c r="G46" s="175">
        <v>7.073496009E9</v>
      </c>
      <c r="H46" s="177"/>
      <c r="I46" s="174">
        <v>17000.0</v>
      </c>
      <c r="J46" s="174">
        <v>5000.0</v>
      </c>
      <c r="K46" s="177"/>
      <c r="L46" s="177"/>
      <c r="M46" s="178">
        <f t="shared" si="1"/>
        <v>22000</v>
      </c>
      <c r="N46" s="178">
        <f t="shared" si="2"/>
        <v>0</v>
      </c>
      <c r="O46" s="178">
        <f t="shared" si="3"/>
        <v>22000</v>
      </c>
      <c r="P46" s="177"/>
      <c r="Q46" s="184"/>
      <c r="R46" s="184"/>
      <c r="S46" s="188"/>
      <c r="T46" s="184"/>
      <c r="U46" s="184"/>
      <c r="V46" s="184"/>
      <c r="W46" s="184"/>
      <c r="X46" s="184"/>
      <c r="Y46" s="184"/>
    </row>
    <row r="47">
      <c r="A47" s="174">
        <v>53.0</v>
      </c>
      <c r="B47" s="174" t="s">
        <v>837</v>
      </c>
      <c r="C47" s="174" t="s">
        <v>838</v>
      </c>
      <c r="D47" s="175" t="s">
        <v>745</v>
      </c>
      <c r="E47" s="176">
        <v>1704.0</v>
      </c>
      <c r="F47" s="174" t="s">
        <v>839</v>
      </c>
      <c r="G47" s="175">
        <v>8.769645419E9</v>
      </c>
      <c r="H47" s="177"/>
      <c r="I47" s="174">
        <v>17000.0</v>
      </c>
      <c r="J47" s="174">
        <v>7000.0</v>
      </c>
      <c r="K47" s="177"/>
      <c r="L47" s="174">
        <v>3000.0</v>
      </c>
      <c r="M47" s="178">
        <f t="shared" si="1"/>
        <v>21000</v>
      </c>
      <c r="N47" s="178">
        <f t="shared" si="2"/>
        <v>5000</v>
      </c>
      <c r="O47" s="178">
        <f t="shared" si="3"/>
        <v>16000</v>
      </c>
      <c r="P47" s="174" t="s">
        <v>44</v>
      </c>
      <c r="Q47" s="172">
        <v>5000.0</v>
      </c>
      <c r="R47" s="172">
        <v>3896.0</v>
      </c>
      <c r="S47" s="173" t="s">
        <v>171</v>
      </c>
      <c r="T47" s="184"/>
      <c r="U47" s="184"/>
      <c r="V47" s="184"/>
      <c r="W47" s="184"/>
      <c r="X47" s="184"/>
      <c r="Y47" s="184"/>
    </row>
    <row r="48">
      <c r="A48" s="174">
        <v>54.0</v>
      </c>
      <c r="B48" s="174" t="s">
        <v>840</v>
      </c>
      <c r="C48" s="174" t="s">
        <v>176</v>
      </c>
      <c r="D48" s="175" t="s">
        <v>745</v>
      </c>
      <c r="E48" s="176">
        <v>2.0220014E7</v>
      </c>
      <c r="F48" s="174" t="s">
        <v>738</v>
      </c>
      <c r="G48" s="175">
        <v>9.024236995E9</v>
      </c>
      <c r="H48" s="177"/>
      <c r="I48" s="174">
        <v>17000.0</v>
      </c>
      <c r="J48" s="174">
        <v>0.0</v>
      </c>
      <c r="K48" s="177"/>
      <c r="L48" s="177"/>
      <c r="M48" s="178">
        <f t="shared" si="1"/>
        <v>17000</v>
      </c>
      <c r="N48" s="178">
        <f t="shared" si="2"/>
        <v>0</v>
      </c>
      <c r="O48" s="178">
        <f t="shared" si="3"/>
        <v>17000</v>
      </c>
      <c r="P48" s="177"/>
      <c r="Q48" s="184"/>
      <c r="R48" s="184"/>
      <c r="S48" s="188"/>
      <c r="T48" s="184"/>
      <c r="U48" s="184"/>
      <c r="V48" s="184"/>
      <c r="W48" s="184"/>
      <c r="X48" s="184"/>
      <c r="Y48" s="184"/>
    </row>
    <row r="49">
      <c r="A49" s="174">
        <v>55.0</v>
      </c>
      <c r="B49" s="174" t="s">
        <v>841</v>
      </c>
      <c r="C49" s="174" t="s">
        <v>842</v>
      </c>
      <c r="D49" s="175" t="s">
        <v>748</v>
      </c>
      <c r="E49" s="176">
        <v>1250.0</v>
      </c>
      <c r="F49" s="174" t="s">
        <v>126</v>
      </c>
      <c r="G49" s="175">
        <v>7.073496009E9</v>
      </c>
      <c r="H49" s="177"/>
      <c r="I49" s="174">
        <v>17000.0</v>
      </c>
      <c r="J49" s="174">
        <v>5000.0</v>
      </c>
      <c r="K49" s="177"/>
      <c r="L49" s="177"/>
      <c r="M49" s="178">
        <f t="shared" si="1"/>
        <v>22000</v>
      </c>
      <c r="N49" s="178">
        <f t="shared" si="2"/>
        <v>0</v>
      </c>
      <c r="O49" s="178">
        <f t="shared" si="3"/>
        <v>22000</v>
      </c>
      <c r="P49" s="177"/>
      <c r="Q49" s="184"/>
      <c r="R49" s="184"/>
      <c r="S49" s="188"/>
      <c r="T49" s="184"/>
      <c r="U49" s="184"/>
      <c r="V49" s="184"/>
      <c r="W49" s="184"/>
      <c r="X49" s="184"/>
      <c r="Y49" s="184"/>
    </row>
    <row r="50">
      <c r="A50" s="174">
        <v>58.0</v>
      </c>
      <c r="B50" s="174" t="s">
        <v>843</v>
      </c>
      <c r="C50" s="174" t="s">
        <v>844</v>
      </c>
      <c r="D50" s="175" t="s">
        <v>125</v>
      </c>
      <c r="E50" s="176">
        <v>1738.0</v>
      </c>
      <c r="F50" s="174" t="s">
        <v>845</v>
      </c>
      <c r="G50" s="175">
        <v>7.878262093E9</v>
      </c>
      <c r="H50" s="177"/>
      <c r="I50" s="174">
        <v>17000.0</v>
      </c>
      <c r="J50" s="174">
        <v>10000.0</v>
      </c>
      <c r="K50" s="177"/>
      <c r="L50" s="177"/>
      <c r="M50" s="178">
        <f t="shared" si="1"/>
        <v>27000</v>
      </c>
      <c r="N50" s="178">
        <f t="shared" si="2"/>
        <v>5000</v>
      </c>
      <c r="O50" s="178">
        <f t="shared" si="3"/>
        <v>22000</v>
      </c>
      <c r="P50" s="177"/>
      <c r="Q50" s="172">
        <v>5000.0</v>
      </c>
      <c r="R50" s="172">
        <v>3886.0</v>
      </c>
      <c r="S50" s="173" t="s">
        <v>374</v>
      </c>
      <c r="T50" s="184"/>
      <c r="U50" s="184"/>
      <c r="V50" s="184"/>
      <c r="W50" s="184"/>
      <c r="X50" s="184"/>
      <c r="Y50" s="184"/>
    </row>
    <row r="51">
      <c r="A51" s="174">
        <v>59.0</v>
      </c>
      <c r="B51" s="174" t="s">
        <v>846</v>
      </c>
      <c r="C51" s="174" t="s">
        <v>847</v>
      </c>
      <c r="D51" s="175" t="s">
        <v>745</v>
      </c>
      <c r="E51" s="192"/>
      <c r="F51" s="174" t="s">
        <v>652</v>
      </c>
      <c r="G51" s="175">
        <v>9.929094982E9</v>
      </c>
      <c r="H51" s="177"/>
      <c r="I51" s="174">
        <v>17000.0</v>
      </c>
      <c r="J51" s="174">
        <v>8000.0</v>
      </c>
      <c r="K51" s="177"/>
      <c r="L51" s="174">
        <v>2500.0</v>
      </c>
      <c r="M51" s="178">
        <f t="shared" si="1"/>
        <v>22500</v>
      </c>
      <c r="N51" s="178">
        <f t="shared" si="2"/>
        <v>0</v>
      </c>
      <c r="O51" s="178">
        <f t="shared" si="3"/>
        <v>22500</v>
      </c>
      <c r="P51" s="177"/>
      <c r="Q51" s="183"/>
      <c r="R51" s="183"/>
      <c r="S51" s="179"/>
      <c r="T51" s="184"/>
      <c r="U51" s="184"/>
      <c r="V51" s="184"/>
      <c r="W51" s="184"/>
      <c r="X51" s="184"/>
      <c r="Y51" s="184"/>
    </row>
    <row r="52">
      <c r="A52" s="174">
        <v>60.0</v>
      </c>
      <c r="B52" s="174" t="s">
        <v>848</v>
      </c>
      <c r="C52" s="174" t="s">
        <v>849</v>
      </c>
      <c r="D52" s="175" t="s">
        <v>748</v>
      </c>
      <c r="E52" s="176">
        <v>1706.0</v>
      </c>
      <c r="F52" s="174" t="s">
        <v>474</v>
      </c>
      <c r="G52" s="182">
        <v>9.3025229E9</v>
      </c>
      <c r="H52" s="182">
        <v>0.0</v>
      </c>
      <c r="I52" s="174">
        <v>17000.0</v>
      </c>
      <c r="J52" s="182">
        <v>5000.0</v>
      </c>
      <c r="K52" s="181"/>
      <c r="L52" s="182">
        <v>2000.0</v>
      </c>
      <c r="M52" s="178">
        <f t="shared" si="1"/>
        <v>20000</v>
      </c>
      <c r="N52" s="178">
        <f t="shared" si="2"/>
        <v>6000</v>
      </c>
      <c r="O52" s="178">
        <f t="shared" si="3"/>
        <v>14000</v>
      </c>
      <c r="P52" s="181" t="s">
        <v>177</v>
      </c>
      <c r="Q52" s="197">
        <v>6000.0</v>
      </c>
      <c r="R52" s="197">
        <v>2914.0</v>
      </c>
      <c r="S52" s="198">
        <v>45845.0</v>
      </c>
      <c r="T52" s="184"/>
      <c r="U52" s="184"/>
      <c r="V52" s="184"/>
      <c r="W52" s="184"/>
      <c r="X52" s="184"/>
      <c r="Y52" s="184"/>
    </row>
    <row r="53">
      <c r="A53" s="174">
        <v>61.0</v>
      </c>
      <c r="B53" s="174" t="s">
        <v>850</v>
      </c>
      <c r="C53" s="174" t="s">
        <v>851</v>
      </c>
      <c r="D53" s="175" t="s">
        <v>748</v>
      </c>
      <c r="E53" s="176">
        <v>1852.0</v>
      </c>
      <c r="F53" s="181" t="s">
        <v>235</v>
      </c>
      <c r="G53" s="182">
        <v>9.358926529E9</v>
      </c>
      <c r="H53" s="182">
        <v>1000.0</v>
      </c>
      <c r="I53" s="174">
        <v>17000.0</v>
      </c>
      <c r="J53" s="182">
        <v>10000.0</v>
      </c>
      <c r="K53" s="181"/>
      <c r="L53" s="190">
        <v>3000.0</v>
      </c>
      <c r="M53" s="178">
        <f t="shared" si="1"/>
        <v>25000</v>
      </c>
      <c r="N53" s="178">
        <f t="shared" si="2"/>
        <v>4000</v>
      </c>
      <c r="O53" s="178">
        <f t="shared" si="3"/>
        <v>21000</v>
      </c>
      <c r="P53" s="181" t="s">
        <v>44</v>
      </c>
      <c r="Q53" s="183">
        <v>4000.0</v>
      </c>
      <c r="R53" s="183">
        <v>2974.0</v>
      </c>
      <c r="S53" s="179">
        <v>45937.0</v>
      </c>
      <c r="T53" s="184"/>
      <c r="U53" s="184"/>
      <c r="V53" s="184"/>
      <c r="W53" s="184"/>
      <c r="X53" s="184"/>
      <c r="Y53" s="184"/>
    </row>
    <row r="54">
      <c r="A54" s="174">
        <v>62.0</v>
      </c>
      <c r="B54" s="174" t="s">
        <v>852</v>
      </c>
      <c r="C54" s="174" t="s">
        <v>853</v>
      </c>
      <c r="D54" s="175" t="s">
        <v>125</v>
      </c>
      <c r="E54" s="192"/>
      <c r="F54" s="174" t="s">
        <v>3</v>
      </c>
      <c r="G54" s="175">
        <v>9.376154084E9</v>
      </c>
      <c r="H54" s="177"/>
      <c r="I54" s="174">
        <v>17000.0</v>
      </c>
      <c r="J54" s="174">
        <v>6500.0</v>
      </c>
      <c r="K54" s="177"/>
      <c r="L54" s="177"/>
      <c r="M54" s="178">
        <f t="shared" si="1"/>
        <v>23500</v>
      </c>
      <c r="N54" s="178">
        <f t="shared" si="2"/>
        <v>0</v>
      </c>
      <c r="O54" s="178">
        <f t="shared" si="3"/>
        <v>23500</v>
      </c>
      <c r="P54" s="177"/>
      <c r="Q54" s="184"/>
      <c r="R54" s="184"/>
      <c r="S54" s="188"/>
      <c r="T54" s="184"/>
      <c r="U54" s="184"/>
      <c r="V54" s="184"/>
      <c r="W54" s="184"/>
      <c r="X54" s="184"/>
      <c r="Y54" s="184"/>
    </row>
    <row r="55">
      <c r="A55" s="174">
        <v>63.0</v>
      </c>
      <c r="B55" s="174" t="s">
        <v>854</v>
      </c>
      <c r="C55" s="174" t="s">
        <v>855</v>
      </c>
      <c r="D55" s="175" t="s">
        <v>125</v>
      </c>
      <c r="E55" s="176">
        <v>1664.0</v>
      </c>
      <c r="F55" s="174" t="s">
        <v>165</v>
      </c>
      <c r="G55" s="175">
        <v>9.256171938E9</v>
      </c>
      <c r="H55" s="177"/>
      <c r="I55" s="174">
        <v>17000.0</v>
      </c>
      <c r="J55" s="174">
        <v>7000.0</v>
      </c>
      <c r="K55" s="177"/>
      <c r="L55" s="174">
        <v>1000.0</v>
      </c>
      <c r="M55" s="178">
        <f t="shared" si="1"/>
        <v>23000</v>
      </c>
      <c r="N55" s="178">
        <f t="shared" si="2"/>
        <v>0</v>
      </c>
      <c r="O55" s="178">
        <f t="shared" si="3"/>
        <v>23000</v>
      </c>
      <c r="P55" s="174" t="s">
        <v>131</v>
      </c>
      <c r="Q55" s="184"/>
      <c r="R55" s="184"/>
      <c r="S55" s="188"/>
      <c r="T55" s="184"/>
      <c r="U55" s="184"/>
      <c r="V55" s="184"/>
      <c r="W55" s="184"/>
      <c r="X55" s="184"/>
      <c r="Y55" s="184"/>
    </row>
    <row r="56">
      <c r="A56" s="174">
        <v>64.0</v>
      </c>
      <c r="B56" s="174" t="s">
        <v>856</v>
      </c>
      <c r="C56" s="174" t="s">
        <v>857</v>
      </c>
      <c r="D56" s="175" t="s">
        <v>748</v>
      </c>
      <c r="E56" s="192"/>
      <c r="F56" s="174" t="s">
        <v>3</v>
      </c>
      <c r="G56" s="175">
        <v>8.829836134E9</v>
      </c>
      <c r="H56" s="177"/>
      <c r="I56" s="174">
        <v>17000.0</v>
      </c>
      <c r="J56" s="174">
        <v>6500.0</v>
      </c>
      <c r="K56" s="177"/>
      <c r="L56" s="177"/>
      <c r="M56" s="178">
        <f t="shared" si="1"/>
        <v>23500</v>
      </c>
      <c r="N56" s="178">
        <f t="shared" si="2"/>
        <v>0</v>
      </c>
      <c r="O56" s="178">
        <f t="shared" si="3"/>
        <v>23500</v>
      </c>
      <c r="P56" s="177"/>
      <c r="Q56" s="177"/>
      <c r="R56" s="177"/>
      <c r="S56" s="178"/>
      <c r="T56" s="184"/>
      <c r="U56" s="184"/>
      <c r="V56" s="184"/>
      <c r="W56" s="184"/>
      <c r="X56" s="184"/>
      <c r="Y56" s="184"/>
    </row>
    <row r="57">
      <c r="A57" s="174">
        <v>65.0</v>
      </c>
      <c r="B57" s="174" t="s">
        <v>123</v>
      </c>
      <c r="C57" s="174" t="s">
        <v>124</v>
      </c>
      <c r="D57" s="175" t="s">
        <v>125</v>
      </c>
      <c r="E57" s="176">
        <v>2.0220019E7</v>
      </c>
      <c r="F57" s="174" t="s">
        <v>126</v>
      </c>
      <c r="G57" s="175">
        <v>8.000849677E9</v>
      </c>
      <c r="H57" s="177"/>
      <c r="I57" s="174">
        <v>17000.0</v>
      </c>
      <c r="J57" s="174">
        <v>5000.0</v>
      </c>
      <c r="K57" s="177"/>
      <c r="L57" s="177"/>
      <c r="M57" s="178">
        <f t="shared" si="1"/>
        <v>22000</v>
      </c>
      <c r="N57" s="178">
        <f t="shared" si="2"/>
        <v>0</v>
      </c>
      <c r="O57" s="178">
        <f t="shared" si="3"/>
        <v>22000</v>
      </c>
      <c r="P57" s="177"/>
      <c r="Q57" s="184"/>
      <c r="R57" s="184"/>
      <c r="S57" s="199"/>
      <c r="T57" s="184"/>
      <c r="U57" s="184"/>
      <c r="V57" s="184"/>
      <c r="W57" s="184"/>
      <c r="X57" s="184"/>
      <c r="Y57" s="184"/>
    </row>
    <row r="58">
      <c r="A58" s="174">
        <v>66.0</v>
      </c>
      <c r="B58" s="174" t="s">
        <v>858</v>
      </c>
      <c r="C58" s="174" t="s">
        <v>859</v>
      </c>
      <c r="D58" s="175" t="s">
        <v>745</v>
      </c>
      <c r="E58" s="176">
        <v>2.0220017E7</v>
      </c>
      <c r="F58" s="174" t="s">
        <v>126</v>
      </c>
      <c r="G58" s="175">
        <v>8.875138965E9</v>
      </c>
      <c r="H58" s="177"/>
      <c r="I58" s="174">
        <v>17000.0</v>
      </c>
      <c r="J58" s="174">
        <v>5000.0</v>
      </c>
      <c r="K58" s="177"/>
      <c r="L58" s="177"/>
      <c r="M58" s="178">
        <f t="shared" si="1"/>
        <v>22000</v>
      </c>
      <c r="N58" s="178">
        <f t="shared" si="2"/>
        <v>5000</v>
      </c>
      <c r="O58" s="178">
        <f t="shared" si="3"/>
        <v>17000</v>
      </c>
      <c r="P58" s="177"/>
      <c r="Q58" s="183">
        <v>5000.0</v>
      </c>
      <c r="R58" s="183">
        <v>3258.0</v>
      </c>
      <c r="S58" s="173" t="s">
        <v>727</v>
      </c>
      <c r="T58" s="184"/>
      <c r="U58" s="184"/>
      <c r="V58" s="184"/>
      <c r="W58" s="184"/>
      <c r="X58" s="184"/>
      <c r="Y58" s="184"/>
    </row>
    <row r="59">
      <c r="A59" s="174">
        <v>67.0</v>
      </c>
      <c r="B59" s="174" t="s">
        <v>860</v>
      </c>
      <c r="C59" s="174" t="s">
        <v>861</v>
      </c>
      <c r="D59" s="175" t="s">
        <v>745</v>
      </c>
      <c r="E59" s="176">
        <v>1114.0</v>
      </c>
      <c r="F59" s="174" t="s">
        <v>33</v>
      </c>
      <c r="G59" s="175">
        <v>8.239572247E9</v>
      </c>
      <c r="H59" s="177"/>
      <c r="I59" s="174">
        <v>17000.0</v>
      </c>
      <c r="J59" s="174">
        <v>5000.0</v>
      </c>
      <c r="K59" s="177"/>
      <c r="L59" s="177"/>
      <c r="M59" s="178">
        <f t="shared" si="1"/>
        <v>22000</v>
      </c>
      <c r="N59" s="178">
        <f t="shared" si="2"/>
        <v>6000</v>
      </c>
      <c r="O59" s="178">
        <f t="shared" si="3"/>
        <v>16000</v>
      </c>
      <c r="P59" s="177"/>
      <c r="Q59" s="172">
        <v>6000.0</v>
      </c>
      <c r="R59" s="172">
        <v>3635.0</v>
      </c>
      <c r="S59" s="179">
        <v>45879.0</v>
      </c>
      <c r="T59" s="184"/>
      <c r="U59" s="184"/>
      <c r="V59" s="184"/>
      <c r="W59" s="184"/>
      <c r="X59" s="184"/>
      <c r="Y59" s="184"/>
    </row>
    <row r="60">
      <c r="A60" s="174">
        <v>68.0</v>
      </c>
      <c r="B60" s="174" t="s">
        <v>862</v>
      </c>
      <c r="C60" s="174" t="s">
        <v>863</v>
      </c>
      <c r="D60" s="175" t="s">
        <v>125</v>
      </c>
      <c r="E60" s="176">
        <v>1965.0</v>
      </c>
      <c r="F60" s="174" t="s">
        <v>864</v>
      </c>
      <c r="G60" s="175">
        <v>9.649040532E9</v>
      </c>
      <c r="H60" s="177"/>
      <c r="I60" s="174">
        <v>17000.0</v>
      </c>
      <c r="J60" s="174">
        <v>6500.0</v>
      </c>
      <c r="K60" s="177"/>
      <c r="L60" s="177"/>
      <c r="M60" s="178">
        <f t="shared" si="1"/>
        <v>23500</v>
      </c>
      <c r="N60" s="178">
        <f t="shared" si="2"/>
        <v>5000</v>
      </c>
      <c r="O60" s="178">
        <f t="shared" si="3"/>
        <v>18500</v>
      </c>
      <c r="P60" s="177"/>
      <c r="Q60" s="174">
        <v>5000.0</v>
      </c>
      <c r="R60" s="174">
        <v>4098.0</v>
      </c>
      <c r="S60" s="200">
        <v>45818.0</v>
      </c>
      <c r="T60" s="184"/>
      <c r="U60" s="184"/>
      <c r="V60" s="184"/>
      <c r="W60" s="184"/>
      <c r="X60" s="184"/>
      <c r="Y60" s="184"/>
    </row>
    <row r="61">
      <c r="A61" s="174">
        <v>69.0</v>
      </c>
      <c r="B61" s="174" t="s">
        <v>865</v>
      </c>
      <c r="C61" s="174" t="s">
        <v>866</v>
      </c>
      <c r="D61" s="175" t="s">
        <v>745</v>
      </c>
      <c r="E61" s="176">
        <v>2.0220023E7</v>
      </c>
      <c r="F61" s="174" t="s">
        <v>126</v>
      </c>
      <c r="G61" s="175">
        <v>9.829289674E9</v>
      </c>
      <c r="H61" s="177"/>
      <c r="I61" s="174">
        <v>17000.0</v>
      </c>
      <c r="J61" s="174">
        <v>5000.0</v>
      </c>
      <c r="K61" s="177"/>
      <c r="L61" s="177"/>
      <c r="M61" s="178">
        <f t="shared" si="1"/>
        <v>22000</v>
      </c>
      <c r="N61" s="178">
        <f t="shared" si="2"/>
        <v>0</v>
      </c>
      <c r="O61" s="178">
        <f t="shared" si="3"/>
        <v>22000</v>
      </c>
      <c r="P61" s="177"/>
      <c r="Q61" s="177"/>
      <c r="R61" s="177"/>
      <c r="S61" s="178"/>
      <c r="T61" s="177"/>
      <c r="U61" s="184"/>
      <c r="V61" s="184"/>
      <c r="W61" s="184"/>
      <c r="X61" s="184"/>
      <c r="Y61" s="184"/>
    </row>
    <row r="62">
      <c r="A62" s="174">
        <v>70.0</v>
      </c>
      <c r="B62" s="174" t="s">
        <v>867</v>
      </c>
      <c r="C62" s="174" t="s">
        <v>868</v>
      </c>
      <c r="D62" s="175" t="s">
        <v>869</v>
      </c>
      <c r="E62" s="176">
        <v>1884.0</v>
      </c>
      <c r="F62" s="181" t="s">
        <v>165</v>
      </c>
      <c r="G62" s="182">
        <v>7.413054257E9</v>
      </c>
      <c r="H62" s="182">
        <v>1000.0</v>
      </c>
      <c r="I62" s="174">
        <v>17000.0</v>
      </c>
      <c r="J62" s="182">
        <v>7000.0</v>
      </c>
      <c r="K62" s="181"/>
      <c r="L62" s="181"/>
      <c r="M62" s="178">
        <f t="shared" si="1"/>
        <v>25000</v>
      </c>
      <c r="N62" s="178">
        <f t="shared" si="2"/>
        <v>5000</v>
      </c>
      <c r="O62" s="178">
        <f t="shared" si="3"/>
        <v>20000</v>
      </c>
      <c r="P62" s="181" t="s">
        <v>44</v>
      </c>
      <c r="Q62" s="183">
        <v>5000.0</v>
      </c>
      <c r="R62" s="183">
        <v>2971.0</v>
      </c>
      <c r="S62" s="186">
        <v>45937.0</v>
      </c>
      <c r="T62" s="184"/>
      <c r="U62" s="184"/>
      <c r="V62" s="184"/>
      <c r="W62" s="184"/>
      <c r="X62" s="184"/>
      <c r="Y62" s="184"/>
    </row>
    <row r="63">
      <c r="A63" s="174">
        <v>71.0</v>
      </c>
      <c r="B63" s="174" t="s">
        <v>870</v>
      </c>
      <c r="C63" s="174" t="s">
        <v>868</v>
      </c>
      <c r="D63" s="175" t="s">
        <v>869</v>
      </c>
      <c r="E63" s="176">
        <v>1885.0</v>
      </c>
      <c r="F63" s="181" t="s">
        <v>165</v>
      </c>
      <c r="G63" s="182">
        <v>7.413054257E9</v>
      </c>
      <c r="H63" s="182">
        <v>1000.0</v>
      </c>
      <c r="I63" s="174">
        <v>17000.0</v>
      </c>
      <c r="J63" s="182">
        <v>7000.0</v>
      </c>
      <c r="K63" s="181"/>
      <c r="L63" s="181"/>
      <c r="M63" s="178">
        <f t="shared" si="1"/>
        <v>25000</v>
      </c>
      <c r="N63" s="178">
        <f t="shared" si="2"/>
        <v>5000</v>
      </c>
      <c r="O63" s="178">
        <f t="shared" si="3"/>
        <v>20000</v>
      </c>
      <c r="P63" s="181" t="s">
        <v>44</v>
      </c>
      <c r="Q63" s="183">
        <v>5000.0</v>
      </c>
      <c r="R63" s="183">
        <v>2972.0</v>
      </c>
      <c r="S63" s="186">
        <v>45937.0</v>
      </c>
      <c r="T63" s="184"/>
      <c r="U63" s="184"/>
      <c r="V63" s="191"/>
      <c r="W63" s="184"/>
      <c r="X63" s="184"/>
      <c r="Y63" s="184"/>
    </row>
    <row r="64">
      <c r="A64" s="174">
        <v>73.0</v>
      </c>
      <c r="B64" s="174" t="s">
        <v>871</v>
      </c>
      <c r="C64" s="174" t="s">
        <v>872</v>
      </c>
      <c r="D64" s="175" t="s">
        <v>125</v>
      </c>
      <c r="E64" s="176">
        <v>1879.0</v>
      </c>
      <c r="F64" s="181" t="s">
        <v>873</v>
      </c>
      <c r="G64" s="182">
        <v>8.905861016E9</v>
      </c>
      <c r="H64" s="182">
        <v>1000.0</v>
      </c>
      <c r="I64" s="174">
        <v>17000.0</v>
      </c>
      <c r="J64" s="182">
        <v>8500.0</v>
      </c>
      <c r="K64" s="181"/>
      <c r="L64" s="181"/>
      <c r="M64" s="178">
        <f t="shared" si="1"/>
        <v>26500</v>
      </c>
      <c r="N64" s="178">
        <f t="shared" si="2"/>
        <v>11000</v>
      </c>
      <c r="O64" s="178">
        <f t="shared" si="3"/>
        <v>15500</v>
      </c>
      <c r="P64" s="181" t="s">
        <v>177</v>
      </c>
      <c r="Q64" s="183">
        <v>5000.0</v>
      </c>
      <c r="R64" s="183">
        <v>2860.0</v>
      </c>
      <c r="S64" s="173" t="s">
        <v>697</v>
      </c>
      <c r="T64" s="172">
        <v>6000.0</v>
      </c>
      <c r="U64" s="172">
        <v>3617.0</v>
      </c>
      <c r="V64" s="185">
        <v>45879.0</v>
      </c>
      <c r="W64" s="172" t="s">
        <v>874</v>
      </c>
      <c r="X64" s="184"/>
      <c r="Y64" s="184"/>
    </row>
    <row r="65">
      <c r="A65" s="174">
        <v>74.0</v>
      </c>
      <c r="B65" s="174" t="s">
        <v>875</v>
      </c>
      <c r="C65" s="174" t="s">
        <v>876</v>
      </c>
      <c r="D65" s="175" t="s">
        <v>745</v>
      </c>
      <c r="E65" s="176">
        <v>1127.0</v>
      </c>
      <c r="F65" s="174" t="s">
        <v>474</v>
      </c>
      <c r="G65" s="175">
        <v>9.95004065E9</v>
      </c>
      <c r="H65" s="177"/>
      <c r="I65" s="174">
        <v>17000.0</v>
      </c>
      <c r="J65" s="174">
        <v>5000.0</v>
      </c>
      <c r="K65" s="177"/>
      <c r="L65" s="177"/>
      <c r="M65" s="178">
        <f t="shared" si="1"/>
        <v>22000</v>
      </c>
      <c r="N65" s="178">
        <f t="shared" si="2"/>
        <v>17000</v>
      </c>
      <c r="O65" s="178">
        <f t="shared" si="3"/>
        <v>5000</v>
      </c>
      <c r="P65" s="177"/>
      <c r="Q65" s="174">
        <v>17000.0</v>
      </c>
      <c r="R65" s="174">
        <v>3813.0</v>
      </c>
      <c r="S65" s="201">
        <v>45941.0</v>
      </c>
      <c r="T65" s="184"/>
      <c r="U65" s="184"/>
      <c r="V65" s="184"/>
      <c r="W65" s="184"/>
      <c r="X65" s="184"/>
      <c r="Y65" s="184"/>
    </row>
    <row r="66">
      <c r="A66" s="174">
        <v>75.0</v>
      </c>
      <c r="B66" s="174" t="s">
        <v>877</v>
      </c>
      <c r="C66" s="174" t="s">
        <v>878</v>
      </c>
      <c r="D66" s="175" t="s">
        <v>745</v>
      </c>
      <c r="E66" s="192"/>
      <c r="F66" s="174" t="s">
        <v>760</v>
      </c>
      <c r="G66" s="175">
        <v>9.982898667E9</v>
      </c>
      <c r="H66" s="177"/>
      <c r="I66" s="174">
        <v>17000.0</v>
      </c>
      <c r="J66" s="174">
        <v>11000.0</v>
      </c>
      <c r="K66" s="177"/>
      <c r="L66" s="177"/>
      <c r="M66" s="178">
        <f t="shared" si="1"/>
        <v>28000</v>
      </c>
      <c r="N66" s="178">
        <f t="shared" si="2"/>
        <v>3000</v>
      </c>
      <c r="O66" s="178">
        <f t="shared" si="3"/>
        <v>25000</v>
      </c>
      <c r="P66" s="177"/>
      <c r="Q66" s="183">
        <v>3000.0</v>
      </c>
      <c r="R66" s="183">
        <v>3279.0</v>
      </c>
      <c r="S66" s="173" t="s">
        <v>761</v>
      </c>
      <c r="T66" s="184"/>
      <c r="U66" s="184"/>
      <c r="V66" s="184"/>
      <c r="W66" s="184"/>
      <c r="X66" s="184"/>
      <c r="Y66" s="184"/>
    </row>
    <row r="67">
      <c r="A67" s="174">
        <v>76.0</v>
      </c>
      <c r="B67" s="174" t="s">
        <v>879</v>
      </c>
      <c r="C67" s="174" t="s">
        <v>110</v>
      </c>
      <c r="D67" s="175" t="s">
        <v>748</v>
      </c>
      <c r="E67" s="176">
        <v>1255.0</v>
      </c>
      <c r="F67" s="174" t="s">
        <v>30</v>
      </c>
      <c r="G67" s="175">
        <v>7.023404637E9</v>
      </c>
      <c r="H67" s="177"/>
      <c r="I67" s="174">
        <v>17000.0</v>
      </c>
      <c r="J67" s="174">
        <v>9000.0</v>
      </c>
      <c r="K67" s="177"/>
      <c r="L67" s="177"/>
      <c r="M67" s="178">
        <f t="shared" si="1"/>
        <v>26000</v>
      </c>
      <c r="N67" s="178">
        <f t="shared" si="2"/>
        <v>10000</v>
      </c>
      <c r="O67" s="178">
        <f t="shared" si="3"/>
        <v>16000</v>
      </c>
      <c r="P67" s="177"/>
      <c r="Q67" s="174">
        <v>10000.0</v>
      </c>
      <c r="R67" s="174">
        <v>3845.0</v>
      </c>
      <c r="S67" s="201">
        <v>45941.0</v>
      </c>
      <c r="T67" s="184"/>
      <c r="U67" s="184"/>
      <c r="V67" s="184"/>
      <c r="W67" s="184"/>
      <c r="X67" s="184"/>
      <c r="Y67" s="184"/>
    </row>
    <row r="68">
      <c r="A68" s="174">
        <v>77.0</v>
      </c>
      <c r="B68" s="174" t="s">
        <v>880</v>
      </c>
      <c r="C68" s="174" t="s">
        <v>881</v>
      </c>
      <c r="D68" s="175" t="s">
        <v>125</v>
      </c>
      <c r="E68" s="176">
        <v>1146.0</v>
      </c>
      <c r="F68" s="174" t="s">
        <v>845</v>
      </c>
      <c r="G68" s="175">
        <v>7.23188472E9</v>
      </c>
      <c r="H68" s="177"/>
      <c r="I68" s="174">
        <v>17000.0</v>
      </c>
      <c r="J68" s="174">
        <v>9000.0</v>
      </c>
      <c r="K68" s="174">
        <v>0.0</v>
      </c>
      <c r="L68" s="174">
        <v>3000.0</v>
      </c>
      <c r="M68" s="178">
        <f t="shared" si="1"/>
        <v>23000</v>
      </c>
      <c r="N68" s="178">
        <f t="shared" si="2"/>
        <v>0</v>
      </c>
      <c r="O68" s="178">
        <f t="shared" si="3"/>
        <v>23000</v>
      </c>
      <c r="P68" s="177"/>
      <c r="Q68" s="177"/>
      <c r="R68" s="177"/>
      <c r="S68" s="177"/>
      <c r="T68" s="184"/>
      <c r="U68" s="184"/>
      <c r="V68" s="184"/>
      <c r="W68" s="184"/>
      <c r="X68" s="184"/>
      <c r="Y68" s="184"/>
    </row>
    <row r="69">
      <c r="A69" s="174">
        <v>78.0</v>
      </c>
      <c r="B69" s="174" t="s">
        <v>882</v>
      </c>
      <c r="C69" s="174" t="s">
        <v>883</v>
      </c>
      <c r="D69" s="175" t="s">
        <v>748</v>
      </c>
      <c r="E69" s="176">
        <v>1862.0</v>
      </c>
      <c r="F69" s="181" t="s">
        <v>48</v>
      </c>
      <c r="G69" s="182">
        <v>9.828588859E9</v>
      </c>
      <c r="H69" s="182">
        <v>1000.0</v>
      </c>
      <c r="I69" s="174">
        <v>17000.0</v>
      </c>
      <c r="J69" s="182">
        <v>9500.0</v>
      </c>
      <c r="K69" s="181"/>
      <c r="L69" s="182">
        <v>3500.0</v>
      </c>
      <c r="M69" s="178">
        <f t="shared" si="1"/>
        <v>24000</v>
      </c>
      <c r="N69" s="178">
        <f t="shared" si="2"/>
        <v>8000</v>
      </c>
      <c r="O69" s="178">
        <f t="shared" si="3"/>
        <v>16000</v>
      </c>
      <c r="P69" s="181" t="s">
        <v>44</v>
      </c>
      <c r="Q69" s="183">
        <v>8000.0</v>
      </c>
      <c r="R69" s="183">
        <v>2988.0</v>
      </c>
      <c r="S69" s="186">
        <v>45998.0</v>
      </c>
      <c r="T69" s="184"/>
      <c r="U69" s="184"/>
      <c r="V69" s="184"/>
      <c r="W69" s="184"/>
      <c r="X69" s="184"/>
      <c r="Y69" s="184"/>
    </row>
    <row r="70">
      <c r="A70" s="174">
        <v>79.0</v>
      </c>
      <c r="B70" s="174" t="s">
        <v>412</v>
      </c>
      <c r="C70" s="174" t="s">
        <v>649</v>
      </c>
      <c r="D70" s="175" t="s">
        <v>125</v>
      </c>
      <c r="E70" s="176">
        <v>1479.0</v>
      </c>
      <c r="F70" s="194" t="s">
        <v>884</v>
      </c>
      <c r="G70" s="182">
        <v>7.732802958E9</v>
      </c>
      <c r="H70" s="182">
        <v>0.0</v>
      </c>
      <c r="I70" s="174">
        <v>17000.0</v>
      </c>
      <c r="J70" s="182">
        <v>9500.0</v>
      </c>
      <c r="K70" s="181"/>
      <c r="L70" s="182">
        <v>5500.0</v>
      </c>
      <c r="M70" s="178">
        <f t="shared" si="1"/>
        <v>21000</v>
      </c>
      <c r="N70" s="178">
        <f t="shared" si="2"/>
        <v>13000</v>
      </c>
      <c r="O70" s="178">
        <f t="shared" si="3"/>
        <v>8000</v>
      </c>
      <c r="P70" s="181" t="s">
        <v>44</v>
      </c>
      <c r="Q70" s="183">
        <v>7000.0</v>
      </c>
      <c r="R70" s="183">
        <v>3228.0</v>
      </c>
      <c r="S70" s="173" t="s">
        <v>160</v>
      </c>
      <c r="T70" s="172">
        <v>6000.0</v>
      </c>
      <c r="U70" s="172">
        <v>3496.0</v>
      </c>
      <c r="V70" s="179">
        <v>45757.0</v>
      </c>
      <c r="W70" s="177"/>
      <c r="X70" s="184"/>
      <c r="Y70" s="184"/>
    </row>
    <row r="71">
      <c r="A71" s="174">
        <v>80.0</v>
      </c>
      <c r="B71" s="174" t="s">
        <v>885</v>
      </c>
      <c r="C71" s="174" t="s">
        <v>886</v>
      </c>
      <c r="D71" s="175" t="s">
        <v>125</v>
      </c>
      <c r="E71" s="176">
        <v>2.0220013E7</v>
      </c>
      <c r="F71" s="174" t="s">
        <v>887</v>
      </c>
      <c r="G71" s="175">
        <v>8.000793357E9</v>
      </c>
      <c r="H71" s="177"/>
      <c r="I71" s="174">
        <v>17000.0</v>
      </c>
      <c r="J71" s="174">
        <v>0.0</v>
      </c>
      <c r="K71" s="177"/>
      <c r="L71" s="177"/>
      <c r="M71" s="178">
        <f t="shared" si="1"/>
        <v>17000</v>
      </c>
      <c r="N71" s="178">
        <f t="shared" si="2"/>
        <v>0</v>
      </c>
      <c r="O71" s="178">
        <f t="shared" si="3"/>
        <v>17000</v>
      </c>
      <c r="P71" s="177"/>
      <c r="Q71" s="177"/>
      <c r="R71" s="177"/>
      <c r="S71" s="177"/>
      <c r="T71" s="184"/>
      <c r="U71" s="184"/>
      <c r="V71" s="184"/>
      <c r="W71" s="184"/>
      <c r="X71" s="184"/>
      <c r="Y71" s="184"/>
    </row>
    <row r="72">
      <c r="A72" s="174">
        <v>81.0</v>
      </c>
      <c r="B72" s="174" t="s">
        <v>740</v>
      </c>
      <c r="C72" s="174" t="s">
        <v>888</v>
      </c>
      <c r="D72" s="175" t="s">
        <v>748</v>
      </c>
      <c r="E72" s="176">
        <v>2.0220016E7</v>
      </c>
      <c r="F72" s="174" t="s">
        <v>145</v>
      </c>
      <c r="G72" s="175">
        <v>7.727920548E9</v>
      </c>
      <c r="H72" s="177"/>
      <c r="I72" s="174">
        <v>17000.0</v>
      </c>
      <c r="J72" s="174">
        <v>0.0</v>
      </c>
      <c r="K72" s="177"/>
      <c r="L72" s="177"/>
      <c r="M72" s="178">
        <f t="shared" si="1"/>
        <v>17000</v>
      </c>
      <c r="N72" s="178">
        <f t="shared" si="2"/>
        <v>0</v>
      </c>
      <c r="O72" s="178">
        <f t="shared" si="3"/>
        <v>17000</v>
      </c>
      <c r="P72" s="177"/>
      <c r="Q72" s="184"/>
      <c r="R72" s="184"/>
      <c r="S72" s="188"/>
      <c r="T72" s="184"/>
      <c r="U72" s="184"/>
      <c r="V72" s="184"/>
      <c r="W72" s="184"/>
      <c r="X72" s="184"/>
      <c r="Y72" s="184"/>
    </row>
    <row r="73">
      <c r="A73" s="174">
        <v>82.0</v>
      </c>
      <c r="B73" s="174" t="s">
        <v>889</v>
      </c>
      <c r="C73" s="174" t="s">
        <v>890</v>
      </c>
      <c r="D73" s="175" t="s">
        <v>748</v>
      </c>
      <c r="E73" s="176">
        <v>1436.0</v>
      </c>
      <c r="F73" s="174" t="s">
        <v>33</v>
      </c>
      <c r="G73" s="175">
        <v>9.521407576E9</v>
      </c>
      <c r="H73" s="177"/>
      <c r="I73" s="174">
        <v>17000.0</v>
      </c>
      <c r="J73" s="174">
        <v>5000.0</v>
      </c>
      <c r="K73" s="177"/>
      <c r="L73" s="177"/>
      <c r="M73" s="178">
        <f t="shared" si="1"/>
        <v>22000</v>
      </c>
      <c r="N73" s="178">
        <f t="shared" si="2"/>
        <v>4000</v>
      </c>
      <c r="O73" s="178">
        <f t="shared" si="3"/>
        <v>18000</v>
      </c>
      <c r="P73" s="177"/>
      <c r="Q73" s="177"/>
      <c r="R73" s="177"/>
      <c r="S73" s="177"/>
      <c r="T73" s="183">
        <v>4000.0</v>
      </c>
      <c r="U73" s="183">
        <v>3181.0</v>
      </c>
      <c r="V73" s="196">
        <v>45969.0</v>
      </c>
      <c r="W73" s="184"/>
      <c r="X73" s="184"/>
      <c r="Y73" s="184"/>
    </row>
    <row r="74">
      <c r="A74" s="174">
        <v>83.0</v>
      </c>
      <c r="B74" s="174" t="s">
        <v>891</v>
      </c>
      <c r="C74" s="174" t="s">
        <v>892</v>
      </c>
      <c r="D74" s="175" t="s">
        <v>125</v>
      </c>
      <c r="E74" s="176">
        <v>1785.0</v>
      </c>
      <c r="F74" s="177"/>
      <c r="G74" s="175">
        <v>9.784034518E9</v>
      </c>
      <c r="H74" s="177"/>
      <c r="I74" s="174">
        <v>17000.0</v>
      </c>
      <c r="J74" s="177"/>
      <c r="K74" s="177"/>
      <c r="L74" s="174">
        <v>6000.0</v>
      </c>
      <c r="M74" s="178">
        <f t="shared" si="1"/>
        <v>11000</v>
      </c>
      <c r="N74" s="178">
        <f t="shared" si="2"/>
        <v>10000</v>
      </c>
      <c r="O74" s="178">
        <f t="shared" si="3"/>
        <v>1000</v>
      </c>
      <c r="P74" s="177"/>
      <c r="Q74" s="174">
        <v>10000.0</v>
      </c>
      <c r="R74" s="174">
        <v>3836.0</v>
      </c>
      <c r="S74" s="201">
        <v>45941.0</v>
      </c>
      <c r="T74" s="184"/>
      <c r="U74" s="184"/>
      <c r="V74" s="184"/>
      <c r="W74" s="184"/>
      <c r="X74" s="191"/>
      <c r="Y74" s="191"/>
    </row>
    <row r="75">
      <c r="A75" s="174">
        <v>84.0</v>
      </c>
      <c r="B75" s="174" t="s">
        <v>893</v>
      </c>
      <c r="C75" s="174" t="s">
        <v>894</v>
      </c>
      <c r="D75" s="175" t="s">
        <v>748</v>
      </c>
      <c r="E75" s="176">
        <v>1393.0</v>
      </c>
      <c r="F75" s="181" t="s">
        <v>361</v>
      </c>
      <c r="G75" s="182">
        <v>9.92842934E9</v>
      </c>
      <c r="H75" s="182">
        <v>0.0</v>
      </c>
      <c r="I75" s="174">
        <v>17000.0</v>
      </c>
      <c r="J75" s="182">
        <v>5000.0</v>
      </c>
      <c r="K75" s="181"/>
      <c r="L75" s="182">
        <v>4500.0</v>
      </c>
      <c r="M75" s="178">
        <f t="shared" si="1"/>
        <v>17500</v>
      </c>
      <c r="N75" s="178">
        <f t="shared" si="2"/>
        <v>9000</v>
      </c>
      <c r="O75" s="178">
        <f t="shared" si="3"/>
        <v>8500</v>
      </c>
      <c r="P75" s="181" t="s">
        <v>131</v>
      </c>
      <c r="Q75" s="183">
        <v>4000.0</v>
      </c>
      <c r="R75" s="183">
        <v>2943.0</v>
      </c>
      <c r="S75" s="186">
        <v>45876.0</v>
      </c>
      <c r="T75" s="172">
        <v>5000.0</v>
      </c>
      <c r="U75" s="172">
        <v>3495.0</v>
      </c>
      <c r="V75" s="179">
        <v>45757.0</v>
      </c>
      <c r="W75" s="184"/>
      <c r="X75" s="184"/>
      <c r="Y75" s="184"/>
    </row>
    <row r="76">
      <c r="E76" s="13"/>
      <c r="G76" s="9"/>
      <c r="M76" s="202"/>
      <c r="N76" s="202"/>
      <c r="O76" s="202"/>
      <c r="S76" s="9"/>
    </row>
    <row r="77">
      <c r="E77" s="13"/>
      <c r="G77" s="9"/>
      <c r="M77" s="202"/>
      <c r="N77" s="202"/>
      <c r="O77" s="202"/>
      <c r="S77" s="9"/>
    </row>
    <row r="78">
      <c r="E78" s="13"/>
      <c r="G78" s="9"/>
      <c r="M78" s="202"/>
      <c r="N78" s="202"/>
      <c r="O78" s="202"/>
      <c r="S78" s="9"/>
    </row>
    <row r="79">
      <c r="E79" s="13"/>
      <c r="G79" s="9"/>
      <c r="M79" s="202"/>
      <c r="N79" s="202"/>
      <c r="O79" s="202"/>
      <c r="S79" s="9"/>
    </row>
    <row r="80">
      <c r="E80" s="13"/>
      <c r="G80" s="9"/>
      <c r="M80" s="202"/>
      <c r="N80" s="202"/>
      <c r="O80" s="202"/>
      <c r="S80" s="9"/>
    </row>
    <row r="81">
      <c r="E81" s="13"/>
      <c r="G81" s="9"/>
      <c r="M81" s="202"/>
      <c r="N81" s="202"/>
      <c r="O81" s="202"/>
      <c r="S81" s="9"/>
    </row>
    <row r="82">
      <c r="E82" s="13"/>
      <c r="G82" s="9"/>
      <c r="M82" s="202"/>
      <c r="N82" s="202"/>
      <c r="O82" s="202"/>
      <c r="S82" s="9"/>
    </row>
    <row r="83">
      <c r="E83" s="13"/>
      <c r="G83" s="9"/>
      <c r="M83" s="202"/>
      <c r="N83" s="202"/>
      <c r="O83" s="202"/>
      <c r="S83" s="9"/>
    </row>
    <row r="84">
      <c r="E84" s="13"/>
      <c r="G84" s="9"/>
      <c r="M84" s="202"/>
      <c r="N84" s="202"/>
      <c r="O84" s="202"/>
      <c r="S84" s="9"/>
    </row>
    <row r="85">
      <c r="E85" s="13"/>
      <c r="G85" s="9"/>
      <c r="M85" s="202"/>
      <c r="N85" s="202"/>
      <c r="O85" s="202"/>
      <c r="S85" s="9"/>
    </row>
    <row r="86">
      <c r="E86" s="13"/>
      <c r="G86" s="9"/>
      <c r="M86" s="202"/>
      <c r="N86" s="202"/>
      <c r="O86" s="202"/>
      <c r="S86" s="9"/>
    </row>
    <row r="87">
      <c r="E87" s="13"/>
      <c r="G87" s="9"/>
      <c r="M87" s="202"/>
      <c r="N87" s="202"/>
      <c r="O87" s="202"/>
      <c r="S87" s="9"/>
    </row>
    <row r="88">
      <c r="E88" s="13"/>
      <c r="G88" s="9"/>
      <c r="M88" s="202"/>
      <c r="N88" s="202"/>
      <c r="O88" s="202"/>
      <c r="S88" s="9"/>
    </row>
    <row r="89">
      <c r="E89" s="13"/>
      <c r="G89" s="9"/>
      <c r="M89" s="202"/>
      <c r="N89" s="202"/>
      <c r="O89" s="202"/>
      <c r="S89" s="9"/>
    </row>
    <row r="90">
      <c r="E90" s="13"/>
      <c r="G90" s="9"/>
      <c r="M90" s="202"/>
      <c r="N90" s="202"/>
      <c r="O90" s="202"/>
      <c r="S90" s="9"/>
    </row>
    <row r="91">
      <c r="E91" s="13"/>
      <c r="G91" s="9"/>
      <c r="M91" s="202"/>
      <c r="N91" s="202"/>
      <c r="O91" s="202"/>
      <c r="S91" s="9"/>
    </row>
    <row r="92">
      <c r="E92" s="13"/>
      <c r="G92" s="9"/>
      <c r="M92" s="202"/>
      <c r="N92" s="202"/>
      <c r="O92" s="202"/>
      <c r="S92" s="9"/>
    </row>
    <row r="93">
      <c r="E93" s="13"/>
      <c r="G93" s="9"/>
      <c r="M93" s="202"/>
      <c r="N93" s="202"/>
      <c r="O93" s="202"/>
      <c r="S93" s="9"/>
    </row>
    <row r="94">
      <c r="E94" s="13"/>
      <c r="G94" s="9"/>
      <c r="M94" s="202"/>
      <c r="N94" s="202"/>
      <c r="O94" s="202"/>
      <c r="S94" s="9"/>
    </row>
    <row r="95">
      <c r="E95" s="13"/>
      <c r="G95" s="9"/>
      <c r="M95" s="202"/>
      <c r="N95" s="202"/>
      <c r="O95" s="202"/>
      <c r="S95" s="9"/>
    </row>
    <row r="96">
      <c r="E96" s="13"/>
      <c r="G96" s="9"/>
      <c r="M96" s="202"/>
      <c r="N96" s="202"/>
      <c r="O96" s="202"/>
      <c r="S96" s="9"/>
    </row>
    <row r="97">
      <c r="E97" s="13"/>
      <c r="G97" s="9"/>
      <c r="M97" s="202"/>
      <c r="N97" s="202"/>
      <c r="O97" s="202"/>
      <c r="S97" s="9"/>
    </row>
    <row r="98">
      <c r="E98" s="13"/>
      <c r="G98" s="9"/>
      <c r="M98" s="202"/>
      <c r="N98" s="202"/>
      <c r="O98" s="202"/>
      <c r="S98" s="9"/>
    </row>
    <row r="99">
      <c r="E99" s="13"/>
      <c r="G99" s="9"/>
      <c r="M99" s="202"/>
      <c r="N99" s="202"/>
      <c r="O99" s="202"/>
      <c r="S99" s="9"/>
    </row>
    <row r="100">
      <c r="E100" s="13"/>
      <c r="G100" s="9"/>
      <c r="M100" s="202"/>
      <c r="N100" s="202"/>
      <c r="O100" s="202"/>
      <c r="S100" s="9"/>
    </row>
    <row r="101">
      <c r="E101" s="13"/>
      <c r="G101" s="9"/>
      <c r="M101" s="202"/>
      <c r="N101" s="202"/>
      <c r="O101" s="202"/>
      <c r="S101" s="9"/>
    </row>
    <row r="102">
      <c r="E102" s="13"/>
      <c r="G102" s="9"/>
      <c r="M102" s="202"/>
      <c r="N102" s="202"/>
      <c r="O102" s="202"/>
      <c r="S102" s="9"/>
    </row>
    <row r="103">
      <c r="E103" s="13"/>
      <c r="G103" s="9"/>
      <c r="M103" s="202"/>
      <c r="N103" s="202"/>
      <c r="O103" s="202"/>
      <c r="S103" s="9"/>
    </row>
    <row r="104">
      <c r="E104" s="13"/>
      <c r="G104" s="9"/>
      <c r="M104" s="202"/>
      <c r="N104" s="202"/>
      <c r="O104" s="202"/>
      <c r="S104" s="9"/>
    </row>
    <row r="105">
      <c r="E105" s="13"/>
      <c r="G105" s="9"/>
      <c r="M105" s="202"/>
      <c r="N105" s="202"/>
      <c r="O105" s="202"/>
      <c r="S105" s="9"/>
    </row>
    <row r="106">
      <c r="E106" s="13"/>
      <c r="G106" s="9"/>
      <c r="M106" s="202"/>
      <c r="N106" s="202"/>
      <c r="O106" s="202"/>
      <c r="S106" s="9"/>
    </row>
    <row r="107">
      <c r="E107" s="13"/>
      <c r="G107" s="9"/>
      <c r="M107" s="202"/>
      <c r="N107" s="202"/>
      <c r="O107" s="202"/>
      <c r="S107" s="9"/>
    </row>
    <row r="108">
      <c r="E108" s="13"/>
      <c r="G108" s="9"/>
      <c r="M108" s="202"/>
      <c r="N108" s="202"/>
      <c r="O108" s="202"/>
      <c r="S108" s="9"/>
    </row>
    <row r="109">
      <c r="E109" s="13"/>
      <c r="G109" s="9"/>
      <c r="M109" s="202"/>
      <c r="N109" s="202"/>
      <c r="O109" s="202"/>
      <c r="S109" s="9"/>
    </row>
    <row r="110">
      <c r="E110" s="13"/>
      <c r="G110" s="9"/>
      <c r="M110" s="202"/>
      <c r="N110" s="202"/>
      <c r="O110" s="202"/>
      <c r="S110" s="9"/>
    </row>
    <row r="111">
      <c r="E111" s="13"/>
      <c r="G111" s="9"/>
      <c r="M111" s="202"/>
      <c r="N111" s="202"/>
      <c r="O111" s="202"/>
      <c r="S111" s="9"/>
    </row>
    <row r="112">
      <c r="E112" s="13"/>
      <c r="G112" s="9"/>
      <c r="M112" s="202"/>
      <c r="N112" s="202"/>
      <c r="O112" s="202"/>
      <c r="S112" s="9"/>
    </row>
    <row r="113">
      <c r="E113" s="13"/>
      <c r="G113" s="9"/>
      <c r="M113" s="202"/>
      <c r="N113" s="202"/>
      <c r="O113" s="202"/>
      <c r="S113" s="9"/>
    </row>
    <row r="114">
      <c r="E114" s="13"/>
      <c r="G114" s="9"/>
      <c r="M114" s="202"/>
      <c r="N114" s="202"/>
      <c r="O114" s="202"/>
      <c r="S114" s="9"/>
    </row>
    <row r="115">
      <c r="E115" s="13"/>
      <c r="G115" s="9"/>
      <c r="M115" s="202"/>
      <c r="N115" s="202"/>
      <c r="O115" s="202"/>
      <c r="S115" s="9"/>
    </row>
    <row r="116">
      <c r="E116" s="13"/>
      <c r="G116" s="9"/>
      <c r="M116" s="202"/>
      <c r="N116" s="202"/>
      <c r="O116" s="202"/>
      <c r="S116" s="9"/>
    </row>
    <row r="117">
      <c r="E117" s="13"/>
      <c r="G117" s="9"/>
      <c r="M117" s="202"/>
      <c r="N117" s="202"/>
      <c r="O117" s="202"/>
      <c r="S117" s="9"/>
    </row>
    <row r="118">
      <c r="E118" s="13"/>
      <c r="G118" s="9"/>
      <c r="M118" s="202"/>
      <c r="N118" s="202"/>
      <c r="O118" s="202"/>
      <c r="S118" s="9"/>
    </row>
    <row r="119">
      <c r="E119" s="13"/>
      <c r="G119" s="9"/>
      <c r="M119" s="202"/>
      <c r="N119" s="202"/>
      <c r="O119" s="202"/>
      <c r="S119" s="9"/>
    </row>
    <row r="120">
      <c r="E120" s="13"/>
      <c r="G120" s="9"/>
      <c r="M120" s="202"/>
      <c r="N120" s="202"/>
      <c r="O120" s="202"/>
      <c r="S120" s="9"/>
    </row>
    <row r="121">
      <c r="E121" s="13"/>
      <c r="G121" s="9"/>
      <c r="M121" s="202"/>
      <c r="N121" s="202"/>
      <c r="O121" s="202"/>
      <c r="S121" s="9"/>
    </row>
    <row r="122">
      <c r="E122" s="13"/>
      <c r="G122" s="9"/>
      <c r="M122" s="202"/>
      <c r="N122" s="202"/>
      <c r="O122" s="202"/>
      <c r="S122" s="9"/>
    </row>
    <row r="123">
      <c r="E123" s="13"/>
      <c r="G123" s="9"/>
      <c r="M123" s="202"/>
      <c r="N123" s="202"/>
      <c r="O123" s="202"/>
      <c r="S123" s="9"/>
    </row>
    <row r="124">
      <c r="E124" s="13"/>
      <c r="G124" s="9"/>
      <c r="M124" s="202"/>
      <c r="N124" s="202"/>
      <c r="O124" s="202"/>
      <c r="S124" s="9"/>
    </row>
    <row r="125">
      <c r="E125" s="13"/>
      <c r="G125" s="9"/>
      <c r="M125" s="202"/>
      <c r="N125" s="202"/>
      <c r="O125" s="202"/>
      <c r="S125" s="9"/>
    </row>
    <row r="126">
      <c r="E126" s="13"/>
      <c r="G126" s="9"/>
      <c r="M126" s="202"/>
      <c r="N126" s="202"/>
      <c r="O126" s="202"/>
      <c r="S126" s="9"/>
    </row>
    <row r="127">
      <c r="E127" s="13"/>
      <c r="G127" s="9"/>
      <c r="M127" s="202"/>
      <c r="N127" s="202"/>
      <c r="O127" s="202"/>
      <c r="S127" s="9"/>
    </row>
    <row r="128">
      <c r="E128" s="13"/>
      <c r="G128" s="9"/>
      <c r="M128" s="202"/>
      <c r="N128" s="202"/>
      <c r="O128" s="202"/>
      <c r="S128" s="9"/>
    </row>
    <row r="129">
      <c r="E129" s="13"/>
      <c r="G129" s="9"/>
      <c r="M129" s="202"/>
      <c r="N129" s="202"/>
      <c r="O129" s="202"/>
      <c r="S129" s="9"/>
    </row>
    <row r="130">
      <c r="E130" s="13"/>
      <c r="G130" s="9"/>
      <c r="M130" s="202"/>
      <c r="N130" s="202"/>
      <c r="O130" s="202"/>
      <c r="S130" s="9"/>
    </row>
    <row r="131">
      <c r="E131" s="13"/>
      <c r="G131" s="9"/>
      <c r="M131" s="202"/>
      <c r="N131" s="202"/>
      <c r="O131" s="202"/>
      <c r="S131" s="9"/>
    </row>
    <row r="132">
      <c r="E132" s="13"/>
      <c r="G132" s="9"/>
      <c r="M132" s="202"/>
      <c r="N132" s="202"/>
      <c r="O132" s="202"/>
      <c r="S132" s="9"/>
    </row>
    <row r="133">
      <c r="E133" s="13"/>
      <c r="G133" s="9"/>
      <c r="M133" s="202"/>
      <c r="N133" s="202"/>
      <c r="O133" s="202"/>
      <c r="S133" s="9"/>
    </row>
    <row r="134">
      <c r="E134" s="13"/>
      <c r="G134" s="9"/>
      <c r="M134" s="202"/>
      <c r="N134" s="202"/>
      <c r="O134" s="202"/>
      <c r="S134" s="9"/>
    </row>
    <row r="135">
      <c r="E135" s="13"/>
      <c r="G135" s="9"/>
      <c r="M135" s="202"/>
      <c r="N135" s="202"/>
      <c r="O135" s="202"/>
      <c r="S135" s="9"/>
    </row>
    <row r="136">
      <c r="E136" s="13"/>
      <c r="G136" s="9"/>
      <c r="M136" s="202"/>
      <c r="N136" s="202"/>
      <c r="O136" s="202"/>
      <c r="S136" s="9"/>
    </row>
    <row r="137">
      <c r="E137" s="13"/>
      <c r="G137" s="9"/>
      <c r="M137" s="202"/>
      <c r="N137" s="202"/>
      <c r="O137" s="202"/>
      <c r="S137" s="9"/>
    </row>
    <row r="138">
      <c r="E138" s="13"/>
      <c r="G138" s="9"/>
      <c r="M138" s="202"/>
      <c r="N138" s="202"/>
      <c r="O138" s="202"/>
      <c r="S138" s="9"/>
    </row>
    <row r="139">
      <c r="E139" s="13"/>
      <c r="G139" s="9"/>
      <c r="M139" s="202"/>
      <c r="N139" s="202"/>
      <c r="O139" s="202"/>
      <c r="S139" s="9"/>
    </row>
    <row r="140">
      <c r="E140" s="13"/>
      <c r="G140" s="9"/>
      <c r="M140" s="202"/>
      <c r="N140" s="202"/>
      <c r="O140" s="202"/>
      <c r="S140" s="9"/>
    </row>
    <row r="141">
      <c r="E141" s="13"/>
      <c r="G141" s="9"/>
      <c r="M141" s="202"/>
      <c r="N141" s="202"/>
      <c r="O141" s="202"/>
      <c r="S141" s="9"/>
    </row>
    <row r="142">
      <c r="E142" s="13"/>
      <c r="G142" s="9"/>
      <c r="M142" s="202"/>
      <c r="N142" s="202"/>
      <c r="O142" s="202"/>
      <c r="S142" s="9"/>
    </row>
    <row r="143">
      <c r="E143" s="13"/>
      <c r="G143" s="9"/>
      <c r="M143" s="202"/>
      <c r="N143" s="202"/>
      <c r="O143" s="202"/>
      <c r="S143" s="9"/>
    </row>
    <row r="144">
      <c r="E144" s="13"/>
      <c r="G144" s="9"/>
      <c r="M144" s="202"/>
      <c r="N144" s="202"/>
      <c r="O144" s="202"/>
      <c r="S144" s="9"/>
    </row>
    <row r="145">
      <c r="E145" s="13"/>
      <c r="G145" s="9"/>
      <c r="M145" s="202"/>
      <c r="N145" s="202"/>
      <c r="O145" s="202"/>
      <c r="S145" s="9"/>
    </row>
    <row r="146">
      <c r="E146" s="13"/>
      <c r="G146" s="9"/>
      <c r="M146" s="202"/>
      <c r="N146" s="202"/>
      <c r="O146" s="202"/>
      <c r="S146" s="9"/>
    </row>
    <row r="147">
      <c r="E147" s="13"/>
      <c r="G147" s="9"/>
      <c r="M147" s="202"/>
      <c r="N147" s="202"/>
      <c r="O147" s="202"/>
      <c r="S147" s="9"/>
    </row>
    <row r="148">
      <c r="E148" s="13"/>
      <c r="G148" s="9"/>
      <c r="M148" s="202"/>
      <c r="N148" s="202"/>
      <c r="O148" s="202"/>
      <c r="S148" s="9"/>
    </row>
    <row r="149">
      <c r="E149" s="13"/>
      <c r="G149" s="9"/>
      <c r="M149" s="202"/>
      <c r="N149" s="202"/>
      <c r="O149" s="202"/>
      <c r="S149" s="9"/>
    </row>
    <row r="150">
      <c r="E150" s="13"/>
      <c r="G150" s="9"/>
      <c r="M150" s="202"/>
      <c r="N150" s="202"/>
      <c r="O150" s="202"/>
      <c r="S150" s="9"/>
    </row>
    <row r="151">
      <c r="E151" s="13"/>
      <c r="G151" s="9"/>
      <c r="M151" s="202"/>
      <c r="N151" s="202"/>
      <c r="O151" s="202"/>
      <c r="S151" s="9"/>
    </row>
    <row r="152">
      <c r="E152" s="13"/>
      <c r="G152" s="9"/>
      <c r="M152" s="202"/>
      <c r="N152" s="202"/>
      <c r="O152" s="202"/>
      <c r="S152" s="9"/>
    </row>
    <row r="153">
      <c r="E153" s="13"/>
      <c r="G153" s="9"/>
      <c r="M153" s="202"/>
      <c r="N153" s="202"/>
      <c r="O153" s="202"/>
      <c r="S153" s="9"/>
    </row>
    <row r="154">
      <c r="E154" s="13"/>
      <c r="G154" s="9"/>
      <c r="M154" s="202"/>
      <c r="N154" s="202"/>
      <c r="O154" s="202"/>
      <c r="S154" s="9"/>
    </row>
    <row r="155">
      <c r="E155" s="13"/>
      <c r="G155" s="9"/>
      <c r="M155" s="202"/>
      <c r="N155" s="202"/>
      <c r="O155" s="202"/>
      <c r="S155" s="9"/>
    </row>
    <row r="156">
      <c r="E156" s="13"/>
      <c r="G156" s="9"/>
      <c r="M156" s="202"/>
      <c r="N156" s="202"/>
      <c r="O156" s="202"/>
      <c r="S156" s="9"/>
    </row>
    <row r="157">
      <c r="E157" s="13"/>
      <c r="G157" s="9"/>
      <c r="M157" s="202"/>
      <c r="N157" s="202"/>
      <c r="O157" s="202"/>
      <c r="S157" s="9"/>
    </row>
    <row r="158">
      <c r="E158" s="13"/>
      <c r="G158" s="9"/>
      <c r="M158" s="202"/>
      <c r="N158" s="202"/>
      <c r="O158" s="202"/>
      <c r="S158" s="9"/>
    </row>
    <row r="159">
      <c r="E159" s="13"/>
      <c r="G159" s="9"/>
      <c r="M159" s="202"/>
      <c r="N159" s="202"/>
      <c r="O159" s="202"/>
      <c r="S159" s="9"/>
    </row>
    <row r="160">
      <c r="E160" s="13"/>
      <c r="G160" s="9"/>
      <c r="M160" s="202"/>
      <c r="N160" s="202"/>
      <c r="O160" s="202"/>
      <c r="S160" s="9"/>
    </row>
    <row r="161">
      <c r="E161" s="13"/>
      <c r="G161" s="9"/>
      <c r="M161" s="202"/>
      <c r="N161" s="202"/>
      <c r="O161" s="202"/>
      <c r="S161" s="9"/>
    </row>
    <row r="162">
      <c r="E162" s="13"/>
      <c r="G162" s="9"/>
      <c r="M162" s="202"/>
      <c r="N162" s="202"/>
      <c r="O162" s="202"/>
      <c r="S162" s="9"/>
    </row>
    <row r="163">
      <c r="E163" s="13"/>
      <c r="G163" s="9"/>
      <c r="M163" s="202"/>
      <c r="N163" s="202"/>
      <c r="O163" s="202"/>
      <c r="S163" s="9"/>
    </row>
    <row r="164">
      <c r="E164" s="13"/>
      <c r="G164" s="9"/>
      <c r="M164" s="202"/>
      <c r="N164" s="202"/>
      <c r="O164" s="202"/>
      <c r="S164" s="9"/>
    </row>
    <row r="165">
      <c r="E165" s="13"/>
      <c r="G165" s="9"/>
      <c r="M165" s="202"/>
      <c r="N165" s="202"/>
      <c r="O165" s="202"/>
      <c r="S165" s="9"/>
    </row>
    <row r="166">
      <c r="E166" s="13"/>
      <c r="G166" s="9"/>
      <c r="M166" s="202"/>
      <c r="N166" s="202"/>
      <c r="O166" s="202"/>
      <c r="S166" s="9"/>
    </row>
    <row r="167">
      <c r="E167" s="13"/>
      <c r="G167" s="9"/>
      <c r="M167" s="202"/>
      <c r="N167" s="202"/>
      <c r="O167" s="202"/>
      <c r="S167" s="9"/>
    </row>
    <row r="168">
      <c r="E168" s="13"/>
      <c r="G168" s="9"/>
      <c r="M168" s="202"/>
      <c r="N168" s="202"/>
      <c r="O168" s="202"/>
      <c r="S168" s="9"/>
    </row>
    <row r="169">
      <c r="E169" s="13"/>
      <c r="G169" s="9"/>
      <c r="M169" s="202"/>
      <c r="N169" s="202"/>
      <c r="O169" s="202"/>
      <c r="S169" s="9"/>
    </row>
    <row r="170">
      <c r="E170" s="13"/>
      <c r="G170" s="9"/>
      <c r="M170" s="202"/>
      <c r="N170" s="202"/>
      <c r="O170" s="202"/>
      <c r="S170" s="9"/>
    </row>
    <row r="171">
      <c r="E171" s="13"/>
      <c r="G171" s="9"/>
      <c r="M171" s="202"/>
      <c r="N171" s="202"/>
      <c r="O171" s="202"/>
      <c r="S171" s="9"/>
    </row>
    <row r="172">
      <c r="E172" s="13"/>
      <c r="G172" s="9"/>
      <c r="M172" s="202"/>
      <c r="N172" s="202"/>
      <c r="O172" s="202"/>
      <c r="S172" s="9"/>
    </row>
    <row r="173">
      <c r="E173" s="13"/>
      <c r="G173" s="9"/>
      <c r="M173" s="202"/>
      <c r="N173" s="202"/>
      <c r="O173" s="202"/>
      <c r="S173" s="9"/>
    </row>
    <row r="174">
      <c r="E174" s="13"/>
      <c r="G174" s="9"/>
      <c r="M174" s="202"/>
      <c r="N174" s="202"/>
      <c r="O174" s="202"/>
      <c r="S174" s="9"/>
    </row>
    <row r="175">
      <c r="E175" s="13"/>
      <c r="G175" s="9"/>
      <c r="M175" s="202"/>
      <c r="N175" s="202"/>
      <c r="O175" s="202"/>
      <c r="S175" s="9"/>
    </row>
    <row r="176">
      <c r="E176" s="13"/>
      <c r="G176" s="9"/>
      <c r="M176" s="202"/>
      <c r="N176" s="202"/>
      <c r="O176" s="202"/>
      <c r="S176" s="9"/>
    </row>
    <row r="177">
      <c r="E177" s="13"/>
      <c r="G177" s="9"/>
      <c r="M177" s="202"/>
      <c r="N177" s="202"/>
      <c r="O177" s="202"/>
      <c r="S177" s="9"/>
    </row>
    <row r="178">
      <c r="E178" s="13"/>
      <c r="G178" s="9"/>
      <c r="M178" s="202"/>
      <c r="N178" s="202"/>
      <c r="O178" s="202"/>
      <c r="S178" s="9"/>
    </row>
    <row r="179">
      <c r="E179" s="13"/>
      <c r="G179" s="9"/>
      <c r="M179" s="202"/>
      <c r="N179" s="202"/>
      <c r="O179" s="202"/>
      <c r="S179" s="9"/>
    </row>
    <row r="180">
      <c r="E180" s="13"/>
      <c r="G180" s="9"/>
      <c r="M180" s="202"/>
      <c r="N180" s="202"/>
      <c r="O180" s="202"/>
      <c r="S180" s="9"/>
    </row>
    <row r="181">
      <c r="E181" s="13"/>
      <c r="G181" s="9"/>
      <c r="M181" s="202"/>
      <c r="N181" s="202"/>
      <c r="O181" s="202"/>
      <c r="S181" s="9"/>
    </row>
    <row r="182">
      <c r="E182" s="13"/>
      <c r="G182" s="9"/>
      <c r="M182" s="202"/>
      <c r="N182" s="202"/>
      <c r="O182" s="202"/>
      <c r="S182" s="9"/>
    </row>
    <row r="183">
      <c r="E183" s="13"/>
      <c r="G183" s="9"/>
      <c r="M183" s="202"/>
      <c r="N183" s="202"/>
      <c r="O183" s="202"/>
      <c r="S183" s="9"/>
    </row>
    <row r="184">
      <c r="E184" s="13"/>
      <c r="G184" s="9"/>
      <c r="M184" s="202"/>
      <c r="N184" s="202"/>
      <c r="O184" s="202"/>
      <c r="S184" s="9"/>
    </row>
    <row r="185">
      <c r="E185" s="13"/>
      <c r="G185" s="9"/>
      <c r="M185" s="202"/>
      <c r="N185" s="202"/>
      <c r="O185" s="202"/>
      <c r="S185" s="9"/>
    </row>
    <row r="186">
      <c r="E186" s="13"/>
      <c r="G186" s="9"/>
      <c r="M186" s="202"/>
      <c r="N186" s="202"/>
      <c r="O186" s="202"/>
      <c r="S186" s="9"/>
    </row>
    <row r="187">
      <c r="E187" s="13"/>
      <c r="G187" s="9"/>
      <c r="M187" s="202"/>
      <c r="N187" s="202"/>
      <c r="O187" s="202"/>
      <c r="S187" s="9"/>
    </row>
    <row r="188">
      <c r="E188" s="13"/>
      <c r="G188" s="9"/>
      <c r="M188" s="202"/>
      <c r="N188" s="202"/>
      <c r="O188" s="202"/>
      <c r="S188" s="9"/>
    </row>
    <row r="189">
      <c r="E189" s="13"/>
      <c r="G189" s="9"/>
      <c r="M189" s="202"/>
      <c r="N189" s="202"/>
      <c r="O189" s="202"/>
      <c r="S189" s="9"/>
    </row>
    <row r="190">
      <c r="E190" s="13"/>
      <c r="G190" s="9"/>
      <c r="M190" s="202"/>
      <c r="N190" s="202"/>
      <c r="O190" s="202"/>
      <c r="S190" s="9"/>
    </row>
    <row r="191">
      <c r="E191" s="13"/>
      <c r="G191" s="9"/>
      <c r="M191" s="202"/>
      <c r="N191" s="202"/>
      <c r="O191" s="202"/>
      <c r="S191" s="9"/>
    </row>
    <row r="192">
      <c r="E192" s="13"/>
      <c r="G192" s="9"/>
      <c r="M192" s="202"/>
      <c r="N192" s="202"/>
      <c r="O192" s="202"/>
      <c r="S192" s="9"/>
    </row>
    <row r="193">
      <c r="E193" s="13"/>
      <c r="G193" s="9"/>
      <c r="M193" s="202"/>
      <c r="N193" s="202"/>
      <c r="O193" s="202"/>
      <c r="S193" s="9"/>
    </row>
    <row r="194">
      <c r="E194" s="13"/>
      <c r="G194" s="9"/>
      <c r="M194" s="202"/>
      <c r="N194" s="202"/>
      <c r="O194" s="202"/>
      <c r="S194" s="9"/>
    </row>
    <row r="195">
      <c r="E195" s="13"/>
      <c r="G195" s="9"/>
      <c r="M195" s="202"/>
      <c r="N195" s="202"/>
      <c r="O195" s="202"/>
      <c r="S195" s="9"/>
    </row>
    <row r="196">
      <c r="E196" s="13"/>
      <c r="G196" s="9"/>
      <c r="M196" s="202"/>
      <c r="N196" s="202"/>
      <c r="O196" s="202"/>
      <c r="S196" s="9"/>
    </row>
    <row r="197">
      <c r="E197" s="13"/>
      <c r="G197" s="9"/>
      <c r="M197" s="202"/>
      <c r="N197" s="202"/>
      <c r="O197" s="202"/>
      <c r="S197" s="9"/>
    </row>
    <row r="198">
      <c r="E198" s="13"/>
      <c r="G198" s="9"/>
      <c r="M198" s="202"/>
      <c r="N198" s="202"/>
      <c r="O198" s="202"/>
      <c r="S198" s="9"/>
    </row>
    <row r="199">
      <c r="E199" s="13"/>
      <c r="G199" s="9"/>
      <c r="M199" s="202"/>
      <c r="N199" s="202"/>
      <c r="O199" s="202"/>
      <c r="S199" s="9"/>
    </row>
    <row r="200">
      <c r="E200" s="13"/>
      <c r="G200" s="9"/>
      <c r="M200" s="202"/>
      <c r="N200" s="202"/>
      <c r="O200" s="202"/>
      <c r="S200" s="9"/>
    </row>
    <row r="201">
      <c r="E201" s="13"/>
      <c r="G201" s="9"/>
      <c r="M201" s="202"/>
      <c r="N201" s="202"/>
      <c r="O201" s="202"/>
      <c r="S201" s="9"/>
    </row>
    <row r="202">
      <c r="E202" s="13"/>
      <c r="G202" s="9"/>
      <c r="M202" s="202"/>
      <c r="N202" s="202"/>
      <c r="O202" s="202"/>
      <c r="S202" s="9"/>
    </row>
    <row r="203">
      <c r="E203" s="13"/>
      <c r="G203" s="9"/>
      <c r="M203" s="202"/>
      <c r="N203" s="202"/>
      <c r="O203" s="202"/>
      <c r="S203" s="9"/>
    </row>
    <row r="204">
      <c r="E204" s="13"/>
      <c r="G204" s="9"/>
      <c r="M204" s="202"/>
      <c r="N204" s="202"/>
      <c r="O204" s="202"/>
      <c r="S204" s="9"/>
    </row>
    <row r="205">
      <c r="E205" s="13"/>
      <c r="G205" s="9"/>
      <c r="M205" s="202"/>
      <c r="N205" s="202"/>
      <c r="O205" s="202"/>
      <c r="S205" s="9"/>
    </row>
    <row r="206">
      <c r="E206" s="13"/>
      <c r="G206" s="9"/>
      <c r="M206" s="202"/>
      <c r="N206" s="202"/>
      <c r="O206" s="202"/>
      <c r="S206" s="9"/>
    </row>
    <row r="207">
      <c r="E207" s="13"/>
      <c r="G207" s="9"/>
      <c r="M207" s="202"/>
      <c r="N207" s="202"/>
      <c r="O207" s="202"/>
      <c r="S207" s="9"/>
    </row>
    <row r="208">
      <c r="E208" s="13"/>
      <c r="G208" s="9"/>
      <c r="M208" s="202"/>
      <c r="N208" s="202"/>
      <c r="O208" s="202"/>
      <c r="S208" s="9"/>
    </row>
    <row r="209">
      <c r="E209" s="13"/>
      <c r="G209" s="9"/>
      <c r="M209" s="202"/>
      <c r="N209" s="202"/>
      <c r="O209" s="202"/>
      <c r="S209" s="9"/>
    </row>
    <row r="210">
      <c r="E210" s="13"/>
      <c r="G210" s="9"/>
      <c r="M210" s="202"/>
      <c r="N210" s="202"/>
      <c r="O210" s="202"/>
      <c r="S210" s="9"/>
    </row>
    <row r="211">
      <c r="E211" s="13"/>
      <c r="G211" s="9"/>
      <c r="M211" s="202"/>
      <c r="N211" s="202"/>
      <c r="O211" s="202"/>
      <c r="S211" s="9"/>
    </row>
    <row r="212">
      <c r="E212" s="13"/>
      <c r="G212" s="9"/>
      <c r="M212" s="202"/>
      <c r="N212" s="202"/>
      <c r="O212" s="202"/>
      <c r="S212" s="9"/>
    </row>
    <row r="213">
      <c r="E213" s="13"/>
      <c r="G213" s="9"/>
      <c r="M213" s="202"/>
      <c r="N213" s="202"/>
      <c r="O213" s="202"/>
      <c r="S213" s="9"/>
    </row>
    <row r="214">
      <c r="E214" s="13"/>
      <c r="G214" s="9"/>
      <c r="M214" s="202"/>
      <c r="N214" s="202"/>
      <c r="O214" s="202"/>
      <c r="S214" s="9"/>
    </row>
    <row r="215">
      <c r="E215" s="13"/>
      <c r="G215" s="9"/>
      <c r="M215" s="202"/>
      <c r="N215" s="202"/>
      <c r="O215" s="202"/>
      <c r="S215" s="9"/>
    </row>
    <row r="216">
      <c r="E216" s="13"/>
      <c r="G216" s="9"/>
      <c r="M216" s="202"/>
      <c r="N216" s="202"/>
      <c r="O216" s="202"/>
      <c r="S216" s="9"/>
    </row>
    <row r="217">
      <c r="E217" s="13"/>
      <c r="G217" s="9"/>
      <c r="M217" s="202"/>
      <c r="N217" s="202"/>
      <c r="O217" s="202"/>
      <c r="S217" s="9"/>
    </row>
    <row r="218">
      <c r="E218" s="13"/>
      <c r="G218" s="9"/>
      <c r="M218" s="202"/>
      <c r="N218" s="202"/>
      <c r="O218" s="202"/>
      <c r="S218" s="9"/>
    </row>
    <row r="219">
      <c r="E219" s="13"/>
      <c r="G219" s="9"/>
      <c r="M219" s="202"/>
      <c r="N219" s="202"/>
      <c r="O219" s="202"/>
      <c r="S219" s="9"/>
    </row>
    <row r="220">
      <c r="E220" s="13"/>
      <c r="G220" s="9"/>
      <c r="M220" s="202"/>
      <c r="N220" s="202"/>
      <c r="O220" s="202"/>
      <c r="S220" s="9"/>
    </row>
    <row r="221">
      <c r="E221" s="13"/>
      <c r="G221" s="9"/>
      <c r="M221" s="202"/>
      <c r="N221" s="202"/>
      <c r="O221" s="202"/>
      <c r="S221" s="9"/>
    </row>
    <row r="222">
      <c r="E222" s="13"/>
      <c r="G222" s="9"/>
      <c r="M222" s="202"/>
      <c r="N222" s="202"/>
      <c r="O222" s="202"/>
      <c r="S222" s="9"/>
    </row>
    <row r="223">
      <c r="E223" s="13"/>
      <c r="G223" s="9"/>
      <c r="M223" s="202"/>
      <c r="N223" s="202"/>
      <c r="O223" s="202"/>
      <c r="S223" s="9"/>
    </row>
    <row r="224">
      <c r="E224" s="13"/>
      <c r="G224" s="9"/>
      <c r="M224" s="202"/>
      <c r="N224" s="202"/>
      <c r="O224" s="202"/>
      <c r="S224" s="9"/>
    </row>
    <row r="225">
      <c r="E225" s="13"/>
      <c r="G225" s="9"/>
      <c r="M225" s="202"/>
      <c r="N225" s="202"/>
      <c r="O225" s="202"/>
      <c r="S225" s="9"/>
    </row>
    <row r="226">
      <c r="E226" s="13"/>
      <c r="G226" s="9"/>
      <c r="M226" s="202"/>
      <c r="N226" s="202"/>
      <c r="O226" s="202"/>
      <c r="S226" s="9"/>
    </row>
    <row r="227">
      <c r="E227" s="13"/>
      <c r="G227" s="9"/>
      <c r="M227" s="202"/>
      <c r="N227" s="202"/>
      <c r="O227" s="202"/>
      <c r="S227" s="9"/>
    </row>
    <row r="228">
      <c r="E228" s="13"/>
      <c r="G228" s="9"/>
      <c r="M228" s="202"/>
      <c r="N228" s="202"/>
      <c r="O228" s="202"/>
      <c r="S228" s="9"/>
    </row>
    <row r="229">
      <c r="E229" s="13"/>
      <c r="G229" s="9"/>
      <c r="M229" s="202"/>
      <c r="N229" s="202"/>
      <c r="O229" s="202"/>
      <c r="S229" s="9"/>
    </row>
    <row r="230">
      <c r="E230" s="13"/>
      <c r="G230" s="9"/>
      <c r="M230" s="202"/>
      <c r="N230" s="202"/>
      <c r="O230" s="202"/>
      <c r="S230" s="9"/>
    </row>
    <row r="231">
      <c r="E231" s="13"/>
      <c r="G231" s="9"/>
      <c r="M231" s="202"/>
      <c r="N231" s="202"/>
      <c r="O231" s="202"/>
      <c r="S231" s="9"/>
    </row>
    <row r="232">
      <c r="E232" s="13"/>
      <c r="G232" s="9"/>
      <c r="M232" s="202"/>
      <c r="N232" s="202"/>
      <c r="O232" s="202"/>
      <c r="S232" s="9"/>
    </row>
    <row r="233">
      <c r="E233" s="13"/>
      <c r="G233" s="9"/>
      <c r="M233" s="202"/>
      <c r="N233" s="202"/>
      <c r="O233" s="202"/>
      <c r="S233" s="9"/>
    </row>
    <row r="234">
      <c r="E234" s="13"/>
      <c r="G234" s="9"/>
      <c r="M234" s="202"/>
      <c r="N234" s="202"/>
      <c r="O234" s="202"/>
      <c r="S234" s="9"/>
    </row>
    <row r="235">
      <c r="E235" s="13"/>
      <c r="G235" s="9"/>
      <c r="M235" s="202"/>
      <c r="N235" s="202"/>
      <c r="O235" s="202"/>
      <c r="S235" s="9"/>
    </row>
    <row r="236">
      <c r="E236" s="13"/>
      <c r="G236" s="9"/>
      <c r="M236" s="202"/>
      <c r="N236" s="202"/>
      <c r="O236" s="202"/>
      <c r="S236" s="9"/>
    </row>
    <row r="237">
      <c r="E237" s="13"/>
      <c r="G237" s="9"/>
      <c r="M237" s="202"/>
      <c r="N237" s="202"/>
      <c r="O237" s="202"/>
      <c r="S237" s="9"/>
    </row>
    <row r="238">
      <c r="E238" s="13"/>
      <c r="G238" s="9"/>
      <c r="M238" s="202"/>
      <c r="N238" s="202"/>
      <c r="O238" s="202"/>
      <c r="S238" s="9"/>
    </row>
    <row r="239">
      <c r="E239" s="13"/>
      <c r="G239" s="9"/>
      <c r="M239" s="202"/>
      <c r="N239" s="202"/>
      <c r="O239" s="202"/>
      <c r="S239" s="9"/>
    </row>
    <row r="240">
      <c r="E240" s="13"/>
      <c r="G240" s="9"/>
      <c r="M240" s="202"/>
      <c r="N240" s="202"/>
      <c r="O240" s="202"/>
      <c r="S240" s="9"/>
    </row>
    <row r="241">
      <c r="E241" s="13"/>
      <c r="G241" s="9"/>
      <c r="M241" s="202"/>
      <c r="N241" s="202"/>
      <c r="O241" s="202"/>
      <c r="S241" s="9"/>
    </row>
    <row r="242">
      <c r="E242" s="13"/>
      <c r="G242" s="9"/>
      <c r="M242" s="202"/>
      <c r="N242" s="202"/>
      <c r="O242" s="202"/>
      <c r="S242" s="9"/>
    </row>
    <row r="243">
      <c r="E243" s="13"/>
      <c r="G243" s="9"/>
      <c r="M243" s="202"/>
      <c r="N243" s="202"/>
      <c r="O243" s="202"/>
      <c r="S243" s="9"/>
    </row>
    <row r="244">
      <c r="E244" s="13"/>
      <c r="G244" s="9"/>
      <c r="M244" s="202"/>
      <c r="N244" s="202"/>
      <c r="O244" s="202"/>
      <c r="S244" s="9"/>
    </row>
    <row r="245">
      <c r="E245" s="13"/>
      <c r="G245" s="9"/>
      <c r="M245" s="202"/>
      <c r="N245" s="202"/>
      <c r="O245" s="202"/>
      <c r="S245" s="9"/>
    </row>
    <row r="246">
      <c r="E246" s="13"/>
      <c r="G246" s="9"/>
      <c r="M246" s="202"/>
      <c r="N246" s="202"/>
      <c r="O246" s="202"/>
      <c r="S246" s="9"/>
    </row>
    <row r="247">
      <c r="E247" s="13"/>
      <c r="G247" s="9"/>
      <c r="M247" s="202"/>
      <c r="N247" s="202"/>
      <c r="O247" s="202"/>
      <c r="S247" s="9"/>
    </row>
    <row r="248">
      <c r="E248" s="13"/>
      <c r="G248" s="9"/>
      <c r="M248" s="202"/>
      <c r="N248" s="202"/>
      <c r="O248" s="202"/>
      <c r="S248" s="9"/>
    </row>
    <row r="249">
      <c r="E249" s="13"/>
      <c r="G249" s="9"/>
      <c r="M249" s="202"/>
      <c r="N249" s="202"/>
      <c r="O249" s="202"/>
      <c r="S249" s="9"/>
    </row>
    <row r="250">
      <c r="E250" s="13"/>
      <c r="G250" s="9"/>
      <c r="M250" s="202"/>
      <c r="N250" s="202"/>
      <c r="O250" s="202"/>
      <c r="S250" s="9"/>
    </row>
    <row r="251">
      <c r="E251" s="13"/>
      <c r="G251" s="9"/>
      <c r="M251" s="202"/>
      <c r="N251" s="202"/>
      <c r="O251" s="202"/>
      <c r="S251" s="9"/>
    </row>
    <row r="252">
      <c r="E252" s="13"/>
      <c r="G252" s="9"/>
      <c r="M252" s="202"/>
      <c r="N252" s="202"/>
      <c r="O252" s="202"/>
      <c r="S252" s="9"/>
    </row>
    <row r="253">
      <c r="E253" s="13"/>
      <c r="G253" s="9"/>
      <c r="M253" s="202"/>
      <c r="N253" s="202"/>
      <c r="O253" s="202"/>
      <c r="S253" s="9"/>
    </row>
    <row r="254">
      <c r="E254" s="13"/>
      <c r="G254" s="9"/>
      <c r="M254" s="202"/>
      <c r="N254" s="202"/>
      <c r="O254" s="202"/>
      <c r="S254" s="9"/>
    </row>
    <row r="255">
      <c r="E255" s="13"/>
      <c r="G255" s="9"/>
      <c r="M255" s="202"/>
      <c r="N255" s="202"/>
      <c r="O255" s="202"/>
      <c r="S255" s="9"/>
    </row>
    <row r="256">
      <c r="E256" s="13"/>
      <c r="G256" s="9"/>
      <c r="M256" s="202"/>
      <c r="N256" s="202"/>
      <c r="O256" s="202"/>
      <c r="S256" s="9"/>
    </row>
    <row r="257">
      <c r="E257" s="13"/>
      <c r="G257" s="9"/>
      <c r="M257" s="202"/>
      <c r="N257" s="202"/>
      <c r="O257" s="202"/>
      <c r="S257" s="9"/>
    </row>
    <row r="258">
      <c r="E258" s="13"/>
      <c r="G258" s="9"/>
      <c r="M258" s="202"/>
      <c r="N258" s="202"/>
      <c r="O258" s="202"/>
      <c r="S258" s="9"/>
    </row>
    <row r="259">
      <c r="E259" s="13"/>
      <c r="G259" s="9"/>
      <c r="M259" s="202"/>
      <c r="N259" s="202"/>
      <c r="O259" s="202"/>
      <c r="S259" s="9"/>
    </row>
    <row r="260">
      <c r="E260" s="13"/>
      <c r="G260" s="9"/>
      <c r="M260" s="202"/>
      <c r="N260" s="202"/>
      <c r="O260" s="202"/>
      <c r="S260" s="9"/>
    </row>
    <row r="261">
      <c r="E261" s="13"/>
      <c r="G261" s="9"/>
      <c r="M261" s="202"/>
      <c r="N261" s="202"/>
      <c r="O261" s="202"/>
      <c r="S261" s="9"/>
    </row>
    <row r="262">
      <c r="E262" s="13"/>
      <c r="G262" s="9"/>
      <c r="M262" s="202"/>
      <c r="N262" s="202"/>
      <c r="O262" s="202"/>
      <c r="S262" s="9"/>
    </row>
    <row r="263">
      <c r="E263" s="13"/>
      <c r="G263" s="9"/>
      <c r="M263" s="202"/>
      <c r="N263" s="202"/>
      <c r="O263" s="202"/>
      <c r="S263" s="9"/>
    </row>
    <row r="264">
      <c r="E264" s="13"/>
      <c r="G264" s="9"/>
      <c r="M264" s="202"/>
      <c r="N264" s="202"/>
      <c r="O264" s="202"/>
      <c r="S264" s="9"/>
    </row>
    <row r="265">
      <c r="E265" s="13"/>
      <c r="G265" s="9"/>
      <c r="M265" s="202"/>
      <c r="N265" s="202"/>
      <c r="O265" s="202"/>
      <c r="S265" s="9"/>
    </row>
    <row r="266">
      <c r="E266" s="13"/>
      <c r="G266" s="9"/>
      <c r="M266" s="202"/>
      <c r="N266" s="202"/>
      <c r="O266" s="202"/>
      <c r="S266" s="9"/>
    </row>
    <row r="267">
      <c r="E267" s="13"/>
      <c r="G267" s="9"/>
      <c r="M267" s="202"/>
      <c r="N267" s="202"/>
      <c r="O267" s="202"/>
      <c r="S267" s="9"/>
    </row>
    <row r="268">
      <c r="E268" s="13"/>
      <c r="G268" s="9"/>
      <c r="M268" s="202"/>
      <c r="N268" s="202"/>
      <c r="O268" s="202"/>
      <c r="S268" s="9"/>
    </row>
    <row r="269">
      <c r="E269" s="13"/>
      <c r="G269" s="9"/>
      <c r="M269" s="202"/>
      <c r="N269" s="202"/>
      <c r="O269" s="202"/>
      <c r="S269" s="9"/>
    </row>
    <row r="270">
      <c r="E270" s="13"/>
      <c r="G270" s="9"/>
      <c r="M270" s="202"/>
      <c r="N270" s="202"/>
      <c r="O270" s="202"/>
      <c r="S270" s="9"/>
    </row>
    <row r="271">
      <c r="E271" s="13"/>
      <c r="G271" s="9"/>
      <c r="M271" s="202"/>
      <c r="N271" s="202"/>
      <c r="O271" s="202"/>
      <c r="S271" s="9"/>
    </row>
    <row r="272">
      <c r="E272" s="13"/>
      <c r="G272" s="9"/>
      <c r="M272" s="202"/>
      <c r="N272" s="202"/>
      <c r="O272" s="202"/>
      <c r="S272" s="9"/>
    </row>
    <row r="273">
      <c r="E273" s="13"/>
      <c r="G273" s="9"/>
      <c r="M273" s="202"/>
      <c r="N273" s="202"/>
      <c r="O273" s="202"/>
      <c r="S273" s="9"/>
    </row>
    <row r="274">
      <c r="E274" s="13"/>
      <c r="G274" s="9"/>
      <c r="M274" s="202"/>
      <c r="N274" s="202"/>
      <c r="O274" s="202"/>
      <c r="S274" s="9"/>
    </row>
    <row r="275">
      <c r="E275" s="13"/>
      <c r="G275" s="9"/>
      <c r="M275" s="202"/>
      <c r="N275" s="202"/>
      <c r="O275" s="202"/>
      <c r="S275" s="9"/>
    </row>
    <row r="276">
      <c r="E276" s="13"/>
      <c r="G276" s="9"/>
      <c r="M276" s="202"/>
      <c r="N276" s="202"/>
      <c r="O276" s="202"/>
      <c r="S276" s="9"/>
    </row>
    <row r="277">
      <c r="E277" s="13"/>
      <c r="G277" s="9"/>
      <c r="M277" s="202"/>
      <c r="N277" s="202"/>
      <c r="O277" s="202"/>
      <c r="S277" s="9"/>
    </row>
    <row r="278">
      <c r="E278" s="13"/>
      <c r="G278" s="9"/>
      <c r="M278" s="202"/>
      <c r="N278" s="202"/>
      <c r="O278" s="202"/>
      <c r="S278" s="9"/>
    </row>
    <row r="279">
      <c r="E279" s="13"/>
      <c r="G279" s="9"/>
      <c r="M279" s="202"/>
      <c r="N279" s="202"/>
      <c r="O279" s="202"/>
      <c r="S279" s="9"/>
    </row>
    <row r="280">
      <c r="E280" s="13"/>
      <c r="G280" s="9"/>
      <c r="M280" s="202"/>
      <c r="N280" s="202"/>
      <c r="O280" s="202"/>
      <c r="S280" s="9"/>
    </row>
    <row r="281">
      <c r="E281" s="13"/>
      <c r="G281" s="9"/>
      <c r="M281" s="202"/>
      <c r="N281" s="202"/>
      <c r="O281" s="202"/>
      <c r="S281" s="9"/>
    </row>
    <row r="282">
      <c r="E282" s="13"/>
      <c r="G282" s="9"/>
      <c r="M282" s="202"/>
      <c r="N282" s="202"/>
      <c r="O282" s="202"/>
      <c r="S282" s="9"/>
    </row>
    <row r="283">
      <c r="E283" s="13"/>
      <c r="G283" s="9"/>
      <c r="M283" s="202"/>
      <c r="N283" s="202"/>
      <c r="O283" s="202"/>
      <c r="S283" s="9"/>
    </row>
    <row r="284">
      <c r="E284" s="13"/>
      <c r="G284" s="9"/>
      <c r="M284" s="202"/>
      <c r="N284" s="202"/>
      <c r="O284" s="202"/>
      <c r="S284" s="9"/>
    </row>
    <row r="285">
      <c r="E285" s="13"/>
      <c r="G285" s="9"/>
      <c r="M285" s="202"/>
      <c r="N285" s="202"/>
      <c r="O285" s="202"/>
      <c r="S285" s="9"/>
    </row>
    <row r="286">
      <c r="E286" s="13"/>
      <c r="G286" s="9"/>
      <c r="M286" s="202"/>
      <c r="N286" s="202"/>
      <c r="O286" s="202"/>
      <c r="S286" s="9"/>
    </row>
    <row r="287">
      <c r="E287" s="13"/>
      <c r="G287" s="9"/>
      <c r="M287" s="202"/>
      <c r="N287" s="202"/>
      <c r="O287" s="202"/>
      <c r="S287" s="9"/>
    </row>
    <row r="288">
      <c r="E288" s="13"/>
      <c r="G288" s="9"/>
      <c r="M288" s="202"/>
      <c r="N288" s="202"/>
      <c r="O288" s="202"/>
      <c r="S288" s="9"/>
    </row>
    <row r="289">
      <c r="E289" s="13"/>
      <c r="G289" s="9"/>
      <c r="M289" s="202"/>
      <c r="N289" s="202"/>
      <c r="O289" s="202"/>
      <c r="S289" s="9"/>
    </row>
    <row r="290">
      <c r="E290" s="13"/>
      <c r="G290" s="9"/>
      <c r="M290" s="202"/>
      <c r="N290" s="202"/>
      <c r="O290" s="202"/>
      <c r="S290" s="9"/>
    </row>
    <row r="291">
      <c r="E291" s="13"/>
      <c r="G291" s="9"/>
      <c r="M291" s="202"/>
      <c r="N291" s="202"/>
      <c r="O291" s="202"/>
      <c r="S291" s="9"/>
    </row>
    <row r="292">
      <c r="E292" s="13"/>
      <c r="G292" s="9"/>
      <c r="M292" s="202"/>
      <c r="N292" s="202"/>
      <c r="O292" s="202"/>
      <c r="S292" s="9"/>
    </row>
    <row r="293">
      <c r="E293" s="13"/>
      <c r="G293" s="9"/>
      <c r="M293" s="202"/>
      <c r="N293" s="202"/>
      <c r="O293" s="202"/>
      <c r="S293" s="9"/>
    </row>
    <row r="294">
      <c r="E294" s="13"/>
      <c r="G294" s="9"/>
      <c r="M294" s="202"/>
      <c r="N294" s="202"/>
      <c r="O294" s="202"/>
      <c r="S294" s="9"/>
    </row>
    <row r="295">
      <c r="E295" s="13"/>
      <c r="G295" s="9"/>
      <c r="M295" s="202"/>
      <c r="N295" s="202"/>
      <c r="O295" s="202"/>
      <c r="S295" s="9"/>
    </row>
    <row r="296">
      <c r="E296" s="13"/>
      <c r="G296" s="9"/>
      <c r="M296" s="202"/>
      <c r="N296" s="202"/>
      <c r="O296" s="202"/>
      <c r="S296" s="9"/>
    </row>
    <row r="297">
      <c r="E297" s="13"/>
      <c r="G297" s="9"/>
      <c r="M297" s="202"/>
      <c r="N297" s="202"/>
      <c r="O297" s="202"/>
      <c r="S297" s="9"/>
    </row>
    <row r="298">
      <c r="E298" s="13"/>
      <c r="G298" s="9"/>
      <c r="M298" s="202"/>
      <c r="N298" s="202"/>
      <c r="O298" s="202"/>
      <c r="S298" s="9"/>
    </row>
    <row r="299">
      <c r="E299" s="13"/>
      <c r="G299" s="9"/>
      <c r="M299" s="202"/>
      <c r="N299" s="202"/>
      <c r="O299" s="202"/>
      <c r="S299" s="9"/>
    </row>
    <row r="300">
      <c r="E300" s="13"/>
      <c r="G300" s="9"/>
      <c r="M300" s="202"/>
      <c r="N300" s="202"/>
      <c r="O300" s="202"/>
      <c r="S300" s="9"/>
    </row>
    <row r="301">
      <c r="E301" s="13"/>
      <c r="G301" s="9"/>
      <c r="M301" s="202"/>
      <c r="N301" s="202"/>
      <c r="O301" s="202"/>
      <c r="S301" s="9"/>
    </row>
    <row r="302">
      <c r="E302" s="13"/>
      <c r="G302" s="9"/>
      <c r="M302" s="202"/>
      <c r="N302" s="202"/>
      <c r="O302" s="202"/>
      <c r="S302" s="9"/>
    </row>
    <row r="303">
      <c r="E303" s="13"/>
      <c r="G303" s="9"/>
      <c r="M303" s="202"/>
      <c r="N303" s="202"/>
      <c r="O303" s="202"/>
      <c r="S303" s="9"/>
    </row>
    <row r="304">
      <c r="E304" s="13"/>
      <c r="G304" s="9"/>
      <c r="M304" s="202"/>
      <c r="N304" s="202"/>
      <c r="O304" s="202"/>
      <c r="S304" s="9"/>
    </row>
    <row r="305">
      <c r="E305" s="13"/>
      <c r="G305" s="9"/>
      <c r="M305" s="202"/>
      <c r="N305" s="202"/>
      <c r="O305" s="202"/>
      <c r="S305" s="9"/>
    </row>
    <row r="306">
      <c r="E306" s="13"/>
      <c r="G306" s="9"/>
      <c r="M306" s="202"/>
      <c r="N306" s="202"/>
      <c r="O306" s="202"/>
      <c r="S306" s="9"/>
    </row>
    <row r="307">
      <c r="E307" s="13"/>
      <c r="G307" s="9"/>
      <c r="M307" s="202"/>
      <c r="N307" s="202"/>
      <c r="O307" s="202"/>
      <c r="S307" s="9"/>
    </row>
    <row r="308">
      <c r="E308" s="13"/>
      <c r="G308" s="9"/>
      <c r="M308" s="202"/>
      <c r="N308" s="202"/>
      <c r="O308" s="202"/>
      <c r="S308" s="9"/>
    </row>
    <row r="309">
      <c r="E309" s="13"/>
      <c r="G309" s="9"/>
      <c r="M309" s="202"/>
      <c r="N309" s="202"/>
      <c r="O309" s="202"/>
      <c r="S309" s="9"/>
    </row>
    <row r="310">
      <c r="E310" s="13"/>
      <c r="G310" s="9"/>
      <c r="M310" s="202"/>
      <c r="N310" s="202"/>
      <c r="O310" s="202"/>
      <c r="S310" s="9"/>
    </row>
    <row r="311">
      <c r="E311" s="13"/>
      <c r="G311" s="9"/>
      <c r="M311" s="202"/>
      <c r="N311" s="202"/>
      <c r="O311" s="202"/>
      <c r="S311" s="9"/>
    </row>
    <row r="312">
      <c r="E312" s="13"/>
      <c r="G312" s="9"/>
      <c r="M312" s="202"/>
      <c r="N312" s="202"/>
      <c r="O312" s="202"/>
      <c r="S312" s="9"/>
    </row>
    <row r="313">
      <c r="E313" s="13"/>
      <c r="G313" s="9"/>
      <c r="M313" s="202"/>
      <c r="N313" s="202"/>
      <c r="O313" s="202"/>
      <c r="S313" s="9"/>
    </row>
    <row r="314">
      <c r="E314" s="13"/>
      <c r="G314" s="9"/>
      <c r="M314" s="202"/>
      <c r="N314" s="202"/>
      <c r="O314" s="202"/>
      <c r="S314" s="9"/>
    </row>
    <row r="315">
      <c r="E315" s="13"/>
      <c r="G315" s="9"/>
      <c r="M315" s="202"/>
      <c r="N315" s="202"/>
      <c r="O315" s="202"/>
      <c r="S315" s="9"/>
    </row>
    <row r="316">
      <c r="E316" s="13"/>
      <c r="G316" s="9"/>
      <c r="M316" s="202"/>
      <c r="N316" s="202"/>
      <c r="O316" s="202"/>
      <c r="S316" s="9"/>
    </row>
    <row r="317">
      <c r="E317" s="13"/>
      <c r="G317" s="9"/>
      <c r="M317" s="202"/>
      <c r="N317" s="202"/>
      <c r="O317" s="202"/>
      <c r="S317" s="9"/>
    </row>
    <row r="318">
      <c r="E318" s="13"/>
      <c r="G318" s="9"/>
      <c r="M318" s="202"/>
      <c r="N318" s="202"/>
      <c r="O318" s="202"/>
      <c r="S318" s="9"/>
    </row>
    <row r="319">
      <c r="E319" s="13"/>
      <c r="G319" s="9"/>
      <c r="M319" s="202"/>
      <c r="N319" s="202"/>
      <c r="O319" s="202"/>
      <c r="S319" s="9"/>
    </row>
    <row r="320">
      <c r="E320" s="13"/>
      <c r="G320" s="9"/>
      <c r="M320" s="202"/>
      <c r="N320" s="202"/>
      <c r="O320" s="202"/>
      <c r="S320" s="9"/>
    </row>
    <row r="321">
      <c r="E321" s="13"/>
      <c r="G321" s="9"/>
      <c r="M321" s="202"/>
      <c r="N321" s="202"/>
      <c r="O321" s="202"/>
      <c r="S321" s="9"/>
    </row>
    <row r="322">
      <c r="E322" s="13"/>
      <c r="G322" s="9"/>
      <c r="M322" s="202"/>
      <c r="N322" s="202"/>
      <c r="O322" s="202"/>
      <c r="S322" s="9"/>
    </row>
    <row r="323">
      <c r="E323" s="13"/>
      <c r="G323" s="9"/>
      <c r="M323" s="202"/>
      <c r="N323" s="202"/>
      <c r="O323" s="202"/>
      <c r="S323" s="9"/>
    </row>
    <row r="324">
      <c r="E324" s="13"/>
      <c r="G324" s="9"/>
      <c r="M324" s="202"/>
      <c r="N324" s="202"/>
      <c r="O324" s="202"/>
      <c r="S324" s="9"/>
    </row>
    <row r="325">
      <c r="E325" s="13"/>
      <c r="G325" s="9"/>
      <c r="M325" s="202"/>
      <c r="N325" s="202"/>
      <c r="O325" s="202"/>
      <c r="S325" s="9"/>
    </row>
    <row r="326">
      <c r="E326" s="13"/>
      <c r="G326" s="9"/>
      <c r="M326" s="202"/>
      <c r="N326" s="202"/>
      <c r="O326" s="202"/>
      <c r="S326" s="9"/>
    </row>
    <row r="327">
      <c r="E327" s="13"/>
      <c r="G327" s="9"/>
      <c r="M327" s="202"/>
      <c r="N327" s="202"/>
      <c r="O327" s="202"/>
      <c r="S327" s="9"/>
    </row>
    <row r="328">
      <c r="E328" s="13"/>
      <c r="G328" s="9"/>
      <c r="M328" s="202"/>
      <c r="N328" s="202"/>
      <c r="O328" s="202"/>
      <c r="S328" s="9"/>
    </row>
    <row r="329">
      <c r="E329" s="13"/>
      <c r="G329" s="9"/>
      <c r="M329" s="202"/>
      <c r="N329" s="202"/>
      <c r="O329" s="202"/>
      <c r="S329" s="9"/>
    </row>
    <row r="330">
      <c r="E330" s="13"/>
      <c r="G330" s="9"/>
      <c r="M330" s="202"/>
      <c r="N330" s="202"/>
      <c r="O330" s="202"/>
      <c r="S330" s="9"/>
    </row>
    <row r="331">
      <c r="E331" s="13"/>
      <c r="G331" s="9"/>
      <c r="M331" s="202"/>
      <c r="N331" s="202"/>
      <c r="O331" s="202"/>
      <c r="S331" s="9"/>
    </row>
    <row r="332">
      <c r="E332" s="13"/>
      <c r="G332" s="9"/>
      <c r="M332" s="202"/>
      <c r="N332" s="202"/>
      <c r="O332" s="202"/>
      <c r="S332" s="9"/>
    </row>
    <row r="333">
      <c r="E333" s="13"/>
      <c r="G333" s="9"/>
      <c r="M333" s="202"/>
      <c r="N333" s="202"/>
      <c r="O333" s="202"/>
      <c r="S333" s="9"/>
    </row>
    <row r="334">
      <c r="E334" s="13"/>
      <c r="G334" s="9"/>
      <c r="M334" s="202"/>
      <c r="N334" s="202"/>
      <c r="O334" s="202"/>
      <c r="S334" s="9"/>
    </row>
    <row r="335">
      <c r="E335" s="13"/>
      <c r="G335" s="9"/>
      <c r="M335" s="202"/>
      <c r="N335" s="202"/>
      <c r="O335" s="202"/>
      <c r="S335" s="9"/>
    </row>
    <row r="336">
      <c r="E336" s="13"/>
      <c r="G336" s="9"/>
      <c r="M336" s="202"/>
      <c r="N336" s="202"/>
      <c r="O336" s="202"/>
      <c r="S336" s="9"/>
    </row>
    <row r="337">
      <c r="E337" s="13"/>
      <c r="G337" s="9"/>
      <c r="M337" s="202"/>
      <c r="N337" s="202"/>
      <c r="O337" s="202"/>
      <c r="S337" s="9"/>
    </row>
    <row r="338">
      <c r="E338" s="13"/>
      <c r="G338" s="9"/>
      <c r="M338" s="202"/>
      <c r="N338" s="202"/>
      <c r="O338" s="202"/>
      <c r="S338" s="9"/>
    </row>
    <row r="339">
      <c r="E339" s="13"/>
      <c r="G339" s="9"/>
      <c r="M339" s="202"/>
      <c r="N339" s="202"/>
      <c r="O339" s="202"/>
      <c r="S339" s="9"/>
    </row>
    <row r="340">
      <c r="E340" s="13"/>
      <c r="G340" s="9"/>
      <c r="M340" s="202"/>
      <c r="N340" s="202"/>
      <c r="O340" s="202"/>
      <c r="S340" s="9"/>
    </row>
    <row r="341">
      <c r="E341" s="13"/>
      <c r="G341" s="9"/>
      <c r="M341" s="202"/>
      <c r="N341" s="202"/>
      <c r="O341" s="202"/>
      <c r="S341" s="9"/>
    </row>
    <row r="342">
      <c r="E342" s="13"/>
      <c r="G342" s="9"/>
      <c r="M342" s="202"/>
      <c r="N342" s="202"/>
      <c r="O342" s="202"/>
      <c r="S342" s="9"/>
    </row>
    <row r="343">
      <c r="E343" s="13"/>
      <c r="G343" s="9"/>
      <c r="M343" s="202"/>
      <c r="N343" s="202"/>
      <c r="O343" s="202"/>
      <c r="S343" s="9"/>
    </row>
    <row r="344">
      <c r="E344" s="13"/>
      <c r="G344" s="9"/>
      <c r="M344" s="202"/>
      <c r="N344" s="202"/>
      <c r="O344" s="202"/>
      <c r="S344" s="9"/>
    </row>
    <row r="345">
      <c r="E345" s="13"/>
      <c r="G345" s="9"/>
      <c r="M345" s="202"/>
      <c r="N345" s="202"/>
      <c r="O345" s="202"/>
      <c r="S345" s="9"/>
    </row>
    <row r="346">
      <c r="E346" s="13"/>
      <c r="G346" s="9"/>
      <c r="M346" s="202"/>
      <c r="N346" s="202"/>
      <c r="O346" s="202"/>
      <c r="S346" s="9"/>
    </row>
    <row r="347">
      <c r="E347" s="13"/>
      <c r="G347" s="9"/>
      <c r="M347" s="202"/>
      <c r="N347" s="202"/>
      <c r="O347" s="202"/>
      <c r="S347" s="9"/>
    </row>
    <row r="348">
      <c r="E348" s="13"/>
      <c r="G348" s="9"/>
      <c r="M348" s="202"/>
      <c r="N348" s="202"/>
      <c r="O348" s="202"/>
      <c r="S348" s="9"/>
    </row>
    <row r="349">
      <c r="E349" s="13"/>
      <c r="G349" s="9"/>
      <c r="M349" s="202"/>
      <c r="N349" s="202"/>
      <c r="O349" s="202"/>
      <c r="S349" s="9"/>
    </row>
    <row r="350">
      <c r="E350" s="13"/>
      <c r="G350" s="9"/>
      <c r="M350" s="202"/>
      <c r="N350" s="202"/>
      <c r="O350" s="202"/>
      <c r="S350" s="9"/>
    </row>
    <row r="351">
      <c r="E351" s="13"/>
      <c r="G351" s="9"/>
      <c r="M351" s="202"/>
      <c r="N351" s="202"/>
      <c r="O351" s="202"/>
      <c r="S351" s="9"/>
    </row>
    <row r="352">
      <c r="E352" s="13"/>
      <c r="G352" s="9"/>
      <c r="M352" s="202"/>
      <c r="N352" s="202"/>
      <c r="O352" s="202"/>
      <c r="S352" s="9"/>
    </row>
    <row r="353">
      <c r="E353" s="13"/>
      <c r="G353" s="9"/>
      <c r="M353" s="202"/>
      <c r="N353" s="202"/>
      <c r="O353" s="202"/>
      <c r="S353" s="9"/>
    </row>
    <row r="354">
      <c r="E354" s="13"/>
      <c r="G354" s="9"/>
      <c r="M354" s="202"/>
      <c r="N354" s="202"/>
      <c r="O354" s="202"/>
      <c r="S354" s="9"/>
    </row>
    <row r="355">
      <c r="E355" s="13"/>
      <c r="G355" s="9"/>
      <c r="M355" s="202"/>
      <c r="N355" s="202"/>
      <c r="O355" s="202"/>
      <c r="S355" s="9"/>
    </row>
    <row r="356">
      <c r="E356" s="13"/>
      <c r="G356" s="9"/>
      <c r="M356" s="202"/>
      <c r="N356" s="202"/>
      <c r="O356" s="202"/>
      <c r="S356" s="9"/>
    </row>
    <row r="357">
      <c r="E357" s="13"/>
      <c r="G357" s="9"/>
      <c r="M357" s="202"/>
      <c r="N357" s="202"/>
      <c r="O357" s="202"/>
      <c r="S357" s="9"/>
    </row>
    <row r="358">
      <c r="E358" s="13"/>
      <c r="G358" s="9"/>
      <c r="M358" s="202"/>
      <c r="N358" s="202"/>
      <c r="O358" s="202"/>
      <c r="S358" s="9"/>
    </row>
    <row r="359">
      <c r="E359" s="13"/>
      <c r="G359" s="9"/>
      <c r="M359" s="202"/>
      <c r="N359" s="202"/>
      <c r="O359" s="202"/>
      <c r="S359" s="9"/>
    </row>
    <row r="360">
      <c r="E360" s="13"/>
      <c r="G360" s="9"/>
      <c r="M360" s="202"/>
      <c r="N360" s="202"/>
      <c r="O360" s="202"/>
      <c r="S360" s="9"/>
    </row>
    <row r="361">
      <c r="E361" s="13"/>
      <c r="G361" s="9"/>
      <c r="M361" s="202"/>
      <c r="N361" s="202"/>
      <c r="O361" s="202"/>
      <c r="S361" s="9"/>
    </row>
    <row r="362">
      <c r="E362" s="13"/>
      <c r="G362" s="9"/>
      <c r="M362" s="202"/>
      <c r="N362" s="202"/>
      <c r="O362" s="202"/>
      <c r="S362" s="9"/>
    </row>
    <row r="363">
      <c r="E363" s="13"/>
      <c r="G363" s="9"/>
      <c r="M363" s="202"/>
      <c r="N363" s="202"/>
      <c r="O363" s="202"/>
      <c r="S363" s="9"/>
    </row>
    <row r="364">
      <c r="E364" s="13"/>
      <c r="G364" s="9"/>
      <c r="M364" s="202"/>
      <c r="N364" s="202"/>
      <c r="O364" s="202"/>
      <c r="S364" s="9"/>
    </row>
    <row r="365">
      <c r="E365" s="13"/>
      <c r="G365" s="9"/>
      <c r="M365" s="202"/>
      <c r="N365" s="202"/>
      <c r="O365" s="202"/>
      <c r="S365" s="9"/>
    </row>
    <row r="366">
      <c r="E366" s="13"/>
      <c r="G366" s="9"/>
      <c r="M366" s="202"/>
      <c r="N366" s="202"/>
      <c r="O366" s="202"/>
      <c r="S366" s="9"/>
    </row>
    <row r="367">
      <c r="E367" s="13"/>
      <c r="G367" s="9"/>
      <c r="M367" s="202"/>
      <c r="N367" s="202"/>
      <c r="O367" s="202"/>
      <c r="S367" s="9"/>
    </row>
    <row r="368">
      <c r="E368" s="13"/>
      <c r="G368" s="9"/>
      <c r="M368" s="202"/>
      <c r="N368" s="202"/>
      <c r="O368" s="202"/>
      <c r="S368" s="9"/>
    </row>
    <row r="369">
      <c r="E369" s="13"/>
      <c r="G369" s="9"/>
      <c r="M369" s="202"/>
      <c r="N369" s="202"/>
      <c r="O369" s="202"/>
      <c r="S369" s="9"/>
    </row>
    <row r="370">
      <c r="E370" s="13"/>
      <c r="G370" s="9"/>
      <c r="M370" s="202"/>
      <c r="N370" s="202"/>
      <c r="O370" s="202"/>
      <c r="S370" s="9"/>
    </row>
    <row r="371">
      <c r="E371" s="13"/>
      <c r="G371" s="9"/>
      <c r="M371" s="202"/>
      <c r="N371" s="202"/>
      <c r="O371" s="202"/>
      <c r="S371" s="9"/>
    </row>
    <row r="372">
      <c r="E372" s="13"/>
      <c r="G372" s="9"/>
      <c r="M372" s="202"/>
      <c r="N372" s="202"/>
      <c r="O372" s="202"/>
      <c r="S372" s="9"/>
    </row>
    <row r="373">
      <c r="E373" s="13"/>
      <c r="G373" s="9"/>
      <c r="M373" s="202"/>
      <c r="N373" s="202"/>
      <c r="O373" s="202"/>
      <c r="S373" s="9"/>
    </row>
    <row r="374">
      <c r="E374" s="13"/>
      <c r="G374" s="9"/>
      <c r="M374" s="202"/>
      <c r="N374" s="202"/>
      <c r="O374" s="202"/>
      <c r="S374" s="9"/>
    </row>
    <row r="375">
      <c r="E375" s="13"/>
      <c r="G375" s="9"/>
      <c r="M375" s="202"/>
      <c r="N375" s="202"/>
      <c r="O375" s="202"/>
      <c r="S375" s="9"/>
    </row>
    <row r="376">
      <c r="E376" s="13"/>
      <c r="G376" s="9"/>
      <c r="M376" s="202"/>
      <c r="N376" s="202"/>
      <c r="O376" s="202"/>
      <c r="S376" s="9"/>
    </row>
    <row r="377">
      <c r="E377" s="13"/>
      <c r="G377" s="9"/>
      <c r="M377" s="202"/>
      <c r="N377" s="202"/>
      <c r="O377" s="202"/>
      <c r="S377" s="9"/>
    </row>
    <row r="378">
      <c r="E378" s="13"/>
      <c r="G378" s="9"/>
      <c r="M378" s="202"/>
      <c r="N378" s="202"/>
      <c r="O378" s="202"/>
      <c r="S378" s="9"/>
    </row>
    <row r="379">
      <c r="E379" s="13"/>
      <c r="G379" s="9"/>
      <c r="M379" s="202"/>
      <c r="N379" s="202"/>
      <c r="O379" s="202"/>
      <c r="S379" s="9"/>
    </row>
    <row r="380">
      <c r="E380" s="13"/>
      <c r="G380" s="9"/>
      <c r="M380" s="202"/>
      <c r="N380" s="202"/>
      <c r="O380" s="202"/>
      <c r="S380" s="9"/>
    </row>
    <row r="381">
      <c r="E381" s="13"/>
      <c r="G381" s="9"/>
      <c r="M381" s="202"/>
      <c r="N381" s="202"/>
      <c r="O381" s="202"/>
      <c r="S381" s="9"/>
    </row>
    <row r="382">
      <c r="E382" s="13"/>
      <c r="G382" s="9"/>
      <c r="M382" s="202"/>
      <c r="N382" s="202"/>
      <c r="O382" s="202"/>
      <c r="S382" s="9"/>
    </row>
    <row r="383">
      <c r="E383" s="13"/>
      <c r="G383" s="9"/>
      <c r="M383" s="202"/>
      <c r="N383" s="202"/>
      <c r="O383" s="202"/>
      <c r="S383" s="9"/>
    </row>
    <row r="384">
      <c r="E384" s="13"/>
      <c r="G384" s="9"/>
      <c r="M384" s="202"/>
      <c r="N384" s="202"/>
      <c r="O384" s="202"/>
      <c r="S384" s="9"/>
    </row>
    <row r="385">
      <c r="E385" s="13"/>
      <c r="G385" s="9"/>
      <c r="M385" s="202"/>
      <c r="N385" s="202"/>
      <c r="O385" s="202"/>
      <c r="S385" s="9"/>
    </row>
    <row r="386">
      <c r="E386" s="13"/>
      <c r="G386" s="9"/>
      <c r="M386" s="202"/>
      <c r="N386" s="202"/>
      <c r="O386" s="202"/>
      <c r="S386" s="9"/>
    </row>
    <row r="387">
      <c r="E387" s="13"/>
      <c r="G387" s="9"/>
      <c r="M387" s="202"/>
      <c r="N387" s="202"/>
      <c r="O387" s="202"/>
      <c r="S387" s="9"/>
    </row>
    <row r="388">
      <c r="E388" s="13"/>
      <c r="G388" s="9"/>
      <c r="M388" s="202"/>
      <c r="N388" s="202"/>
      <c r="O388" s="202"/>
      <c r="S388" s="9"/>
    </row>
    <row r="389">
      <c r="E389" s="13"/>
      <c r="G389" s="9"/>
      <c r="M389" s="202"/>
      <c r="N389" s="202"/>
      <c r="O389" s="202"/>
      <c r="S389" s="9"/>
    </row>
    <row r="390">
      <c r="E390" s="13"/>
      <c r="G390" s="9"/>
      <c r="M390" s="202"/>
      <c r="N390" s="202"/>
      <c r="O390" s="202"/>
      <c r="S390" s="9"/>
    </row>
    <row r="391">
      <c r="E391" s="13"/>
      <c r="G391" s="9"/>
      <c r="M391" s="202"/>
      <c r="N391" s="202"/>
      <c r="O391" s="202"/>
      <c r="S391" s="9"/>
    </row>
    <row r="392">
      <c r="E392" s="13"/>
      <c r="G392" s="9"/>
      <c r="M392" s="202"/>
      <c r="N392" s="202"/>
      <c r="O392" s="202"/>
      <c r="S392" s="9"/>
    </row>
    <row r="393">
      <c r="E393" s="13"/>
      <c r="G393" s="9"/>
      <c r="M393" s="202"/>
      <c r="N393" s="202"/>
      <c r="O393" s="202"/>
      <c r="S393" s="9"/>
    </row>
    <row r="394">
      <c r="E394" s="13"/>
      <c r="G394" s="9"/>
      <c r="M394" s="202"/>
      <c r="N394" s="202"/>
      <c r="O394" s="202"/>
      <c r="S394" s="9"/>
    </row>
    <row r="395">
      <c r="E395" s="13"/>
      <c r="G395" s="9"/>
      <c r="M395" s="202"/>
      <c r="N395" s="202"/>
      <c r="O395" s="202"/>
      <c r="S395" s="9"/>
    </row>
    <row r="396">
      <c r="E396" s="13"/>
      <c r="G396" s="9"/>
      <c r="M396" s="202"/>
      <c r="N396" s="202"/>
      <c r="O396" s="202"/>
      <c r="S396" s="9"/>
    </row>
    <row r="397">
      <c r="E397" s="13"/>
      <c r="G397" s="9"/>
      <c r="M397" s="202"/>
      <c r="N397" s="202"/>
      <c r="O397" s="202"/>
      <c r="S397" s="9"/>
    </row>
    <row r="398">
      <c r="E398" s="13"/>
      <c r="G398" s="9"/>
      <c r="M398" s="202"/>
      <c r="N398" s="202"/>
      <c r="O398" s="202"/>
      <c r="S398" s="9"/>
    </row>
    <row r="399">
      <c r="E399" s="13"/>
      <c r="G399" s="9"/>
      <c r="M399" s="202"/>
      <c r="N399" s="202"/>
      <c r="O399" s="202"/>
      <c r="S399" s="9"/>
    </row>
    <row r="400">
      <c r="E400" s="13"/>
      <c r="G400" s="9"/>
      <c r="M400" s="202"/>
      <c r="N400" s="202"/>
      <c r="O400" s="202"/>
      <c r="S400" s="9"/>
    </row>
    <row r="401">
      <c r="E401" s="13"/>
      <c r="G401" s="9"/>
      <c r="M401" s="202"/>
      <c r="N401" s="202"/>
      <c r="O401" s="202"/>
      <c r="S401" s="9"/>
    </row>
    <row r="402">
      <c r="E402" s="13"/>
      <c r="G402" s="9"/>
      <c r="M402" s="202"/>
      <c r="N402" s="202"/>
      <c r="O402" s="202"/>
      <c r="S402" s="9"/>
    </row>
    <row r="403">
      <c r="E403" s="13"/>
      <c r="G403" s="9"/>
      <c r="M403" s="202"/>
      <c r="N403" s="202"/>
      <c r="O403" s="202"/>
      <c r="S403" s="9"/>
    </row>
    <row r="404">
      <c r="E404" s="13"/>
      <c r="G404" s="9"/>
      <c r="M404" s="202"/>
      <c r="N404" s="202"/>
      <c r="O404" s="202"/>
      <c r="S404" s="9"/>
    </row>
    <row r="405">
      <c r="E405" s="13"/>
      <c r="G405" s="9"/>
      <c r="M405" s="202"/>
      <c r="N405" s="202"/>
      <c r="O405" s="202"/>
      <c r="S405" s="9"/>
    </row>
    <row r="406">
      <c r="E406" s="13"/>
      <c r="G406" s="9"/>
      <c r="M406" s="202"/>
      <c r="N406" s="202"/>
      <c r="O406" s="202"/>
      <c r="S406" s="9"/>
    </row>
    <row r="407">
      <c r="E407" s="13"/>
      <c r="G407" s="9"/>
      <c r="M407" s="202"/>
      <c r="N407" s="202"/>
      <c r="O407" s="202"/>
      <c r="S407" s="9"/>
    </row>
    <row r="408">
      <c r="E408" s="13"/>
      <c r="G408" s="9"/>
      <c r="M408" s="202"/>
      <c r="N408" s="202"/>
      <c r="O408" s="202"/>
      <c r="S408" s="9"/>
    </row>
    <row r="409">
      <c r="E409" s="13"/>
      <c r="G409" s="9"/>
      <c r="M409" s="202"/>
      <c r="N409" s="202"/>
      <c r="O409" s="202"/>
      <c r="S409" s="9"/>
    </row>
    <row r="410">
      <c r="E410" s="13"/>
      <c r="G410" s="9"/>
      <c r="M410" s="202"/>
      <c r="N410" s="202"/>
      <c r="O410" s="202"/>
      <c r="S410" s="9"/>
    </row>
    <row r="411">
      <c r="E411" s="13"/>
      <c r="G411" s="9"/>
      <c r="M411" s="202"/>
      <c r="N411" s="202"/>
      <c r="O411" s="202"/>
      <c r="S411" s="9"/>
    </row>
    <row r="412">
      <c r="E412" s="13"/>
      <c r="G412" s="9"/>
      <c r="M412" s="202"/>
      <c r="N412" s="202"/>
      <c r="O412" s="202"/>
      <c r="S412" s="9"/>
    </row>
    <row r="413">
      <c r="E413" s="13"/>
      <c r="G413" s="9"/>
      <c r="M413" s="202"/>
      <c r="N413" s="202"/>
      <c r="O413" s="202"/>
      <c r="S413" s="9"/>
    </row>
    <row r="414">
      <c r="E414" s="13"/>
      <c r="G414" s="9"/>
      <c r="M414" s="202"/>
      <c r="N414" s="202"/>
      <c r="O414" s="202"/>
      <c r="S414" s="9"/>
    </row>
    <row r="415">
      <c r="E415" s="13"/>
      <c r="G415" s="9"/>
      <c r="M415" s="202"/>
      <c r="N415" s="202"/>
      <c r="O415" s="202"/>
      <c r="S415" s="9"/>
    </row>
    <row r="416">
      <c r="E416" s="13"/>
      <c r="G416" s="9"/>
      <c r="M416" s="202"/>
      <c r="N416" s="202"/>
      <c r="O416" s="202"/>
      <c r="S416" s="9"/>
    </row>
    <row r="417">
      <c r="E417" s="13"/>
      <c r="G417" s="9"/>
      <c r="M417" s="202"/>
      <c r="N417" s="202"/>
      <c r="O417" s="202"/>
      <c r="S417" s="9"/>
    </row>
    <row r="418">
      <c r="E418" s="13"/>
      <c r="G418" s="9"/>
      <c r="M418" s="202"/>
      <c r="N418" s="202"/>
      <c r="O418" s="202"/>
      <c r="S418" s="9"/>
    </row>
    <row r="419">
      <c r="E419" s="13"/>
      <c r="G419" s="9"/>
      <c r="M419" s="202"/>
      <c r="N419" s="202"/>
      <c r="O419" s="202"/>
      <c r="S419" s="9"/>
    </row>
    <row r="420">
      <c r="E420" s="13"/>
      <c r="G420" s="9"/>
      <c r="M420" s="202"/>
      <c r="N420" s="202"/>
      <c r="O420" s="202"/>
      <c r="S420" s="9"/>
    </row>
    <row r="421">
      <c r="E421" s="13"/>
      <c r="G421" s="9"/>
      <c r="M421" s="202"/>
      <c r="N421" s="202"/>
      <c r="O421" s="202"/>
      <c r="S421" s="9"/>
    </row>
    <row r="422">
      <c r="E422" s="13"/>
      <c r="G422" s="9"/>
      <c r="M422" s="202"/>
      <c r="N422" s="202"/>
      <c r="O422" s="202"/>
      <c r="S422" s="9"/>
    </row>
    <row r="423">
      <c r="E423" s="13"/>
      <c r="G423" s="9"/>
      <c r="M423" s="202"/>
      <c r="N423" s="202"/>
      <c r="O423" s="202"/>
      <c r="S423" s="9"/>
    </row>
    <row r="424">
      <c r="E424" s="13"/>
      <c r="G424" s="9"/>
      <c r="M424" s="202"/>
      <c r="N424" s="202"/>
      <c r="O424" s="202"/>
      <c r="S424" s="9"/>
    </row>
    <row r="425">
      <c r="E425" s="13"/>
      <c r="G425" s="9"/>
      <c r="M425" s="202"/>
      <c r="N425" s="202"/>
      <c r="O425" s="202"/>
      <c r="S425" s="9"/>
    </row>
    <row r="426">
      <c r="E426" s="13"/>
      <c r="G426" s="9"/>
      <c r="M426" s="202"/>
      <c r="N426" s="202"/>
      <c r="O426" s="202"/>
      <c r="S426" s="9"/>
    </row>
    <row r="427">
      <c r="E427" s="13"/>
      <c r="G427" s="9"/>
      <c r="M427" s="202"/>
      <c r="N427" s="202"/>
      <c r="O427" s="202"/>
      <c r="S427" s="9"/>
    </row>
    <row r="428">
      <c r="E428" s="13"/>
      <c r="G428" s="9"/>
      <c r="M428" s="202"/>
      <c r="N428" s="202"/>
      <c r="O428" s="202"/>
      <c r="S428" s="9"/>
    </row>
    <row r="429">
      <c r="E429" s="13"/>
      <c r="G429" s="9"/>
      <c r="M429" s="202"/>
      <c r="N429" s="202"/>
      <c r="O429" s="202"/>
      <c r="S429" s="9"/>
    </row>
    <row r="430">
      <c r="E430" s="13"/>
      <c r="G430" s="9"/>
      <c r="M430" s="202"/>
      <c r="N430" s="202"/>
      <c r="O430" s="202"/>
      <c r="S430" s="9"/>
    </row>
    <row r="431">
      <c r="E431" s="13"/>
      <c r="G431" s="9"/>
      <c r="M431" s="202"/>
      <c r="N431" s="202"/>
      <c r="O431" s="202"/>
      <c r="S431" s="9"/>
    </row>
    <row r="432">
      <c r="E432" s="13"/>
      <c r="G432" s="9"/>
      <c r="M432" s="202"/>
      <c r="N432" s="202"/>
      <c r="O432" s="202"/>
      <c r="S432" s="9"/>
    </row>
    <row r="433">
      <c r="E433" s="13"/>
      <c r="G433" s="9"/>
      <c r="M433" s="202"/>
      <c r="N433" s="202"/>
      <c r="O433" s="202"/>
      <c r="S433" s="9"/>
    </row>
    <row r="434">
      <c r="E434" s="13"/>
      <c r="G434" s="9"/>
      <c r="M434" s="202"/>
      <c r="N434" s="202"/>
      <c r="O434" s="202"/>
      <c r="S434" s="9"/>
    </row>
    <row r="435">
      <c r="E435" s="13"/>
      <c r="G435" s="9"/>
      <c r="M435" s="202"/>
      <c r="N435" s="202"/>
      <c r="O435" s="202"/>
      <c r="S435" s="9"/>
    </row>
    <row r="436">
      <c r="E436" s="13"/>
      <c r="G436" s="9"/>
      <c r="M436" s="202"/>
      <c r="N436" s="202"/>
      <c r="O436" s="202"/>
      <c r="S436" s="9"/>
    </row>
    <row r="437">
      <c r="E437" s="13"/>
      <c r="G437" s="9"/>
      <c r="M437" s="202"/>
      <c r="N437" s="202"/>
      <c r="O437" s="202"/>
      <c r="S437" s="9"/>
    </row>
    <row r="438">
      <c r="E438" s="13"/>
      <c r="G438" s="9"/>
      <c r="M438" s="202"/>
      <c r="N438" s="202"/>
      <c r="O438" s="202"/>
      <c r="S438" s="9"/>
    </row>
    <row r="439">
      <c r="E439" s="13"/>
      <c r="G439" s="9"/>
      <c r="M439" s="202"/>
      <c r="N439" s="202"/>
      <c r="O439" s="202"/>
      <c r="S439" s="9"/>
    </row>
    <row r="440">
      <c r="E440" s="13"/>
      <c r="G440" s="9"/>
      <c r="M440" s="202"/>
      <c r="N440" s="202"/>
      <c r="O440" s="202"/>
      <c r="S440" s="9"/>
    </row>
    <row r="441">
      <c r="E441" s="13"/>
      <c r="G441" s="9"/>
      <c r="M441" s="202"/>
      <c r="N441" s="202"/>
      <c r="O441" s="202"/>
      <c r="S441" s="9"/>
    </row>
    <row r="442">
      <c r="E442" s="13"/>
      <c r="G442" s="9"/>
      <c r="M442" s="202"/>
      <c r="N442" s="202"/>
      <c r="O442" s="202"/>
      <c r="S442" s="9"/>
    </row>
    <row r="443">
      <c r="E443" s="13"/>
      <c r="G443" s="9"/>
      <c r="M443" s="202"/>
      <c r="N443" s="202"/>
      <c r="O443" s="202"/>
      <c r="S443" s="9"/>
    </row>
    <row r="444">
      <c r="E444" s="13"/>
      <c r="G444" s="9"/>
      <c r="M444" s="202"/>
      <c r="N444" s="202"/>
      <c r="O444" s="202"/>
      <c r="S444" s="9"/>
    </row>
    <row r="445">
      <c r="E445" s="13"/>
      <c r="G445" s="9"/>
      <c r="M445" s="202"/>
      <c r="N445" s="202"/>
      <c r="O445" s="202"/>
      <c r="S445" s="9"/>
    </row>
    <row r="446">
      <c r="E446" s="13"/>
      <c r="G446" s="9"/>
      <c r="M446" s="202"/>
      <c r="N446" s="202"/>
      <c r="O446" s="202"/>
      <c r="S446" s="9"/>
    </row>
    <row r="447">
      <c r="E447" s="13"/>
      <c r="G447" s="9"/>
      <c r="M447" s="202"/>
      <c r="N447" s="202"/>
      <c r="O447" s="202"/>
      <c r="S447" s="9"/>
    </row>
    <row r="448">
      <c r="E448" s="13"/>
      <c r="G448" s="9"/>
      <c r="M448" s="202"/>
      <c r="N448" s="202"/>
      <c r="O448" s="202"/>
      <c r="S448" s="9"/>
    </row>
    <row r="449">
      <c r="E449" s="13"/>
      <c r="G449" s="9"/>
      <c r="M449" s="202"/>
      <c r="N449" s="202"/>
      <c r="O449" s="202"/>
      <c r="S449" s="9"/>
    </row>
    <row r="450">
      <c r="E450" s="13"/>
      <c r="G450" s="9"/>
      <c r="M450" s="202"/>
      <c r="N450" s="202"/>
      <c r="O450" s="202"/>
      <c r="S450" s="9"/>
    </row>
    <row r="451">
      <c r="E451" s="13"/>
      <c r="G451" s="9"/>
      <c r="M451" s="202"/>
      <c r="N451" s="202"/>
      <c r="O451" s="202"/>
      <c r="S451" s="9"/>
    </row>
    <row r="452">
      <c r="E452" s="13"/>
      <c r="G452" s="9"/>
      <c r="M452" s="202"/>
      <c r="N452" s="202"/>
      <c r="O452" s="202"/>
      <c r="S452" s="9"/>
    </row>
    <row r="453">
      <c r="E453" s="13"/>
      <c r="G453" s="9"/>
      <c r="M453" s="202"/>
      <c r="N453" s="202"/>
      <c r="O453" s="202"/>
      <c r="S453" s="9"/>
    </row>
    <row r="454">
      <c r="E454" s="13"/>
      <c r="G454" s="9"/>
      <c r="M454" s="202"/>
      <c r="N454" s="202"/>
      <c r="O454" s="202"/>
      <c r="S454" s="9"/>
    </row>
    <row r="455">
      <c r="E455" s="13"/>
      <c r="G455" s="9"/>
      <c r="M455" s="202"/>
      <c r="N455" s="202"/>
      <c r="O455" s="202"/>
      <c r="S455" s="9"/>
    </row>
    <row r="456">
      <c r="E456" s="13"/>
      <c r="G456" s="9"/>
      <c r="M456" s="202"/>
      <c r="N456" s="202"/>
      <c r="O456" s="202"/>
      <c r="S456" s="9"/>
    </row>
    <row r="457">
      <c r="E457" s="13"/>
      <c r="G457" s="9"/>
      <c r="M457" s="202"/>
      <c r="N457" s="202"/>
      <c r="O457" s="202"/>
      <c r="S457" s="9"/>
    </row>
    <row r="458">
      <c r="E458" s="13"/>
      <c r="G458" s="9"/>
      <c r="M458" s="202"/>
      <c r="N458" s="202"/>
      <c r="O458" s="202"/>
      <c r="S458" s="9"/>
    </row>
    <row r="459">
      <c r="E459" s="13"/>
      <c r="G459" s="9"/>
      <c r="M459" s="202"/>
      <c r="N459" s="202"/>
      <c r="O459" s="202"/>
      <c r="S459" s="9"/>
    </row>
    <row r="460">
      <c r="E460" s="13"/>
      <c r="G460" s="9"/>
      <c r="M460" s="202"/>
      <c r="N460" s="202"/>
      <c r="O460" s="202"/>
      <c r="S460" s="9"/>
    </row>
    <row r="461">
      <c r="E461" s="13"/>
      <c r="G461" s="9"/>
      <c r="M461" s="202"/>
      <c r="N461" s="202"/>
      <c r="O461" s="202"/>
      <c r="S461" s="9"/>
    </row>
    <row r="462">
      <c r="E462" s="13"/>
      <c r="G462" s="9"/>
      <c r="M462" s="202"/>
      <c r="N462" s="202"/>
      <c r="O462" s="202"/>
      <c r="S462" s="9"/>
    </row>
    <row r="463">
      <c r="E463" s="13"/>
      <c r="G463" s="9"/>
      <c r="M463" s="202"/>
      <c r="N463" s="202"/>
      <c r="O463" s="202"/>
      <c r="S463" s="9"/>
    </row>
    <row r="464">
      <c r="E464" s="13"/>
      <c r="G464" s="9"/>
      <c r="M464" s="202"/>
      <c r="N464" s="202"/>
      <c r="O464" s="202"/>
      <c r="S464" s="9"/>
    </row>
    <row r="465">
      <c r="E465" s="13"/>
      <c r="G465" s="9"/>
      <c r="M465" s="202"/>
      <c r="N465" s="202"/>
      <c r="O465" s="202"/>
      <c r="S465" s="9"/>
    </row>
    <row r="466">
      <c r="E466" s="13"/>
      <c r="G466" s="9"/>
      <c r="M466" s="202"/>
      <c r="N466" s="202"/>
      <c r="O466" s="202"/>
      <c r="S466" s="9"/>
    </row>
    <row r="467">
      <c r="E467" s="13"/>
      <c r="G467" s="9"/>
      <c r="M467" s="202"/>
      <c r="N467" s="202"/>
      <c r="O467" s="202"/>
      <c r="S467" s="9"/>
    </row>
    <row r="468">
      <c r="E468" s="13"/>
      <c r="G468" s="9"/>
      <c r="M468" s="202"/>
      <c r="N468" s="202"/>
      <c r="O468" s="202"/>
      <c r="S468" s="9"/>
    </row>
    <row r="469">
      <c r="E469" s="13"/>
      <c r="G469" s="9"/>
      <c r="M469" s="202"/>
      <c r="N469" s="202"/>
      <c r="O469" s="202"/>
      <c r="S469" s="9"/>
    </row>
    <row r="470">
      <c r="E470" s="13"/>
      <c r="G470" s="9"/>
      <c r="M470" s="202"/>
      <c r="N470" s="202"/>
      <c r="O470" s="202"/>
      <c r="S470" s="9"/>
    </row>
    <row r="471">
      <c r="E471" s="13"/>
      <c r="G471" s="9"/>
      <c r="M471" s="202"/>
      <c r="N471" s="202"/>
      <c r="O471" s="202"/>
      <c r="S471" s="9"/>
    </row>
    <row r="472">
      <c r="E472" s="13"/>
      <c r="G472" s="9"/>
      <c r="M472" s="202"/>
      <c r="N472" s="202"/>
      <c r="O472" s="202"/>
      <c r="S472" s="9"/>
    </row>
    <row r="473">
      <c r="E473" s="13"/>
      <c r="G473" s="9"/>
      <c r="M473" s="202"/>
      <c r="N473" s="202"/>
      <c r="O473" s="202"/>
      <c r="S473" s="9"/>
    </row>
    <row r="474">
      <c r="E474" s="13"/>
      <c r="G474" s="9"/>
      <c r="M474" s="202"/>
      <c r="N474" s="202"/>
      <c r="O474" s="202"/>
      <c r="S474" s="9"/>
    </row>
    <row r="475">
      <c r="E475" s="13"/>
      <c r="G475" s="9"/>
      <c r="M475" s="202"/>
      <c r="N475" s="202"/>
      <c r="O475" s="202"/>
      <c r="S475" s="9"/>
    </row>
    <row r="476">
      <c r="E476" s="13"/>
      <c r="G476" s="9"/>
      <c r="M476" s="202"/>
      <c r="N476" s="202"/>
      <c r="O476" s="202"/>
      <c r="S476" s="9"/>
    </row>
    <row r="477">
      <c r="E477" s="13"/>
      <c r="G477" s="9"/>
      <c r="M477" s="202"/>
      <c r="N477" s="202"/>
      <c r="O477" s="202"/>
      <c r="S477" s="9"/>
    </row>
    <row r="478">
      <c r="E478" s="13"/>
      <c r="G478" s="9"/>
      <c r="M478" s="202"/>
      <c r="N478" s="202"/>
      <c r="O478" s="202"/>
      <c r="S478" s="9"/>
    </row>
    <row r="479">
      <c r="E479" s="13"/>
      <c r="G479" s="9"/>
      <c r="M479" s="202"/>
      <c r="N479" s="202"/>
      <c r="O479" s="202"/>
      <c r="S479" s="9"/>
    </row>
    <row r="480">
      <c r="E480" s="13"/>
      <c r="G480" s="9"/>
      <c r="M480" s="202"/>
      <c r="N480" s="202"/>
      <c r="O480" s="202"/>
      <c r="S480" s="9"/>
    </row>
    <row r="481">
      <c r="E481" s="13"/>
      <c r="G481" s="9"/>
      <c r="M481" s="202"/>
      <c r="N481" s="202"/>
      <c r="O481" s="202"/>
      <c r="S481" s="9"/>
    </row>
    <row r="482">
      <c r="E482" s="13"/>
      <c r="G482" s="9"/>
      <c r="M482" s="202"/>
      <c r="N482" s="202"/>
      <c r="O482" s="202"/>
      <c r="S482" s="9"/>
    </row>
    <row r="483">
      <c r="E483" s="13"/>
      <c r="G483" s="9"/>
      <c r="M483" s="202"/>
      <c r="N483" s="202"/>
      <c r="O483" s="202"/>
      <c r="S483" s="9"/>
    </row>
    <row r="484">
      <c r="E484" s="13"/>
      <c r="G484" s="9"/>
      <c r="M484" s="202"/>
      <c r="N484" s="202"/>
      <c r="O484" s="202"/>
      <c r="S484" s="9"/>
    </row>
    <row r="485">
      <c r="E485" s="13"/>
      <c r="G485" s="9"/>
      <c r="M485" s="202"/>
      <c r="N485" s="202"/>
      <c r="O485" s="202"/>
      <c r="S485" s="9"/>
    </row>
    <row r="486">
      <c r="E486" s="13"/>
      <c r="G486" s="9"/>
      <c r="M486" s="202"/>
      <c r="N486" s="202"/>
      <c r="O486" s="202"/>
      <c r="S486" s="9"/>
    </row>
    <row r="487">
      <c r="E487" s="13"/>
      <c r="G487" s="9"/>
      <c r="M487" s="202"/>
      <c r="N487" s="202"/>
      <c r="O487" s="202"/>
      <c r="S487" s="9"/>
    </row>
    <row r="488">
      <c r="E488" s="13"/>
      <c r="G488" s="9"/>
      <c r="M488" s="202"/>
      <c r="N488" s="202"/>
      <c r="O488" s="202"/>
      <c r="S488" s="9"/>
    </row>
    <row r="489">
      <c r="E489" s="13"/>
      <c r="G489" s="9"/>
      <c r="M489" s="202"/>
      <c r="N489" s="202"/>
      <c r="O489" s="202"/>
      <c r="S489" s="9"/>
    </row>
    <row r="490">
      <c r="E490" s="13"/>
      <c r="G490" s="9"/>
      <c r="M490" s="202"/>
      <c r="N490" s="202"/>
      <c r="O490" s="202"/>
      <c r="S490" s="9"/>
    </row>
    <row r="491">
      <c r="E491" s="13"/>
      <c r="G491" s="9"/>
      <c r="M491" s="202"/>
      <c r="N491" s="202"/>
      <c r="O491" s="202"/>
      <c r="S491" s="9"/>
    </row>
    <row r="492">
      <c r="E492" s="13"/>
      <c r="G492" s="9"/>
      <c r="M492" s="202"/>
      <c r="N492" s="202"/>
      <c r="O492" s="202"/>
      <c r="S492" s="9"/>
    </row>
    <row r="493">
      <c r="E493" s="13"/>
      <c r="G493" s="9"/>
      <c r="M493" s="202"/>
      <c r="N493" s="202"/>
      <c r="O493" s="202"/>
      <c r="S493" s="9"/>
    </row>
    <row r="494">
      <c r="E494" s="13"/>
      <c r="G494" s="9"/>
      <c r="M494" s="202"/>
      <c r="N494" s="202"/>
      <c r="O494" s="202"/>
      <c r="S494" s="9"/>
    </row>
    <row r="495">
      <c r="E495" s="13"/>
      <c r="G495" s="9"/>
      <c r="M495" s="202"/>
      <c r="N495" s="202"/>
      <c r="O495" s="202"/>
      <c r="S495" s="9"/>
    </row>
    <row r="496">
      <c r="E496" s="13"/>
      <c r="G496" s="9"/>
      <c r="M496" s="202"/>
      <c r="N496" s="202"/>
      <c r="O496" s="202"/>
      <c r="S496" s="9"/>
    </row>
    <row r="497">
      <c r="E497" s="13"/>
      <c r="G497" s="9"/>
      <c r="M497" s="202"/>
      <c r="N497" s="202"/>
      <c r="O497" s="202"/>
      <c r="S497" s="9"/>
    </row>
    <row r="498">
      <c r="E498" s="13"/>
      <c r="G498" s="9"/>
      <c r="M498" s="202"/>
      <c r="N498" s="202"/>
      <c r="O498" s="202"/>
      <c r="S498" s="9"/>
    </row>
    <row r="499">
      <c r="E499" s="13"/>
      <c r="G499" s="9"/>
      <c r="M499" s="202"/>
      <c r="N499" s="202"/>
      <c r="O499" s="202"/>
      <c r="S499" s="9"/>
    </row>
    <row r="500">
      <c r="E500" s="13"/>
      <c r="G500" s="9"/>
      <c r="M500" s="202"/>
      <c r="N500" s="202"/>
      <c r="O500" s="202"/>
      <c r="S500" s="9"/>
    </row>
    <row r="501">
      <c r="E501" s="13"/>
      <c r="G501" s="9"/>
      <c r="M501" s="202"/>
      <c r="N501" s="202"/>
      <c r="O501" s="202"/>
      <c r="S501" s="9"/>
    </row>
    <row r="502">
      <c r="E502" s="13"/>
      <c r="G502" s="9"/>
      <c r="M502" s="202"/>
      <c r="N502" s="202"/>
      <c r="O502" s="202"/>
      <c r="S502" s="9"/>
    </row>
    <row r="503">
      <c r="E503" s="13"/>
      <c r="G503" s="9"/>
      <c r="M503" s="202"/>
      <c r="N503" s="202"/>
      <c r="O503" s="202"/>
      <c r="S503" s="9"/>
    </row>
    <row r="504">
      <c r="E504" s="13"/>
      <c r="G504" s="9"/>
      <c r="M504" s="202"/>
      <c r="N504" s="202"/>
      <c r="O504" s="202"/>
      <c r="S504" s="9"/>
    </row>
    <row r="505">
      <c r="E505" s="13"/>
      <c r="G505" s="9"/>
      <c r="M505" s="202"/>
      <c r="N505" s="202"/>
      <c r="O505" s="202"/>
      <c r="S505" s="9"/>
    </row>
    <row r="506">
      <c r="E506" s="13"/>
      <c r="G506" s="9"/>
      <c r="M506" s="202"/>
      <c r="N506" s="202"/>
      <c r="O506" s="202"/>
      <c r="S506" s="9"/>
    </row>
    <row r="507">
      <c r="E507" s="13"/>
      <c r="G507" s="9"/>
      <c r="M507" s="202"/>
      <c r="N507" s="202"/>
      <c r="O507" s="202"/>
      <c r="S507" s="9"/>
    </row>
    <row r="508">
      <c r="E508" s="13"/>
      <c r="G508" s="9"/>
      <c r="M508" s="202"/>
      <c r="N508" s="202"/>
      <c r="O508" s="202"/>
      <c r="S508" s="9"/>
    </row>
    <row r="509">
      <c r="E509" s="13"/>
      <c r="G509" s="9"/>
      <c r="M509" s="202"/>
      <c r="N509" s="202"/>
      <c r="O509" s="202"/>
      <c r="S509" s="9"/>
    </row>
    <row r="510">
      <c r="E510" s="13"/>
      <c r="G510" s="9"/>
      <c r="M510" s="202"/>
      <c r="N510" s="202"/>
      <c r="O510" s="202"/>
      <c r="S510" s="9"/>
    </row>
    <row r="511">
      <c r="E511" s="13"/>
      <c r="G511" s="9"/>
      <c r="M511" s="202"/>
      <c r="N511" s="202"/>
      <c r="O511" s="202"/>
      <c r="S511" s="9"/>
    </row>
    <row r="512">
      <c r="E512" s="13"/>
      <c r="G512" s="9"/>
      <c r="M512" s="202"/>
      <c r="N512" s="202"/>
      <c r="O512" s="202"/>
      <c r="S512" s="9"/>
    </row>
    <row r="513">
      <c r="E513" s="13"/>
      <c r="G513" s="9"/>
      <c r="M513" s="202"/>
      <c r="N513" s="202"/>
      <c r="O513" s="202"/>
      <c r="S513" s="9"/>
    </row>
    <row r="514">
      <c r="E514" s="13"/>
      <c r="G514" s="9"/>
      <c r="M514" s="202"/>
      <c r="N514" s="202"/>
      <c r="O514" s="202"/>
      <c r="S514" s="9"/>
    </row>
    <row r="515">
      <c r="E515" s="13"/>
      <c r="G515" s="9"/>
      <c r="M515" s="202"/>
      <c r="N515" s="202"/>
      <c r="O515" s="202"/>
      <c r="S515" s="9"/>
    </row>
    <row r="516">
      <c r="E516" s="13"/>
      <c r="G516" s="9"/>
      <c r="M516" s="202"/>
      <c r="N516" s="202"/>
      <c r="O516" s="202"/>
      <c r="S516" s="9"/>
    </row>
    <row r="517">
      <c r="E517" s="13"/>
      <c r="G517" s="9"/>
      <c r="M517" s="202"/>
      <c r="N517" s="202"/>
      <c r="O517" s="202"/>
      <c r="S517" s="9"/>
    </row>
    <row r="518">
      <c r="E518" s="13"/>
      <c r="G518" s="9"/>
      <c r="M518" s="202"/>
      <c r="N518" s="202"/>
      <c r="O518" s="202"/>
      <c r="S518" s="9"/>
    </row>
    <row r="519">
      <c r="E519" s="13"/>
      <c r="G519" s="9"/>
      <c r="M519" s="202"/>
      <c r="N519" s="202"/>
      <c r="O519" s="202"/>
      <c r="S519" s="9"/>
    </row>
    <row r="520">
      <c r="E520" s="13"/>
      <c r="G520" s="9"/>
      <c r="M520" s="202"/>
      <c r="N520" s="202"/>
      <c r="O520" s="202"/>
      <c r="S520" s="9"/>
    </row>
    <row r="521">
      <c r="E521" s="13"/>
      <c r="G521" s="9"/>
      <c r="M521" s="202"/>
      <c r="N521" s="202"/>
      <c r="O521" s="202"/>
      <c r="S521" s="9"/>
    </row>
    <row r="522">
      <c r="E522" s="13"/>
      <c r="G522" s="9"/>
      <c r="M522" s="202"/>
      <c r="N522" s="202"/>
      <c r="O522" s="202"/>
      <c r="S522" s="9"/>
    </row>
    <row r="523">
      <c r="E523" s="13"/>
      <c r="G523" s="9"/>
      <c r="M523" s="202"/>
      <c r="N523" s="202"/>
      <c r="O523" s="202"/>
      <c r="S523" s="9"/>
    </row>
    <row r="524">
      <c r="E524" s="13"/>
      <c r="G524" s="9"/>
      <c r="M524" s="202"/>
      <c r="N524" s="202"/>
      <c r="O524" s="202"/>
      <c r="S524" s="9"/>
    </row>
    <row r="525">
      <c r="E525" s="13"/>
      <c r="G525" s="9"/>
      <c r="M525" s="202"/>
      <c r="N525" s="202"/>
      <c r="O525" s="202"/>
      <c r="S525" s="9"/>
    </row>
    <row r="526">
      <c r="E526" s="13"/>
      <c r="G526" s="9"/>
      <c r="M526" s="202"/>
      <c r="N526" s="202"/>
      <c r="O526" s="202"/>
      <c r="S526" s="9"/>
    </row>
    <row r="527">
      <c r="E527" s="13"/>
      <c r="G527" s="9"/>
      <c r="M527" s="202"/>
      <c r="N527" s="202"/>
      <c r="O527" s="202"/>
      <c r="S527" s="9"/>
    </row>
    <row r="528">
      <c r="E528" s="13"/>
      <c r="G528" s="9"/>
      <c r="M528" s="202"/>
      <c r="N528" s="202"/>
      <c r="O528" s="202"/>
      <c r="S528" s="9"/>
    </row>
    <row r="529">
      <c r="E529" s="13"/>
      <c r="G529" s="9"/>
      <c r="M529" s="202"/>
      <c r="N529" s="202"/>
      <c r="O529" s="202"/>
      <c r="S529" s="9"/>
    </row>
    <row r="530">
      <c r="E530" s="13"/>
      <c r="G530" s="9"/>
      <c r="M530" s="202"/>
      <c r="N530" s="202"/>
      <c r="O530" s="202"/>
      <c r="S530" s="9"/>
    </row>
    <row r="531">
      <c r="E531" s="13"/>
      <c r="G531" s="9"/>
      <c r="M531" s="202"/>
      <c r="N531" s="202"/>
      <c r="O531" s="202"/>
      <c r="S531" s="9"/>
    </row>
    <row r="532">
      <c r="E532" s="13"/>
      <c r="G532" s="9"/>
      <c r="M532" s="202"/>
      <c r="N532" s="202"/>
      <c r="O532" s="202"/>
      <c r="S532" s="9"/>
    </row>
    <row r="533">
      <c r="E533" s="13"/>
      <c r="G533" s="9"/>
      <c r="M533" s="202"/>
      <c r="N533" s="202"/>
      <c r="O533" s="202"/>
      <c r="S533" s="9"/>
    </row>
    <row r="534">
      <c r="E534" s="13"/>
      <c r="G534" s="9"/>
      <c r="M534" s="202"/>
      <c r="N534" s="202"/>
      <c r="O534" s="202"/>
      <c r="S534" s="9"/>
    </row>
    <row r="535">
      <c r="E535" s="13"/>
      <c r="G535" s="9"/>
      <c r="M535" s="202"/>
      <c r="N535" s="202"/>
      <c r="O535" s="202"/>
      <c r="S535" s="9"/>
    </row>
    <row r="536">
      <c r="E536" s="13"/>
      <c r="G536" s="9"/>
      <c r="M536" s="202"/>
      <c r="N536" s="202"/>
      <c r="O536" s="202"/>
      <c r="S536" s="9"/>
    </row>
    <row r="537">
      <c r="E537" s="13"/>
      <c r="G537" s="9"/>
      <c r="M537" s="202"/>
      <c r="N537" s="202"/>
      <c r="O537" s="202"/>
      <c r="S537" s="9"/>
    </row>
    <row r="538">
      <c r="E538" s="13"/>
      <c r="G538" s="9"/>
      <c r="M538" s="202"/>
      <c r="N538" s="202"/>
      <c r="O538" s="202"/>
      <c r="S538" s="9"/>
    </row>
    <row r="539">
      <c r="E539" s="13"/>
      <c r="G539" s="9"/>
      <c r="M539" s="202"/>
      <c r="N539" s="202"/>
      <c r="O539" s="202"/>
      <c r="S539" s="9"/>
    </row>
    <row r="540">
      <c r="E540" s="13"/>
      <c r="G540" s="9"/>
      <c r="M540" s="202"/>
      <c r="N540" s="202"/>
      <c r="O540" s="202"/>
      <c r="S540" s="9"/>
    </row>
    <row r="541">
      <c r="E541" s="13"/>
      <c r="G541" s="9"/>
      <c r="M541" s="202"/>
      <c r="N541" s="202"/>
      <c r="O541" s="202"/>
      <c r="S541" s="9"/>
    </row>
    <row r="542">
      <c r="E542" s="13"/>
      <c r="G542" s="9"/>
      <c r="M542" s="202"/>
      <c r="N542" s="202"/>
      <c r="O542" s="202"/>
      <c r="S542" s="9"/>
    </row>
    <row r="543">
      <c r="E543" s="13"/>
      <c r="G543" s="9"/>
      <c r="M543" s="202"/>
      <c r="N543" s="202"/>
      <c r="O543" s="202"/>
      <c r="S543" s="9"/>
    </row>
    <row r="544">
      <c r="E544" s="13"/>
      <c r="G544" s="9"/>
      <c r="M544" s="202"/>
      <c r="N544" s="202"/>
      <c r="O544" s="202"/>
      <c r="S544" s="9"/>
    </row>
    <row r="545">
      <c r="E545" s="13"/>
      <c r="G545" s="9"/>
      <c r="M545" s="202"/>
      <c r="N545" s="202"/>
      <c r="O545" s="202"/>
      <c r="S545" s="9"/>
    </row>
    <row r="546">
      <c r="E546" s="13"/>
      <c r="G546" s="9"/>
      <c r="M546" s="202"/>
      <c r="N546" s="202"/>
      <c r="O546" s="202"/>
      <c r="S546" s="9"/>
    </row>
    <row r="547">
      <c r="E547" s="13"/>
      <c r="G547" s="9"/>
      <c r="M547" s="202"/>
      <c r="N547" s="202"/>
      <c r="O547" s="202"/>
      <c r="S547" s="9"/>
    </row>
    <row r="548">
      <c r="E548" s="13"/>
      <c r="G548" s="9"/>
      <c r="M548" s="202"/>
      <c r="N548" s="202"/>
      <c r="O548" s="202"/>
      <c r="S548" s="9"/>
    </row>
    <row r="549">
      <c r="E549" s="13"/>
      <c r="G549" s="9"/>
      <c r="M549" s="202"/>
      <c r="N549" s="202"/>
      <c r="O549" s="202"/>
      <c r="S549" s="9"/>
    </row>
    <row r="550">
      <c r="E550" s="13"/>
      <c r="G550" s="9"/>
      <c r="M550" s="202"/>
      <c r="N550" s="202"/>
      <c r="O550" s="202"/>
      <c r="S550" s="9"/>
    </row>
    <row r="551">
      <c r="E551" s="13"/>
      <c r="G551" s="9"/>
      <c r="M551" s="202"/>
      <c r="N551" s="202"/>
      <c r="O551" s="202"/>
      <c r="S551" s="9"/>
    </row>
    <row r="552">
      <c r="E552" s="13"/>
      <c r="G552" s="9"/>
      <c r="M552" s="202"/>
      <c r="N552" s="202"/>
      <c r="O552" s="202"/>
      <c r="S552" s="9"/>
    </row>
    <row r="553">
      <c r="E553" s="13"/>
      <c r="G553" s="9"/>
      <c r="M553" s="202"/>
      <c r="N553" s="202"/>
      <c r="O553" s="202"/>
      <c r="S553" s="9"/>
    </row>
    <row r="554">
      <c r="E554" s="13"/>
      <c r="G554" s="9"/>
      <c r="M554" s="202"/>
      <c r="N554" s="202"/>
      <c r="O554" s="202"/>
      <c r="S554" s="9"/>
    </row>
    <row r="555">
      <c r="E555" s="13"/>
      <c r="G555" s="9"/>
      <c r="M555" s="202"/>
      <c r="N555" s="202"/>
      <c r="O555" s="202"/>
      <c r="S555" s="9"/>
    </row>
    <row r="556">
      <c r="E556" s="13"/>
      <c r="G556" s="9"/>
      <c r="M556" s="202"/>
      <c r="N556" s="202"/>
      <c r="O556" s="202"/>
      <c r="S556" s="9"/>
    </row>
    <row r="557">
      <c r="E557" s="13"/>
      <c r="G557" s="9"/>
      <c r="M557" s="202"/>
      <c r="N557" s="202"/>
      <c r="O557" s="202"/>
      <c r="S557" s="9"/>
    </row>
    <row r="558">
      <c r="E558" s="13"/>
      <c r="G558" s="9"/>
      <c r="M558" s="202"/>
      <c r="N558" s="202"/>
      <c r="O558" s="202"/>
      <c r="S558" s="9"/>
    </row>
    <row r="559">
      <c r="E559" s="13"/>
      <c r="G559" s="9"/>
      <c r="M559" s="202"/>
      <c r="N559" s="202"/>
      <c r="O559" s="202"/>
      <c r="S559" s="9"/>
    </row>
    <row r="560">
      <c r="E560" s="13"/>
      <c r="G560" s="9"/>
      <c r="M560" s="202"/>
      <c r="N560" s="202"/>
      <c r="O560" s="202"/>
      <c r="S560" s="9"/>
    </row>
    <row r="561">
      <c r="E561" s="13"/>
      <c r="G561" s="9"/>
      <c r="M561" s="202"/>
      <c r="N561" s="202"/>
      <c r="O561" s="202"/>
      <c r="S561" s="9"/>
    </row>
    <row r="562">
      <c r="E562" s="13"/>
      <c r="G562" s="9"/>
      <c r="M562" s="202"/>
      <c r="N562" s="202"/>
      <c r="O562" s="202"/>
      <c r="S562" s="9"/>
    </row>
    <row r="563">
      <c r="E563" s="13"/>
      <c r="G563" s="9"/>
      <c r="M563" s="202"/>
      <c r="N563" s="202"/>
      <c r="O563" s="202"/>
      <c r="S563" s="9"/>
    </row>
    <row r="564">
      <c r="E564" s="13"/>
      <c r="G564" s="9"/>
      <c r="M564" s="202"/>
      <c r="N564" s="202"/>
      <c r="O564" s="202"/>
      <c r="S564" s="9"/>
    </row>
    <row r="565">
      <c r="E565" s="13"/>
      <c r="G565" s="9"/>
      <c r="M565" s="202"/>
      <c r="N565" s="202"/>
      <c r="O565" s="202"/>
      <c r="S565" s="9"/>
    </row>
    <row r="566">
      <c r="E566" s="13"/>
      <c r="G566" s="9"/>
      <c r="M566" s="202"/>
      <c r="N566" s="202"/>
      <c r="O566" s="202"/>
      <c r="S566" s="9"/>
    </row>
    <row r="567">
      <c r="E567" s="13"/>
      <c r="G567" s="9"/>
      <c r="M567" s="202"/>
      <c r="N567" s="202"/>
      <c r="O567" s="202"/>
      <c r="S567" s="9"/>
    </row>
    <row r="568">
      <c r="E568" s="13"/>
      <c r="G568" s="9"/>
      <c r="M568" s="202"/>
      <c r="N568" s="202"/>
      <c r="O568" s="202"/>
      <c r="S568" s="9"/>
    </row>
    <row r="569">
      <c r="E569" s="13"/>
      <c r="G569" s="9"/>
      <c r="M569" s="202"/>
      <c r="N569" s="202"/>
      <c r="O569" s="202"/>
      <c r="S569" s="9"/>
    </row>
    <row r="570">
      <c r="E570" s="13"/>
      <c r="G570" s="9"/>
      <c r="M570" s="202"/>
      <c r="N570" s="202"/>
      <c r="O570" s="202"/>
      <c r="S570" s="9"/>
    </row>
    <row r="571">
      <c r="E571" s="13"/>
      <c r="G571" s="9"/>
      <c r="M571" s="202"/>
      <c r="N571" s="202"/>
      <c r="O571" s="202"/>
      <c r="S571" s="9"/>
    </row>
    <row r="572">
      <c r="E572" s="13"/>
      <c r="G572" s="9"/>
      <c r="M572" s="202"/>
      <c r="N572" s="202"/>
      <c r="O572" s="202"/>
      <c r="S572" s="9"/>
    </row>
    <row r="573">
      <c r="E573" s="13"/>
      <c r="G573" s="9"/>
      <c r="M573" s="202"/>
      <c r="N573" s="202"/>
      <c r="O573" s="202"/>
      <c r="S573" s="9"/>
    </row>
    <row r="574">
      <c r="E574" s="13"/>
      <c r="G574" s="9"/>
      <c r="M574" s="202"/>
      <c r="N574" s="202"/>
      <c r="O574" s="202"/>
      <c r="S574" s="9"/>
    </row>
    <row r="575">
      <c r="E575" s="13"/>
      <c r="G575" s="9"/>
      <c r="M575" s="202"/>
      <c r="N575" s="202"/>
      <c r="O575" s="202"/>
      <c r="S575" s="9"/>
    </row>
    <row r="576">
      <c r="E576" s="13"/>
      <c r="G576" s="9"/>
      <c r="M576" s="202"/>
      <c r="N576" s="202"/>
      <c r="O576" s="202"/>
      <c r="S576" s="9"/>
    </row>
    <row r="577">
      <c r="E577" s="13"/>
      <c r="G577" s="9"/>
      <c r="M577" s="202"/>
      <c r="N577" s="202"/>
      <c r="O577" s="202"/>
      <c r="S577" s="9"/>
    </row>
    <row r="578">
      <c r="E578" s="13"/>
      <c r="G578" s="9"/>
      <c r="M578" s="202"/>
      <c r="N578" s="202"/>
      <c r="O578" s="202"/>
      <c r="S578" s="9"/>
    </row>
    <row r="579">
      <c r="E579" s="13"/>
      <c r="G579" s="9"/>
      <c r="M579" s="202"/>
      <c r="N579" s="202"/>
      <c r="O579" s="202"/>
      <c r="S579" s="9"/>
    </row>
    <row r="580">
      <c r="E580" s="13"/>
      <c r="G580" s="9"/>
      <c r="M580" s="202"/>
      <c r="N580" s="202"/>
      <c r="O580" s="202"/>
      <c r="S580" s="9"/>
    </row>
    <row r="581">
      <c r="E581" s="13"/>
      <c r="G581" s="9"/>
      <c r="M581" s="202"/>
      <c r="N581" s="202"/>
      <c r="O581" s="202"/>
      <c r="S581" s="9"/>
    </row>
    <row r="582">
      <c r="E582" s="13"/>
      <c r="G582" s="9"/>
      <c r="M582" s="202"/>
      <c r="N582" s="202"/>
      <c r="O582" s="202"/>
      <c r="S582" s="9"/>
    </row>
    <row r="583">
      <c r="E583" s="13"/>
      <c r="G583" s="9"/>
      <c r="M583" s="202"/>
      <c r="N583" s="202"/>
      <c r="O583" s="202"/>
      <c r="S583" s="9"/>
    </row>
    <row r="584">
      <c r="E584" s="13"/>
      <c r="G584" s="9"/>
      <c r="M584" s="202"/>
      <c r="N584" s="202"/>
      <c r="O584" s="202"/>
      <c r="S584" s="9"/>
    </row>
    <row r="585">
      <c r="E585" s="13"/>
      <c r="G585" s="9"/>
      <c r="M585" s="202"/>
      <c r="N585" s="202"/>
      <c r="O585" s="202"/>
      <c r="S585" s="9"/>
    </row>
    <row r="586">
      <c r="E586" s="13"/>
      <c r="G586" s="9"/>
      <c r="M586" s="202"/>
      <c r="N586" s="202"/>
      <c r="O586" s="202"/>
      <c r="S586" s="9"/>
    </row>
    <row r="587">
      <c r="E587" s="13"/>
      <c r="G587" s="9"/>
      <c r="M587" s="202"/>
      <c r="N587" s="202"/>
      <c r="O587" s="202"/>
      <c r="S587" s="9"/>
    </row>
    <row r="588">
      <c r="E588" s="13"/>
      <c r="G588" s="9"/>
      <c r="M588" s="202"/>
      <c r="N588" s="202"/>
      <c r="O588" s="202"/>
      <c r="S588" s="9"/>
    </row>
    <row r="589">
      <c r="E589" s="13"/>
      <c r="G589" s="9"/>
      <c r="M589" s="202"/>
      <c r="N589" s="202"/>
      <c r="O589" s="202"/>
      <c r="S589" s="9"/>
    </row>
    <row r="590">
      <c r="E590" s="13"/>
      <c r="G590" s="9"/>
      <c r="M590" s="202"/>
      <c r="N590" s="202"/>
      <c r="O590" s="202"/>
      <c r="S590" s="9"/>
    </row>
    <row r="591">
      <c r="E591" s="13"/>
      <c r="G591" s="9"/>
      <c r="M591" s="202"/>
      <c r="N591" s="202"/>
      <c r="O591" s="202"/>
      <c r="S591" s="9"/>
    </row>
    <row r="592">
      <c r="E592" s="13"/>
      <c r="G592" s="9"/>
      <c r="M592" s="202"/>
      <c r="N592" s="202"/>
      <c r="O592" s="202"/>
      <c r="S592" s="9"/>
    </row>
    <row r="593">
      <c r="E593" s="13"/>
      <c r="G593" s="9"/>
      <c r="M593" s="202"/>
      <c r="N593" s="202"/>
      <c r="O593" s="202"/>
      <c r="S593" s="9"/>
    </row>
    <row r="594">
      <c r="E594" s="13"/>
      <c r="G594" s="9"/>
      <c r="M594" s="202"/>
      <c r="N594" s="202"/>
      <c r="O594" s="202"/>
      <c r="S594" s="9"/>
    </row>
    <row r="595">
      <c r="E595" s="13"/>
      <c r="G595" s="9"/>
      <c r="M595" s="202"/>
      <c r="N595" s="202"/>
      <c r="O595" s="202"/>
      <c r="S595" s="9"/>
    </row>
    <row r="596">
      <c r="E596" s="13"/>
      <c r="G596" s="9"/>
      <c r="M596" s="202"/>
      <c r="N596" s="202"/>
      <c r="O596" s="202"/>
      <c r="S596" s="9"/>
    </row>
    <row r="597">
      <c r="E597" s="13"/>
      <c r="G597" s="9"/>
      <c r="M597" s="202"/>
      <c r="N597" s="202"/>
      <c r="O597" s="202"/>
      <c r="S597" s="9"/>
    </row>
    <row r="598">
      <c r="E598" s="13"/>
      <c r="G598" s="9"/>
      <c r="M598" s="202"/>
      <c r="N598" s="202"/>
      <c r="O598" s="202"/>
      <c r="S598" s="9"/>
    </row>
    <row r="599">
      <c r="E599" s="13"/>
      <c r="G599" s="9"/>
      <c r="M599" s="202"/>
      <c r="N599" s="202"/>
      <c r="O599" s="202"/>
      <c r="S599" s="9"/>
    </row>
    <row r="600">
      <c r="E600" s="13"/>
      <c r="G600" s="9"/>
      <c r="M600" s="202"/>
      <c r="N600" s="202"/>
      <c r="O600" s="202"/>
      <c r="S600" s="9"/>
    </row>
    <row r="601">
      <c r="E601" s="13"/>
      <c r="G601" s="9"/>
      <c r="M601" s="202"/>
      <c r="N601" s="202"/>
      <c r="O601" s="202"/>
      <c r="S601" s="9"/>
    </row>
    <row r="602">
      <c r="E602" s="13"/>
      <c r="G602" s="9"/>
      <c r="M602" s="202"/>
      <c r="N602" s="202"/>
      <c r="O602" s="202"/>
      <c r="S602" s="9"/>
    </row>
    <row r="603">
      <c r="E603" s="13"/>
      <c r="G603" s="9"/>
      <c r="M603" s="202"/>
      <c r="N603" s="202"/>
      <c r="O603" s="202"/>
      <c r="S603" s="9"/>
    </row>
    <row r="604">
      <c r="E604" s="13"/>
      <c r="G604" s="9"/>
      <c r="M604" s="202"/>
      <c r="N604" s="202"/>
      <c r="O604" s="202"/>
      <c r="S604" s="9"/>
    </row>
    <row r="605">
      <c r="E605" s="13"/>
      <c r="G605" s="9"/>
      <c r="M605" s="202"/>
      <c r="N605" s="202"/>
      <c r="O605" s="202"/>
      <c r="S605" s="9"/>
    </row>
    <row r="606">
      <c r="E606" s="13"/>
      <c r="G606" s="9"/>
      <c r="M606" s="202"/>
      <c r="N606" s="202"/>
      <c r="O606" s="202"/>
      <c r="S606" s="9"/>
    </row>
    <row r="607">
      <c r="E607" s="13"/>
      <c r="G607" s="9"/>
      <c r="M607" s="202"/>
      <c r="N607" s="202"/>
      <c r="O607" s="202"/>
      <c r="S607" s="9"/>
    </row>
    <row r="608">
      <c r="E608" s="13"/>
      <c r="G608" s="9"/>
      <c r="M608" s="202"/>
      <c r="N608" s="202"/>
      <c r="O608" s="202"/>
      <c r="S608" s="9"/>
    </row>
    <row r="609">
      <c r="E609" s="13"/>
      <c r="G609" s="9"/>
      <c r="M609" s="202"/>
      <c r="N609" s="202"/>
      <c r="O609" s="202"/>
      <c r="S609" s="9"/>
    </row>
    <row r="610">
      <c r="E610" s="13"/>
      <c r="G610" s="9"/>
      <c r="M610" s="202"/>
      <c r="N610" s="202"/>
      <c r="O610" s="202"/>
      <c r="S610" s="9"/>
    </row>
    <row r="611">
      <c r="E611" s="13"/>
      <c r="G611" s="9"/>
      <c r="M611" s="202"/>
      <c r="N611" s="202"/>
      <c r="O611" s="202"/>
      <c r="S611" s="9"/>
    </row>
    <row r="612">
      <c r="E612" s="13"/>
      <c r="G612" s="9"/>
      <c r="M612" s="202"/>
      <c r="N612" s="202"/>
      <c r="O612" s="202"/>
      <c r="S612" s="9"/>
    </row>
    <row r="613">
      <c r="E613" s="13"/>
      <c r="G613" s="9"/>
      <c r="M613" s="202"/>
      <c r="N613" s="202"/>
      <c r="O613" s="202"/>
      <c r="S613" s="9"/>
    </row>
    <row r="614">
      <c r="E614" s="13"/>
      <c r="G614" s="9"/>
      <c r="M614" s="202"/>
      <c r="N614" s="202"/>
      <c r="O614" s="202"/>
      <c r="S614" s="9"/>
    </row>
    <row r="615">
      <c r="E615" s="13"/>
      <c r="G615" s="9"/>
      <c r="M615" s="202"/>
      <c r="N615" s="202"/>
      <c r="O615" s="202"/>
      <c r="S615" s="9"/>
    </row>
    <row r="616">
      <c r="E616" s="13"/>
      <c r="G616" s="9"/>
      <c r="M616" s="202"/>
      <c r="N616" s="202"/>
      <c r="O616" s="202"/>
      <c r="S616" s="9"/>
    </row>
    <row r="617">
      <c r="E617" s="13"/>
      <c r="G617" s="9"/>
      <c r="M617" s="202"/>
      <c r="N617" s="202"/>
      <c r="O617" s="202"/>
      <c r="S617" s="9"/>
    </row>
    <row r="618">
      <c r="E618" s="13"/>
      <c r="G618" s="9"/>
      <c r="M618" s="202"/>
      <c r="N618" s="202"/>
      <c r="O618" s="202"/>
      <c r="S618" s="9"/>
    </row>
    <row r="619">
      <c r="E619" s="13"/>
      <c r="G619" s="9"/>
      <c r="M619" s="202"/>
      <c r="N619" s="202"/>
      <c r="O619" s="202"/>
      <c r="S619" s="9"/>
    </row>
    <row r="620">
      <c r="E620" s="13"/>
      <c r="G620" s="9"/>
      <c r="M620" s="202"/>
      <c r="N620" s="202"/>
      <c r="O620" s="202"/>
      <c r="S620" s="9"/>
    </row>
    <row r="621">
      <c r="E621" s="13"/>
      <c r="G621" s="9"/>
      <c r="M621" s="202"/>
      <c r="N621" s="202"/>
      <c r="O621" s="202"/>
      <c r="S621" s="9"/>
    </row>
    <row r="622">
      <c r="E622" s="13"/>
      <c r="G622" s="9"/>
      <c r="M622" s="202"/>
      <c r="N622" s="202"/>
      <c r="O622" s="202"/>
      <c r="S622" s="9"/>
    </row>
    <row r="623">
      <c r="E623" s="13"/>
      <c r="G623" s="9"/>
      <c r="M623" s="202"/>
      <c r="N623" s="202"/>
      <c r="O623" s="202"/>
      <c r="S623" s="9"/>
    </row>
    <row r="624">
      <c r="E624" s="13"/>
      <c r="G624" s="9"/>
      <c r="M624" s="202"/>
      <c r="N624" s="202"/>
      <c r="O624" s="202"/>
      <c r="S624" s="9"/>
    </row>
    <row r="625">
      <c r="E625" s="13"/>
      <c r="G625" s="9"/>
      <c r="M625" s="202"/>
      <c r="N625" s="202"/>
      <c r="O625" s="202"/>
      <c r="S625" s="9"/>
    </row>
    <row r="626">
      <c r="E626" s="13"/>
      <c r="G626" s="9"/>
      <c r="M626" s="202"/>
      <c r="N626" s="202"/>
      <c r="O626" s="202"/>
      <c r="S626" s="9"/>
    </row>
    <row r="627">
      <c r="E627" s="13"/>
      <c r="G627" s="9"/>
      <c r="M627" s="202"/>
      <c r="N627" s="202"/>
      <c r="O627" s="202"/>
      <c r="S627" s="9"/>
    </row>
    <row r="628">
      <c r="E628" s="13"/>
      <c r="G628" s="9"/>
      <c r="M628" s="202"/>
      <c r="N628" s="202"/>
      <c r="O628" s="202"/>
      <c r="S628" s="9"/>
    </row>
    <row r="629">
      <c r="E629" s="13"/>
      <c r="G629" s="9"/>
      <c r="M629" s="202"/>
      <c r="N629" s="202"/>
      <c r="O629" s="202"/>
      <c r="S629" s="9"/>
    </row>
    <row r="630">
      <c r="E630" s="13"/>
      <c r="G630" s="9"/>
      <c r="M630" s="202"/>
      <c r="N630" s="202"/>
      <c r="O630" s="202"/>
      <c r="S630" s="9"/>
    </row>
    <row r="631">
      <c r="E631" s="13"/>
      <c r="G631" s="9"/>
      <c r="M631" s="202"/>
      <c r="N631" s="202"/>
      <c r="O631" s="202"/>
      <c r="S631" s="9"/>
    </row>
    <row r="632">
      <c r="E632" s="13"/>
      <c r="G632" s="9"/>
      <c r="M632" s="202"/>
      <c r="N632" s="202"/>
      <c r="O632" s="202"/>
      <c r="S632" s="9"/>
    </row>
    <row r="633">
      <c r="E633" s="13"/>
      <c r="G633" s="9"/>
      <c r="M633" s="202"/>
      <c r="N633" s="202"/>
      <c r="O633" s="202"/>
      <c r="S633" s="9"/>
    </row>
    <row r="634">
      <c r="E634" s="13"/>
      <c r="G634" s="9"/>
      <c r="M634" s="202"/>
      <c r="N634" s="202"/>
      <c r="O634" s="202"/>
      <c r="S634" s="9"/>
    </row>
    <row r="635">
      <c r="E635" s="13"/>
      <c r="G635" s="9"/>
      <c r="M635" s="202"/>
      <c r="N635" s="202"/>
      <c r="O635" s="202"/>
      <c r="S635" s="9"/>
    </row>
    <row r="636">
      <c r="E636" s="13"/>
      <c r="G636" s="9"/>
      <c r="M636" s="202"/>
      <c r="N636" s="202"/>
      <c r="O636" s="202"/>
      <c r="S636" s="9"/>
    </row>
    <row r="637">
      <c r="E637" s="13"/>
      <c r="G637" s="9"/>
      <c r="M637" s="202"/>
      <c r="N637" s="202"/>
      <c r="O637" s="202"/>
      <c r="S637" s="9"/>
    </row>
    <row r="638">
      <c r="E638" s="13"/>
      <c r="G638" s="9"/>
      <c r="M638" s="202"/>
      <c r="N638" s="202"/>
      <c r="O638" s="202"/>
      <c r="S638" s="9"/>
    </row>
    <row r="639">
      <c r="E639" s="13"/>
      <c r="G639" s="9"/>
      <c r="M639" s="202"/>
      <c r="N639" s="202"/>
      <c r="O639" s="202"/>
      <c r="S639" s="9"/>
    </row>
    <row r="640">
      <c r="E640" s="13"/>
      <c r="G640" s="9"/>
      <c r="M640" s="202"/>
      <c r="N640" s="202"/>
      <c r="O640" s="202"/>
      <c r="S640" s="9"/>
    </row>
    <row r="641">
      <c r="E641" s="13"/>
      <c r="G641" s="9"/>
      <c r="M641" s="202"/>
      <c r="N641" s="202"/>
      <c r="O641" s="202"/>
      <c r="S641" s="9"/>
    </row>
    <row r="642">
      <c r="E642" s="13"/>
      <c r="G642" s="9"/>
      <c r="M642" s="202"/>
      <c r="N642" s="202"/>
      <c r="O642" s="202"/>
      <c r="S642" s="9"/>
    </row>
    <row r="643">
      <c r="E643" s="13"/>
      <c r="G643" s="9"/>
      <c r="M643" s="202"/>
      <c r="N643" s="202"/>
      <c r="O643" s="202"/>
      <c r="S643" s="9"/>
    </row>
    <row r="644">
      <c r="E644" s="13"/>
      <c r="G644" s="9"/>
      <c r="M644" s="202"/>
      <c r="N644" s="202"/>
      <c r="O644" s="202"/>
      <c r="S644" s="9"/>
    </row>
    <row r="645">
      <c r="E645" s="13"/>
      <c r="G645" s="9"/>
      <c r="M645" s="202"/>
      <c r="N645" s="202"/>
      <c r="O645" s="202"/>
      <c r="S645" s="9"/>
    </row>
    <row r="646">
      <c r="E646" s="13"/>
      <c r="G646" s="9"/>
      <c r="M646" s="202"/>
      <c r="N646" s="202"/>
      <c r="O646" s="202"/>
      <c r="S646" s="9"/>
    </row>
    <row r="647">
      <c r="E647" s="13"/>
      <c r="G647" s="9"/>
      <c r="M647" s="202"/>
      <c r="N647" s="202"/>
      <c r="O647" s="202"/>
      <c r="S647" s="9"/>
    </row>
    <row r="648">
      <c r="E648" s="13"/>
      <c r="G648" s="9"/>
      <c r="M648" s="202"/>
      <c r="N648" s="202"/>
      <c r="O648" s="202"/>
      <c r="S648" s="9"/>
    </row>
    <row r="649">
      <c r="E649" s="13"/>
      <c r="G649" s="9"/>
      <c r="M649" s="202"/>
      <c r="N649" s="202"/>
      <c r="O649" s="202"/>
      <c r="S649" s="9"/>
    </row>
    <row r="650">
      <c r="E650" s="13"/>
      <c r="G650" s="9"/>
      <c r="M650" s="202"/>
      <c r="N650" s="202"/>
      <c r="O650" s="202"/>
      <c r="S650" s="9"/>
    </row>
    <row r="651">
      <c r="E651" s="13"/>
      <c r="G651" s="9"/>
      <c r="M651" s="202"/>
      <c r="N651" s="202"/>
      <c r="O651" s="202"/>
      <c r="S651" s="9"/>
    </row>
    <row r="652">
      <c r="E652" s="13"/>
      <c r="G652" s="9"/>
      <c r="M652" s="202"/>
      <c r="N652" s="202"/>
      <c r="O652" s="202"/>
      <c r="S652" s="9"/>
    </row>
    <row r="653">
      <c r="E653" s="13"/>
      <c r="G653" s="9"/>
      <c r="M653" s="202"/>
      <c r="N653" s="202"/>
      <c r="O653" s="202"/>
      <c r="S653" s="9"/>
    </row>
    <row r="654">
      <c r="E654" s="13"/>
      <c r="G654" s="9"/>
      <c r="M654" s="202"/>
      <c r="N654" s="202"/>
      <c r="O654" s="202"/>
      <c r="S654" s="9"/>
    </row>
    <row r="655">
      <c r="E655" s="13"/>
      <c r="G655" s="9"/>
      <c r="M655" s="202"/>
      <c r="N655" s="202"/>
      <c r="O655" s="202"/>
      <c r="S655" s="9"/>
    </row>
    <row r="656">
      <c r="E656" s="13"/>
      <c r="G656" s="9"/>
      <c r="M656" s="202"/>
      <c r="N656" s="202"/>
      <c r="O656" s="202"/>
      <c r="S656" s="9"/>
    </row>
    <row r="657">
      <c r="E657" s="13"/>
      <c r="G657" s="9"/>
      <c r="M657" s="202"/>
      <c r="N657" s="202"/>
      <c r="O657" s="202"/>
      <c r="S657" s="9"/>
    </row>
    <row r="658">
      <c r="E658" s="13"/>
      <c r="G658" s="9"/>
      <c r="M658" s="202"/>
      <c r="N658" s="202"/>
      <c r="O658" s="202"/>
      <c r="S658" s="9"/>
    </row>
    <row r="659">
      <c r="E659" s="13"/>
      <c r="G659" s="9"/>
      <c r="M659" s="202"/>
      <c r="N659" s="202"/>
      <c r="O659" s="202"/>
      <c r="S659" s="9"/>
    </row>
    <row r="660">
      <c r="E660" s="13"/>
      <c r="G660" s="9"/>
      <c r="M660" s="202"/>
      <c r="N660" s="202"/>
      <c r="O660" s="202"/>
      <c r="S660" s="9"/>
    </row>
    <row r="661">
      <c r="E661" s="13"/>
      <c r="G661" s="9"/>
      <c r="M661" s="202"/>
      <c r="N661" s="202"/>
      <c r="O661" s="202"/>
      <c r="S661" s="9"/>
    </row>
    <row r="662">
      <c r="E662" s="13"/>
      <c r="G662" s="9"/>
      <c r="M662" s="202"/>
      <c r="N662" s="202"/>
      <c r="O662" s="202"/>
      <c r="S662" s="9"/>
    </row>
    <row r="663">
      <c r="E663" s="13"/>
      <c r="G663" s="9"/>
      <c r="M663" s="202"/>
      <c r="N663" s="202"/>
      <c r="O663" s="202"/>
      <c r="S663" s="9"/>
    </row>
    <row r="664">
      <c r="E664" s="13"/>
      <c r="G664" s="9"/>
      <c r="M664" s="202"/>
      <c r="N664" s="202"/>
      <c r="O664" s="202"/>
      <c r="S664" s="9"/>
    </row>
    <row r="665">
      <c r="E665" s="13"/>
      <c r="G665" s="9"/>
      <c r="M665" s="202"/>
      <c r="N665" s="202"/>
      <c r="O665" s="202"/>
      <c r="S665" s="9"/>
    </row>
    <row r="666">
      <c r="E666" s="13"/>
      <c r="G666" s="9"/>
      <c r="M666" s="202"/>
      <c r="N666" s="202"/>
      <c r="O666" s="202"/>
      <c r="S666" s="9"/>
    </row>
    <row r="667">
      <c r="E667" s="13"/>
      <c r="G667" s="9"/>
      <c r="M667" s="202"/>
      <c r="N667" s="202"/>
      <c r="O667" s="202"/>
      <c r="S667" s="9"/>
    </row>
    <row r="668">
      <c r="E668" s="13"/>
      <c r="G668" s="9"/>
      <c r="M668" s="202"/>
      <c r="N668" s="202"/>
      <c r="O668" s="202"/>
      <c r="S668" s="9"/>
    </row>
    <row r="669">
      <c r="E669" s="13"/>
      <c r="G669" s="9"/>
      <c r="M669" s="202"/>
      <c r="N669" s="202"/>
      <c r="O669" s="202"/>
      <c r="S669" s="9"/>
    </row>
    <row r="670">
      <c r="E670" s="13"/>
      <c r="G670" s="9"/>
      <c r="M670" s="202"/>
      <c r="N670" s="202"/>
      <c r="O670" s="202"/>
      <c r="S670" s="9"/>
    </row>
    <row r="671">
      <c r="E671" s="13"/>
      <c r="G671" s="9"/>
      <c r="M671" s="202"/>
      <c r="N671" s="202"/>
      <c r="O671" s="202"/>
      <c r="S671" s="9"/>
    </row>
    <row r="672">
      <c r="E672" s="13"/>
      <c r="G672" s="9"/>
      <c r="M672" s="202"/>
      <c r="N672" s="202"/>
      <c r="O672" s="202"/>
      <c r="S672" s="9"/>
    </row>
    <row r="673">
      <c r="E673" s="13"/>
      <c r="G673" s="9"/>
      <c r="M673" s="202"/>
      <c r="N673" s="202"/>
      <c r="O673" s="202"/>
      <c r="S673" s="9"/>
    </row>
    <row r="674">
      <c r="E674" s="13"/>
      <c r="G674" s="9"/>
      <c r="M674" s="202"/>
      <c r="N674" s="202"/>
      <c r="O674" s="202"/>
      <c r="S674" s="9"/>
    </row>
    <row r="675">
      <c r="E675" s="13"/>
      <c r="G675" s="9"/>
      <c r="M675" s="202"/>
      <c r="N675" s="202"/>
      <c r="O675" s="202"/>
      <c r="S675" s="9"/>
    </row>
    <row r="676">
      <c r="E676" s="13"/>
      <c r="G676" s="9"/>
      <c r="M676" s="202"/>
      <c r="N676" s="202"/>
      <c r="O676" s="202"/>
      <c r="S676" s="9"/>
    </row>
    <row r="677">
      <c r="E677" s="13"/>
      <c r="G677" s="9"/>
      <c r="M677" s="202"/>
      <c r="N677" s="202"/>
      <c r="O677" s="202"/>
      <c r="S677" s="9"/>
    </row>
    <row r="678">
      <c r="E678" s="13"/>
      <c r="G678" s="9"/>
      <c r="M678" s="202"/>
      <c r="N678" s="202"/>
      <c r="O678" s="202"/>
      <c r="S678" s="9"/>
    </row>
    <row r="679">
      <c r="E679" s="13"/>
      <c r="G679" s="9"/>
      <c r="M679" s="202"/>
      <c r="N679" s="202"/>
      <c r="O679" s="202"/>
      <c r="S679" s="9"/>
    </row>
    <row r="680">
      <c r="E680" s="13"/>
      <c r="G680" s="9"/>
      <c r="M680" s="202"/>
      <c r="N680" s="202"/>
      <c r="O680" s="202"/>
      <c r="S680" s="9"/>
    </row>
    <row r="681">
      <c r="E681" s="13"/>
      <c r="G681" s="9"/>
      <c r="M681" s="202"/>
      <c r="N681" s="202"/>
      <c r="O681" s="202"/>
      <c r="S681" s="9"/>
    </row>
    <row r="682">
      <c r="E682" s="13"/>
      <c r="G682" s="9"/>
      <c r="M682" s="202"/>
      <c r="N682" s="202"/>
      <c r="O682" s="202"/>
      <c r="S682" s="9"/>
    </row>
    <row r="683">
      <c r="E683" s="13"/>
      <c r="G683" s="9"/>
      <c r="M683" s="202"/>
      <c r="N683" s="202"/>
      <c r="O683" s="202"/>
      <c r="S683" s="9"/>
    </row>
    <row r="684">
      <c r="E684" s="13"/>
      <c r="G684" s="9"/>
      <c r="M684" s="202"/>
      <c r="N684" s="202"/>
      <c r="O684" s="202"/>
      <c r="S684" s="9"/>
    </row>
    <row r="685">
      <c r="E685" s="13"/>
      <c r="G685" s="9"/>
      <c r="M685" s="202"/>
      <c r="N685" s="202"/>
      <c r="O685" s="202"/>
      <c r="S685" s="9"/>
    </row>
    <row r="686">
      <c r="E686" s="13"/>
      <c r="G686" s="9"/>
      <c r="M686" s="202"/>
      <c r="N686" s="202"/>
      <c r="O686" s="202"/>
      <c r="S686" s="9"/>
    </row>
    <row r="687">
      <c r="E687" s="13"/>
      <c r="G687" s="9"/>
      <c r="M687" s="202"/>
      <c r="N687" s="202"/>
      <c r="O687" s="202"/>
      <c r="S687" s="9"/>
    </row>
    <row r="688">
      <c r="E688" s="13"/>
      <c r="G688" s="9"/>
      <c r="M688" s="202"/>
      <c r="N688" s="202"/>
      <c r="O688" s="202"/>
      <c r="S688" s="9"/>
    </row>
    <row r="689">
      <c r="E689" s="13"/>
      <c r="G689" s="9"/>
      <c r="M689" s="202"/>
      <c r="N689" s="202"/>
      <c r="O689" s="202"/>
      <c r="S689" s="9"/>
    </row>
    <row r="690">
      <c r="E690" s="13"/>
      <c r="G690" s="9"/>
      <c r="M690" s="202"/>
      <c r="N690" s="202"/>
      <c r="O690" s="202"/>
      <c r="S690" s="9"/>
    </row>
    <row r="691">
      <c r="E691" s="13"/>
      <c r="G691" s="9"/>
      <c r="M691" s="202"/>
      <c r="N691" s="202"/>
      <c r="O691" s="202"/>
      <c r="S691" s="9"/>
    </row>
    <row r="692">
      <c r="E692" s="13"/>
      <c r="G692" s="9"/>
      <c r="M692" s="202"/>
      <c r="N692" s="202"/>
      <c r="O692" s="202"/>
      <c r="S692" s="9"/>
    </row>
    <row r="693">
      <c r="E693" s="13"/>
      <c r="G693" s="9"/>
      <c r="M693" s="202"/>
      <c r="N693" s="202"/>
      <c r="O693" s="202"/>
      <c r="S693" s="9"/>
    </row>
    <row r="694">
      <c r="E694" s="13"/>
      <c r="G694" s="9"/>
      <c r="M694" s="202"/>
      <c r="N694" s="202"/>
      <c r="O694" s="202"/>
      <c r="S694" s="9"/>
    </row>
    <row r="695">
      <c r="E695" s="13"/>
      <c r="G695" s="9"/>
      <c r="M695" s="202"/>
      <c r="N695" s="202"/>
      <c r="O695" s="202"/>
      <c r="S695" s="9"/>
    </row>
    <row r="696">
      <c r="E696" s="13"/>
      <c r="G696" s="9"/>
      <c r="M696" s="202"/>
      <c r="N696" s="202"/>
      <c r="O696" s="202"/>
      <c r="S696" s="9"/>
    </row>
    <row r="697">
      <c r="E697" s="13"/>
      <c r="G697" s="9"/>
      <c r="M697" s="202"/>
      <c r="N697" s="202"/>
      <c r="O697" s="202"/>
      <c r="S697" s="9"/>
    </row>
    <row r="698">
      <c r="E698" s="13"/>
      <c r="G698" s="9"/>
      <c r="M698" s="202"/>
      <c r="N698" s="202"/>
      <c r="O698" s="202"/>
      <c r="S698" s="9"/>
    </row>
    <row r="699">
      <c r="E699" s="13"/>
      <c r="G699" s="9"/>
      <c r="M699" s="202"/>
      <c r="N699" s="202"/>
      <c r="O699" s="202"/>
      <c r="S699" s="9"/>
    </row>
    <row r="700">
      <c r="E700" s="13"/>
      <c r="G700" s="9"/>
      <c r="M700" s="202"/>
      <c r="N700" s="202"/>
      <c r="O700" s="202"/>
      <c r="S700" s="9"/>
    </row>
    <row r="701">
      <c r="E701" s="13"/>
      <c r="G701" s="9"/>
      <c r="M701" s="202"/>
      <c r="N701" s="202"/>
      <c r="O701" s="202"/>
      <c r="S701" s="9"/>
    </row>
    <row r="702">
      <c r="E702" s="13"/>
      <c r="G702" s="9"/>
      <c r="M702" s="202"/>
      <c r="N702" s="202"/>
      <c r="O702" s="202"/>
      <c r="S702" s="9"/>
    </row>
    <row r="703">
      <c r="E703" s="13"/>
      <c r="G703" s="9"/>
      <c r="M703" s="202"/>
      <c r="N703" s="202"/>
      <c r="O703" s="202"/>
      <c r="S703" s="9"/>
    </row>
    <row r="704">
      <c r="E704" s="13"/>
      <c r="G704" s="9"/>
      <c r="M704" s="202"/>
      <c r="N704" s="202"/>
      <c r="O704" s="202"/>
      <c r="S704" s="9"/>
    </row>
    <row r="705">
      <c r="E705" s="13"/>
      <c r="G705" s="9"/>
      <c r="M705" s="202"/>
      <c r="N705" s="202"/>
      <c r="O705" s="202"/>
      <c r="S705" s="9"/>
    </row>
    <row r="706">
      <c r="E706" s="13"/>
      <c r="G706" s="9"/>
      <c r="M706" s="202"/>
      <c r="N706" s="202"/>
      <c r="O706" s="202"/>
      <c r="S706" s="9"/>
    </row>
    <row r="707">
      <c r="E707" s="13"/>
      <c r="G707" s="9"/>
      <c r="M707" s="202"/>
      <c r="N707" s="202"/>
      <c r="O707" s="202"/>
      <c r="S707" s="9"/>
    </row>
    <row r="708">
      <c r="E708" s="13"/>
      <c r="G708" s="9"/>
      <c r="M708" s="202"/>
      <c r="N708" s="202"/>
      <c r="O708" s="202"/>
      <c r="S708" s="9"/>
    </row>
    <row r="709">
      <c r="E709" s="13"/>
      <c r="G709" s="9"/>
      <c r="M709" s="202"/>
      <c r="N709" s="202"/>
      <c r="O709" s="202"/>
      <c r="S709" s="9"/>
    </row>
    <row r="710">
      <c r="E710" s="13"/>
      <c r="G710" s="9"/>
      <c r="M710" s="202"/>
      <c r="N710" s="202"/>
      <c r="O710" s="202"/>
      <c r="S710" s="9"/>
    </row>
    <row r="711">
      <c r="E711" s="13"/>
      <c r="G711" s="9"/>
      <c r="M711" s="202"/>
      <c r="N711" s="202"/>
      <c r="O711" s="202"/>
      <c r="S711" s="9"/>
    </row>
    <row r="712">
      <c r="E712" s="13"/>
      <c r="G712" s="9"/>
      <c r="M712" s="202"/>
      <c r="N712" s="202"/>
      <c r="O712" s="202"/>
      <c r="S712" s="9"/>
    </row>
    <row r="713">
      <c r="E713" s="13"/>
      <c r="G713" s="9"/>
      <c r="M713" s="202"/>
      <c r="N713" s="202"/>
      <c r="O713" s="202"/>
      <c r="S713" s="9"/>
    </row>
    <row r="714">
      <c r="E714" s="13"/>
      <c r="G714" s="9"/>
      <c r="M714" s="202"/>
      <c r="N714" s="202"/>
      <c r="O714" s="202"/>
      <c r="S714" s="9"/>
    </row>
    <row r="715">
      <c r="E715" s="13"/>
      <c r="G715" s="9"/>
      <c r="M715" s="202"/>
      <c r="N715" s="202"/>
      <c r="O715" s="202"/>
      <c r="S715" s="9"/>
    </row>
    <row r="716">
      <c r="E716" s="13"/>
      <c r="G716" s="9"/>
      <c r="M716" s="202"/>
      <c r="N716" s="202"/>
      <c r="O716" s="202"/>
      <c r="S716" s="9"/>
    </row>
    <row r="717">
      <c r="E717" s="13"/>
      <c r="G717" s="9"/>
      <c r="M717" s="202"/>
      <c r="N717" s="202"/>
      <c r="O717" s="202"/>
      <c r="S717" s="9"/>
    </row>
    <row r="718">
      <c r="E718" s="13"/>
      <c r="G718" s="9"/>
      <c r="M718" s="202"/>
      <c r="N718" s="202"/>
      <c r="O718" s="202"/>
      <c r="S718" s="9"/>
    </row>
    <row r="719">
      <c r="E719" s="13"/>
      <c r="G719" s="9"/>
      <c r="M719" s="202"/>
      <c r="N719" s="202"/>
      <c r="O719" s="202"/>
      <c r="S719" s="9"/>
    </row>
    <row r="720">
      <c r="E720" s="13"/>
      <c r="G720" s="9"/>
      <c r="M720" s="202"/>
      <c r="N720" s="202"/>
      <c r="O720" s="202"/>
      <c r="S720" s="9"/>
    </row>
    <row r="721">
      <c r="E721" s="13"/>
      <c r="G721" s="9"/>
      <c r="M721" s="202"/>
      <c r="N721" s="202"/>
      <c r="O721" s="202"/>
      <c r="S721" s="9"/>
    </row>
    <row r="722">
      <c r="E722" s="13"/>
      <c r="G722" s="9"/>
      <c r="M722" s="202"/>
      <c r="N722" s="202"/>
      <c r="O722" s="202"/>
      <c r="S722" s="9"/>
    </row>
    <row r="723">
      <c r="E723" s="13"/>
      <c r="G723" s="9"/>
      <c r="M723" s="202"/>
      <c r="N723" s="202"/>
      <c r="O723" s="202"/>
      <c r="S723" s="9"/>
    </row>
    <row r="724">
      <c r="E724" s="13"/>
      <c r="G724" s="9"/>
      <c r="M724" s="202"/>
      <c r="N724" s="202"/>
      <c r="O724" s="202"/>
      <c r="S724" s="9"/>
    </row>
    <row r="725">
      <c r="E725" s="13"/>
      <c r="G725" s="9"/>
      <c r="M725" s="202"/>
      <c r="N725" s="202"/>
      <c r="O725" s="202"/>
      <c r="S725" s="9"/>
    </row>
    <row r="726">
      <c r="E726" s="13"/>
      <c r="G726" s="9"/>
      <c r="M726" s="202"/>
      <c r="N726" s="202"/>
      <c r="O726" s="202"/>
      <c r="S726" s="9"/>
    </row>
    <row r="727">
      <c r="E727" s="13"/>
      <c r="G727" s="9"/>
      <c r="M727" s="202"/>
      <c r="N727" s="202"/>
      <c r="O727" s="202"/>
      <c r="S727" s="9"/>
    </row>
    <row r="728">
      <c r="E728" s="13"/>
      <c r="G728" s="9"/>
      <c r="M728" s="202"/>
      <c r="N728" s="202"/>
      <c r="O728" s="202"/>
      <c r="S728" s="9"/>
    </row>
    <row r="729">
      <c r="E729" s="13"/>
      <c r="G729" s="9"/>
      <c r="M729" s="202"/>
      <c r="N729" s="202"/>
      <c r="O729" s="202"/>
      <c r="S729" s="9"/>
    </row>
    <row r="730">
      <c r="E730" s="13"/>
      <c r="G730" s="9"/>
      <c r="M730" s="202"/>
      <c r="N730" s="202"/>
      <c r="O730" s="202"/>
      <c r="S730" s="9"/>
    </row>
    <row r="731">
      <c r="E731" s="13"/>
      <c r="G731" s="9"/>
      <c r="M731" s="202"/>
      <c r="N731" s="202"/>
      <c r="O731" s="202"/>
      <c r="S731" s="9"/>
    </row>
    <row r="732">
      <c r="E732" s="13"/>
      <c r="G732" s="9"/>
      <c r="M732" s="202"/>
      <c r="N732" s="202"/>
      <c r="O732" s="202"/>
      <c r="S732" s="9"/>
    </row>
    <row r="733">
      <c r="E733" s="13"/>
      <c r="G733" s="9"/>
      <c r="M733" s="202"/>
      <c r="N733" s="202"/>
      <c r="O733" s="202"/>
      <c r="S733" s="9"/>
    </row>
    <row r="734">
      <c r="E734" s="13"/>
      <c r="G734" s="9"/>
      <c r="M734" s="202"/>
      <c r="N734" s="202"/>
      <c r="O734" s="202"/>
      <c r="S734" s="9"/>
    </row>
    <row r="735">
      <c r="E735" s="13"/>
      <c r="G735" s="9"/>
      <c r="M735" s="202"/>
      <c r="N735" s="202"/>
      <c r="O735" s="202"/>
      <c r="S735" s="9"/>
    </row>
    <row r="736">
      <c r="E736" s="13"/>
      <c r="G736" s="9"/>
      <c r="M736" s="202"/>
      <c r="N736" s="202"/>
      <c r="O736" s="202"/>
      <c r="S736" s="9"/>
    </row>
    <row r="737">
      <c r="E737" s="13"/>
      <c r="G737" s="9"/>
      <c r="M737" s="202"/>
      <c r="N737" s="202"/>
      <c r="O737" s="202"/>
      <c r="S737" s="9"/>
    </row>
    <row r="738">
      <c r="E738" s="13"/>
      <c r="G738" s="9"/>
      <c r="M738" s="202"/>
      <c r="N738" s="202"/>
      <c r="O738" s="202"/>
      <c r="S738" s="9"/>
    </row>
    <row r="739">
      <c r="E739" s="13"/>
      <c r="G739" s="9"/>
      <c r="M739" s="202"/>
      <c r="N739" s="202"/>
      <c r="O739" s="202"/>
      <c r="S739" s="9"/>
    </row>
    <row r="740">
      <c r="E740" s="13"/>
      <c r="G740" s="9"/>
      <c r="M740" s="202"/>
      <c r="N740" s="202"/>
      <c r="O740" s="202"/>
      <c r="S740" s="9"/>
    </row>
    <row r="741">
      <c r="E741" s="13"/>
      <c r="G741" s="9"/>
      <c r="M741" s="202"/>
      <c r="N741" s="202"/>
      <c r="O741" s="202"/>
      <c r="S741" s="9"/>
    </row>
    <row r="742">
      <c r="E742" s="13"/>
      <c r="G742" s="9"/>
      <c r="M742" s="202"/>
      <c r="N742" s="202"/>
      <c r="O742" s="202"/>
      <c r="S742" s="9"/>
    </row>
    <row r="743">
      <c r="E743" s="13"/>
      <c r="G743" s="9"/>
      <c r="M743" s="202"/>
      <c r="N743" s="202"/>
      <c r="O743" s="202"/>
      <c r="S743" s="9"/>
    </row>
    <row r="744">
      <c r="E744" s="13"/>
      <c r="G744" s="9"/>
      <c r="M744" s="202"/>
      <c r="N744" s="202"/>
      <c r="O744" s="202"/>
      <c r="S744" s="9"/>
    </row>
    <row r="745">
      <c r="E745" s="13"/>
      <c r="G745" s="9"/>
      <c r="M745" s="202"/>
      <c r="N745" s="202"/>
      <c r="O745" s="202"/>
      <c r="S745" s="9"/>
    </row>
    <row r="746">
      <c r="E746" s="13"/>
      <c r="G746" s="9"/>
      <c r="M746" s="202"/>
      <c r="N746" s="202"/>
      <c r="O746" s="202"/>
      <c r="S746" s="9"/>
    </row>
    <row r="747">
      <c r="E747" s="13"/>
      <c r="G747" s="9"/>
      <c r="M747" s="202"/>
      <c r="N747" s="202"/>
      <c r="O747" s="202"/>
      <c r="S747" s="9"/>
    </row>
    <row r="748">
      <c r="E748" s="13"/>
      <c r="G748" s="9"/>
      <c r="M748" s="202"/>
      <c r="N748" s="202"/>
      <c r="O748" s="202"/>
      <c r="S748" s="9"/>
    </row>
    <row r="749">
      <c r="E749" s="13"/>
      <c r="G749" s="9"/>
      <c r="M749" s="202"/>
      <c r="N749" s="202"/>
      <c r="O749" s="202"/>
      <c r="S749" s="9"/>
    </row>
    <row r="750">
      <c r="E750" s="13"/>
      <c r="G750" s="9"/>
      <c r="M750" s="202"/>
      <c r="N750" s="202"/>
      <c r="O750" s="202"/>
      <c r="S750" s="9"/>
    </row>
    <row r="751">
      <c r="E751" s="13"/>
      <c r="G751" s="9"/>
      <c r="M751" s="202"/>
      <c r="N751" s="202"/>
      <c r="O751" s="202"/>
      <c r="S751" s="9"/>
    </row>
    <row r="752">
      <c r="E752" s="13"/>
      <c r="G752" s="9"/>
      <c r="M752" s="202"/>
      <c r="N752" s="202"/>
      <c r="O752" s="202"/>
      <c r="S752" s="9"/>
    </row>
    <row r="753">
      <c r="E753" s="13"/>
      <c r="G753" s="9"/>
      <c r="M753" s="202"/>
      <c r="N753" s="202"/>
      <c r="O753" s="202"/>
      <c r="S753" s="9"/>
    </row>
    <row r="754">
      <c r="E754" s="13"/>
      <c r="G754" s="9"/>
      <c r="M754" s="202"/>
      <c r="N754" s="202"/>
      <c r="O754" s="202"/>
      <c r="S754" s="9"/>
    </row>
    <row r="755">
      <c r="E755" s="13"/>
      <c r="G755" s="9"/>
      <c r="M755" s="202"/>
      <c r="N755" s="202"/>
      <c r="O755" s="202"/>
      <c r="S755" s="9"/>
    </row>
    <row r="756">
      <c r="E756" s="13"/>
      <c r="G756" s="9"/>
      <c r="M756" s="202"/>
      <c r="N756" s="202"/>
      <c r="O756" s="202"/>
      <c r="S756" s="9"/>
    </row>
    <row r="757">
      <c r="E757" s="13"/>
      <c r="G757" s="9"/>
      <c r="M757" s="202"/>
      <c r="N757" s="202"/>
      <c r="O757" s="202"/>
      <c r="S757" s="9"/>
    </row>
    <row r="758">
      <c r="E758" s="13"/>
      <c r="G758" s="9"/>
      <c r="M758" s="202"/>
      <c r="N758" s="202"/>
      <c r="O758" s="202"/>
      <c r="S758" s="9"/>
    </row>
    <row r="759">
      <c r="E759" s="13"/>
      <c r="G759" s="9"/>
      <c r="M759" s="202"/>
      <c r="N759" s="202"/>
      <c r="O759" s="202"/>
      <c r="S759" s="9"/>
    </row>
    <row r="760">
      <c r="E760" s="13"/>
      <c r="G760" s="9"/>
      <c r="M760" s="202"/>
      <c r="N760" s="202"/>
      <c r="O760" s="202"/>
      <c r="S760" s="9"/>
    </row>
    <row r="761">
      <c r="E761" s="13"/>
      <c r="G761" s="9"/>
      <c r="M761" s="202"/>
      <c r="N761" s="202"/>
      <c r="O761" s="202"/>
      <c r="S761" s="9"/>
    </row>
    <row r="762">
      <c r="E762" s="13"/>
      <c r="G762" s="9"/>
      <c r="M762" s="202"/>
      <c r="N762" s="202"/>
      <c r="O762" s="202"/>
      <c r="S762" s="9"/>
    </row>
    <row r="763">
      <c r="E763" s="13"/>
      <c r="G763" s="9"/>
      <c r="M763" s="202"/>
      <c r="N763" s="202"/>
      <c r="O763" s="202"/>
      <c r="S763" s="9"/>
    </row>
    <row r="764">
      <c r="E764" s="13"/>
      <c r="G764" s="9"/>
      <c r="M764" s="202"/>
      <c r="N764" s="202"/>
      <c r="O764" s="202"/>
      <c r="S764" s="9"/>
    </row>
    <row r="765">
      <c r="E765" s="13"/>
      <c r="G765" s="9"/>
      <c r="M765" s="202"/>
      <c r="N765" s="202"/>
      <c r="O765" s="202"/>
      <c r="S765" s="9"/>
    </row>
    <row r="766">
      <c r="E766" s="13"/>
      <c r="G766" s="9"/>
      <c r="M766" s="202"/>
      <c r="N766" s="202"/>
      <c r="O766" s="202"/>
      <c r="S766" s="9"/>
    </row>
    <row r="767">
      <c r="E767" s="13"/>
      <c r="G767" s="9"/>
      <c r="M767" s="202"/>
      <c r="N767" s="202"/>
      <c r="O767" s="202"/>
      <c r="S767" s="9"/>
    </row>
    <row r="768">
      <c r="E768" s="13"/>
      <c r="G768" s="9"/>
      <c r="M768" s="202"/>
      <c r="N768" s="202"/>
      <c r="O768" s="202"/>
      <c r="S768" s="9"/>
    </row>
    <row r="769">
      <c r="E769" s="13"/>
      <c r="G769" s="9"/>
      <c r="M769" s="202"/>
      <c r="N769" s="202"/>
      <c r="O769" s="202"/>
      <c r="S769" s="9"/>
    </row>
    <row r="770">
      <c r="E770" s="13"/>
      <c r="G770" s="9"/>
      <c r="M770" s="202"/>
      <c r="N770" s="202"/>
      <c r="O770" s="202"/>
      <c r="S770" s="9"/>
    </row>
    <row r="771">
      <c r="E771" s="13"/>
      <c r="G771" s="9"/>
      <c r="M771" s="202"/>
      <c r="N771" s="202"/>
      <c r="O771" s="202"/>
      <c r="S771" s="9"/>
    </row>
    <row r="772">
      <c r="E772" s="13"/>
      <c r="G772" s="9"/>
      <c r="M772" s="202"/>
      <c r="N772" s="202"/>
      <c r="O772" s="202"/>
      <c r="S772" s="9"/>
    </row>
    <row r="773">
      <c r="E773" s="13"/>
      <c r="G773" s="9"/>
      <c r="M773" s="202"/>
      <c r="N773" s="202"/>
      <c r="O773" s="202"/>
      <c r="S773" s="9"/>
    </row>
    <row r="774">
      <c r="E774" s="13"/>
      <c r="G774" s="9"/>
      <c r="M774" s="202"/>
      <c r="N774" s="202"/>
      <c r="O774" s="202"/>
      <c r="S774" s="9"/>
    </row>
    <row r="775">
      <c r="E775" s="13"/>
      <c r="G775" s="9"/>
      <c r="M775" s="202"/>
      <c r="N775" s="202"/>
      <c r="O775" s="202"/>
      <c r="S775" s="9"/>
    </row>
    <row r="776">
      <c r="E776" s="13"/>
      <c r="G776" s="9"/>
      <c r="M776" s="202"/>
      <c r="N776" s="202"/>
      <c r="O776" s="202"/>
      <c r="S776" s="9"/>
    </row>
    <row r="777">
      <c r="E777" s="13"/>
      <c r="G777" s="9"/>
      <c r="M777" s="202"/>
      <c r="N777" s="202"/>
      <c r="O777" s="202"/>
      <c r="S777" s="9"/>
    </row>
    <row r="778">
      <c r="E778" s="13"/>
      <c r="G778" s="9"/>
      <c r="M778" s="202"/>
      <c r="N778" s="202"/>
      <c r="O778" s="202"/>
      <c r="S778" s="9"/>
    </row>
    <row r="779">
      <c r="E779" s="13"/>
      <c r="G779" s="9"/>
      <c r="M779" s="202"/>
      <c r="N779" s="202"/>
      <c r="O779" s="202"/>
      <c r="S779" s="9"/>
    </row>
    <row r="780">
      <c r="E780" s="13"/>
      <c r="G780" s="9"/>
      <c r="M780" s="202"/>
      <c r="N780" s="202"/>
      <c r="O780" s="202"/>
      <c r="S780" s="9"/>
    </row>
    <row r="781">
      <c r="E781" s="13"/>
      <c r="G781" s="9"/>
      <c r="M781" s="202"/>
      <c r="N781" s="202"/>
      <c r="O781" s="202"/>
      <c r="S781" s="9"/>
    </row>
    <row r="782">
      <c r="E782" s="13"/>
      <c r="G782" s="9"/>
      <c r="M782" s="202"/>
      <c r="N782" s="202"/>
      <c r="O782" s="202"/>
      <c r="S782" s="9"/>
    </row>
    <row r="783">
      <c r="E783" s="13"/>
      <c r="G783" s="9"/>
      <c r="M783" s="202"/>
      <c r="N783" s="202"/>
      <c r="O783" s="202"/>
      <c r="S783" s="9"/>
    </row>
    <row r="784">
      <c r="E784" s="13"/>
      <c r="G784" s="9"/>
      <c r="M784" s="202"/>
      <c r="N784" s="202"/>
      <c r="O784" s="202"/>
      <c r="S784" s="9"/>
    </row>
    <row r="785">
      <c r="E785" s="13"/>
      <c r="G785" s="9"/>
      <c r="M785" s="202"/>
      <c r="N785" s="202"/>
      <c r="O785" s="202"/>
      <c r="S785" s="9"/>
    </row>
    <row r="786">
      <c r="E786" s="13"/>
      <c r="G786" s="9"/>
      <c r="M786" s="202"/>
      <c r="N786" s="202"/>
      <c r="O786" s="202"/>
      <c r="S786" s="9"/>
    </row>
    <row r="787">
      <c r="E787" s="13"/>
      <c r="G787" s="9"/>
      <c r="M787" s="202"/>
      <c r="N787" s="202"/>
      <c r="O787" s="202"/>
      <c r="S787" s="9"/>
    </row>
    <row r="788">
      <c r="E788" s="13"/>
      <c r="G788" s="9"/>
      <c r="M788" s="202"/>
      <c r="N788" s="202"/>
      <c r="O788" s="202"/>
      <c r="S788" s="9"/>
    </row>
    <row r="789">
      <c r="E789" s="13"/>
      <c r="G789" s="9"/>
      <c r="M789" s="202"/>
      <c r="N789" s="202"/>
      <c r="O789" s="202"/>
      <c r="S789" s="9"/>
    </row>
    <row r="790">
      <c r="E790" s="13"/>
      <c r="G790" s="9"/>
      <c r="M790" s="202"/>
      <c r="N790" s="202"/>
      <c r="O790" s="202"/>
      <c r="S790" s="9"/>
    </row>
    <row r="791">
      <c r="E791" s="13"/>
      <c r="G791" s="9"/>
      <c r="M791" s="202"/>
      <c r="N791" s="202"/>
      <c r="O791" s="202"/>
      <c r="S791" s="9"/>
    </row>
    <row r="792">
      <c r="E792" s="13"/>
      <c r="G792" s="9"/>
      <c r="M792" s="202"/>
      <c r="N792" s="202"/>
      <c r="O792" s="202"/>
      <c r="S792" s="9"/>
    </row>
    <row r="793">
      <c r="E793" s="13"/>
      <c r="G793" s="9"/>
      <c r="M793" s="202"/>
      <c r="N793" s="202"/>
      <c r="O793" s="202"/>
      <c r="S793" s="9"/>
    </row>
    <row r="794">
      <c r="E794" s="13"/>
      <c r="G794" s="9"/>
      <c r="M794" s="202"/>
      <c r="N794" s="202"/>
      <c r="O794" s="202"/>
      <c r="S794" s="9"/>
    </row>
    <row r="795">
      <c r="E795" s="13"/>
      <c r="G795" s="9"/>
      <c r="M795" s="202"/>
      <c r="N795" s="202"/>
      <c r="O795" s="202"/>
      <c r="S795" s="9"/>
    </row>
    <row r="796">
      <c r="E796" s="13"/>
      <c r="G796" s="9"/>
      <c r="M796" s="202"/>
      <c r="N796" s="202"/>
      <c r="O796" s="202"/>
      <c r="S796" s="9"/>
    </row>
    <row r="797">
      <c r="E797" s="13"/>
      <c r="G797" s="9"/>
      <c r="M797" s="202"/>
      <c r="N797" s="202"/>
      <c r="O797" s="202"/>
      <c r="S797" s="9"/>
    </row>
    <row r="798">
      <c r="E798" s="13"/>
      <c r="G798" s="9"/>
      <c r="M798" s="202"/>
      <c r="N798" s="202"/>
      <c r="O798" s="202"/>
      <c r="S798" s="9"/>
    </row>
    <row r="799">
      <c r="E799" s="13"/>
      <c r="G799" s="9"/>
      <c r="M799" s="202"/>
      <c r="N799" s="202"/>
      <c r="O799" s="202"/>
      <c r="S799" s="9"/>
    </row>
    <row r="800">
      <c r="E800" s="13"/>
      <c r="G800" s="9"/>
      <c r="M800" s="202"/>
      <c r="N800" s="202"/>
      <c r="O800" s="202"/>
      <c r="S800" s="9"/>
    </row>
    <row r="801">
      <c r="E801" s="13"/>
      <c r="G801" s="9"/>
      <c r="M801" s="202"/>
      <c r="N801" s="202"/>
      <c r="O801" s="202"/>
      <c r="S801" s="9"/>
    </row>
    <row r="802">
      <c r="E802" s="13"/>
      <c r="G802" s="9"/>
      <c r="M802" s="202"/>
      <c r="N802" s="202"/>
      <c r="O802" s="202"/>
      <c r="S802" s="9"/>
    </row>
    <row r="803">
      <c r="E803" s="13"/>
      <c r="G803" s="9"/>
      <c r="M803" s="202"/>
      <c r="N803" s="202"/>
      <c r="O803" s="202"/>
      <c r="S803" s="9"/>
    </row>
    <row r="804">
      <c r="E804" s="13"/>
      <c r="G804" s="9"/>
      <c r="M804" s="202"/>
      <c r="N804" s="202"/>
      <c r="O804" s="202"/>
      <c r="S804" s="9"/>
    </row>
    <row r="805">
      <c r="E805" s="13"/>
      <c r="G805" s="9"/>
      <c r="M805" s="202"/>
      <c r="N805" s="202"/>
      <c r="O805" s="202"/>
      <c r="S805" s="9"/>
    </row>
    <row r="806">
      <c r="E806" s="13"/>
      <c r="G806" s="9"/>
      <c r="M806" s="202"/>
      <c r="N806" s="202"/>
      <c r="O806" s="202"/>
      <c r="S806" s="9"/>
    </row>
    <row r="807">
      <c r="E807" s="13"/>
      <c r="G807" s="9"/>
      <c r="M807" s="202"/>
      <c r="N807" s="202"/>
      <c r="O807" s="202"/>
      <c r="S807" s="9"/>
    </row>
    <row r="808">
      <c r="E808" s="13"/>
      <c r="G808" s="9"/>
      <c r="M808" s="202"/>
      <c r="N808" s="202"/>
      <c r="O808" s="202"/>
      <c r="S808" s="9"/>
    </row>
    <row r="809">
      <c r="E809" s="13"/>
      <c r="G809" s="9"/>
      <c r="M809" s="202"/>
      <c r="N809" s="202"/>
      <c r="O809" s="202"/>
      <c r="S809" s="9"/>
    </row>
    <row r="810">
      <c r="E810" s="13"/>
      <c r="G810" s="9"/>
      <c r="M810" s="202"/>
      <c r="N810" s="202"/>
      <c r="O810" s="202"/>
      <c r="S810" s="9"/>
    </row>
    <row r="811">
      <c r="E811" s="13"/>
      <c r="G811" s="9"/>
      <c r="M811" s="202"/>
      <c r="N811" s="202"/>
      <c r="O811" s="202"/>
      <c r="S811" s="9"/>
    </row>
    <row r="812">
      <c r="E812" s="13"/>
      <c r="G812" s="9"/>
      <c r="M812" s="202"/>
      <c r="N812" s="202"/>
      <c r="O812" s="202"/>
      <c r="S812" s="9"/>
    </row>
    <row r="813">
      <c r="E813" s="13"/>
      <c r="G813" s="9"/>
      <c r="M813" s="202"/>
      <c r="N813" s="202"/>
      <c r="O813" s="202"/>
      <c r="S813" s="9"/>
    </row>
    <row r="814">
      <c r="E814" s="13"/>
      <c r="G814" s="9"/>
      <c r="M814" s="202"/>
      <c r="N814" s="202"/>
      <c r="O814" s="202"/>
      <c r="S814" s="9"/>
    </row>
    <row r="815">
      <c r="E815" s="13"/>
      <c r="G815" s="9"/>
      <c r="M815" s="202"/>
      <c r="N815" s="202"/>
      <c r="O815" s="202"/>
      <c r="S815" s="9"/>
    </row>
    <row r="816">
      <c r="E816" s="13"/>
      <c r="G816" s="9"/>
      <c r="M816" s="202"/>
      <c r="N816" s="202"/>
      <c r="O816" s="202"/>
      <c r="S816" s="9"/>
    </row>
    <row r="817">
      <c r="E817" s="13"/>
      <c r="G817" s="9"/>
      <c r="M817" s="202"/>
      <c r="N817" s="202"/>
      <c r="O817" s="202"/>
      <c r="S817" s="9"/>
    </row>
    <row r="818">
      <c r="E818" s="13"/>
      <c r="G818" s="9"/>
      <c r="M818" s="202"/>
      <c r="N818" s="202"/>
      <c r="O818" s="202"/>
      <c r="S818" s="9"/>
    </row>
    <row r="819">
      <c r="E819" s="13"/>
      <c r="G819" s="9"/>
      <c r="M819" s="202"/>
      <c r="N819" s="202"/>
      <c r="O819" s="202"/>
      <c r="S819" s="9"/>
    </row>
    <row r="820">
      <c r="E820" s="13"/>
      <c r="G820" s="9"/>
      <c r="M820" s="202"/>
      <c r="N820" s="202"/>
      <c r="O820" s="202"/>
      <c r="S820" s="9"/>
    </row>
    <row r="821">
      <c r="E821" s="13"/>
      <c r="G821" s="9"/>
      <c r="M821" s="202"/>
      <c r="N821" s="202"/>
      <c r="O821" s="202"/>
      <c r="S821" s="9"/>
    </row>
    <row r="822">
      <c r="E822" s="13"/>
      <c r="G822" s="9"/>
      <c r="M822" s="202"/>
      <c r="N822" s="202"/>
      <c r="O822" s="202"/>
      <c r="S822" s="9"/>
    </row>
    <row r="823">
      <c r="E823" s="13"/>
      <c r="G823" s="9"/>
      <c r="M823" s="202"/>
      <c r="N823" s="202"/>
      <c r="O823" s="202"/>
      <c r="S823" s="9"/>
    </row>
    <row r="824">
      <c r="E824" s="13"/>
      <c r="G824" s="9"/>
      <c r="M824" s="202"/>
      <c r="N824" s="202"/>
      <c r="O824" s="202"/>
      <c r="S824" s="9"/>
    </row>
    <row r="825">
      <c r="E825" s="13"/>
      <c r="G825" s="9"/>
      <c r="M825" s="202"/>
      <c r="N825" s="202"/>
      <c r="O825" s="202"/>
      <c r="S825" s="9"/>
    </row>
    <row r="826">
      <c r="E826" s="13"/>
      <c r="G826" s="9"/>
      <c r="M826" s="202"/>
      <c r="N826" s="202"/>
      <c r="O826" s="202"/>
      <c r="S826" s="9"/>
    </row>
    <row r="827">
      <c r="E827" s="13"/>
      <c r="G827" s="9"/>
      <c r="M827" s="202"/>
      <c r="N827" s="202"/>
      <c r="O827" s="202"/>
      <c r="S827" s="9"/>
    </row>
    <row r="828">
      <c r="E828" s="13"/>
      <c r="G828" s="9"/>
      <c r="M828" s="202"/>
      <c r="N828" s="202"/>
      <c r="O828" s="202"/>
      <c r="S828" s="9"/>
    </row>
    <row r="829">
      <c r="E829" s="13"/>
      <c r="G829" s="9"/>
      <c r="M829" s="202"/>
      <c r="N829" s="202"/>
      <c r="O829" s="202"/>
      <c r="S829" s="9"/>
    </row>
    <row r="830">
      <c r="E830" s="13"/>
      <c r="G830" s="9"/>
      <c r="M830" s="202"/>
      <c r="N830" s="202"/>
      <c r="O830" s="202"/>
      <c r="S830" s="9"/>
    </row>
    <row r="831">
      <c r="E831" s="13"/>
      <c r="G831" s="9"/>
      <c r="M831" s="202"/>
      <c r="N831" s="202"/>
      <c r="O831" s="202"/>
      <c r="S831" s="9"/>
    </row>
    <row r="832">
      <c r="E832" s="13"/>
      <c r="G832" s="9"/>
      <c r="M832" s="202"/>
      <c r="N832" s="202"/>
      <c r="O832" s="202"/>
      <c r="S832" s="9"/>
    </row>
    <row r="833">
      <c r="E833" s="13"/>
      <c r="G833" s="9"/>
      <c r="M833" s="202"/>
      <c r="N833" s="202"/>
      <c r="O833" s="202"/>
      <c r="S833" s="9"/>
    </row>
    <row r="834">
      <c r="E834" s="13"/>
      <c r="G834" s="9"/>
      <c r="M834" s="202"/>
      <c r="N834" s="202"/>
      <c r="O834" s="202"/>
      <c r="S834" s="9"/>
    </row>
    <row r="835">
      <c r="E835" s="13"/>
      <c r="G835" s="9"/>
      <c r="M835" s="202"/>
      <c r="N835" s="202"/>
      <c r="O835" s="202"/>
      <c r="S835" s="9"/>
    </row>
    <row r="836">
      <c r="E836" s="13"/>
      <c r="G836" s="9"/>
      <c r="M836" s="202"/>
      <c r="N836" s="202"/>
      <c r="O836" s="202"/>
      <c r="S836" s="9"/>
    </row>
    <row r="837">
      <c r="E837" s="13"/>
      <c r="G837" s="9"/>
      <c r="M837" s="202"/>
      <c r="N837" s="202"/>
      <c r="O837" s="202"/>
      <c r="S837" s="9"/>
    </row>
    <row r="838">
      <c r="E838" s="13"/>
      <c r="G838" s="9"/>
      <c r="M838" s="202"/>
      <c r="N838" s="202"/>
      <c r="O838" s="202"/>
      <c r="S838" s="9"/>
    </row>
    <row r="839">
      <c r="E839" s="13"/>
      <c r="G839" s="9"/>
      <c r="M839" s="202"/>
      <c r="N839" s="202"/>
      <c r="O839" s="202"/>
      <c r="S839" s="9"/>
    </row>
    <row r="840">
      <c r="E840" s="13"/>
      <c r="G840" s="9"/>
      <c r="M840" s="202"/>
      <c r="N840" s="202"/>
      <c r="O840" s="202"/>
      <c r="S840" s="9"/>
    </row>
    <row r="841">
      <c r="E841" s="13"/>
      <c r="G841" s="9"/>
      <c r="M841" s="202"/>
      <c r="N841" s="202"/>
      <c r="O841" s="202"/>
      <c r="S841" s="9"/>
    </row>
    <row r="842">
      <c r="E842" s="13"/>
      <c r="G842" s="9"/>
      <c r="M842" s="202"/>
      <c r="N842" s="202"/>
      <c r="O842" s="202"/>
      <c r="S842" s="9"/>
    </row>
    <row r="843">
      <c r="E843" s="13"/>
      <c r="G843" s="9"/>
      <c r="M843" s="202"/>
      <c r="N843" s="202"/>
      <c r="O843" s="202"/>
      <c r="S843" s="9"/>
    </row>
    <row r="844">
      <c r="E844" s="13"/>
      <c r="G844" s="9"/>
      <c r="M844" s="202"/>
      <c r="N844" s="202"/>
      <c r="O844" s="202"/>
      <c r="S844" s="9"/>
    </row>
    <row r="845">
      <c r="E845" s="13"/>
      <c r="G845" s="9"/>
      <c r="M845" s="202"/>
      <c r="N845" s="202"/>
      <c r="O845" s="202"/>
      <c r="S845" s="9"/>
    </row>
    <row r="846">
      <c r="E846" s="13"/>
      <c r="G846" s="9"/>
      <c r="M846" s="202"/>
      <c r="N846" s="202"/>
      <c r="O846" s="202"/>
      <c r="S846" s="9"/>
    </row>
    <row r="847">
      <c r="E847" s="13"/>
      <c r="G847" s="9"/>
      <c r="M847" s="202"/>
      <c r="N847" s="202"/>
      <c r="O847" s="202"/>
      <c r="S847" s="9"/>
    </row>
    <row r="848">
      <c r="E848" s="13"/>
      <c r="G848" s="9"/>
      <c r="M848" s="202"/>
      <c r="N848" s="202"/>
      <c r="O848" s="202"/>
      <c r="S848" s="9"/>
    </row>
    <row r="849">
      <c r="E849" s="13"/>
      <c r="G849" s="9"/>
      <c r="M849" s="202"/>
      <c r="N849" s="202"/>
      <c r="O849" s="202"/>
      <c r="S849" s="9"/>
    </row>
    <row r="850">
      <c r="E850" s="13"/>
      <c r="G850" s="9"/>
      <c r="M850" s="202"/>
      <c r="N850" s="202"/>
      <c r="O850" s="202"/>
      <c r="S850" s="9"/>
    </row>
    <row r="851">
      <c r="E851" s="13"/>
      <c r="G851" s="9"/>
      <c r="M851" s="202"/>
      <c r="N851" s="202"/>
      <c r="O851" s="202"/>
      <c r="S851" s="9"/>
    </row>
    <row r="852">
      <c r="E852" s="13"/>
      <c r="G852" s="9"/>
      <c r="M852" s="202"/>
      <c r="N852" s="202"/>
      <c r="O852" s="202"/>
      <c r="S852" s="9"/>
    </row>
    <row r="853">
      <c r="E853" s="13"/>
      <c r="G853" s="9"/>
      <c r="M853" s="202"/>
      <c r="N853" s="202"/>
      <c r="O853" s="202"/>
      <c r="S853" s="9"/>
    </row>
    <row r="854">
      <c r="E854" s="13"/>
      <c r="G854" s="9"/>
      <c r="M854" s="202"/>
      <c r="N854" s="202"/>
      <c r="O854" s="202"/>
      <c r="S854" s="9"/>
    </row>
    <row r="855">
      <c r="E855" s="13"/>
      <c r="G855" s="9"/>
      <c r="M855" s="202"/>
      <c r="N855" s="202"/>
      <c r="O855" s="202"/>
      <c r="S855" s="9"/>
    </row>
    <row r="856">
      <c r="E856" s="13"/>
      <c r="G856" s="9"/>
      <c r="M856" s="202"/>
      <c r="N856" s="202"/>
      <c r="O856" s="202"/>
      <c r="S856" s="9"/>
    </row>
    <row r="857">
      <c r="E857" s="13"/>
      <c r="G857" s="9"/>
      <c r="M857" s="202"/>
      <c r="N857" s="202"/>
      <c r="O857" s="202"/>
      <c r="S857" s="9"/>
    </row>
    <row r="858">
      <c r="E858" s="13"/>
      <c r="G858" s="9"/>
      <c r="M858" s="202"/>
      <c r="N858" s="202"/>
      <c r="O858" s="202"/>
      <c r="S858" s="9"/>
    </row>
    <row r="859">
      <c r="E859" s="13"/>
      <c r="G859" s="9"/>
      <c r="M859" s="202"/>
      <c r="N859" s="202"/>
      <c r="O859" s="202"/>
      <c r="S859" s="9"/>
    </row>
    <row r="860">
      <c r="E860" s="13"/>
      <c r="G860" s="9"/>
      <c r="M860" s="202"/>
      <c r="N860" s="202"/>
      <c r="O860" s="202"/>
      <c r="S860" s="9"/>
    </row>
    <row r="861">
      <c r="E861" s="13"/>
      <c r="G861" s="9"/>
      <c r="M861" s="202"/>
      <c r="N861" s="202"/>
      <c r="O861" s="202"/>
      <c r="S861" s="9"/>
    </row>
    <row r="862">
      <c r="E862" s="13"/>
      <c r="G862" s="9"/>
      <c r="M862" s="202"/>
      <c r="N862" s="202"/>
      <c r="O862" s="202"/>
      <c r="S862" s="9"/>
    </row>
    <row r="863">
      <c r="E863" s="13"/>
      <c r="G863" s="9"/>
      <c r="M863" s="202"/>
      <c r="N863" s="202"/>
      <c r="O863" s="202"/>
      <c r="S863" s="9"/>
    </row>
    <row r="864">
      <c r="E864" s="13"/>
      <c r="G864" s="9"/>
      <c r="M864" s="202"/>
      <c r="N864" s="202"/>
      <c r="O864" s="202"/>
      <c r="S864" s="9"/>
    </row>
    <row r="865">
      <c r="E865" s="13"/>
      <c r="G865" s="9"/>
      <c r="M865" s="202"/>
      <c r="N865" s="202"/>
      <c r="O865" s="202"/>
      <c r="S865" s="9"/>
    </row>
    <row r="866">
      <c r="E866" s="13"/>
      <c r="G866" s="9"/>
      <c r="M866" s="202"/>
      <c r="N866" s="202"/>
      <c r="O866" s="202"/>
      <c r="S866" s="9"/>
    </row>
    <row r="867">
      <c r="E867" s="13"/>
      <c r="G867" s="9"/>
      <c r="M867" s="202"/>
      <c r="N867" s="202"/>
      <c r="O867" s="202"/>
      <c r="S867" s="9"/>
    </row>
    <row r="868">
      <c r="E868" s="13"/>
      <c r="G868" s="9"/>
      <c r="M868" s="202"/>
      <c r="N868" s="202"/>
      <c r="O868" s="202"/>
      <c r="S868" s="9"/>
    </row>
    <row r="869">
      <c r="E869" s="13"/>
      <c r="G869" s="9"/>
      <c r="M869" s="202"/>
      <c r="N869" s="202"/>
      <c r="O869" s="202"/>
      <c r="S869" s="9"/>
    </row>
    <row r="870">
      <c r="E870" s="13"/>
      <c r="G870" s="9"/>
      <c r="M870" s="202"/>
      <c r="N870" s="202"/>
      <c r="O870" s="202"/>
      <c r="S870" s="9"/>
    </row>
    <row r="871">
      <c r="E871" s="13"/>
      <c r="G871" s="9"/>
      <c r="M871" s="202"/>
      <c r="N871" s="202"/>
      <c r="O871" s="202"/>
      <c r="S871" s="9"/>
    </row>
    <row r="872">
      <c r="E872" s="13"/>
      <c r="G872" s="9"/>
      <c r="M872" s="202"/>
      <c r="N872" s="202"/>
      <c r="O872" s="202"/>
      <c r="S872" s="9"/>
    </row>
    <row r="873">
      <c r="E873" s="13"/>
      <c r="G873" s="9"/>
      <c r="M873" s="202"/>
      <c r="N873" s="202"/>
      <c r="O873" s="202"/>
      <c r="S873" s="9"/>
    </row>
    <row r="874">
      <c r="E874" s="13"/>
      <c r="G874" s="9"/>
      <c r="M874" s="202"/>
      <c r="N874" s="202"/>
      <c r="O874" s="202"/>
      <c r="S874" s="9"/>
    </row>
    <row r="875">
      <c r="E875" s="13"/>
      <c r="G875" s="9"/>
      <c r="M875" s="202"/>
      <c r="N875" s="202"/>
      <c r="O875" s="202"/>
      <c r="S875" s="9"/>
    </row>
    <row r="876">
      <c r="E876" s="13"/>
      <c r="G876" s="9"/>
      <c r="M876" s="202"/>
      <c r="N876" s="202"/>
      <c r="O876" s="202"/>
      <c r="S876" s="9"/>
    </row>
    <row r="877">
      <c r="E877" s="13"/>
      <c r="G877" s="9"/>
      <c r="M877" s="202"/>
      <c r="N877" s="202"/>
      <c r="O877" s="202"/>
      <c r="S877" s="9"/>
    </row>
    <row r="878">
      <c r="E878" s="13"/>
      <c r="G878" s="9"/>
      <c r="M878" s="202"/>
      <c r="N878" s="202"/>
      <c r="O878" s="202"/>
      <c r="S878" s="9"/>
    </row>
    <row r="879">
      <c r="E879" s="13"/>
      <c r="G879" s="9"/>
      <c r="M879" s="202"/>
      <c r="N879" s="202"/>
      <c r="O879" s="202"/>
      <c r="S879" s="9"/>
    </row>
    <row r="880">
      <c r="E880" s="13"/>
      <c r="G880" s="9"/>
      <c r="M880" s="202"/>
      <c r="N880" s="202"/>
      <c r="O880" s="202"/>
      <c r="S880" s="9"/>
    </row>
    <row r="881">
      <c r="E881" s="13"/>
      <c r="G881" s="9"/>
      <c r="M881" s="202"/>
      <c r="N881" s="202"/>
      <c r="O881" s="202"/>
      <c r="S881" s="9"/>
    </row>
    <row r="882">
      <c r="E882" s="13"/>
      <c r="G882" s="9"/>
      <c r="M882" s="202"/>
      <c r="N882" s="202"/>
      <c r="O882" s="202"/>
      <c r="S882" s="9"/>
    </row>
    <row r="883">
      <c r="E883" s="13"/>
      <c r="G883" s="9"/>
      <c r="M883" s="202"/>
      <c r="N883" s="202"/>
      <c r="O883" s="202"/>
      <c r="S883" s="9"/>
    </row>
    <row r="884">
      <c r="E884" s="13"/>
      <c r="G884" s="9"/>
      <c r="M884" s="202"/>
      <c r="N884" s="202"/>
      <c r="O884" s="202"/>
      <c r="S884" s="9"/>
    </row>
    <row r="885">
      <c r="E885" s="13"/>
      <c r="G885" s="9"/>
      <c r="M885" s="202"/>
      <c r="N885" s="202"/>
      <c r="O885" s="202"/>
      <c r="S885" s="9"/>
    </row>
    <row r="886">
      <c r="E886" s="13"/>
      <c r="G886" s="9"/>
      <c r="M886" s="202"/>
      <c r="N886" s="202"/>
      <c r="O886" s="202"/>
      <c r="S886" s="9"/>
    </row>
    <row r="887">
      <c r="E887" s="13"/>
      <c r="G887" s="9"/>
      <c r="M887" s="202"/>
      <c r="N887" s="202"/>
      <c r="O887" s="202"/>
      <c r="S887" s="9"/>
    </row>
    <row r="888">
      <c r="E888" s="13"/>
      <c r="G888" s="9"/>
      <c r="M888" s="202"/>
      <c r="N888" s="202"/>
      <c r="O888" s="202"/>
      <c r="S888" s="9"/>
    </row>
    <row r="889">
      <c r="E889" s="13"/>
      <c r="G889" s="9"/>
      <c r="M889" s="202"/>
      <c r="N889" s="202"/>
      <c r="O889" s="202"/>
      <c r="S889" s="9"/>
    </row>
    <row r="890">
      <c r="E890" s="13"/>
      <c r="G890" s="9"/>
      <c r="M890" s="202"/>
      <c r="N890" s="202"/>
      <c r="O890" s="202"/>
      <c r="S890" s="9"/>
    </row>
    <row r="891">
      <c r="E891" s="13"/>
      <c r="G891" s="9"/>
      <c r="M891" s="202"/>
      <c r="N891" s="202"/>
      <c r="O891" s="202"/>
      <c r="S891" s="9"/>
    </row>
    <row r="892">
      <c r="E892" s="13"/>
      <c r="G892" s="9"/>
      <c r="M892" s="202"/>
      <c r="N892" s="202"/>
      <c r="O892" s="202"/>
      <c r="S892" s="9"/>
    </row>
    <row r="893">
      <c r="E893" s="13"/>
      <c r="G893" s="9"/>
      <c r="M893" s="202"/>
      <c r="N893" s="202"/>
      <c r="O893" s="202"/>
      <c r="S893" s="9"/>
    </row>
    <row r="894">
      <c r="E894" s="13"/>
      <c r="G894" s="9"/>
      <c r="M894" s="202"/>
      <c r="N894" s="202"/>
      <c r="O894" s="202"/>
      <c r="S894" s="9"/>
    </row>
    <row r="895">
      <c r="E895" s="13"/>
      <c r="G895" s="9"/>
      <c r="M895" s="202"/>
      <c r="N895" s="202"/>
      <c r="O895" s="202"/>
      <c r="S895" s="9"/>
    </row>
    <row r="896">
      <c r="E896" s="13"/>
      <c r="G896" s="9"/>
      <c r="M896" s="202"/>
      <c r="N896" s="202"/>
      <c r="O896" s="202"/>
      <c r="S896" s="9"/>
    </row>
    <row r="897">
      <c r="E897" s="13"/>
      <c r="G897" s="9"/>
      <c r="M897" s="202"/>
      <c r="N897" s="202"/>
      <c r="O897" s="202"/>
      <c r="S897" s="9"/>
    </row>
    <row r="898">
      <c r="E898" s="13"/>
      <c r="G898" s="9"/>
      <c r="M898" s="202"/>
      <c r="N898" s="202"/>
      <c r="O898" s="202"/>
      <c r="S898" s="9"/>
    </row>
    <row r="899">
      <c r="E899" s="13"/>
      <c r="G899" s="9"/>
      <c r="M899" s="202"/>
      <c r="N899" s="202"/>
      <c r="O899" s="202"/>
      <c r="S899" s="9"/>
    </row>
    <row r="900">
      <c r="E900" s="13"/>
      <c r="G900" s="9"/>
      <c r="M900" s="202"/>
      <c r="N900" s="202"/>
      <c r="O900" s="202"/>
      <c r="S900" s="9"/>
    </row>
    <row r="901">
      <c r="E901" s="13"/>
      <c r="G901" s="9"/>
      <c r="M901" s="202"/>
      <c r="N901" s="202"/>
      <c r="O901" s="202"/>
      <c r="S901" s="9"/>
    </row>
    <row r="902">
      <c r="E902" s="13"/>
      <c r="G902" s="9"/>
      <c r="M902" s="202"/>
      <c r="N902" s="202"/>
      <c r="O902" s="202"/>
      <c r="S902" s="9"/>
    </row>
    <row r="903">
      <c r="E903" s="13"/>
      <c r="G903" s="9"/>
      <c r="M903" s="202"/>
      <c r="N903" s="202"/>
      <c r="O903" s="202"/>
      <c r="S903" s="9"/>
    </row>
    <row r="904">
      <c r="E904" s="13"/>
      <c r="G904" s="9"/>
      <c r="M904" s="202"/>
      <c r="N904" s="202"/>
      <c r="O904" s="202"/>
      <c r="S904" s="9"/>
    </row>
    <row r="905">
      <c r="E905" s="13"/>
      <c r="G905" s="9"/>
      <c r="M905" s="202"/>
      <c r="N905" s="202"/>
      <c r="O905" s="202"/>
      <c r="S905" s="9"/>
    </row>
    <row r="906">
      <c r="E906" s="13"/>
      <c r="G906" s="9"/>
      <c r="M906" s="202"/>
      <c r="N906" s="202"/>
      <c r="O906" s="202"/>
      <c r="S906" s="9"/>
    </row>
    <row r="907">
      <c r="E907" s="13"/>
      <c r="G907" s="9"/>
      <c r="M907" s="202"/>
      <c r="N907" s="202"/>
      <c r="O907" s="202"/>
      <c r="S907" s="9"/>
    </row>
    <row r="908">
      <c r="E908" s="13"/>
      <c r="G908" s="9"/>
      <c r="M908" s="202"/>
      <c r="N908" s="202"/>
      <c r="O908" s="202"/>
      <c r="S908" s="9"/>
    </row>
    <row r="909">
      <c r="E909" s="13"/>
      <c r="G909" s="9"/>
      <c r="M909" s="202"/>
      <c r="N909" s="202"/>
      <c r="O909" s="202"/>
      <c r="S909" s="9"/>
    </row>
    <row r="910">
      <c r="E910" s="13"/>
      <c r="G910" s="9"/>
      <c r="M910" s="202"/>
      <c r="N910" s="202"/>
      <c r="O910" s="202"/>
      <c r="S910" s="9"/>
    </row>
    <row r="911">
      <c r="E911" s="13"/>
      <c r="G911" s="9"/>
      <c r="M911" s="202"/>
      <c r="N911" s="202"/>
      <c r="O911" s="202"/>
      <c r="S911" s="9"/>
    </row>
    <row r="912">
      <c r="E912" s="13"/>
      <c r="G912" s="9"/>
      <c r="M912" s="202"/>
      <c r="N912" s="202"/>
      <c r="O912" s="202"/>
      <c r="S912" s="9"/>
    </row>
    <row r="913">
      <c r="E913" s="13"/>
      <c r="G913" s="9"/>
      <c r="M913" s="202"/>
      <c r="N913" s="202"/>
      <c r="O913" s="202"/>
      <c r="S913" s="9"/>
    </row>
    <row r="914">
      <c r="E914" s="13"/>
      <c r="G914" s="9"/>
      <c r="M914" s="202"/>
      <c r="N914" s="202"/>
      <c r="O914" s="202"/>
      <c r="S914" s="9"/>
    </row>
    <row r="915">
      <c r="E915" s="13"/>
      <c r="G915" s="9"/>
      <c r="M915" s="202"/>
      <c r="N915" s="202"/>
      <c r="O915" s="202"/>
      <c r="S915" s="9"/>
    </row>
    <row r="916">
      <c r="E916" s="13"/>
      <c r="G916" s="9"/>
      <c r="M916" s="202"/>
      <c r="N916" s="202"/>
      <c r="O916" s="202"/>
      <c r="S916" s="9"/>
    </row>
    <row r="917">
      <c r="E917" s="13"/>
      <c r="G917" s="9"/>
      <c r="M917" s="202"/>
      <c r="N917" s="202"/>
      <c r="O917" s="202"/>
      <c r="S917" s="9"/>
    </row>
    <row r="918">
      <c r="E918" s="13"/>
      <c r="G918" s="9"/>
      <c r="M918" s="202"/>
      <c r="N918" s="202"/>
      <c r="O918" s="202"/>
      <c r="S918" s="9"/>
    </row>
    <row r="919">
      <c r="E919" s="13"/>
      <c r="G919" s="9"/>
      <c r="M919" s="202"/>
      <c r="N919" s="202"/>
      <c r="O919" s="202"/>
      <c r="S919" s="9"/>
    </row>
    <row r="920">
      <c r="E920" s="13"/>
      <c r="G920" s="9"/>
      <c r="M920" s="202"/>
      <c r="N920" s="202"/>
      <c r="O920" s="202"/>
      <c r="S920" s="9"/>
    </row>
    <row r="921">
      <c r="E921" s="13"/>
      <c r="G921" s="9"/>
      <c r="M921" s="202"/>
      <c r="N921" s="202"/>
      <c r="O921" s="202"/>
      <c r="S921" s="9"/>
    </row>
    <row r="922">
      <c r="E922" s="13"/>
      <c r="G922" s="9"/>
      <c r="M922" s="202"/>
      <c r="N922" s="202"/>
      <c r="O922" s="202"/>
      <c r="S922" s="9"/>
    </row>
    <row r="923">
      <c r="E923" s="13"/>
      <c r="G923" s="9"/>
      <c r="M923" s="202"/>
      <c r="N923" s="202"/>
      <c r="O923" s="202"/>
      <c r="S923" s="9"/>
    </row>
    <row r="924">
      <c r="E924" s="13"/>
      <c r="G924" s="9"/>
      <c r="M924" s="202"/>
      <c r="N924" s="202"/>
      <c r="O924" s="202"/>
      <c r="S924" s="9"/>
    </row>
    <row r="925">
      <c r="E925" s="13"/>
      <c r="G925" s="9"/>
      <c r="M925" s="202"/>
      <c r="N925" s="202"/>
      <c r="O925" s="202"/>
      <c r="S925" s="9"/>
    </row>
    <row r="926">
      <c r="E926" s="13"/>
      <c r="G926" s="9"/>
      <c r="M926" s="202"/>
      <c r="N926" s="202"/>
      <c r="O926" s="202"/>
      <c r="S926" s="9"/>
    </row>
    <row r="927">
      <c r="E927" s="13"/>
      <c r="G927" s="9"/>
      <c r="M927" s="202"/>
      <c r="N927" s="202"/>
      <c r="O927" s="202"/>
      <c r="S927" s="9"/>
    </row>
    <row r="928">
      <c r="E928" s="13"/>
      <c r="G928" s="9"/>
      <c r="M928" s="202"/>
      <c r="N928" s="202"/>
      <c r="O928" s="202"/>
      <c r="S928" s="9"/>
    </row>
    <row r="929">
      <c r="E929" s="13"/>
      <c r="G929" s="9"/>
      <c r="M929" s="202"/>
      <c r="N929" s="202"/>
      <c r="O929" s="202"/>
      <c r="S929" s="9"/>
    </row>
    <row r="930">
      <c r="E930" s="13"/>
      <c r="G930" s="9"/>
      <c r="M930" s="202"/>
      <c r="N930" s="202"/>
      <c r="O930" s="202"/>
      <c r="S930" s="9"/>
    </row>
    <row r="931">
      <c r="E931" s="13"/>
      <c r="G931" s="9"/>
      <c r="M931" s="202"/>
      <c r="N931" s="202"/>
      <c r="O931" s="202"/>
      <c r="S931" s="9"/>
    </row>
    <row r="932">
      <c r="E932" s="13"/>
      <c r="G932" s="9"/>
      <c r="M932" s="202"/>
      <c r="N932" s="202"/>
      <c r="O932" s="202"/>
      <c r="S932" s="9"/>
    </row>
    <row r="933">
      <c r="E933" s="13"/>
      <c r="G933" s="9"/>
      <c r="M933" s="202"/>
      <c r="N933" s="202"/>
      <c r="O933" s="202"/>
      <c r="S933" s="9"/>
    </row>
    <row r="934">
      <c r="E934" s="13"/>
      <c r="G934" s="9"/>
      <c r="M934" s="202"/>
      <c r="N934" s="202"/>
      <c r="O934" s="202"/>
      <c r="S934" s="9"/>
    </row>
    <row r="935">
      <c r="E935" s="13"/>
      <c r="G935" s="9"/>
      <c r="M935" s="202"/>
      <c r="N935" s="202"/>
      <c r="O935" s="202"/>
      <c r="S935" s="9"/>
    </row>
    <row r="936">
      <c r="E936" s="13"/>
      <c r="G936" s="9"/>
      <c r="M936" s="202"/>
      <c r="N936" s="202"/>
      <c r="O936" s="202"/>
      <c r="S936" s="9"/>
    </row>
    <row r="937">
      <c r="E937" s="13"/>
      <c r="G937" s="9"/>
      <c r="M937" s="202"/>
      <c r="N937" s="202"/>
      <c r="O937" s="202"/>
      <c r="S937" s="9"/>
    </row>
    <row r="938">
      <c r="E938" s="13"/>
      <c r="G938" s="9"/>
      <c r="M938" s="202"/>
      <c r="N938" s="202"/>
      <c r="O938" s="202"/>
      <c r="S938" s="9"/>
    </row>
    <row r="939">
      <c r="E939" s="13"/>
      <c r="G939" s="9"/>
      <c r="M939" s="202"/>
      <c r="N939" s="202"/>
      <c r="O939" s="202"/>
      <c r="S939" s="9"/>
    </row>
    <row r="940">
      <c r="E940" s="13"/>
      <c r="G940" s="9"/>
      <c r="M940" s="202"/>
      <c r="N940" s="202"/>
      <c r="O940" s="202"/>
      <c r="S940" s="9"/>
    </row>
    <row r="941">
      <c r="E941" s="13"/>
      <c r="G941" s="9"/>
      <c r="M941" s="202"/>
      <c r="N941" s="202"/>
      <c r="O941" s="202"/>
      <c r="S941" s="9"/>
    </row>
    <row r="942">
      <c r="E942" s="13"/>
      <c r="G942" s="9"/>
      <c r="M942" s="202"/>
      <c r="N942" s="202"/>
      <c r="O942" s="202"/>
      <c r="S942" s="9"/>
    </row>
    <row r="943">
      <c r="E943" s="13"/>
      <c r="G943" s="9"/>
      <c r="M943" s="202"/>
      <c r="N943" s="202"/>
      <c r="O943" s="202"/>
      <c r="S943" s="9"/>
    </row>
    <row r="944">
      <c r="E944" s="13"/>
      <c r="G944" s="9"/>
      <c r="M944" s="202"/>
      <c r="N944" s="202"/>
      <c r="O944" s="202"/>
      <c r="S944" s="9"/>
    </row>
    <row r="945">
      <c r="E945" s="13"/>
      <c r="G945" s="9"/>
      <c r="M945" s="202"/>
      <c r="N945" s="202"/>
      <c r="O945" s="202"/>
      <c r="S945" s="9"/>
    </row>
    <row r="946">
      <c r="E946" s="13"/>
      <c r="G946" s="9"/>
      <c r="M946" s="202"/>
      <c r="N946" s="202"/>
      <c r="O946" s="202"/>
      <c r="S946" s="9"/>
    </row>
    <row r="947">
      <c r="E947" s="13"/>
      <c r="G947" s="9"/>
      <c r="M947" s="202"/>
      <c r="N947" s="202"/>
      <c r="O947" s="202"/>
      <c r="S947" s="9"/>
    </row>
    <row r="948">
      <c r="E948" s="13"/>
      <c r="G948" s="9"/>
      <c r="M948" s="202"/>
      <c r="N948" s="202"/>
      <c r="O948" s="202"/>
      <c r="S948" s="9"/>
    </row>
    <row r="949">
      <c r="E949" s="13"/>
      <c r="G949" s="9"/>
      <c r="M949" s="202"/>
      <c r="N949" s="202"/>
      <c r="O949" s="202"/>
      <c r="S949" s="9"/>
    </row>
    <row r="950">
      <c r="E950" s="13"/>
      <c r="G950" s="9"/>
      <c r="M950" s="202"/>
      <c r="N950" s="202"/>
      <c r="O950" s="202"/>
      <c r="S950" s="9"/>
    </row>
    <row r="951">
      <c r="E951" s="13"/>
      <c r="G951" s="9"/>
      <c r="M951" s="202"/>
      <c r="N951" s="202"/>
      <c r="O951" s="202"/>
      <c r="S951" s="9"/>
    </row>
    <row r="952">
      <c r="E952" s="13"/>
      <c r="G952" s="9"/>
      <c r="M952" s="202"/>
      <c r="N952" s="202"/>
      <c r="O952" s="202"/>
      <c r="S952" s="9"/>
    </row>
    <row r="953">
      <c r="E953" s="13"/>
      <c r="G953" s="9"/>
      <c r="M953" s="202"/>
      <c r="N953" s="202"/>
      <c r="O953" s="202"/>
      <c r="S953" s="9"/>
    </row>
    <row r="954">
      <c r="E954" s="13"/>
      <c r="G954" s="9"/>
      <c r="M954" s="202"/>
      <c r="N954" s="202"/>
      <c r="O954" s="202"/>
      <c r="S954" s="9"/>
    </row>
    <row r="955">
      <c r="E955" s="13"/>
      <c r="G955" s="9"/>
      <c r="M955" s="202"/>
      <c r="N955" s="202"/>
      <c r="O955" s="202"/>
      <c r="S955" s="9"/>
    </row>
    <row r="956">
      <c r="E956" s="13"/>
      <c r="G956" s="9"/>
      <c r="M956" s="202"/>
      <c r="N956" s="202"/>
      <c r="O956" s="202"/>
      <c r="S956" s="9"/>
    </row>
    <row r="957">
      <c r="E957" s="13"/>
      <c r="G957" s="9"/>
      <c r="M957" s="202"/>
      <c r="N957" s="202"/>
      <c r="O957" s="202"/>
      <c r="S957" s="9"/>
    </row>
    <row r="958">
      <c r="E958" s="13"/>
      <c r="G958" s="9"/>
      <c r="M958" s="202"/>
      <c r="N958" s="202"/>
      <c r="O958" s="202"/>
      <c r="S958" s="9"/>
    </row>
    <row r="959">
      <c r="E959" s="13"/>
      <c r="G959" s="9"/>
      <c r="M959" s="202"/>
      <c r="N959" s="202"/>
      <c r="O959" s="202"/>
      <c r="S959" s="9"/>
    </row>
    <row r="960">
      <c r="E960" s="13"/>
      <c r="G960" s="9"/>
      <c r="M960" s="202"/>
      <c r="N960" s="202"/>
      <c r="O960" s="202"/>
      <c r="S960" s="9"/>
    </row>
    <row r="961">
      <c r="E961" s="13"/>
      <c r="G961" s="9"/>
      <c r="M961" s="202"/>
      <c r="N961" s="202"/>
      <c r="O961" s="202"/>
      <c r="S961" s="9"/>
    </row>
    <row r="962">
      <c r="E962" s="13"/>
      <c r="G962" s="9"/>
      <c r="M962" s="202"/>
      <c r="N962" s="202"/>
      <c r="O962" s="202"/>
      <c r="S962" s="9"/>
    </row>
    <row r="963">
      <c r="E963" s="13"/>
      <c r="G963" s="9"/>
      <c r="M963" s="202"/>
      <c r="N963" s="202"/>
      <c r="O963" s="202"/>
      <c r="S963" s="9"/>
    </row>
    <row r="964">
      <c r="E964" s="13"/>
      <c r="G964" s="9"/>
      <c r="M964" s="202"/>
      <c r="N964" s="202"/>
      <c r="O964" s="202"/>
      <c r="S964" s="9"/>
    </row>
    <row r="965">
      <c r="E965" s="13"/>
      <c r="G965" s="9"/>
      <c r="M965" s="202"/>
      <c r="N965" s="202"/>
      <c r="O965" s="202"/>
      <c r="S965" s="9"/>
    </row>
    <row r="966">
      <c r="E966" s="13"/>
      <c r="G966" s="9"/>
      <c r="M966" s="202"/>
      <c r="N966" s="202"/>
      <c r="O966" s="202"/>
      <c r="S966" s="9"/>
    </row>
    <row r="967">
      <c r="E967" s="13"/>
      <c r="G967" s="9"/>
      <c r="M967" s="202"/>
      <c r="N967" s="202"/>
      <c r="O967" s="202"/>
      <c r="S967" s="9"/>
    </row>
    <row r="968">
      <c r="E968" s="13"/>
      <c r="G968" s="9"/>
      <c r="M968" s="202"/>
      <c r="N968" s="202"/>
      <c r="O968" s="202"/>
      <c r="S968" s="9"/>
    </row>
    <row r="969">
      <c r="E969" s="13"/>
      <c r="G969" s="9"/>
      <c r="M969" s="202"/>
      <c r="N969" s="202"/>
      <c r="O969" s="202"/>
      <c r="S969" s="9"/>
    </row>
    <row r="970">
      <c r="E970" s="13"/>
      <c r="G970" s="9"/>
      <c r="M970" s="202"/>
      <c r="N970" s="202"/>
      <c r="O970" s="202"/>
      <c r="S970" s="9"/>
    </row>
    <row r="971">
      <c r="E971" s="13"/>
      <c r="G971" s="9"/>
      <c r="M971" s="202"/>
      <c r="N971" s="202"/>
      <c r="O971" s="202"/>
      <c r="S971" s="9"/>
    </row>
    <row r="972">
      <c r="E972" s="13"/>
      <c r="G972" s="9"/>
      <c r="M972" s="202"/>
      <c r="N972" s="202"/>
      <c r="O972" s="202"/>
      <c r="S972" s="9"/>
    </row>
    <row r="973">
      <c r="E973" s="13"/>
      <c r="G973" s="9"/>
      <c r="M973" s="202"/>
      <c r="N973" s="202"/>
      <c r="O973" s="202"/>
      <c r="S973" s="9"/>
    </row>
    <row r="974">
      <c r="E974" s="13"/>
      <c r="G974" s="9"/>
      <c r="M974" s="202"/>
      <c r="N974" s="202"/>
      <c r="O974" s="202"/>
      <c r="S974" s="9"/>
    </row>
    <row r="975">
      <c r="E975" s="13"/>
      <c r="G975" s="9"/>
      <c r="M975" s="202"/>
      <c r="N975" s="202"/>
      <c r="O975" s="202"/>
      <c r="S975" s="9"/>
    </row>
    <row r="976">
      <c r="E976" s="13"/>
      <c r="G976" s="9"/>
      <c r="M976" s="202"/>
      <c r="N976" s="202"/>
      <c r="O976" s="202"/>
      <c r="S976" s="9"/>
    </row>
    <row r="977">
      <c r="E977" s="13"/>
      <c r="G977" s="9"/>
      <c r="M977" s="202"/>
      <c r="N977" s="202"/>
      <c r="O977" s="202"/>
      <c r="S977" s="9"/>
    </row>
    <row r="978">
      <c r="E978" s="13"/>
      <c r="G978" s="9"/>
      <c r="M978" s="202"/>
      <c r="N978" s="202"/>
      <c r="O978" s="202"/>
      <c r="S978" s="9"/>
    </row>
    <row r="979">
      <c r="E979" s="13"/>
      <c r="G979" s="9"/>
      <c r="M979" s="202"/>
      <c r="N979" s="202"/>
      <c r="O979" s="202"/>
      <c r="S979" s="9"/>
    </row>
    <row r="980">
      <c r="E980" s="13"/>
      <c r="G980" s="9"/>
      <c r="M980" s="202"/>
      <c r="N980" s="202"/>
      <c r="O980" s="202"/>
      <c r="S980" s="9"/>
    </row>
    <row r="981">
      <c r="E981" s="13"/>
      <c r="G981" s="9"/>
      <c r="M981" s="202"/>
      <c r="N981" s="202"/>
      <c r="O981" s="202"/>
      <c r="S981" s="9"/>
    </row>
    <row r="982">
      <c r="E982" s="13"/>
      <c r="G982" s="9"/>
      <c r="M982" s="202"/>
      <c r="N982" s="202"/>
      <c r="O982" s="202"/>
      <c r="S982" s="9"/>
    </row>
    <row r="983">
      <c r="E983" s="13"/>
      <c r="G983" s="9"/>
      <c r="M983" s="202"/>
      <c r="N983" s="202"/>
      <c r="O983" s="202"/>
      <c r="S983" s="9"/>
    </row>
    <row r="984">
      <c r="E984" s="13"/>
      <c r="G984" s="9"/>
      <c r="M984" s="202"/>
      <c r="N984" s="202"/>
      <c r="O984" s="202"/>
      <c r="S984" s="9"/>
    </row>
    <row r="985">
      <c r="E985" s="13"/>
      <c r="G985" s="9"/>
      <c r="M985" s="202"/>
      <c r="N985" s="202"/>
      <c r="O985" s="202"/>
      <c r="S985" s="9"/>
    </row>
    <row r="986">
      <c r="E986" s="13"/>
      <c r="G986" s="9"/>
      <c r="M986" s="202"/>
      <c r="N986" s="202"/>
      <c r="O986" s="202"/>
      <c r="S986" s="9"/>
    </row>
    <row r="987">
      <c r="E987" s="13"/>
      <c r="G987" s="9"/>
      <c r="M987" s="202"/>
      <c r="N987" s="202"/>
      <c r="O987" s="202"/>
      <c r="S987" s="9"/>
    </row>
  </sheetData>
  <mergeCells count="2">
    <mergeCell ref="A1:P1"/>
    <mergeCell ref="Q1:Y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63"/>
    <col customWidth="1" min="2" max="2" width="24.0"/>
    <col customWidth="1" min="3" max="3" width="22.5"/>
    <col customWidth="1" min="4" max="4" width="7.13"/>
    <col customWidth="1" min="5" max="5" width="8.38"/>
    <col customWidth="1" min="6" max="6" width="14.13"/>
    <col customWidth="1" min="7" max="7" width="11.88"/>
    <col customWidth="1" min="8" max="8" width="4.75"/>
    <col customWidth="1" min="9" max="10" width="5.75"/>
    <col customWidth="1" min="11" max="11" width="8.25"/>
    <col customWidth="1" min="12" max="12" width="5.63"/>
    <col customWidth="1" min="13" max="13" width="6.88"/>
    <col customWidth="1" min="14" max="14" width="6.5"/>
    <col customWidth="1" min="15" max="15" width="6.25"/>
    <col customWidth="1" min="16" max="16" width="10.38"/>
    <col customWidth="1" min="17" max="17" width="5.88"/>
    <col customWidth="1" min="18" max="18" width="4.75"/>
    <col customWidth="1" min="19" max="19" width="7.5"/>
    <col customWidth="1" min="20" max="20" width="5.88"/>
    <col customWidth="1" min="21" max="21" width="4.75"/>
    <col customWidth="1" min="22" max="22" width="7.5"/>
    <col customWidth="1" min="23" max="23" width="5.88"/>
    <col customWidth="1" min="24" max="24" width="4.75"/>
    <col customWidth="1" min="25" max="25" width="11.88"/>
    <col customWidth="1" min="26" max="28" width="8.38"/>
  </cols>
  <sheetData>
    <row r="1">
      <c r="A1" s="203" t="s">
        <v>895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204"/>
      <c r="R1" s="204"/>
      <c r="S1" s="204"/>
      <c r="T1" s="204"/>
      <c r="U1" s="204"/>
      <c r="V1" s="204"/>
      <c r="W1" s="204"/>
      <c r="X1" s="204"/>
      <c r="Y1" s="204"/>
      <c r="Z1" s="4"/>
      <c r="AA1" s="4"/>
      <c r="AB1" s="4"/>
    </row>
    <row r="2">
      <c r="A2" s="205" t="s">
        <v>8</v>
      </c>
      <c r="B2" s="206" t="s">
        <v>9</v>
      </c>
      <c r="C2" s="206" t="s">
        <v>10</v>
      </c>
      <c r="D2" s="206" t="s">
        <v>582</v>
      </c>
      <c r="E2" s="207" t="s">
        <v>12</v>
      </c>
      <c r="F2" s="206" t="s">
        <v>13</v>
      </c>
      <c r="G2" s="205" t="s">
        <v>14</v>
      </c>
      <c r="H2" s="206" t="s">
        <v>896</v>
      </c>
      <c r="I2" s="206" t="s">
        <v>16</v>
      </c>
      <c r="J2" s="208" t="s">
        <v>17</v>
      </c>
      <c r="K2" s="206" t="s">
        <v>18</v>
      </c>
      <c r="L2" s="206" t="s">
        <v>19</v>
      </c>
      <c r="M2" s="205" t="s">
        <v>20</v>
      </c>
      <c r="N2" s="205" t="s">
        <v>249</v>
      </c>
      <c r="O2" s="205" t="s">
        <v>250</v>
      </c>
      <c r="P2" s="206" t="s">
        <v>23</v>
      </c>
      <c r="Q2" s="209" t="s">
        <v>251</v>
      </c>
      <c r="R2" s="209" t="s">
        <v>252</v>
      </c>
      <c r="S2" s="209" t="s">
        <v>253</v>
      </c>
      <c r="T2" s="209" t="s">
        <v>251</v>
      </c>
      <c r="U2" s="209" t="s">
        <v>252</v>
      </c>
      <c r="V2" s="209" t="s">
        <v>253</v>
      </c>
      <c r="W2" s="209" t="s">
        <v>251</v>
      </c>
      <c r="X2" s="209" t="s">
        <v>252</v>
      </c>
      <c r="Y2" s="209" t="s">
        <v>253</v>
      </c>
      <c r="Z2" s="210"/>
      <c r="AA2" s="210"/>
      <c r="AB2" s="210"/>
    </row>
    <row r="3">
      <c r="A3" s="211">
        <v>1.0</v>
      </c>
      <c r="B3" s="212" t="s">
        <v>897</v>
      </c>
      <c r="C3" s="212" t="s">
        <v>898</v>
      </c>
      <c r="D3" s="212" t="s">
        <v>899</v>
      </c>
      <c r="E3" s="213">
        <v>1559.0</v>
      </c>
      <c r="F3" s="212" t="s">
        <v>900</v>
      </c>
      <c r="G3" s="211">
        <v>9.02470539E9</v>
      </c>
      <c r="H3" s="214"/>
      <c r="I3" s="212">
        <v>17500.0</v>
      </c>
      <c r="J3" s="215">
        <v>7500.0</v>
      </c>
      <c r="K3" s="214"/>
      <c r="L3" s="214"/>
      <c r="M3" s="216">
        <f t="shared" ref="M3:M54" si="1">(H3+I3+J3+K3-L3)</f>
        <v>25000</v>
      </c>
      <c r="N3" s="216">
        <f t="shared" ref="N3:N54" si="2">SUM(Q3, T3, W3)</f>
        <v>10000</v>
      </c>
      <c r="O3" s="216">
        <f t="shared" ref="O3:O54" si="3">(M3-N3)</f>
        <v>15000</v>
      </c>
      <c r="P3" s="214"/>
      <c r="Q3" s="212">
        <v>10000.0</v>
      </c>
      <c r="R3" s="212">
        <v>3870.0</v>
      </c>
      <c r="S3" s="217">
        <v>45972.0</v>
      </c>
      <c r="T3" s="214"/>
      <c r="U3" s="214"/>
      <c r="V3" s="214"/>
      <c r="W3" s="214"/>
      <c r="X3" s="214"/>
      <c r="Y3" s="212">
        <v>9.568580888E9</v>
      </c>
    </row>
    <row r="4">
      <c r="A4" s="211">
        <v>3.0</v>
      </c>
      <c r="B4" s="212" t="s">
        <v>901</v>
      </c>
      <c r="C4" s="212" t="s">
        <v>902</v>
      </c>
      <c r="D4" s="212" t="s">
        <v>899</v>
      </c>
      <c r="E4" s="213">
        <v>1629.0</v>
      </c>
      <c r="F4" s="212" t="s">
        <v>834</v>
      </c>
      <c r="G4" s="211">
        <v>8.0944010843E10</v>
      </c>
      <c r="H4" s="214"/>
      <c r="I4" s="212">
        <v>17500.0</v>
      </c>
      <c r="J4" s="215">
        <v>8500.0</v>
      </c>
      <c r="K4" s="214"/>
      <c r="L4" s="214"/>
      <c r="M4" s="216">
        <f t="shared" si="1"/>
        <v>26000</v>
      </c>
      <c r="N4" s="216">
        <f t="shared" si="2"/>
        <v>0</v>
      </c>
      <c r="O4" s="216">
        <f t="shared" si="3"/>
        <v>26000</v>
      </c>
      <c r="P4" s="214"/>
      <c r="Q4" s="214"/>
      <c r="R4" s="214"/>
      <c r="S4" s="214"/>
      <c r="T4" s="214"/>
      <c r="U4" s="214"/>
      <c r="V4" s="214"/>
      <c r="W4" s="214"/>
      <c r="X4" s="214"/>
      <c r="Y4" s="214"/>
    </row>
    <row r="5">
      <c r="A5" s="211">
        <v>4.0</v>
      </c>
      <c r="B5" s="212" t="s">
        <v>903</v>
      </c>
      <c r="C5" s="212" t="s">
        <v>904</v>
      </c>
      <c r="D5" s="212" t="s">
        <v>899</v>
      </c>
      <c r="E5" s="213">
        <v>1417.0</v>
      </c>
      <c r="F5" s="212" t="s">
        <v>30</v>
      </c>
      <c r="G5" s="211">
        <v>9.928870296E9</v>
      </c>
      <c r="H5" s="214"/>
      <c r="I5" s="212">
        <v>17500.0</v>
      </c>
      <c r="J5" s="215">
        <v>9500.0</v>
      </c>
      <c r="K5" s="214"/>
      <c r="L5" s="212">
        <v>4500.0</v>
      </c>
      <c r="M5" s="216">
        <f t="shared" si="1"/>
        <v>22500</v>
      </c>
      <c r="N5" s="216">
        <f t="shared" si="2"/>
        <v>0</v>
      </c>
      <c r="O5" s="216">
        <f t="shared" si="3"/>
        <v>22500</v>
      </c>
      <c r="P5" s="214"/>
      <c r="Q5" s="214"/>
      <c r="R5" s="214"/>
      <c r="S5" s="214"/>
      <c r="T5" s="214"/>
      <c r="U5" s="214"/>
      <c r="V5" s="214"/>
      <c r="W5" s="214"/>
      <c r="X5" s="214"/>
      <c r="Y5" s="214"/>
    </row>
    <row r="6">
      <c r="A6" s="211">
        <v>5.0</v>
      </c>
      <c r="B6" s="212" t="s">
        <v>905</v>
      </c>
      <c r="C6" s="212" t="s">
        <v>81</v>
      </c>
      <c r="D6" s="212" t="s">
        <v>906</v>
      </c>
      <c r="E6" s="213">
        <v>1459.0</v>
      </c>
      <c r="F6" s="212" t="s">
        <v>474</v>
      </c>
      <c r="G6" s="211">
        <v>7.742386189E9</v>
      </c>
      <c r="H6" s="214"/>
      <c r="I6" s="212">
        <v>17500.0</v>
      </c>
      <c r="J6" s="215">
        <v>5000.0</v>
      </c>
      <c r="K6" s="214"/>
      <c r="L6" s="212">
        <v>4500.0</v>
      </c>
      <c r="M6" s="216">
        <f t="shared" si="1"/>
        <v>18000</v>
      </c>
      <c r="N6" s="216">
        <f t="shared" si="2"/>
        <v>5000</v>
      </c>
      <c r="O6" s="216">
        <f t="shared" si="3"/>
        <v>13000</v>
      </c>
      <c r="P6" s="214"/>
      <c r="Q6" s="212">
        <v>5000.0</v>
      </c>
      <c r="R6" s="212">
        <v>3828.0</v>
      </c>
      <c r="S6" s="217">
        <v>45941.0</v>
      </c>
      <c r="T6" s="214"/>
      <c r="U6" s="214"/>
      <c r="V6" s="214"/>
      <c r="W6" s="214"/>
      <c r="X6" s="214"/>
      <c r="Y6" s="214"/>
    </row>
    <row r="7">
      <c r="A7" s="211">
        <v>6.0</v>
      </c>
      <c r="B7" s="212" t="s">
        <v>907</v>
      </c>
      <c r="C7" s="212" t="s">
        <v>908</v>
      </c>
      <c r="D7" s="212" t="s">
        <v>906</v>
      </c>
      <c r="E7" s="213">
        <v>1801.0</v>
      </c>
      <c r="F7" s="218" t="s">
        <v>229</v>
      </c>
      <c r="G7" s="219">
        <v>9.001671811E9</v>
      </c>
      <c r="H7" s="219">
        <v>1000.0</v>
      </c>
      <c r="I7" s="212">
        <v>17500.0</v>
      </c>
      <c r="J7" s="220">
        <v>6000.0</v>
      </c>
      <c r="K7" s="221">
        <v>0.0</v>
      </c>
      <c r="L7" s="219">
        <v>7000.0</v>
      </c>
      <c r="M7" s="216">
        <f t="shared" si="1"/>
        <v>17500</v>
      </c>
      <c r="N7" s="216">
        <f t="shared" si="2"/>
        <v>5000</v>
      </c>
      <c r="O7" s="216">
        <f t="shared" si="3"/>
        <v>12500</v>
      </c>
      <c r="P7" s="218" t="s">
        <v>131</v>
      </c>
      <c r="Q7" s="220">
        <v>5000.0</v>
      </c>
      <c r="R7" s="220">
        <v>3144.0</v>
      </c>
      <c r="S7" s="222">
        <v>45755.0</v>
      </c>
      <c r="T7" s="214"/>
      <c r="U7" s="214"/>
      <c r="V7" s="214"/>
      <c r="W7" s="214"/>
      <c r="X7" s="214"/>
      <c r="Y7" s="214"/>
    </row>
    <row r="8">
      <c r="A8" s="211">
        <v>7.0</v>
      </c>
      <c r="B8" s="212" t="s">
        <v>536</v>
      </c>
      <c r="C8" s="212" t="s">
        <v>909</v>
      </c>
      <c r="D8" s="212" t="s">
        <v>910</v>
      </c>
      <c r="E8" s="213">
        <v>1758.0</v>
      </c>
      <c r="F8" s="212" t="s">
        <v>212</v>
      </c>
      <c r="G8" s="211">
        <v>9.983537565E9</v>
      </c>
      <c r="H8" s="214"/>
      <c r="I8" s="212">
        <v>17500.0</v>
      </c>
      <c r="J8" s="215">
        <v>6500.0</v>
      </c>
      <c r="K8" s="214"/>
      <c r="L8" s="214"/>
      <c r="M8" s="216">
        <f t="shared" si="1"/>
        <v>24000</v>
      </c>
      <c r="N8" s="216">
        <f t="shared" si="2"/>
        <v>5000</v>
      </c>
      <c r="O8" s="216">
        <f t="shared" si="3"/>
        <v>19000</v>
      </c>
      <c r="P8" s="214"/>
      <c r="Q8" s="212">
        <v>5000.0</v>
      </c>
      <c r="R8" s="212">
        <v>3687.0</v>
      </c>
      <c r="S8" s="223">
        <v>45910.0</v>
      </c>
      <c r="T8" s="214"/>
      <c r="U8" s="214"/>
      <c r="V8" s="214"/>
      <c r="W8" s="214"/>
      <c r="X8" s="214"/>
      <c r="Y8" s="214"/>
    </row>
    <row r="9">
      <c r="A9" s="211">
        <v>8.0</v>
      </c>
      <c r="B9" s="212" t="s">
        <v>911</v>
      </c>
      <c r="C9" s="212" t="s">
        <v>912</v>
      </c>
      <c r="D9" s="212" t="s">
        <v>906</v>
      </c>
      <c r="E9" s="213">
        <v>1759.0</v>
      </c>
      <c r="F9" s="212" t="s">
        <v>165</v>
      </c>
      <c r="G9" s="211">
        <v>9.983537565E9</v>
      </c>
      <c r="H9" s="214"/>
      <c r="I9" s="212">
        <v>17500.0</v>
      </c>
      <c r="J9" s="215">
        <v>7000.0</v>
      </c>
      <c r="K9" s="214"/>
      <c r="L9" s="214"/>
      <c r="M9" s="216">
        <f t="shared" si="1"/>
        <v>24500</v>
      </c>
      <c r="N9" s="216">
        <f t="shared" si="2"/>
        <v>18000</v>
      </c>
      <c r="O9" s="216">
        <f t="shared" si="3"/>
        <v>6500</v>
      </c>
      <c r="P9" s="214"/>
      <c r="Q9" s="212">
        <v>10000.0</v>
      </c>
      <c r="R9" s="212">
        <v>3596.0</v>
      </c>
      <c r="S9" s="223">
        <v>45848.0</v>
      </c>
      <c r="T9" s="212">
        <v>8000.0</v>
      </c>
      <c r="U9" s="212">
        <v>3603.0</v>
      </c>
      <c r="V9" s="223">
        <v>45848.0</v>
      </c>
      <c r="W9" s="214"/>
      <c r="X9" s="214"/>
      <c r="Y9" s="214"/>
    </row>
    <row r="10">
      <c r="A10" s="211">
        <v>9.0</v>
      </c>
      <c r="B10" s="212" t="s">
        <v>913</v>
      </c>
      <c r="C10" s="212" t="s">
        <v>914</v>
      </c>
      <c r="D10" s="212" t="s">
        <v>899</v>
      </c>
      <c r="E10" s="213">
        <v>1765.0</v>
      </c>
      <c r="F10" s="212" t="s">
        <v>165</v>
      </c>
      <c r="G10" s="211">
        <v>8.233601305E9</v>
      </c>
      <c r="H10" s="214"/>
      <c r="I10" s="212">
        <v>17500.0</v>
      </c>
      <c r="J10" s="215">
        <v>7000.0</v>
      </c>
      <c r="K10" s="214"/>
      <c r="L10" s="214"/>
      <c r="M10" s="216">
        <f t="shared" si="1"/>
        <v>24500</v>
      </c>
      <c r="N10" s="216">
        <f t="shared" si="2"/>
        <v>10000</v>
      </c>
      <c r="O10" s="216">
        <f t="shared" si="3"/>
        <v>14500</v>
      </c>
      <c r="P10" s="214"/>
      <c r="Q10" s="212">
        <v>10000.0</v>
      </c>
      <c r="R10" s="212">
        <v>4001.0</v>
      </c>
      <c r="S10" s="212" t="s">
        <v>312</v>
      </c>
      <c r="T10" s="214"/>
      <c r="U10" s="214"/>
      <c r="V10" s="214"/>
      <c r="W10" s="214"/>
      <c r="X10" s="214"/>
      <c r="Y10" s="214"/>
    </row>
    <row r="11">
      <c r="A11" s="211">
        <v>10.0</v>
      </c>
      <c r="B11" s="212" t="s">
        <v>915</v>
      </c>
      <c r="C11" s="212" t="s">
        <v>916</v>
      </c>
      <c r="D11" s="212" t="s">
        <v>899</v>
      </c>
      <c r="E11" s="213">
        <v>1656.0</v>
      </c>
      <c r="F11" s="212" t="s">
        <v>568</v>
      </c>
      <c r="G11" s="211">
        <v>9.950209359E9</v>
      </c>
      <c r="H11" s="214"/>
      <c r="I11" s="212">
        <v>17500.0</v>
      </c>
      <c r="J11" s="215">
        <v>9000.0</v>
      </c>
      <c r="K11" s="214"/>
      <c r="L11" s="214"/>
      <c r="M11" s="216">
        <f t="shared" si="1"/>
        <v>26500</v>
      </c>
      <c r="N11" s="216">
        <f t="shared" si="2"/>
        <v>0</v>
      </c>
      <c r="O11" s="216">
        <f t="shared" si="3"/>
        <v>26500</v>
      </c>
      <c r="P11" s="214"/>
      <c r="Q11" s="214"/>
      <c r="R11" s="214"/>
      <c r="S11" s="214"/>
      <c r="T11" s="214"/>
      <c r="U11" s="214"/>
      <c r="V11" s="214"/>
      <c r="W11" s="214"/>
      <c r="X11" s="214"/>
      <c r="Y11" s="214"/>
    </row>
    <row r="12">
      <c r="A12" s="211">
        <v>12.0</v>
      </c>
      <c r="B12" s="212" t="s">
        <v>917</v>
      </c>
      <c r="C12" s="212" t="s">
        <v>918</v>
      </c>
      <c r="D12" s="212" t="s">
        <v>899</v>
      </c>
      <c r="E12" s="213">
        <v>1872.0</v>
      </c>
      <c r="F12" s="218" t="s">
        <v>235</v>
      </c>
      <c r="G12" s="219">
        <v>8.000854907E9</v>
      </c>
      <c r="H12" s="219">
        <v>1000.0</v>
      </c>
      <c r="I12" s="212">
        <v>17500.0</v>
      </c>
      <c r="J12" s="220">
        <v>9500.0</v>
      </c>
      <c r="K12" s="218"/>
      <c r="L12" s="219">
        <v>3000.0</v>
      </c>
      <c r="M12" s="216">
        <f t="shared" si="1"/>
        <v>25000</v>
      </c>
      <c r="N12" s="216">
        <f t="shared" si="2"/>
        <v>16000</v>
      </c>
      <c r="O12" s="216">
        <f t="shared" si="3"/>
        <v>9000</v>
      </c>
      <c r="P12" s="218" t="s">
        <v>44</v>
      </c>
      <c r="Q12" s="220">
        <v>1000.0</v>
      </c>
      <c r="R12" s="220">
        <v>3015.0</v>
      </c>
      <c r="S12" s="218" t="s">
        <v>370</v>
      </c>
      <c r="T12" s="220">
        <v>7000.0</v>
      </c>
      <c r="U12" s="220">
        <v>3182.0</v>
      </c>
      <c r="V12" s="222">
        <v>45969.0</v>
      </c>
      <c r="W12" s="224">
        <v>8000.0</v>
      </c>
      <c r="X12" s="224">
        <v>3831.0</v>
      </c>
      <c r="Y12" s="225">
        <v>45941.0</v>
      </c>
      <c r="Z12" s="17"/>
      <c r="AA12" s="17"/>
      <c r="AB12" s="17"/>
    </row>
    <row r="13">
      <c r="A13" s="211">
        <v>13.0</v>
      </c>
      <c r="B13" s="212" t="s">
        <v>919</v>
      </c>
      <c r="C13" s="212" t="s">
        <v>920</v>
      </c>
      <c r="D13" s="212" t="s">
        <v>899</v>
      </c>
      <c r="E13" s="213">
        <v>987.0</v>
      </c>
      <c r="F13" s="212" t="s">
        <v>474</v>
      </c>
      <c r="G13" s="211">
        <v>8.290713086E9</v>
      </c>
      <c r="H13" s="214"/>
      <c r="I13" s="212">
        <v>17500.0</v>
      </c>
      <c r="J13" s="215">
        <v>5000.0</v>
      </c>
      <c r="K13" s="214"/>
      <c r="L13" s="214"/>
      <c r="M13" s="216">
        <f t="shared" si="1"/>
        <v>22500</v>
      </c>
      <c r="N13" s="216">
        <f t="shared" si="2"/>
        <v>0</v>
      </c>
      <c r="O13" s="216">
        <f t="shared" si="3"/>
        <v>22500</v>
      </c>
      <c r="P13" s="214"/>
      <c r="Q13" s="214"/>
      <c r="R13" s="214"/>
      <c r="S13" s="214"/>
      <c r="T13" s="214"/>
      <c r="U13" s="214"/>
      <c r="V13" s="214"/>
      <c r="W13" s="214"/>
      <c r="X13" s="214"/>
      <c r="Y13" s="214"/>
    </row>
    <row r="14">
      <c r="A14" s="211">
        <v>14.0</v>
      </c>
      <c r="B14" s="212" t="s">
        <v>921</v>
      </c>
      <c r="C14" s="212" t="s">
        <v>226</v>
      </c>
      <c r="D14" s="212" t="s">
        <v>906</v>
      </c>
      <c r="E14" s="213">
        <v>1478.0</v>
      </c>
      <c r="F14" s="212" t="s">
        <v>30</v>
      </c>
      <c r="G14" s="211">
        <v>8.890834455E9</v>
      </c>
      <c r="H14" s="214"/>
      <c r="I14" s="212">
        <v>17500.0</v>
      </c>
      <c r="J14" s="215">
        <v>9500.0</v>
      </c>
      <c r="K14" s="212">
        <v>0.0</v>
      </c>
      <c r="L14" s="212">
        <v>6000.0</v>
      </c>
      <c r="M14" s="216">
        <f t="shared" si="1"/>
        <v>21000</v>
      </c>
      <c r="N14" s="216">
        <f t="shared" si="2"/>
        <v>5000</v>
      </c>
      <c r="O14" s="216">
        <f t="shared" si="3"/>
        <v>16000</v>
      </c>
      <c r="P14" s="214"/>
      <c r="Q14" s="212">
        <v>5000.0</v>
      </c>
      <c r="R14" s="212">
        <v>3445.0</v>
      </c>
      <c r="S14" s="212" t="s">
        <v>217</v>
      </c>
      <c r="T14" s="214"/>
      <c r="U14" s="214"/>
      <c r="V14" s="214"/>
      <c r="W14" s="214"/>
      <c r="X14" s="214"/>
      <c r="Y14" s="214"/>
    </row>
    <row r="15">
      <c r="A15" s="211">
        <v>16.0</v>
      </c>
      <c r="B15" s="212" t="s">
        <v>922</v>
      </c>
      <c r="C15" s="212" t="s">
        <v>649</v>
      </c>
      <c r="D15" s="212" t="s">
        <v>906</v>
      </c>
      <c r="E15" s="213">
        <v>1215.0</v>
      </c>
      <c r="F15" s="212" t="s">
        <v>30</v>
      </c>
      <c r="G15" s="211">
        <v>9.799633173E9</v>
      </c>
      <c r="H15" s="214"/>
      <c r="I15" s="212">
        <v>17500.0</v>
      </c>
      <c r="J15" s="215">
        <v>9500.0</v>
      </c>
      <c r="K15" s="214"/>
      <c r="L15" s="214"/>
      <c r="M15" s="216">
        <f t="shared" si="1"/>
        <v>27000</v>
      </c>
      <c r="N15" s="216">
        <f t="shared" si="2"/>
        <v>5000</v>
      </c>
      <c r="O15" s="216">
        <f t="shared" si="3"/>
        <v>22000</v>
      </c>
      <c r="P15" s="214"/>
      <c r="Q15" s="212">
        <v>5000.0</v>
      </c>
      <c r="R15" s="212">
        <v>3628.0</v>
      </c>
      <c r="S15" s="223">
        <v>45879.0</v>
      </c>
      <c r="T15" s="214"/>
      <c r="U15" s="214"/>
      <c r="V15" s="214"/>
      <c r="W15" s="214"/>
      <c r="X15" s="214"/>
      <c r="Y15" s="214"/>
    </row>
    <row r="16">
      <c r="A16" s="211">
        <v>17.0</v>
      </c>
      <c r="B16" s="212" t="s">
        <v>923</v>
      </c>
      <c r="C16" s="212" t="s">
        <v>733</v>
      </c>
      <c r="D16" s="212" t="s">
        <v>906</v>
      </c>
      <c r="E16" s="213">
        <v>2.0220008E7</v>
      </c>
      <c r="F16" s="212" t="s">
        <v>126</v>
      </c>
      <c r="G16" s="211">
        <v>9.672273476E9</v>
      </c>
      <c r="H16" s="214"/>
      <c r="I16" s="212">
        <v>17500.0</v>
      </c>
      <c r="J16" s="215">
        <v>5000.0</v>
      </c>
      <c r="K16" s="214"/>
      <c r="L16" s="214"/>
      <c r="M16" s="216">
        <f t="shared" si="1"/>
        <v>22500</v>
      </c>
      <c r="N16" s="216">
        <f t="shared" si="2"/>
        <v>0</v>
      </c>
      <c r="O16" s="216">
        <f t="shared" si="3"/>
        <v>22500</v>
      </c>
      <c r="P16" s="214"/>
      <c r="Q16" s="214"/>
      <c r="R16" s="214"/>
      <c r="S16" s="214"/>
      <c r="T16" s="214"/>
      <c r="U16" s="214"/>
      <c r="V16" s="214"/>
      <c r="W16" s="214"/>
      <c r="X16" s="214"/>
      <c r="Y16" s="214"/>
    </row>
    <row r="17">
      <c r="A17" s="211">
        <v>18.0</v>
      </c>
      <c r="B17" s="212" t="s">
        <v>924</v>
      </c>
      <c r="C17" s="212" t="s">
        <v>144</v>
      </c>
      <c r="D17" s="212" t="s">
        <v>906</v>
      </c>
      <c r="E17" s="213">
        <v>1464.0</v>
      </c>
      <c r="F17" s="212" t="s">
        <v>925</v>
      </c>
      <c r="G17" s="211">
        <v>8.890291235E9</v>
      </c>
      <c r="H17" s="214"/>
      <c r="I17" s="212">
        <v>17500.0</v>
      </c>
      <c r="J17" s="215">
        <v>6000.0</v>
      </c>
      <c r="K17" s="214"/>
      <c r="L17" s="212">
        <v>3500.0</v>
      </c>
      <c r="M17" s="216">
        <f t="shared" si="1"/>
        <v>20000</v>
      </c>
      <c r="N17" s="216">
        <f t="shared" si="2"/>
        <v>6000</v>
      </c>
      <c r="O17" s="216">
        <f t="shared" si="3"/>
        <v>14000</v>
      </c>
      <c r="P17" s="212" t="s">
        <v>44</v>
      </c>
      <c r="Q17" s="212">
        <v>6000.0</v>
      </c>
      <c r="R17" s="212">
        <v>3893.0</v>
      </c>
      <c r="S17" s="212" t="s">
        <v>926</v>
      </c>
      <c r="T17" s="214"/>
      <c r="U17" s="214"/>
      <c r="V17" s="214"/>
      <c r="W17" s="214"/>
      <c r="X17" s="214"/>
      <c r="Y17" s="214"/>
    </row>
    <row r="18">
      <c r="A18" s="211">
        <v>19.0</v>
      </c>
      <c r="B18" s="212" t="s">
        <v>927</v>
      </c>
      <c r="C18" s="212" t="s">
        <v>928</v>
      </c>
      <c r="D18" s="212" t="s">
        <v>899</v>
      </c>
      <c r="E18" s="213">
        <v>2.022001E7</v>
      </c>
      <c r="F18" s="212" t="s">
        <v>929</v>
      </c>
      <c r="G18" s="211">
        <v>8.769547261E9</v>
      </c>
      <c r="H18" s="214"/>
      <c r="I18" s="212">
        <v>17500.0</v>
      </c>
      <c r="J18" s="215">
        <v>0.0</v>
      </c>
      <c r="K18" s="214"/>
      <c r="L18" s="214"/>
      <c r="M18" s="216">
        <f t="shared" si="1"/>
        <v>17500</v>
      </c>
      <c r="N18" s="216">
        <f t="shared" si="2"/>
        <v>0</v>
      </c>
      <c r="O18" s="216">
        <f t="shared" si="3"/>
        <v>17500</v>
      </c>
      <c r="P18" s="214"/>
      <c r="Q18" s="214"/>
      <c r="R18" s="214"/>
      <c r="S18" s="214"/>
      <c r="T18" s="214"/>
      <c r="U18" s="214"/>
      <c r="V18" s="214"/>
      <c r="W18" s="214"/>
      <c r="X18" s="214"/>
      <c r="Y18" s="214"/>
    </row>
    <row r="19">
      <c r="A19" s="211">
        <v>21.0</v>
      </c>
      <c r="B19" s="212" t="s">
        <v>930</v>
      </c>
      <c r="C19" s="212" t="s">
        <v>931</v>
      </c>
      <c r="D19" s="212" t="s">
        <v>906</v>
      </c>
      <c r="E19" s="213">
        <v>1143.0</v>
      </c>
      <c r="F19" s="218" t="s">
        <v>646</v>
      </c>
      <c r="G19" s="219">
        <v>7.742693058E9</v>
      </c>
      <c r="H19" s="219">
        <v>0.0</v>
      </c>
      <c r="I19" s="212">
        <v>17500.0</v>
      </c>
      <c r="J19" s="220">
        <v>6500.0</v>
      </c>
      <c r="K19" s="218"/>
      <c r="L19" s="219">
        <v>4500.0</v>
      </c>
      <c r="M19" s="216">
        <f t="shared" si="1"/>
        <v>19500</v>
      </c>
      <c r="N19" s="216">
        <f t="shared" si="2"/>
        <v>10000</v>
      </c>
      <c r="O19" s="216">
        <f t="shared" si="3"/>
        <v>9500</v>
      </c>
      <c r="P19" s="218" t="s">
        <v>177</v>
      </c>
      <c r="Q19" s="220">
        <v>5000.0</v>
      </c>
      <c r="R19" s="220">
        <v>3122.0</v>
      </c>
      <c r="S19" s="222">
        <v>45665.0</v>
      </c>
      <c r="T19" s="212">
        <v>5000.0</v>
      </c>
      <c r="U19" s="212">
        <v>3525.0</v>
      </c>
      <c r="V19" s="223">
        <v>45818.0</v>
      </c>
      <c r="W19" s="214"/>
      <c r="X19" s="214"/>
      <c r="Y19" s="214"/>
    </row>
    <row r="20">
      <c r="A20" s="211">
        <v>22.0</v>
      </c>
      <c r="B20" s="212" t="s">
        <v>932</v>
      </c>
      <c r="C20" s="212" t="s">
        <v>933</v>
      </c>
      <c r="D20" s="212" t="s">
        <v>906</v>
      </c>
      <c r="E20" s="213">
        <v>1762.0</v>
      </c>
      <c r="F20" s="212" t="s">
        <v>354</v>
      </c>
      <c r="G20" s="211">
        <v>7.073688297E9</v>
      </c>
      <c r="H20" s="214"/>
      <c r="I20" s="212">
        <v>17500.0</v>
      </c>
      <c r="J20" s="215">
        <v>8000.0</v>
      </c>
      <c r="K20" s="214"/>
      <c r="L20" s="214"/>
      <c r="M20" s="216">
        <f t="shared" si="1"/>
        <v>25500</v>
      </c>
      <c r="N20" s="216">
        <f t="shared" si="2"/>
        <v>0</v>
      </c>
      <c r="O20" s="216">
        <f t="shared" si="3"/>
        <v>25500</v>
      </c>
      <c r="P20" s="214"/>
      <c r="Q20" s="214"/>
      <c r="R20" s="214"/>
      <c r="S20" s="214"/>
      <c r="T20" s="214"/>
      <c r="U20" s="214"/>
      <c r="V20" s="214"/>
      <c r="W20" s="214"/>
      <c r="X20" s="214"/>
      <c r="Y20" s="214"/>
    </row>
    <row r="21">
      <c r="A21" s="211">
        <v>23.0</v>
      </c>
      <c r="B21" s="212" t="s">
        <v>615</v>
      </c>
      <c r="C21" s="212" t="s">
        <v>934</v>
      </c>
      <c r="D21" s="212" t="s">
        <v>906</v>
      </c>
      <c r="E21" s="213">
        <v>1137.0</v>
      </c>
      <c r="F21" s="212" t="s">
        <v>935</v>
      </c>
      <c r="G21" s="211">
        <v>9.829553412E9</v>
      </c>
      <c r="H21" s="214"/>
      <c r="I21" s="212">
        <v>17500.0</v>
      </c>
      <c r="J21" s="215">
        <v>7000.0</v>
      </c>
      <c r="K21" s="214"/>
      <c r="L21" s="214"/>
      <c r="M21" s="216">
        <f t="shared" si="1"/>
        <v>24500</v>
      </c>
      <c r="N21" s="216">
        <f t="shared" si="2"/>
        <v>10000</v>
      </c>
      <c r="O21" s="216">
        <f t="shared" si="3"/>
        <v>14500</v>
      </c>
      <c r="P21" s="214"/>
      <c r="Q21" s="212">
        <v>10000.0</v>
      </c>
      <c r="R21" s="212">
        <v>3520.0</v>
      </c>
      <c r="S21" s="226">
        <v>45818.0</v>
      </c>
      <c r="T21" s="214"/>
      <c r="U21" s="214"/>
      <c r="V21" s="214"/>
      <c r="W21" s="214"/>
      <c r="X21" s="214"/>
      <c r="Y21" s="214"/>
    </row>
    <row r="22">
      <c r="A22" s="211">
        <v>24.0</v>
      </c>
      <c r="B22" s="212" t="s">
        <v>936</v>
      </c>
      <c r="C22" s="212" t="s">
        <v>550</v>
      </c>
      <c r="D22" s="212" t="s">
        <v>899</v>
      </c>
      <c r="E22" s="213">
        <v>1466.0</v>
      </c>
      <c r="F22" s="218" t="s">
        <v>165</v>
      </c>
      <c r="G22" s="221">
        <v>8.290219884E9</v>
      </c>
      <c r="H22" s="219">
        <v>0.0</v>
      </c>
      <c r="I22" s="212">
        <v>17500.0</v>
      </c>
      <c r="J22" s="220">
        <v>7000.0</v>
      </c>
      <c r="K22" s="218"/>
      <c r="L22" s="219">
        <v>3500.0</v>
      </c>
      <c r="M22" s="216">
        <f t="shared" si="1"/>
        <v>21000</v>
      </c>
      <c r="N22" s="216">
        <f t="shared" si="2"/>
        <v>10000</v>
      </c>
      <c r="O22" s="216">
        <f t="shared" si="3"/>
        <v>11000</v>
      </c>
      <c r="P22" s="218" t="s">
        <v>44</v>
      </c>
      <c r="Q22" s="220">
        <v>10000.0</v>
      </c>
      <c r="R22" s="220">
        <v>3171.0</v>
      </c>
      <c r="S22" s="222">
        <v>45816.0</v>
      </c>
      <c r="T22" s="214"/>
      <c r="U22" s="214"/>
      <c r="V22" s="214"/>
      <c r="W22" s="214"/>
      <c r="X22" s="214"/>
      <c r="Y22" s="214"/>
    </row>
    <row r="23">
      <c r="A23" s="211">
        <v>25.0</v>
      </c>
      <c r="B23" s="212" t="s">
        <v>937</v>
      </c>
      <c r="C23" s="212" t="s">
        <v>938</v>
      </c>
      <c r="D23" s="212" t="s">
        <v>899</v>
      </c>
      <c r="E23" s="213">
        <v>1766.0</v>
      </c>
      <c r="F23" s="212" t="s">
        <v>568</v>
      </c>
      <c r="G23" s="211">
        <v>9.399135759E9</v>
      </c>
      <c r="H23" s="214"/>
      <c r="I23" s="212">
        <v>17500.0</v>
      </c>
      <c r="J23" s="215">
        <v>9000.0</v>
      </c>
      <c r="K23" s="214"/>
      <c r="L23" s="214"/>
      <c r="M23" s="216">
        <f t="shared" si="1"/>
        <v>26500</v>
      </c>
      <c r="N23" s="216">
        <f t="shared" si="2"/>
        <v>0</v>
      </c>
      <c r="O23" s="216">
        <f t="shared" si="3"/>
        <v>26500</v>
      </c>
      <c r="P23" s="214"/>
      <c r="Q23" s="214"/>
      <c r="R23" s="214"/>
      <c r="S23" s="214"/>
      <c r="T23" s="214"/>
      <c r="U23" s="214"/>
      <c r="V23" s="214"/>
      <c r="W23" s="214"/>
      <c r="X23" s="214"/>
      <c r="Y23" s="214"/>
    </row>
    <row r="24">
      <c r="A24" s="211">
        <v>26.0</v>
      </c>
      <c r="B24" s="212" t="s">
        <v>939</v>
      </c>
      <c r="C24" s="212" t="s">
        <v>940</v>
      </c>
      <c r="D24" s="212" t="s">
        <v>906</v>
      </c>
      <c r="E24" s="213">
        <v>1763.0</v>
      </c>
      <c r="F24" s="212" t="s">
        <v>941</v>
      </c>
      <c r="G24" s="211">
        <v>8.890778234E9</v>
      </c>
      <c r="H24" s="214"/>
      <c r="I24" s="212">
        <v>17500.0</v>
      </c>
      <c r="J24" s="215">
        <v>8000.0</v>
      </c>
      <c r="K24" s="214"/>
      <c r="L24" s="214"/>
      <c r="M24" s="216">
        <f t="shared" si="1"/>
        <v>25500</v>
      </c>
      <c r="N24" s="216">
        <f t="shared" si="2"/>
        <v>0</v>
      </c>
      <c r="O24" s="216">
        <f t="shared" si="3"/>
        <v>25500</v>
      </c>
      <c r="P24" s="214"/>
      <c r="Q24" s="214"/>
      <c r="R24" s="214"/>
      <c r="S24" s="214"/>
      <c r="T24" s="214"/>
      <c r="U24" s="214"/>
      <c r="V24" s="214"/>
      <c r="W24" s="214"/>
      <c r="X24" s="214"/>
      <c r="Y24" s="214"/>
    </row>
    <row r="25">
      <c r="A25" s="211">
        <v>27.0</v>
      </c>
      <c r="B25" s="212" t="s">
        <v>942</v>
      </c>
      <c r="C25" s="212" t="s">
        <v>943</v>
      </c>
      <c r="D25" s="212" t="s">
        <v>899</v>
      </c>
      <c r="E25" s="213">
        <v>1640.0</v>
      </c>
      <c r="F25" s="212" t="s">
        <v>3</v>
      </c>
      <c r="G25" s="211">
        <v>9.05723532E9</v>
      </c>
      <c r="H25" s="214"/>
      <c r="I25" s="212">
        <v>17500.0</v>
      </c>
      <c r="J25" s="215">
        <v>6500.0</v>
      </c>
      <c r="K25" s="214"/>
      <c r="L25" s="212">
        <v>2500.0</v>
      </c>
      <c r="M25" s="216">
        <f t="shared" si="1"/>
        <v>21500</v>
      </c>
      <c r="N25" s="216">
        <f t="shared" si="2"/>
        <v>10000</v>
      </c>
      <c r="O25" s="216">
        <f t="shared" si="3"/>
        <v>11500</v>
      </c>
      <c r="P25" s="214"/>
      <c r="Q25" s="212">
        <v>10000.0</v>
      </c>
      <c r="R25" s="212">
        <v>3417.0</v>
      </c>
      <c r="S25" s="212" t="s">
        <v>331</v>
      </c>
      <c r="T25" s="214"/>
      <c r="U25" s="214"/>
      <c r="V25" s="214"/>
      <c r="W25" s="214"/>
      <c r="X25" s="214"/>
      <c r="Y25" s="214"/>
    </row>
    <row r="26">
      <c r="A26" s="211">
        <v>29.0</v>
      </c>
      <c r="B26" s="212" t="s">
        <v>944</v>
      </c>
      <c r="C26" s="212" t="s">
        <v>945</v>
      </c>
      <c r="D26" s="212" t="s">
        <v>899</v>
      </c>
      <c r="E26" s="213">
        <v>2.0220012E7</v>
      </c>
      <c r="F26" s="212" t="s">
        <v>126</v>
      </c>
      <c r="G26" s="211">
        <v>8.696484284E9</v>
      </c>
      <c r="H26" s="214"/>
      <c r="I26" s="212">
        <v>17500.0</v>
      </c>
      <c r="J26" s="215">
        <v>5000.0</v>
      </c>
      <c r="K26" s="214"/>
      <c r="L26" s="214"/>
      <c r="M26" s="216">
        <f t="shared" si="1"/>
        <v>22500</v>
      </c>
      <c r="N26" s="216">
        <f t="shared" si="2"/>
        <v>0</v>
      </c>
      <c r="O26" s="216">
        <f t="shared" si="3"/>
        <v>22500</v>
      </c>
      <c r="P26" s="214"/>
      <c r="Q26" s="214"/>
      <c r="R26" s="214"/>
      <c r="S26" s="214"/>
      <c r="T26" s="214"/>
      <c r="U26" s="214"/>
      <c r="V26" s="214"/>
      <c r="W26" s="214"/>
      <c r="X26" s="214"/>
      <c r="Y26" s="214"/>
    </row>
    <row r="27">
      <c r="A27" s="211">
        <v>30.0</v>
      </c>
      <c r="B27" s="212" t="s">
        <v>946</v>
      </c>
      <c r="C27" s="212" t="s">
        <v>947</v>
      </c>
      <c r="D27" s="212" t="s">
        <v>906</v>
      </c>
      <c r="E27" s="213">
        <v>1136.0</v>
      </c>
      <c r="F27" s="212" t="s">
        <v>948</v>
      </c>
      <c r="G27" s="211">
        <v>9.549641113E9</v>
      </c>
      <c r="H27" s="214"/>
      <c r="I27" s="212">
        <v>17500.0</v>
      </c>
      <c r="J27" s="215">
        <v>10000.0</v>
      </c>
      <c r="K27" s="214"/>
      <c r="L27" s="214"/>
      <c r="M27" s="216">
        <f t="shared" si="1"/>
        <v>27500</v>
      </c>
      <c r="N27" s="216">
        <f t="shared" si="2"/>
        <v>5000</v>
      </c>
      <c r="O27" s="216">
        <f t="shared" si="3"/>
        <v>22500</v>
      </c>
      <c r="P27" s="214"/>
      <c r="Q27" s="212">
        <v>5000.0</v>
      </c>
      <c r="R27" s="212">
        <v>3546.0</v>
      </c>
      <c r="S27" s="223">
        <v>45818.0</v>
      </c>
      <c r="T27" s="214"/>
      <c r="U27" s="214"/>
      <c r="V27" s="214"/>
      <c r="W27" s="214"/>
      <c r="X27" s="214"/>
      <c r="Y27" s="214"/>
    </row>
    <row r="28">
      <c r="A28" s="211">
        <v>33.0</v>
      </c>
      <c r="B28" s="212" t="s">
        <v>949</v>
      </c>
      <c r="C28" s="212" t="s">
        <v>950</v>
      </c>
      <c r="D28" s="212" t="s">
        <v>899</v>
      </c>
      <c r="E28" s="213">
        <v>1544.0</v>
      </c>
      <c r="F28" s="212" t="s">
        <v>900</v>
      </c>
      <c r="G28" s="211">
        <v>6.367161668E9</v>
      </c>
      <c r="H28" s="214"/>
      <c r="I28" s="212">
        <v>17500.0</v>
      </c>
      <c r="J28" s="215">
        <v>7500.0</v>
      </c>
      <c r="K28" s="214"/>
      <c r="L28" s="214"/>
      <c r="M28" s="216">
        <f t="shared" si="1"/>
        <v>25000</v>
      </c>
      <c r="N28" s="216">
        <f t="shared" si="2"/>
        <v>0</v>
      </c>
      <c r="O28" s="216">
        <f t="shared" si="3"/>
        <v>25000</v>
      </c>
      <c r="P28" s="214"/>
      <c r="Q28" s="214"/>
      <c r="R28" s="214"/>
      <c r="S28" s="214"/>
      <c r="T28" s="214"/>
      <c r="U28" s="214"/>
      <c r="V28" s="214"/>
      <c r="W28" s="214"/>
      <c r="X28" s="214"/>
      <c r="Y28" s="214"/>
    </row>
    <row r="29">
      <c r="A29" s="211">
        <v>34.0</v>
      </c>
      <c r="B29" s="212" t="s">
        <v>951</v>
      </c>
      <c r="C29" s="212" t="s">
        <v>952</v>
      </c>
      <c r="D29" s="212" t="s">
        <v>899</v>
      </c>
      <c r="E29" s="227"/>
      <c r="F29" s="212" t="s">
        <v>30</v>
      </c>
      <c r="G29" s="212">
        <v>7.300300172E9</v>
      </c>
      <c r="H29" s="214"/>
      <c r="I29" s="212">
        <v>17500.0</v>
      </c>
      <c r="J29" s="215">
        <v>9500.0</v>
      </c>
      <c r="K29" s="214"/>
      <c r="L29" s="214"/>
      <c r="M29" s="216">
        <f t="shared" si="1"/>
        <v>27000</v>
      </c>
      <c r="N29" s="216">
        <f t="shared" si="2"/>
        <v>0</v>
      </c>
      <c r="O29" s="216">
        <f t="shared" si="3"/>
        <v>27000</v>
      </c>
      <c r="P29" s="214"/>
      <c r="Q29" s="214"/>
      <c r="R29" s="214"/>
      <c r="S29" s="214"/>
      <c r="T29" s="214"/>
      <c r="U29" s="214"/>
      <c r="V29" s="214"/>
      <c r="W29" s="214"/>
      <c r="X29" s="214"/>
      <c r="Y29" s="214"/>
    </row>
    <row r="30">
      <c r="A30" s="211">
        <v>36.0</v>
      </c>
      <c r="B30" s="212" t="s">
        <v>953</v>
      </c>
      <c r="C30" s="212" t="s">
        <v>952</v>
      </c>
      <c r="D30" s="212" t="s">
        <v>899</v>
      </c>
      <c r="E30" s="227"/>
      <c r="F30" s="212" t="s">
        <v>30</v>
      </c>
      <c r="G30" s="212">
        <v>7.300300172E9</v>
      </c>
      <c r="H30" s="212">
        <v>1000.0</v>
      </c>
      <c r="I30" s="212">
        <v>17500.0</v>
      </c>
      <c r="J30" s="215">
        <v>9500.0</v>
      </c>
      <c r="K30" s="214"/>
      <c r="L30" s="212">
        <v>8000.0</v>
      </c>
      <c r="M30" s="216">
        <f t="shared" si="1"/>
        <v>20000</v>
      </c>
      <c r="N30" s="216">
        <f t="shared" si="2"/>
        <v>8000</v>
      </c>
      <c r="O30" s="216">
        <f t="shared" si="3"/>
        <v>12000</v>
      </c>
      <c r="P30" s="212" t="s">
        <v>954</v>
      </c>
      <c r="Q30" s="212">
        <v>3500.0</v>
      </c>
      <c r="R30" s="212">
        <v>3394.0</v>
      </c>
      <c r="S30" s="223">
        <v>45909.0</v>
      </c>
      <c r="T30" s="212">
        <v>1500.0</v>
      </c>
      <c r="U30" s="212">
        <v>3490.0</v>
      </c>
      <c r="V30" s="223">
        <v>45757.0</v>
      </c>
      <c r="W30" s="212">
        <v>3000.0</v>
      </c>
      <c r="X30" s="212">
        <v>3837.0</v>
      </c>
      <c r="Y30" s="217">
        <v>45941.0</v>
      </c>
    </row>
    <row r="31">
      <c r="A31" s="211">
        <v>37.0</v>
      </c>
      <c r="B31" s="212" t="s">
        <v>955</v>
      </c>
      <c r="C31" s="212" t="s">
        <v>473</v>
      </c>
      <c r="D31" s="212" t="s">
        <v>906</v>
      </c>
      <c r="E31" s="213">
        <v>1135.0</v>
      </c>
      <c r="F31" s="212" t="s">
        <v>212</v>
      </c>
      <c r="G31" s="211">
        <v>8.290014433E9</v>
      </c>
      <c r="H31" s="214"/>
      <c r="I31" s="212">
        <v>17500.0</v>
      </c>
      <c r="J31" s="215">
        <v>6500.0</v>
      </c>
      <c r="K31" s="214"/>
      <c r="L31" s="214"/>
      <c r="M31" s="216">
        <f t="shared" si="1"/>
        <v>24000</v>
      </c>
      <c r="N31" s="216">
        <f t="shared" si="2"/>
        <v>7000</v>
      </c>
      <c r="O31" s="216">
        <f t="shared" si="3"/>
        <v>17000</v>
      </c>
      <c r="P31" s="214"/>
      <c r="Q31" s="212">
        <v>7000.0</v>
      </c>
      <c r="R31" s="212">
        <v>3579.0</v>
      </c>
      <c r="S31" s="226" t="s">
        <v>635</v>
      </c>
      <c r="T31" s="214"/>
      <c r="U31" s="214"/>
      <c r="V31" s="214"/>
      <c r="W31" s="214"/>
      <c r="X31" s="214"/>
      <c r="Y31" s="214"/>
    </row>
    <row r="32">
      <c r="A32" s="211">
        <v>39.0</v>
      </c>
      <c r="B32" s="212" t="s">
        <v>956</v>
      </c>
      <c r="C32" s="212" t="s">
        <v>957</v>
      </c>
      <c r="D32" s="212" t="s">
        <v>899</v>
      </c>
      <c r="E32" s="213">
        <v>1892.0</v>
      </c>
      <c r="F32" s="218" t="s">
        <v>662</v>
      </c>
      <c r="G32" s="219">
        <v>8.824874356E9</v>
      </c>
      <c r="H32" s="219">
        <v>1000.0</v>
      </c>
      <c r="I32" s="212">
        <v>17500.0</v>
      </c>
      <c r="J32" s="220">
        <v>5000.0</v>
      </c>
      <c r="K32" s="218"/>
      <c r="L32" s="219">
        <v>2500.0</v>
      </c>
      <c r="M32" s="216">
        <f t="shared" si="1"/>
        <v>21000</v>
      </c>
      <c r="N32" s="216">
        <f t="shared" si="2"/>
        <v>17000</v>
      </c>
      <c r="O32" s="216">
        <f t="shared" si="3"/>
        <v>4000</v>
      </c>
      <c r="P32" s="218" t="s">
        <v>44</v>
      </c>
      <c r="Q32" s="220">
        <v>2000.0</v>
      </c>
      <c r="R32" s="220">
        <v>3051.0</v>
      </c>
      <c r="S32" s="218" t="s">
        <v>275</v>
      </c>
      <c r="T32" s="212">
        <v>15000.0</v>
      </c>
      <c r="U32" s="212">
        <v>3834.0</v>
      </c>
      <c r="V32" s="217">
        <v>45941.0</v>
      </c>
    </row>
    <row r="33">
      <c r="A33" s="211">
        <v>41.0</v>
      </c>
      <c r="B33" s="212" t="s">
        <v>958</v>
      </c>
      <c r="C33" s="212" t="s">
        <v>959</v>
      </c>
      <c r="D33" s="212" t="s">
        <v>906</v>
      </c>
      <c r="E33" s="213">
        <v>1760.0</v>
      </c>
      <c r="F33" s="212" t="s">
        <v>165</v>
      </c>
      <c r="G33" s="211">
        <v>9.784603697E9</v>
      </c>
      <c r="H33" s="214"/>
      <c r="I33" s="212">
        <v>17500.0</v>
      </c>
      <c r="J33" s="215">
        <v>7000.0</v>
      </c>
      <c r="K33" s="214"/>
      <c r="L33" s="214"/>
      <c r="M33" s="216">
        <f t="shared" si="1"/>
        <v>24500</v>
      </c>
      <c r="N33" s="216">
        <f t="shared" si="2"/>
        <v>10000</v>
      </c>
      <c r="O33" s="216">
        <f t="shared" si="3"/>
        <v>14500</v>
      </c>
      <c r="P33" s="214"/>
      <c r="Q33" s="212">
        <v>10000.0</v>
      </c>
      <c r="R33" s="212">
        <v>3627.0</v>
      </c>
      <c r="S33" s="223">
        <v>45879.0</v>
      </c>
      <c r="T33" s="214"/>
      <c r="U33" s="214"/>
      <c r="V33" s="214"/>
      <c r="W33" s="214"/>
      <c r="X33" s="214"/>
      <c r="Y33" s="214"/>
    </row>
    <row r="34">
      <c r="A34" s="211">
        <v>42.0</v>
      </c>
      <c r="B34" s="212" t="s">
        <v>960</v>
      </c>
      <c r="C34" s="212" t="s">
        <v>961</v>
      </c>
      <c r="D34" s="212" t="s">
        <v>906</v>
      </c>
      <c r="E34" s="227"/>
      <c r="F34" s="212" t="s">
        <v>169</v>
      </c>
      <c r="G34" s="212">
        <v>9.799914759E9</v>
      </c>
      <c r="H34" s="214"/>
      <c r="I34" s="212">
        <v>17500.0</v>
      </c>
      <c r="J34" s="215">
        <v>7500.0</v>
      </c>
      <c r="K34" s="214"/>
      <c r="L34" s="214"/>
      <c r="M34" s="216">
        <f t="shared" si="1"/>
        <v>25000</v>
      </c>
      <c r="N34" s="216">
        <f t="shared" si="2"/>
        <v>12000</v>
      </c>
      <c r="O34" s="216">
        <f t="shared" si="3"/>
        <v>13000</v>
      </c>
      <c r="P34" s="214"/>
      <c r="Q34" s="212">
        <v>10000.0</v>
      </c>
      <c r="R34" s="212">
        <v>3269.0</v>
      </c>
      <c r="S34" s="212" t="s">
        <v>727</v>
      </c>
      <c r="T34" s="212">
        <v>2000.0</v>
      </c>
      <c r="U34" s="212">
        <v>3302.0</v>
      </c>
      <c r="V34" s="212" t="s">
        <v>962</v>
      </c>
      <c r="W34" s="214"/>
      <c r="X34" s="214"/>
      <c r="Y34" s="214"/>
    </row>
    <row r="35">
      <c r="A35" s="211">
        <v>43.0</v>
      </c>
      <c r="B35" s="212" t="s">
        <v>963</v>
      </c>
      <c r="C35" s="212" t="s">
        <v>964</v>
      </c>
      <c r="D35" s="212" t="s">
        <v>899</v>
      </c>
      <c r="E35" s="213">
        <v>1727.0</v>
      </c>
      <c r="F35" s="212" t="s">
        <v>965</v>
      </c>
      <c r="G35" s="211">
        <v>7.742288611E9</v>
      </c>
      <c r="H35" s="214"/>
      <c r="I35" s="212">
        <v>17500.0</v>
      </c>
      <c r="J35" s="215">
        <v>8000.0</v>
      </c>
      <c r="K35" s="214"/>
      <c r="L35" s="214"/>
      <c r="M35" s="216">
        <f t="shared" si="1"/>
        <v>25500</v>
      </c>
      <c r="N35" s="216">
        <f t="shared" si="2"/>
        <v>0</v>
      </c>
      <c r="O35" s="216">
        <f t="shared" si="3"/>
        <v>25500</v>
      </c>
      <c r="P35" s="214"/>
      <c r="Q35" s="214"/>
      <c r="R35" s="214"/>
      <c r="S35" s="214"/>
      <c r="T35" s="214"/>
      <c r="U35" s="214"/>
      <c r="V35" s="214"/>
      <c r="W35" s="214"/>
      <c r="X35" s="214"/>
      <c r="Y35" s="214"/>
    </row>
    <row r="36">
      <c r="A36" s="211">
        <v>44.0</v>
      </c>
      <c r="B36" s="212" t="s">
        <v>966</v>
      </c>
      <c r="C36" s="212" t="s">
        <v>967</v>
      </c>
      <c r="D36" s="212" t="s">
        <v>899</v>
      </c>
      <c r="E36" s="213">
        <v>1768.0</v>
      </c>
      <c r="F36" s="212" t="s">
        <v>807</v>
      </c>
      <c r="G36" s="211">
        <v>6.37807355E9</v>
      </c>
      <c r="H36" s="214"/>
      <c r="I36" s="212">
        <v>17500.0</v>
      </c>
      <c r="J36" s="215">
        <v>6500.0</v>
      </c>
      <c r="K36" s="214"/>
      <c r="L36" s="214"/>
      <c r="M36" s="216">
        <f t="shared" si="1"/>
        <v>24000</v>
      </c>
      <c r="N36" s="216">
        <f t="shared" si="2"/>
        <v>5000</v>
      </c>
      <c r="O36" s="216">
        <f t="shared" si="3"/>
        <v>19000</v>
      </c>
      <c r="P36" s="214"/>
      <c r="Q36" s="212">
        <v>5000.0</v>
      </c>
      <c r="R36" s="212">
        <v>3558.0</v>
      </c>
      <c r="S36" s="223">
        <v>45848.0</v>
      </c>
      <c r="T36" s="214"/>
      <c r="U36" s="214"/>
      <c r="V36" s="214"/>
      <c r="W36" s="214"/>
      <c r="X36" s="214"/>
      <c r="Y36" s="214"/>
    </row>
    <row r="37">
      <c r="A37" s="211">
        <v>45.0</v>
      </c>
      <c r="B37" s="212" t="s">
        <v>966</v>
      </c>
      <c r="C37" s="212" t="s">
        <v>656</v>
      </c>
      <c r="D37" s="212" t="s">
        <v>906</v>
      </c>
      <c r="E37" s="213">
        <v>1219.0</v>
      </c>
      <c r="F37" s="212" t="s">
        <v>145</v>
      </c>
      <c r="G37" s="211">
        <v>9.024872565E9</v>
      </c>
      <c r="H37" s="214"/>
      <c r="I37" s="212">
        <v>17500.0</v>
      </c>
      <c r="J37" s="215">
        <v>0.0</v>
      </c>
      <c r="K37" s="214"/>
      <c r="L37" s="214"/>
      <c r="M37" s="216">
        <f t="shared" si="1"/>
        <v>17500</v>
      </c>
      <c r="N37" s="216">
        <f t="shared" si="2"/>
        <v>0</v>
      </c>
      <c r="O37" s="216">
        <f t="shared" si="3"/>
        <v>17500</v>
      </c>
      <c r="P37" s="214"/>
      <c r="Q37" s="214"/>
      <c r="R37" s="214"/>
      <c r="S37" s="214"/>
      <c r="T37" s="214"/>
      <c r="U37" s="214"/>
      <c r="V37" s="214"/>
      <c r="W37" s="214"/>
      <c r="X37" s="214"/>
      <c r="Y37" s="214"/>
    </row>
    <row r="38">
      <c r="A38" s="211">
        <v>46.0</v>
      </c>
      <c r="B38" s="212" t="s">
        <v>968</v>
      </c>
      <c r="C38" s="212" t="s">
        <v>969</v>
      </c>
      <c r="D38" s="212" t="s">
        <v>899</v>
      </c>
      <c r="E38" s="213">
        <v>1769.0</v>
      </c>
      <c r="F38" s="212" t="s">
        <v>474</v>
      </c>
      <c r="G38" s="211">
        <v>7.023902474E9</v>
      </c>
      <c r="H38" s="214"/>
      <c r="I38" s="212">
        <v>17500.0</v>
      </c>
      <c r="J38" s="215">
        <v>5000.0</v>
      </c>
      <c r="K38" s="214"/>
      <c r="L38" s="214"/>
      <c r="M38" s="216">
        <f t="shared" si="1"/>
        <v>22500</v>
      </c>
      <c r="N38" s="216">
        <f t="shared" si="2"/>
        <v>2000</v>
      </c>
      <c r="O38" s="216">
        <f t="shared" si="3"/>
        <v>20500</v>
      </c>
      <c r="P38" s="214"/>
      <c r="Q38" s="212">
        <v>2000.0</v>
      </c>
      <c r="R38" s="212">
        <v>3865.0</v>
      </c>
      <c r="S38" s="217">
        <v>45972.0</v>
      </c>
      <c r="T38" s="214"/>
      <c r="U38" s="214"/>
      <c r="V38" s="214"/>
      <c r="W38" s="214"/>
      <c r="X38" s="214"/>
      <c r="Y38" s="214"/>
    </row>
    <row r="39">
      <c r="A39" s="211">
        <v>47.0</v>
      </c>
      <c r="B39" s="212" t="s">
        <v>970</v>
      </c>
      <c r="C39" s="212" t="s">
        <v>100</v>
      </c>
      <c r="D39" s="212" t="s">
        <v>906</v>
      </c>
      <c r="E39" s="213">
        <v>1874.0</v>
      </c>
      <c r="F39" s="218" t="s">
        <v>48</v>
      </c>
      <c r="G39" s="219">
        <v>9.660927106E9</v>
      </c>
      <c r="H39" s="219">
        <v>1000.0</v>
      </c>
      <c r="I39" s="212">
        <v>17500.0</v>
      </c>
      <c r="J39" s="220">
        <v>9500.0</v>
      </c>
      <c r="K39" s="218"/>
      <c r="L39" s="219">
        <v>3000.0</v>
      </c>
      <c r="M39" s="216">
        <f t="shared" si="1"/>
        <v>25000</v>
      </c>
      <c r="N39" s="216">
        <f t="shared" si="2"/>
        <v>8000</v>
      </c>
      <c r="O39" s="216">
        <f t="shared" si="3"/>
        <v>17000</v>
      </c>
      <c r="P39" s="218" t="s">
        <v>44</v>
      </c>
      <c r="Q39" s="220">
        <v>1000.0</v>
      </c>
      <c r="R39" s="220">
        <v>3018.0</v>
      </c>
      <c r="S39" s="218" t="s">
        <v>370</v>
      </c>
      <c r="T39" s="212">
        <v>2000.0</v>
      </c>
      <c r="U39" s="212">
        <v>3515.0</v>
      </c>
      <c r="V39" s="223">
        <v>45818.0</v>
      </c>
      <c r="W39" s="212">
        <v>5000.0</v>
      </c>
      <c r="X39" s="212">
        <v>3987.0</v>
      </c>
      <c r="Y39" s="212" t="s">
        <v>312</v>
      </c>
    </row>
    <row r="40">
      <c r="A40" s="211">
        <v>48.0</v>
      </c>
      <c r="B40" s="212" t="s">
        <v>971</v>
      </c>
      <c r="C40" s="212" t="s">
        <v>972</v>
      </c>
      <c r="D40" s="212" t="s">
        <v>906</v>
      </c>
      <c r="E40" s="213">
        <v>1471.0</v>
      </c>
      <c r="F40" s="212" t="s">
        <v>169</v>
      </c>
      <c r="G40" s="211">
        <v>7.597256206E9</v>
      </c>
      <c r="H40" s="214"/>
      <c r="I40" s="212">
        <v>17500.0</v>
      </c>
      <c r="J40" s="215">
        <v>7000.0</v>
      </c>
      <c r="K40" s="214"/>
      <c r="L40" s="212">
        <v>6500.0</v>
      </c>
      <c r="M40" s="216">
        <f t="shared" si="1"/>
        <v>18000</v>
      </c>
      <c r="N40" s="216">
        <f t="shared" si="2"/>
        <v>0</v>
      </c>
      <c r="O40" s="216">
        <f t="shared" si="3"/>
        <v>18000</v>
      </c>
      <c r="P40" s="212" t="s">
        <v>148</v>
      </c>
      <c r="Q40" s="214"/>
      <c r="R40" s="214"/>
      <c r="S40" s="214"/>
      <c r="T40" s="214"/>
      <c r="U40" s="214"/>
      <c r="V40" s="214"/>
      <c r="W40" s="214"/>
      <c r="X40" s="214"/>
      <c r="Y40" s="214"/>
    </row>
    <row r="41">
      <c r="A41" s="211">
        <v>50.0</v>
      </c>
      <c r="B41" s="212" t="s">
        <v>973</v>
      </c>
      <c r="C41" s="212" t="s">
        <v>974</v>
      </c>
      <c r="D41" s="212" t="s">
        <v>899</v>
      </c>
      <c r="E41" s="213">
        <v>1894.0</v>
      </c>
      <c r="F41" s="218" t="s">
        <v>763</v>
      </c>
      <c r="G41" s="219">
        <v>8.009464206E9</v>
      </c>
      <c r="H41" s="219">
        <v>1000.0</v>
      </c>
      <c r="I41" s="212">
        <v>17500.0</v>
      </c>
      <c r="J41" s="220">
        <v>10000.0</v>
      </c>
      <c r="K41" s="218"/>
      <c r="L41" s="219">
        <v>3000.0</v>
      </c>
      <c r="M41" s="216">
        <f t="shared" si="1"/>
        <v>25500</v>
      </c>
      <c r="N41" s="216">
        <f t="shared" si="2"/>
        <v>10000</v>
      </c>
      <c r="O41" s="216">
        <f t="shared" si="3"/>
        <v>15500</v>
      </c>
      <c r="P41" s="218" t="s">
        <v>44</v>
      </c>
      <c r="Q41" s="220">
        <v>5000.0</v>
      </c>
      <c r="R41" s="220">
        <v>2900.0</v>
      </c>
      <c r="S41" s="222">
        <v>45784.0</v>
      </c>
      <c r="T41" s="212">
        <v>5000.0</v>
      </c>
      <c r="U41" s="212">
        <v>3754.0</v>
      </c>
      <c r="V41" s="212" t="s">
        <v>600</v>
      </c>
      <c r="W41" s="214"/>
      <c r="X41" s="214"/>
      <c r="Y41" s="214"/>
    </row>
    <row r="42">
      <c r="A42" s="211">
        <v>51.0</v>
      </c>
      <c r="B42" s="212" t="s">
        <v>975</v>
      </c>
      <c r="C42" s="212" t="s">
        <v>976</v>
      </c>
      <c r="D42" s="212" t="s">
        <v>899</v>
      </c>
      <c r="E42" s="213">
        <v>1606.0</v>
      </c>
      <c r="F42" s="212" t="s">
        <v>165</v>
      </c>
      <c r="G42" s="211">
        <v>9.982606281E9</v>
      </c>
      <c r="H42" s="214"/>
      <c r="I42" s="212">
        <v>17500.0</v>
      </c>
      <c r="J42" s="215">
        <v>7000.0</v>
      </c>
      <c r="K42" s="214"/>
      <c r="L42" s="214"/>
      <c r="M42" s="216">
        <f t="shared" si="1"/>
        <v>24500</v>
      </c>
      <c r="N42" s="216">
        <f t="shared" si="2"/>
        <v>0</v>
      </c>
      <c r="O42" s="216">
        <f t="shared" si="3"/>
        <v>24500</v>
      </c>
      <c r="P42" s="214"/>
      <c r="Q42" s="214"/>
      <c r="R42" s="214"/>
      <c r="S42" s="214"/>
      <c r="T42" s="214"/>
      <c r="U42" s="214"/>
      <c r="V42" s="214"/>
      <c r="W42" s="214"/>
      <c r="X42" s="214"/>
      <c r="Y42" s="214"/>
    </row>
    <row r="43">
      <c r="A43" s="211">
        <v>52.0</v>
      </c>
      <c r="B43" s="212" t="s">
        <v>977</v>
      </c>
      <c r="C43" s="212" t="s">
        <v>978</v>
      </c>
      <c r="D43" s="212" t="s">
        <v>906</v>
      </c>
      <c r="E43" s="213">
        <v>1761.0</v>
      </c>
      <c r="F43" s="212" t="s">
        <v>165</v>
      </c>
      <c r="G43" s="211">
        <v>7.742368385E9</v>
      </c>
      <c r="H43" s="214"/>
      <c r="I43" s="212">
        <v>17500.0</v>
      </c>
      <c r="J43" s="215">
        <v>7000.0</v>
      </c>
      <c r="K43" s="214"/>
      <c r="L43" s="214"/>
      <c r="M43" s="216">
        <f t="shared" si="1"/>
        <v>24500</v>
      </c>
      <c r="N43" s="216">
        <f t="shared" si="2"/>
        <v>10000</v>
      </c>
      <c r="O43" s="216">
        <f t="shared" si="3"/>
        <v>14500</v>
      </c>
      <c r="P43" s="214"/>
      <c r="Q43" s="212">
        <v>10000.0</v>
      </c>
      <c r="R43" s="212">
        <v>3677.0</v>
      </c>
      <c r="S43" s="223">
        <v>45910.0</v>
      </c>
      <c r="T43" s="214"/>
      <c r="U43" s="214"/>
      <c r="V43" s="214"/>
      <c r="W43" s="214"/>
      <c r="X43" s="214"/>
      <c r="Y43" s="214"/>
    </row>
    <row r="44">
      <c r="A44" s="211">
        <v>53.0</v>
      </c>
      <c r="B44" s="212" t="s">
        <v>979</v>
      </c>
      <c r="C44" s="212" t="s">
        <v>980</v>
      </c>
      <c r="D44" s="212" t="s">
        <v>906</v>
      </c>
      <c r="E44" s="213">
        <v>2.0220003E7</v>
      </c>
      <c r="F44" s="212" t="s">
        <v>145</v>
      </c>
      <c r="G44" s="211">
        <v>9.950387686E9</v>
      </c>
      <c r="H44" s="214"/>
      <c r="I44" s="212">
        <v>17500.0</v>
      </c>
      <c r="J44" s="215">
        <v>0.0</v>
      </c>
      <c r="K44" s="214"/>
      <c r="L44" s="214"/>
      <c r="M44" s="216">
        <f t="shared" si="1"/>
        <v>17500</v>
      </c>
      <c r="N44" s="216">
        <f t="shared" si="2"/>
        <v>0</v>
      </c>
      <c r="O44" s="216">
        <f t="shared" si="3"/>
        <v>17500</v>
      </c>
      <c r="P44" s="214"/>
      <c r="Q44" s="214"/>
      <c r="R44" s="214"/>
      <c r="S44" s="214"/>
      <c r="T44" s="214"/>
      <c r="U44" s="214"/>
      <c r="V44" s="214"/>
      <c r="W44" s="214"/>
      <c r="X44" s="214"/>
      <c r="Y44" s="214"/>
    </row>
    <row r="45">
      <c r="A45" s="211">
        <v>54.0</v>
      </c>
      <c r="B45" s="212" t="s">
        <v>981</v>
      </c>
      <c r="C45" s="212" t="s">
        <v>982</v>
      </c>
      <c r="D45" s="212" t="s">
        <v>906</v>
      </c>
      <c r="E45" s="213">
        <v>1858.0</v>
      </c>
      <c r="F45" s="212" t="s">
        <v>3</v>
      </c>
      <c r="G45" s="211">
        <v>9.929323233E9</v>
      </c>
      <c r="H45" s="212">
        <v>1000.0</v>
      </c>
      <c r="I45" s="212">
        <v>17500.0</v>
      </c>
      <c r="J45" s="215">
        <v>6500.0</v>
      </c>
      <c r="K45" s="214"/>
      <c r="L45" s="212">
        <v>1500.0</v>
      </c>
      <c r="M45" s="216">
        <f t="shared" si="1"/>
        <v>23500</v>
      </c>
      <c r="N45" s="216">
        <f t="shared" si="2"/>
        <v>7000</v>
      </c>
      <c r="O45" s="216">
        <f t="shared" si="3"/>
        <v>16500</v>
      </c>
      <c r="P45" s="214"/>
      <c r="Q45" s="212">
        <v>5000.0</v>
      </c>
      <c r="R45" s="212">
        <v>3236.0</v>
      </c>
      <c r="S45" s="212" t="s">
        <v>220</v>
      </c>
      <c r="T45" s="212">
        <v>2000.0</v>
      </c>
      <c r="U45" s="212">
        <v>3823.0</v>
      </c>
      <c r="V45" s="217">
        <v>45941.0</v>
      </c>
      <c r="W45" s="214"/>
      <c r="X45" s="214"/>
      <c r="Y45" s="214"/>
    </row>
    <row r="46">
      <c r="A46" s="211">
        <v>55.0</v>
      </c>
      <c r="B46" s="212" t="s">
        <v>983</v>
      </c>
      <c r="C46" s="212" t="s">
        <v>984</v>
      </c>
      <c r="D46" s="212" t="s">
        <v>899</v>
      </c>
      <c r="E46" s="213">
        <v>1915.0</v>
      </c>
      <c r="F46" s="218" t="s">
        <v>286</v>
      </c>
      <c r="G46" s="219">
        <v>8.209304939E9</v>
      </c>
      <c r="H46" s="219">
        <v>1000.0</v>
      </c>
      <c r="I46" s="212">
        <v>17500.0</v>
      </c>
      <c r="J46" s="220">
        <v>0.0</v>
      </c>
      <c r="K46" s="218"/>
      <c r="L46" s="219">
        <v>1500.0</v>
      </c>
      <c r="M46" s="216">
        <f t="shared" si="1"/>
        <v>17000</v>
      </c>
      <c r="N46" s="216">
        <f t="shared" si="2"/>
        <v>8000</v>
      </c>
      <c r="O46" s="216">
        <f t="shared" si="3"/>
        <v>9000</v>
      </c>
      <c r="P46" s="218" t="s">
        <v>177</v>
      </c>
      <c r="Q46" s="220">
        <v>1000.0</v>
      </c>
      <c r="R46" s="220">
        <v>2850.0</v>
      </c>
      <c r="S46" s="218" t="s">
        <v>195</v>
      </c>
      <c r="T46" s="220">
        <v>5000.0</v>
      </c>
      <c r="U46" s="220">
        <v>2928.0</v>
      </c>
      <c r="V46" s="222">
        <v>45845.0</v>
      </c>
      <c r="W46" s="224">
        <v>2000.0</v>
      </c>
      <c r="X46" s="224">
        <v>3545.0</v>
      </c>
      <c r="Y46" s="225">
        <v>45818.0</v>
      </c>
      <c r="Z46" s="228">
        <v>3500.0</v>
      </c>
      <c r="AA46" s="228">
        <v>3881.0</v>
      </c>
      <c r="AB46" s="229">
        <v>46002.0</v>
      </c>
    </row>
    <row r="47">
      <c r="A47" s="211">
        <v>56.0</v>
      </c>
      <c r="B47" s="212" t="s">
        <v>871</v>
      </c>
      <c r="C47" s="212" t="s">
        <v>985</v>
      </c>
      <c r="D47" s="212" t="s">
        <v>899</v>
      </c>
      <c r="E47" s="213">
        <v>2.0220005E7</v>
      </c>
      <c r="F47" s="214"/>
      <c r="G47" s="211"/>
      <c r="H47" s="214"/>
      <c r="I47" s="212">
        <v>17500.0</v>
      </c>
      <c r="J47" s="230"/>
      <c r="K47" s="214"/>
      <c r="L47" s="214"/>
      <c r="M47" s="216">
        <f t="shared" si="1"/>
        <v>17500</v>
      </c>
      <c r="N47" s="216">
        <f t="shared" si="2"/>
        <v>0</v>
      </c>
      <c r="O47" s="216">
        <f t="shared" si="3"/>
        <v>17500</v>
      </c>
      <c r="P47" s="214"/>
      <c r="Q47" s="214"/>
      <c r="R47" s="214"/>
      <c r="S47" s="214"/>
      <c r="T47" s="214"/>
      <c r="U47" s="214"/>
      <c r="V47" s="214"/>
      <c r="W47" s="214"/>
      <c r="X47" s="214"/>
      <c r="Y47" s="214"/>
      <c r="Z47" s="231"/>
      <c r="AA47" s="231"/>
      <c r="AB47" s="231"/>
    </row>
    <row r="48">
      <c r="A48" s="211">
        <v>57.0</v>
      </c>
      <c r="B48" s="212" t="s">
        <v>986</v>
      </c>
      <c r="C48" s="212" t="s">
        <v>473</v>
      </c>
      <c r="D48" s="212" t="s">
        <v>899</v>
      </c>
      <c r="E48" s="213">
        <v>1472.0</v>
      </c>
      <c r="F48" s="212" t="s">
        <v>244</v>
      </c>
      <c r="G48" s="211">
        <v>9.783514021E9</v>
      </c>
      <c r="H48" s="214"/>
      <c r="I48" s="212">
        <v>17500.0</v>
      </c>
      <c r="J48" s="215">
        <v>5000.0</v>
      </c>
      <c r="K48" s="214"/>
      <c r="L48" s="214"/>
      <c r="M48" s="216">
        <f t="shared" si="1"/>
        <v>22500</v>
      </c>
      <c r="N48" s="216">
        <f t="shared" si="2"/>
        <v>0</v>
      </c>
      <c r="O48" s="216">
        <f t="shared" si="3"/>
        <v>22500</v>
      </c>
      <c r="P48" s="214"/>
      <c r="Q48" s="214"/>
      <c r="R48" s="214"/>
      <c r="S48" s="214"/>
      <c r="T48" s="214"/>
      <c r="U48" s="214"/>
      <c r="V48" s="214"/>
      <c r="W48" s="214"/>
      <c r="X48" s="214"/>
      <c r="Y48" s="214"/>
    </row>
    <row r="49">
      <c r="A49" s="211">
        <v>58.0</v>
      </c>
      <c r="B49" s="212" t="s">
        <v>987</v>
      </c>
      <c r="C49" s="212" t="s">
        <v>988</v>
      </c>
      <c r="D49" s="212" t="s">
        <v>899</v>
      </c>
      <c r="E49" s="213">
        <v>1919.0</v>
      </c>
      <c r="F49" s="218" t="s">
        <v>989</v>
      </c>
      <c r="G49" s="219">
        <v>9.799983428E9</v>
      </c>
      <c r="H49" s="219">
        <v>1000.0</v>
      </c>
      <c r="I49" s="212">
        <v>17500.0</v>
      </c>
      <c r="J49" s="220">
        <v>6500.0</v>
      </c>
      <c r="K49" s="218"/>
      <c r="L49" s="219">
        <v>4000.0</v>
      </c>
      <c r="M49" s="216">
        <f t="shared" si="1"/>
        <v>21000</v>
      </c>
      <c r="N49" s="216">
        <f t="shared" si="2"/>
        <v>10000</v>
      </c>
      <c r="O49" s="216">
        <f t="shared" si="3"/>
        <v>11000</v>
      </c>
      <c r="P49" s="218" t="s">
        <v>44</v>
      </c>
      <c r="Q49" s="220">
        <v>5000.0</v>
      </c>
      <c r="R49" s="220">
        <v>3041.0</v>
      </c>
      <c r="S49" s="218" t="s">
        <v>166</v>
      </c>
      <c r="T49" s="212">
        <v>5000.0</v>
      </c>
      <c r="U49" s="212">
        <v>3860.0</v>
      </c>
      <c r="V49" s="217">
        <v>45941.0</v>
      </c>
      <c r="W49" s="214"/>
      <c r="X49" s="214"/>
      <c r="Y49" s="214"/>
    </row>
    <row r="50">
      <c r="A50" s="211">
        <v>59.0</v>
      </c>
      <c r="B50" s="212" t="s">
        <v>990</v>
      </c>
      <c r="C50" s="212" t="s">
        <v>991</v>
      </c>
      <c r="D50" s="212" t="s">
        <v>906</v>
      </c>
      <c r="E50" s="213">
        <v>1117.0</v>
      </c>
      <c r="F50" s="232" t="s">
        <v>992</v>
      </c>
      <c r="G50" s="219">
        <v>9.829450601E9</v>
      </c>
      <c r="H50" s="219">
        <v>0.0</v>
      </c>
      <c r="I50" s="212">
        <v>17500.0</v>
      </c>
      <c r="J50" s="220">
        <v>7000.0</v>
      </c>
      <c r="K50" s="218"/>
      <c r="L50" s="219">
        <v>3500.0</v>
      </c>
      <c r="M50" s="216">
        <f t="shared" si="1"/>
        <v>21000</v>
      </c>
      <c r="N50" s="216">
        <f t="shared" si="2"/>
        <v>10000</v>
      </c>
      <c r="O50" s="216">
        <f t="shared" si="3"/>
        <v>11000</v>
      </c>
      <c r="P50" s="218" t="s">
        <v>44</v>
      </c>
      <c r="Q50" s="220">
        <v>5000.0</v>
      </c>
      <c r="R50" s="220">
        <v>2877.0</v>
      </c>
      <c r="S50" s="222">
        <v>45723.0</v>
      </c>
      <c r="T50" s="212">
        <v>5000.0</v>
      </c>
      <c r="U50" s="212">
        <v>3871.0</v>
      </c>
      <c r="V50" s="217">
        <v>45972.0</v>
      </c>
      <c r="W50" s="214"/>
      <c r="X50" s="214"/>
      <c r="Y50" s="214"/>
    </row>
    <row r="51">
      <c r="A51" s="211">
        <v>60.0</v>
      </c>
      <c r="B51" s="212" t="s">
        <v>889</v>
      </c>
      <c r="C51" s="212" t="s">
        <v>993</v>
      </c>
      <c r="D51" s="212" t="s">
        <v>906</v>
      </c>
      <c r="E51" s="213">
        <v>1771.0</v>
      </c>
      <c r="F51" s="214" t="s">
        <v>3</v>
      </c>
      <c r="G51" s="233">
        <v>9.928875348E9</v>
      </c>
      <c r="H51" s="214"/>
      <c r="I51" s="212">
        <v>17500.0</v>
      </c>
      <c r="J51" s="215">
        <v>6500.0</v>
      </c>
      <c r="K51" s="214"/>
      <c r="L51" s="214"/>
      <c r="M51" s="216">
        <f t="shared" si="1"/>
        <v>24000</v>
      </c>
      <c r="N51" s="216">
        <f t="shared" si="2"/>
        <v>6000</v>
      </c>
      <c r="O51" s="216">
        <f t="shared" si="3"/>
        <v>18000</v>
      </c>
      <c r="P51" s="214"/>
      <c r="Q51" s="212">
        <v>6000.0</v>
      </c>
      <c r="R51" s="212">
        <v>3548.0</v>
      </c>
      <c r="S51" s="223">
        <v>45818.0</v>
      </c>
      <c r="T51" s="214"/>
      <c r="U51" s="214"/>
      <c r="V51" s="214"/>
      <c r="W51" s="214"/>
      <c r="X51" s="214"/>
      <c r="Y51" s="214"/>
    </row>
    <row r="52">
      <c r="A52" s="211">
        <v>61.0</v>
      </c>
      <c r="B52" s="212" t="s">
        <v>994</v>
      </c>
      <c r="C52" s="212" t="s">
        <v>995</v>
      </c>
      <c r="D52" s="212" t="s">
        <v>906</v>
      </c>
      <c r="E52" s="213">
        <v>1217.0</v>
      </c>
      <c r="F52" s="212" t="s">
        <v>165</v>
      </c>
      <c r="G52" s="211">
        <v>8.233963411E9</v>
      </c>
      <c r="H52" s="214"/>
      <c r="I52" s="212">
        <v>17500.0</v>
      </c>
      <c r="J52" s="215">
        <v>7000.0</v>
      </c>
      <c r="K52" s="214"/>
      <c r="L52" s="214"/>
      <c r="M52" s="216">
        <f t="shared" si="1"/>
        <v>24500</v>
      </c>
      <c r="N52" s="216">
        <f t="shared" si="2"/>
        <v>15000</v>
      </c>
      <c r="O52" s="216">
        <f t="shared" si="3"/>
        <v>9500</v>
      </c>
      <c r="P52" s="214"/>
      <c r="Q52" s="212">
        <v>15000.0</v>
      </c>
      <c r="R52" s="212">
        <v>3576.0</v>
      </c>
      <c r="S52" s="223">
        <v>45848.0</v>
      </c>
      <c r="T52" s="214"/>
      <c r="U52" s="214"/>
      <c r="V52" s="214"/>
      <c r="W52" s="214"/>
      <c r="X52" s="214"/>
      <c r="Y52" s="214"/>
    </row>
    <row r="53">
      <c r="A53" s="211">
        <v>62.0</v>
      </c>
      <c r="B53" s="212" t="s">
        <v>996</v>
      </c>
      <c r="C53" s="212" t="s">
        <v>997</v>
      </c>
      <c r="D53" s="212" t="s">
        <v>899</v>
      </c>
      <c r="E53" s="213">
        <v>2031.0</v>
      </c>
      <c r="F53" s="212" t="s">
        <v>126</v>
      </c>
      <c r="G53" s="212">
        <v>7.426847347E9</v>
      </c>
      <c r="H53" s="212">
        <v>1000.0</v>
      </c>
      <c r="I53" s="212">
        <v>17500.0</v>
      </c>
      <c r="J53" s="215">
        <v>5000.0</v>
      </c>
      <c r="K53" s="214"/>
      <c r="L53" s="214"/>
      <c r="M53" s="216">
        <f t="shared" si="1"/>
        <v>23500</v>
      </c>
      <c r="N53" s="216">
        <f t="shared" si="2"/>
        <v>3000</v>
      </c>
      <c r="O53" s="216">
        <f t="shared" si="3"/>
        <v>20500</v>
      </c>
      <c r="P53" s="214"/>
      <c r="Q53" s="212">
        <v>3000.0</v>
      </c>
      <c r="R53" s="212">
        <v>3713.0</v>
      </c>
      <c r="S53" s="217">
        <v>45940.0</v>
      </c>
      <c r="T53" s="214"/>
      <c r="U53" s="214"/>
      <c r="V53" s="214"/>
      <c r="W53" s="214"/>
      <c r="X53" s="214"/>
      <c r="Y53" s="214"/>
    </row>
    <row r="54">
      <c r="A54" s="211">
        <v>63.0</v>
      </c>
      <c r="B54" s="212" t="s">
        <v>998</v>
      </c>
      <c r="C54" s="212" t="s">
        <v>67</v>
      </c>
      <c r="D54" s="212" t="s">
        <v>899</v>
      </c>
      <c r="E54" s="213">
        <v>1473.0</v>
      </c>
      <c r="F54" s="212" t="s">
        <v>212</v>
      </c>
      <c r="G54" s="211">
        <v>9.928302926E9</v>
      </c>
      <c r="H54" s="214"/>
      <c r="I54" s="212">
        <v>17500.0</v>
      </c>
      <c r="J54" s="215">
        <v>6500.0</v>
      </c>
      <c r="K54" s="214"/>
      <c r="L54" s="212">
        <v>3000.0</v>
      </c>
      <c r="M54" s="216">
        <f t="shared" si="1"/>
        <v>21000</v>
      </c>
      <c r="N54" s="216">
        <f t="shared" si="2"/>
        <v>13000</v>
      </c>
      <c r="O54" s="216">
        <f t="shared" si="3"/>
        <v>8000</v>
      </c>
      <c r="P54" s="212" t="s">
        <v>44</v>
      </c>
      <c r="Q54" s="212">
        <v>13000.0</v>
      </c>
      <c r="R54" s="212">
        <v>3380.0</v>
      </c>
      <c r="S54" s="223">
        <v>45878.0</v>
      </c>
      <c r="W54" s="214"/>
      <c r="X54" s="214"/>
      <c r="Y54" s="214"/>
    </row>
    <row r="55">
      <c r="A55" s="9"/>
      <c r="E55" s="13"/>
      <c r="J55" s="121"/>
      <c r="M55" s="9"/>
      <c r="N55" s="9"/>
      <c r="O55" s="9"/>
    </row>
    <row r="56">
      <c r="A56" s="9"/>
      <c r="E56" s="13"/>
      <c r="J56" s="121"/>
      <c r="M56" s="9"/>
      <c r="N56" s="9"/>
      <c r="O56" s="9"/>
    </row>
    <row r="57">
      <c r="A57" s="9"/>
      <c r="E57" s="13"/>
      <c r="J57" s="121"/>
      <c r="M57" s="9"/>
      <c r="N57" s="9"/>
      <c r="O57" s="9"/>
    </row>
    <row r="58">
      <c r="A58" s="9"/>
      <c r="E58" s="13"/>
      <c r="J58" s="121"/>
      <c r="M58" s="9"/>
      <c r="N58" s="9"/>
      <c r="O58" s="9"/>
    </row>
    <row r="59">
      <c r="A59" s="9"/>
      <c r="E59" s="13"/>
      <c r="J59" s="121"/>
      <c r="M59" s="9"/>
      <c r="N59" s="9"/>
      <c r="O59" s="9"/>
    </row>
    <row r="60">
      <c r="A60" s="9"/>
      <c r="E60" s="13"/>
      <c r="J60" s="121"/>
      <c r="M60" s="9"/>
      <c r="N60" s="9"/>
      <c r="O60" s="9"/>
    </row>
    <row r="61">
      <c r="A61" s="9"/>
      <c r="E61" s="13"/>
      <c r="J61" s="121"/>
      <c r="M61" s="9"/>
      <c r="N61" s="9"/>
      <c r="O61" s="9"/>
    </row>
    <row r="62">
      <c r="A62" s="9"/>
      <c r="E62" s="13"/>
      <c r="J62" s="121"/>
      <c r="M62" s="9"/>
      <c r="N62" s="9"/>
      <c r="O62" s="9"/>
    </row>
    <row r="63">
      <c r="A63" s="9"/>
      <c r="E63" s="13"/>
      <c r="J63" s="121"/>
      <c r="M63" s="9"/>
      <c r="N63" s="9"/>
      <c r="O63" s="9"/>
    </row>
    <row r="64">
      <c r="A64" s="9"/>
      <c r="E64" s="13"/>
      <c r="J64" s="121"/>
      <c r="M64" s="9"/>
      <c r="N64" s="9"/>
      <c r="O64" s="9"/>
    </row>
    <row r="65">
      <c r="A65" s="9"/>
      <c r="E65" s="13"/>
      <c r="J65" s="121"/>
      <c r="M65" s="9"/>
      <c r="N65" s="9"/>
      <c r="O65" s="9"/>
    </row>
    <row r="66">
      <c r="A66" s="9"/>
      <c r="E66" s="13"/>
      <c r="J66" s="121"/>
      <c r="M66" s="9"/>
      <c r="N66" s="9"/>
      <c r="O66" s="9"/>
    </row>
    <row r="67">
      <c r="A67" s="9"/>
      <c r="E67" s="13"/>
      <c r="J67" s="121"/>
      <c r="M67" s="9"/>
      <c r="N67" s="9"/>
      <c r="O67" s="9"/>
    </row>
    <row r="68">
      <c r="A68" s="9"/>
      <c r="E68" s="13"/>
      <c r="J68" s="121"/>
      <c r="M68" s="9"/>
      <c r="N68" s="9"/>
      <c r="O68" s="9"/>
    </row>
    <row r="69">
      <c r="A69" s="9"/>
      <c r="E69" s="13"/>
      <c r="J69" s="121"/>
      <c r="M69" s="9"/>
      <c r="N69" s="9"/>
      <c r="O69" s="9"/>
    </row>
    <row r="70">
      <c r="A70" s="9"/>
      <c r="E70" s="13"/>
      <c r="J70" s="121"/>
      <c r="M70" s="9"/>
      <c r="N70" s="9"/>
      <c r="O70" s="9"/>
    </row>
    <row r="71">
      <c r="A71" s="9"/>
      <c r="E71" s="13"/>
      <c r="J71" s="121"/>
      <c r="M71" s="9"/>
      <c r="N71" s="9"/>
      <c r="O71" s="9"/>
    </row>
    <row r="72">
      <c r="A72" s="9"/>
      <c r="E72" s="13"/>
      <c r="J72" s="121"/>
      <c r="M72" s="9"/>
      <c r="N72" s="9"/>
      <c r="O72" s="9"/>
    </row>
    <row r="73">
      <c r="A73" s="9"/>
      <c r="E73" s="13"/>
      <c r="J73" s="121"/>
      <c r="M73" s="9"/>
      <c r="N73" s="9"/>
      <c r="O73" s="9"/>
    </row>
    <row r="74">
      <c r="A74" s="9"/>
      <c r="E74" s="13"/>
      <c r="J74" s="121"/>
      <c r="M74" s="9"/>
      <c r="N74" s="9"/>
      <c r="O74" s="9"/>
    </row>
    <row r="75">
      <c r="A75" s="9"/>
      <c r="E75" s="13"/>
      <c r="J75" s="121"/>
      <c r="M75" s="9"/>
      <c r="N75" s="9"/>
      <c r="O75" s="9"/>
    </row>
    <row r="76">
      <c r="A76" s="9"/>
      <c r="E76" s="13"/>
      <c r="J76" s="121"/>
      <c r="M76" s="9"/>
      <c r="N76" s="9"/>
      <c r="O76" s="9"/>
    </row>
    <row r="77">
      <c r="A77" s="9"/>
      <c r="E77" s="13"/>
      <c r="J77" s="121"/>
      <c r="M77" s="9"/>
      <c r="N77" s="9"/>
      <c r="O77" s="9"/>
    </row>
    <row r="78">
      <c r="A78" s="9"/>
      <c r="E78" s="13"/>
      <c r="J78" s="121"/>
      <c r="M78" s="9"/>
      <c r="N78" s="9"/>
      <c r="O78" s="9"/>
    </row>
    <row r="79">
      <c r="A79" s="9"/>
      <c r="E79" s="13"/>
      <c r="J79" s="121"/>
      <c r="M79" s="9"/>
      <c r="N79" s="9"/>
      <c r="O79" s="9"/>
    </row>
    <row r="80">
      <c r="A80" s="9"/>
      <c r="E80" s="13"/>
      <c r="J80" s="121"/>
      <c r="M80" s="9"/>
      <c r="N80" s="9"/>
      <c r="O80" s="9"/>
    </row>
    <row r="81">
      <c r="A81" s="9"/>
      <c r="E81" s="13"/>
      <c r="J81" s="121"/>
      <c r="M81" s="9"/>
      <c r="N81" s="9"/>
      <c r="O81" s="9"/>
    </row>
    <row r="82">
      <c r="A82" s="9"/>
      <c r="E82" s="13"/>
      <c r="J82" s="121"/>
      <c r="M82" s="9"/>
      <c r="N82" s="9"/>
      <c r="O82" s="9"/>
    </row>
    <row r="83">
      <c r="A83" s="9"/>
      <c r="E83" s="13"/>
      <c r="J83" s="121"/>
      <c r="M83" s="9"/>
      <c r="N83" s="9"/>
      <c r="O83" s="9"/>
    </row>
    <row r="84">
      <c r="A84" s="9"/>
      <c r="E84" s="13"/>
      <c r="J84" s="121"/>
      <c r="M84" s="9"/>
      <c r="N84" s="9"/>
      <c r="O84" s="9"/>
    </row>
    <row r="85">
      <c r="A85" s="9"/>
      <c r="E85" s="13"/>
      <c r="J85" s="121"/>
      <c r="M85" s="9"/>
      <c r="N85" s="9"/>
      <c r="O85" s="9"/>
    </row>
    <row r="86">
      <c r="A86" s="9"/>
      <c r="E86" s="13"/>
      <c r="J86" s="121"/>
      <c r="M86" s="9"/>
      <c r="N86" s="9"/>
      <c r="O86" s="9"/>
    </row>
    <row r="87">
      <c r="A87" s="9"/>
      <c r="E87" s="13"/>
      <c r="J87" s="121"/>
      <c r="M87" s="9"/>
      <c r="N87" s="9"/>
      <c r="O87" s="9"/>
    </row>
    <row r="88">
      <c r="A88" s="9"/>
      <c r="E88" s="13"/>
      <c r="J88" s="121"/>
      <c r="M88" s="9"/>
      <c r="N88" s="9"/>
      <c r="O88" s="9"/>
    </row>
    <row r="89">
      <c r="A89" s="9"/>
      <c r="E89" s="13"/>
      <c r="J89" s="121"/>
      <c r="M89" s="9"/>
      <c r="N89" s="9"/>
      <c r="O89" s="9"/>
    </row>
    <row r="90">
      <c r="A90" s="9"/>
      <c r="E90" s="13"/>
      <c r="J90" s="121"/>
      <c r="M90" s="9"/>
      <c r="N90" s="9"/>
      <c r="O90" s="9"/>
    </row>
    <row r="91">
      <c r="A91" s="9"/>
      <c r="E91" s="13"/>
      <c r="J91" s="121"/>
      <c r="M91" s="9"/>
      <c r="N91" s="9"/>
      <c r="O91" s="9"/>
    </row>
    <row r="92">
      <c r="A92" s="9"/>
      <c r="E92" s="13"/>
      <c r="J92" s="121"/>
      <c r="M92" s="9"/>
      <c r="N92" s="9"/>
      <c r="O92" s="9"/>
    </row>
    <row r="93">
      <c r="A93" s="9"/>
      <c r="E93" s="13"/>
      <c r="J93" s="121"/>
      <c r="M93" s="9"/>
      <c r="N93" s="9"/>
      <c r="O93" s="9"/>
    </row>
    <row r="94">
      <c r="A94" s="9"/>
      <c r="E94" s="13"/>
      <c r="J94" s="121"/>
      <c r="M94" s="9"/>
      <c r="N94" s="9"/>
      <c r="O94" s="9"/>
    </row>
    <row r="95">
      <c r="A95" s="9"/>
      <c r="E95" s="13"/>
      <c r="J95" s="121"/>
      <c r="M95" s="9"/>
      <c r="N95" s="9"/>
      <c r="O95" s="9"/>
    </row>
    <row r="96">
      <c r="A96" s="9"/>
      <c r="E96" s="13"/>
      <c r="J96" s="121"/>
      <c r="M96" s="9"/>
      <c r="N96" s="9"/>
      <c r="O96" s="9"/>
    </row>
    <row r="97">
      <c r="A97" s="9"/>
      <c r="E97" s="13"/>
      <c r="J97" s="121"/>
      <c r="M97" s="9"/>
      <c r="N97" s="9"/>
      <c r="O97" s="9"/>
    </row>
    <row r="98">
      <c r="A98" s="9"/>
      <c r="E98" s="13"/>
      <c r="J98" s="121"/>
      <c r="M98" s="9"/>
      <c r="N98" s="9"/>
      <c r="O98" s="9"/>
    </row>
    <row r="99">
      <c r="A99" s="9"/>
      <c r="E99" s="13"/>
      <c r="J99" s="121"/>
      <c r="M99" s="9"/>
      <c r="N99" s="9"/>
      <c r="O99" s="9"/>
    </row>
    <row r="100">
      <c r="A100" s="9"/>
      <c r="E100" s="13"/>
      <c r="J100" s="121"/>
      <c r="M100" s="9"/>
      <c r="N100" s="9"/>
      <c r="O100" s="9"/>
    </row>
    <row r="101">
      <c r="A101" s="9"/>
      <c r="E101" s="13"/>
      <c r="J101" s="121"/>
      <c r="M101" s="9"/>
      <c r="N101" s="9"/>
      <c r="O101" s="9"/>
    </row>
    <row r="102">
      <c r="A102" s="9"/>
      <c r="E102" s="13"/>
      <c r="J102" s="121"/>
      <c r="M102" s="9"/>
      <c r="N102" s="9"/>
      <c r="O102" s="9"/>
    </row>
    <row r="103">
      <c r="A103" s="9"/>
      <c r="E103" s="13"/>
      <c r="J103" s="121"/>
      <c r="M103" s="9"/>
      <c r="N103" s="9"/>
      <c r="O103" s="9"/>
    </row>
    <row r="104">
      <c r="A104" s="9"/>
      <c r="E104" s="13"/>
      <c r="J104" s="121"/>
      <c r="M104" s="9"/>
      <c r="N104" s="9"/>
      <c r="O104" s="9"/>
    </row>
    <row r="105">
      <c r="A105" s="9"/>
      <c r="E105" s="13"/>
      <c r="J105" s="121"/>
      <c r="M105" s="9"/>
      <c r="N105" s="9"/>
      <c r="O105" s="9"/>
    </row>
    <row r="106">
      <c r="A106" s="9"/>
      <c r="E106" s="13"/>
      <c r="J106" s="121"/>
      <c r="M106" s="9"/>
      <c r="N106" s="9"/>
      <c r="O106" s="9"/>
    </row>
    <row r="107">
      <c r="A107" s="9"/>
      <c r="E107" s="13"/>
      <c r="J107" s="121"/>
      <c r="M107" s="9"/>
      <c r="N107" s="9"/>
      <c r="O107" s="9"/>
    </row>
    <row r="108">
      <c r="A108" s="9"/>
      <c r="E108" s="13"/>
      <c r="J108" s="121"/>
      <c r="M108" s="9"/>
      <c r="N108" s="9"/>
      <c r="O108" s="9"/>
    </row>
    <row r="109">
      <c r="A109" s="9"/>
      <c r="E109" s="13"/>
      <c r="J109" s="121"/>
      <c r="M109" s="9"/>
      <c r="N109" s="9"/>
      <c r="O109" s="9"/>
    </row>
    <row r="110">
      <c r="A110" s="9"/>
      <c r="E110" s="13"/>
      <c r="J110" s="121"/>
      <c r="M110" s="9"/>
      <c r="N110" s="9"/>
      <c r="O110" s="9"/>
    </row>
    <row r="111">
      <c r="A111" s="9"/>
      <c r="E111" s="13"/>
      <c r="J111" s="121"/>
      <c r="M111" s="9"/>
      <c r="N111" s="9"/>
      <c r="O111" s="9"/>
    </row>
    <row r="112">
      <c r="A112" s="9"/>
      <c r="E112" s="13"/>
      <c r="J112" s="121"/>
      <c r="M112" s="9"/>
      <c r="N112" s="9"/>
      <c r="O112" s="9"/>
    </row>
    <row r="113">
      <c r="A113" s="9"/>
      <c r="E113" s="13"/>
      <c r="J113" s="121"/>
      <c r="M113" s="9"/>
      <c r="N113" s="9"/>
      <c r="O113" s="9"/>
    </row>
    <row r="114">
      <c r="A114" s="9"/>
      <c r="E114" s="13"/>
      <c r="J114" s="121"/>
      <c r="M114" s="9"/>
      <c r="N114" s="9"/>
      <c r="O114" s="9"/>
    </row>
    <row r="115">
      <c r="A115" s="9"/>
      <c r="E115" s="13"/>
      <c r="J115" s="121"/>
      <c r="M115" s="9"/>
      <c r="N115" s="9"/>
      <c r="O115" s="9"/>
    </row>
    <row r="116">
      <c r="A116" s="9"/>
      <c r="E116" s="13"/>
      <c r="J116" s="121"/>
      <c r="M116" s="9"/>
      <c r="N116" s="9"/>
      <c r="O116" s="9"/>
    </row>
    <row r="117">
      <c r="A117" s="9"/>
      <c r="E117" s="13"/>
      <c r="J117" s="121"/>
      <c r="M117" s="9"/>
      <c r="N117" s="9"/>
      <c r="O117" s="9"/>
    </row>
    <row r="118">
      <c r="A118" s="9"/>
      <c r="E118" s="13"/>
      <c r="J118" s="121"/>
      <c r="M118" s="9"/>
      <c r="N118" s="9"/>
      <c r="O118" s="9"/>
    </row>
    <row r="119">
      <c r="A119" s="9"/>
      <c r="E119" s="13"/>
      <c r="J119" s="121"/>
      <c r="M119" s="9"/>
      <c r="N119" s="9"/>
      <c r="O119" s="9"/>
    </row>
    <row r="120">
      <c r="A120" s="9"/>
      <c r="E120" s="13"/>
      <c r="J120" s="121"/>
      <c r="M120" s="9"/>
      <c r="N120" s="9"/>
      <c r="O120" s="9"/>
    </row>
    <row r="121">
      <c r="A121" s="9"/>
      <c r="E121" s="13"/>
      <c r="J121" s="121"/>
      <c r="M121" s="9"/>
      <c r="N121" s="9"/>
      <c r="O121" s="9"/>
    </row>
    <row r="122">
      <c r="A122" s="9"/>
      <c r="E122" s="13"/>
      <c r="J122" s="121"/>
      <c r="M122" s="9"/>
      <c r="N122" s="9"/>
      <c r="O122" s="9"/>
    </row>
    <row r="123">
      <c r="A123" s="9"/>
      <c r="E123" s="13"/>
      <c r="J123" s="121"/>
      <c r="M123" s="9"/>
      <c r="N123" s="9"/>
      <c r="O123" s="9"/>
    </row>
    <row r="124">
      <c r="A124" s="9"/>
      <c r="E124" s="13"/>
      <c r="J124" s="121"/>
      <c r="M124" s="9"/>
      <c r="N124" s="9"/>
      <c r="O124" s="9"/>
    </row>
    <row r="125">
      <c r="A125" s="9"/>
      <c r="E125" s="13"/>
      <c r="J125" s="121"/>
      <c r="M125" s="9"/>
      <c r="N125" s="9"/>
      <c r="O125" s="9"/>
    </row>
    <row r="126">
      <c r="A126" s="9"/>
      <c r="E126" s="13"/>
      <c r="J126" s="121"/>
      <c r="M126" s="9"/>
      <c r="N126" s="9"/>
      <c r="O126" s="9"/>
    </row>
    <row r="127">
      <c r="A127" s="9"/>
      <c r="E127" s="13"/>
      <c r="J127" s="121"/>
      <c r="M127" s="9"/>
      <c r="N127" s="9"/>
      <c r="O127" s="9"/>
    </row>
    <row r="128">
      <c r="A128" s="9"/>
      <c r="E128" s="13"/>
      <c r="J128" s="121"/>
      <c r="M128" s="9"/>
      <c r="N128" s="9"/>
      <c r="O128" s="9"/>
    </row>
    <row r="129">
      <c r="A129" s="9"/>
      <c r="E129" s="13"/>
      <c r="J129" s="121"/>
      <c r="M129" s="9"/>
      <c r="N129" s="9"/>
      <c r="O129" s="9"/>
    </row>
    <row r="130">
      <c r="A130" s="9"/>
      <c r="E130" s="13"/>
      <c r="J130" s="121"/>
      <c r="M130" s="9"/>
      <c r="N130" s="9"/>
      <c r="O130" s="9"/>
    </row>
    <row r="131">
      <c r="A131" s="9"/>
      <c r="E131" s="13"/>
      <c r="J131" s="121"/>
      <c r="M131" s="9"/>
      <c r="N131" s="9"/>
      <c r="O131" s="9"/>
    </row>
    <row r="132">
      <c r="A132" s="9"/>
      <c r="E132" s="13"/>
      <c r="J132" s="121"/>
      <c r="M132" s="9"/>
      <c r="N132" s="9"/>
      <c r="O132" s="9"/>
    </row>
    <row r="133">
      <c r="A133" s="9"/>
      <c r="E133" s="13"/>
      <c r="J133" s="121"/>
      <c r="M133" s="9"/>
      <c r="N133" s="9"/>
      <c r="O133" s="9"/>
    </row>
    <row r="134">
      <c r="A134" s="9"/>
      <c r="E134" s="13"/>
      <c r="J134" s="121"/>
      <c r="M134" s="9"/>
      <c r="N134" s="9"/>
      <c r="O134" s="9"/>
    </row>
    <row r="135">
      <c r="A135" s="9"/>
      <c r="E135" s="13"/>
      <c r="J135" s="121"/>
      <c r="M135" s="9"/>
      <c r="N135" s="9"/>
      <c r="O135" s="9"/>
    </row>
    <row r="136">
      <c r="A136" s="9"/>
      <c r="E136" s="13"/>
      <c r="J136" s="121"/>
      <c r="M136" s="9"/>
      <c r="N136" s="9"/>
      <c r="O136" s="9"/>
    </row>
    <row r="137">
      <c r="A137" s="9"/>
      <c r="E137" s="13"/>
      <c r="J137" s="121"/>
      <c r="M137" s="9"/>
      <c r="N137" s="9"/>
      <c r="O137" s="9"/>
    </row>
    <row r="138">
      <c r="A138" s="9"/>
      <c r="E138" s="13"/>
      <c r="J138" s="121"/>
      <c r="M138" s="9"/>
      <c r="N138" s="9"/>
      <c r="O138" s="9"/>
    </row>
    <row r="139">
      <c r="A139" s="9"/>
      <c r="E139" s="13"/>
      <c r="J139" s="121"/>
      <c r="M139" s="9"/>
      <c r="N139" s="9"/>
      <c r="O139" s="9"/>
    </row>
    <row r="140">
      <c r="A140" s="9"/>
      <c r="E140" s="13"/>
      <c r="J140" s="121"/>
      <c r="M140" s="9"/>
      <c r="N140" s="9"/>
      <c r="O140" s="9"/>
    </row>
    <row r="141">
      <c r="A141" s="9"/>
      <c r="E141" s="13"/>
      <c r="J141" s="121"/>
      <c r="M141" s="9"/>
      <c r="N141" s="9"/>
      <c r="O141" s="9"/>
    </row>
    <row r="142">
      <c r="A142" s="9"/>
      <c r="E142" s="13"/>
      <c r="J142" s="121"/>
      <c r="M142" s="9"/>
      <c r="N142" s="9"/>
      <c r="O142" s="9"/>
    </row>
    <row r="143">
      <c r="A143" s="9"/>
      <c r="E143" s="13"/>
      <c r="J143" s="121"/>
      <c r="M143" s="9"/>
      <c r="N143" s="9"/>
      <c r="O143" s="9"/>
    </row>
    <row r="144">
      <c r="A144" s="9"/>
      <c r="E144" s="13"/>
      <c r="J144" s="121"/>
      <c r="M144" s="9"/>
      <c r="N144" s="9"/>
      <c r="O144" s="9"/>
    </row>
    <row r="145">
      <c r="A145" s="9"/>
      <c r="E145" s="13"/>
      <c r="J145" s="121"/>
      <c r="M145" s="9"/>
      <c r="N145" s="9"/>
      <c r="O145" s="9"/>
    </row>
    <row r="146">
      <c r="A146" s="9"/>
      <c r="E146" s="13"/>
      <c r="J146" s="121"/>
      <c r="M146" s="9"/>
      <c r="N146" s="9"/>
      <c r="O146" s="9"/>
    </row>
    <row r="147">
      <c r="A147" s="9"/>
      <c r="E147" s="13"/>
      <c r="J147" s="121"/>
      <c r="M147" s="9"/>
      <c r="N147" s="9"/>
      <c r="O147" s="9"/>
    </row>
    <row r="148">
      <c r="A148" s="9"/>
      <c r="E148" s="13"/>
      <c r="J148" s="121"/>
      <c r="M148" s="9"/>
      <c r="N148" s="9"/>
      <c r="O148" s="9"/>
    </row>
    <row r="149">
      <c r="A149" s="9"/>
      <c r="E149" s="13"/>
      <c r="J149" s="121"/>
      <c r="M149" s="9"/>
      <c r="N149" s="9"/>
      <c r="O149" s="9"/>
    </row>
    <row r="150">
      <c r="A150" s="9"/>
      <c r="E150" s="13"/>
      <c r="J150" s="121"/>
      <c r="M150" s="9"/>
      <c r="N150" s="9"/>
      <c r="O150" s="9"/>
    </row>
    <row r="151">
      <c r="A151" s="9"/>
      <c r="E151" s="13"/>
      <c r="J151" s="121"/>
      <c r="M151" s="9"/>
      <c r="N151" s="9"/>
      <c r="O151" s="9"/>
    </row>
    <row r="152">
      <c r="A152" s="9"/>
      <c r="E152" s="13"/>
      <c r="J152" s="121"/>
      <c r="M152" s="9"/>
      <c r="N152" s="9"/>
      <c r="O152" s="9"/>
    </row>
    <row r="153">
      <c r="A153" s="9"/>
      <c r="E153" s="13"/>
      <c r="J153" s="121"/>
      <c r="M153" s="9"/>
      <c r="N153" s="9"/>
      <c r="O153" s="9"/>
    </row>
    <row r="154">
      <c r="A154" s="9"/>
      <c r="E154" s="13"/>
      <c r="J154" s="121"/>
      <c r="M154" s="9"/>
      <c r="N154" s="9"/>
      <c r="O154" s="9"/>
    </row>
    <row r="155">
      <c r="A155" s="9"/>
      <c r="E155" s="13"/>
      <c r="J155" s="121"/>
      <c r="M155" s="9"/>
      <c r="N155" s="9"/>
      <c r="O155" s="9"/>
    </row>
    <row r="156">
      <c r="A156" s="9"/>
      <c r="E156" s="13"/>
      <c r="J156" s="121"/>
      <c r="M156" s="9"/>
      <c r="N156" s="9"/>
      <c r="O156" s="9"/>
    </row>
    <row r="157">
      <c r="A157" s="9"/>
      <c r="E157" s="13"/>
      <c r="J157" s="121"/>
      <c r="M157" s="9"/>
      <c r="N157" s="9"/>
      <c r="O157" s="9"/>
    </row>
    <row r="158">
      <c r="A158" s="9"/>
      <c r="E158" s="13"/>
      <c r="J158" s="121"/>
      <c r="M158" s="9"/>
      <c r="N158" s="9"/>
      <c r="O158" s="9"/>
    </row>
    <row r="159">
      <c r="A159" s="9"/>
      <c r="E159" s="13"/>
      <c r="J159" s="121"/>
      <c r="M159" s="9"/>
      <c r="N159" s="9"/>
      <c r="O159" s="9"/>
    </row>
    <row r="160">
      <c r="A160" s="9"/>
      <c r="E160" s="13"/>
      <c r="J160" s="121"/>
      <c r="M160" s="9"/>
      <c r="N160" s="9"/>
      <c r="O160" s="9"/>
    </row>
    <row r="161">
      <c r="A161" s="9"/>
      <c r="E161" s="13"/>
      <c r="J161" s="121"/>
      <c r="M161" s="9"/>
      <c r="N161" s="9"/>
      <c r="O161" s="9"/>
    </row>
    <row r="162">
      <c r="A162" s="9"/>
      <c r="E162" s="13"/>
      <c r="J162" s="121"/>
      <c r="M162" s="9"/>
      <c r="N162" s="9"/>
      <c r="O162" s="9"/>
    </row>
    <row r="163">
      <c r="A163" s="9"/>
      <c r="E163" s="13"/>
      <c r="J163" s="121"/>
      <c r="M163" s="9"/>
      <c r="N163" s="9"/>
      <c r="O163" s="9"/>
    </row>
    <row r="164">
      <c r="A164" s="9"/>
      <c r="E164" s="13"/>
      <c r="J164" s="121"/>
      <c r="M164" s="9"/>
      <c r="N164" s="9"/>
      <c r="O164" s="9"/>
    </row>
    <row r="165">
      <c r="A165" s="9"/>
      <c r="E165" s="13"/>
      <c r="J165" s="121"/>
      <c r="M165" s="9"/>
      <c r="N165" s="9"/>
      <c r="O165" s="9"/>
    </row>
    <row r="166">
      <c r="A166" s="9"/>
      <c r="E166" s="13"/>
      <c r="J166" s="121"/>
      <c r="M166" s="9"/>
      <c r="N166" s="9"/>
      <c r="O166" s="9"/>
    </row>
    <row r="167">
      <c r="A167" s="9"/>
      <c r="E167" s="13"/>
      <c r="J167" s="121"/>
      <c r="M167" s="9"/>
      <c r="N167" s="9"/>
      <c r="O167" s="9"/>
    </row>
    <row r="168">
      <c r="A168" s="9"/>
      <c r="E168" s="13"/>
      <c r="J168" s="121"/>
      <c r="M168" s="9"/>
      <c r="N168" s="9"/>
      <c r="O168" s="9"/>
    </row>
    <row r="169">
      <c r="A169" s="9"/>
      <c r="E169" s="13"/>
      <c r="J169" s="121"/>
      <c r="M169" s="9"/>
      <c r="N169" s="9"/>
      <c r="O169" s="9"/>
    </row>
    <row r="170">
      <c r="A170" s="9"/>
      <c r="E170" s="13"/>
      <c r="J170" s="121"/>
      <c r="M170" s="9"/>
      <c r="N170" s="9"/>
      <c r="O170" s="9"/>
    </row>
    <row r="171">
      <c r="A171" s="9"/>
      <c r="E171" s="13"/>
      <c r="J171" s="121"/>
      <c r="M171" s="9"/>
      <c r="N171" s="9"/>
      <c r="O171" s="9"/>
    </row>
    <row r="172">
      <c r="A172" s="9"/>
      <c r="E172" s="13"/>
      <c r="J172" s="121"/>
      <c r="M172" s="9"/>
      <c r="N172" s="9"/>
      <c r="O172" s="9"/>
    </row>
    <row r="173">
      <c r="A173" s="9"/>
      <c r="E173" s="13"/>
      <c r="J173" s="121"/>
      <c r="M173" s="9"/>
      <c r="N173" s="9"/>
      <c r="O173" s="9"/>
    </row>
    <row r="174">
      <c r="A174" s="9"/>
      <c r="E174" s="13"/>
      <c r="J174" s="121"/>
      <c r="M174" s="9"/>
      <c r="N174" s="9"/>
      <c r="O174" s="9"/>
    </row>
    <row r="175">
      <c r="A175" s="9"/>
      <c r="E175" s="13"/>
      <c r="J175" s="121"/>
      <c r="M175" s="9"/>
      <c r="N175" s="9"/>
      <c r="O175" s="9"/>
    </row>
    <row r="176">
      <c r="A176" s="9"/>
      <c r="E176" s="13"/>
      <c r="J176" s="121"/>
      <c r="M176" s="9"/>
      <c r="N176" s="9"/>
      <c r="O176" s="9"/>
    </row>
    <row r="177">
      <c r="A177" s="9"/>
      <c r="E177" s="13"/>
      <c r="J177" s="121"/>
      <c r="M177" s="9"/>
      <c r="N177" s="9"/>
      <c r="O177" s="9"/>
    </row>
    <row r="178">
      <c r="A178" s="9"/>
      <c r="E178" s="13"/>
      <c r="J178" s="121"/>
      <c r="M178" s="9"/>
      <c r="N178" s="9"/>
      <c r="O178" s="9"/>
    </row>
    <row r="179">
      <c r="A179" s="9"/>
      <c r="E179" s="13"/>
      <c r="J179" s="121"/>
      <c r="M179" s="9"/>
      <c r="N179" s="9"/>
      <c r="O179" s="9"/>
    </row>
    <row r="180">
      <c r="A180" s="9"/>
      <c r="E180" s="13"/>
      <c r="J180" s="121"/>
      <c r="M180" s="9"/>
      <c r="N180" s="9"/>
      <c r="O180" s="9"/>
    </row>
    <row r="181">
      <c r="A181" s="9"/>
      <c r="E181" s="13"/>
      <c r="J181" s="121"/>
      <c r="M181" s="9"/>
      <c r="N181" s="9"/>
      <c r="O181" s="9"/>
    </row>
    <row r="182">
      <c r="A182" s="9"/>
      <c r="E182" s="13"/>
      <c r="J182" s="121"/>
      <c r="M182" s="9"/>
      <c r="N182" s="9"/>
      <c r="O182" s="9"/>
    </row>
    <row r="183">
      <c r="A183" s="9"/>
      <c r="E183" s="13"/>
      <c r="J183" s="121"/>
      <c r="M183" s="9"/>
      <c r="N183" s="9"/>
      <c r="O183" s="9"/>
    </row>
    <row r="184">
      <c r="A184" s="9"/>
      <c r="E184" s="13"/>
      <c r="J184" s="121"/>
      <c r="M184" s="9"/>
      <c r="N184" s="9"/>
      <c r="O184" s="9"/>
    </row>
    <row r="185">
      <c r="A185" s="9"/>
      <c r="E185" s="13"/>
      <c r="J185" s="121"/>
      <c r="M185" s="9"/>
      <c r="N185" s="9"/>
      <c r="O185" s="9"/>
    </row>
    <row r="186">
      <c r="A186" s="9"/>
      <c r="E186" s="13"/>
      <c r="J186" s="121"/>
      <c r="M186" s="9"/>
      <c r="N186" s="9"/>
      <c r="O186" s="9"/>
    </row>
    <row r="187">
      <c r="A187" s="9"/>
      <c r="E187" s="13"/>
      <c r="J187" s="121"/>
      <c r="M187" s="9"/>
      <c r="N187" s="9"/>
      <c r="O187" s="9"/>
    </row>
    <row r="188">
      <c r="A188" s="9"/>
      <c r="E188" s="13"/>
      <c r="J188" s="121"/>
      <c r="M188" s="9"/>
      <c r="N188" s="9"/>
      <c r="O188" s="9"/>
    </row>
    <row r="189">
      <c r="A189" s="9"/>
      <c r="E189" s="13"/>
      <c r="J189" s="121"/>
      <c r="M189" s="9"/>
      <c r="N189" s="9"/>
      <c r="O189" s="9"/>
    </row>
    <row r="190">
      <c r="A190" s="9"/>
      <c r="E190" s="13"/>
      <c r="J190" s="121"/>
      <c r="M190" s="9"/>
      <c r="N190" s="9"/>
      <c r="O190" s="9"/>
    </row>
    <row r="191">
      <c r="A191" s="9"/>
      <c r="E191" s="13"/>
      <c r="J191" s="121"/>
      <c r="M191" s="9"/>
      <c r="N191" s="9"/>
      <c r="O191" s="9"/>
    </row>
    <row r="192">
      <c r="A192" s="9"/>
      <c r="E192" s="13"/>
      <c r="J192" s="121"/>
      <c r="M192" s="9"/>
      <c r="N192" s="9"/>
      <c r="O192" s="9"/>
    </row>
    <row r="193">
      <c r="A193" s="9"/>
      <c r="E193" s="13"/>
      <c r="J193" s="121"/>
      <c r="M193" s="9"/>
      <c r="N193" s="9"/>
      <c r="O193" s="9"/>
    </row>
    <row r="194">
      <c r="A194" s="9"/>
      <c r="E194" s="13"/>
      <c r="J194" s="121"/>
      <c r="M194" s="9"/>
      <c r="N194" s="9"/>
      <c r="O194" s="9"/>
    </row>
    <row r="195">
      <c r="A195" s="9"/>
      <c r="E195" s="13"/>
      <c r="J195" s="121"/>
      <c r="M195" s="9"/>
      <c r="N195" s="9"/>
      <c r="O195" s="9"/>
    </row>
    <row r="196">
      <c r="A196" s="9"/>
      <c r="E196" s="13"/>
      <c r="J196" s="121"/>
      <c r="M196" s="9"/>
      <c r="N196" s="9"/>
      <c r="O196" s="9"/>
    </row>
    <row r="197">
      <c r="A197" s="9"/>
      <c r="E197" s="13"/>
      <c r="J197" s="121"/>
      <c r="M197" s="9"/>
      <c r="N197" s="9"/>
      <c r="O197" s="9"/>
    </row>
    <row r="198">
      <c r="A198" s="9"/>
      <c r="E198" s="13"/>
      <c r="J198" s="121"/>
      <c r="M198" s="9"/>
      <c r="N198" s="9"/>
      <c r="O198" s="9"/>
    </row>
    <row r="199">
      <c r="A199" s="9"/>
      <c r="E199" s="13"/>
      <c r="J199" s="121"/>
      <c r="M199" s="9"/>
      <c r="N199" s="9"/>
      <c r="O199" s="9"/>
    </row>
    <row r="200">
      <c r="A200" s="9"/>
      <c r="E200" s="13"/>
      <c r="J200" s="121"/>
      <c r="M200" s="9"/>
      <c r="N200" s="9"/>
      <c r="O200" s="9"/>
    </row>
    <row r="201">
      <c r="A201" s="9"/>
      <c r="E201" s="13"/>
      <c r="J201" s="121"/>
      <c r="M201" s="9"/>
      <c r="N201" s="9"/>
      <c r="O201" s="9"/>
    </row>
    <row r="202">
      <c r="A202" s="9"/>
      <c r="E202" s="13"/>
      <c r="J202" s="121"/>
      <c r="M202" s="9"/>
      <c r="N202" s="9"/>
      <c r="O202" s="9"/>
    </row>
    <row r="203">
      <c r="A203" s="9"/>
      <c r="E203" s="13"/>
      <c r="J203" s="121"/>
      <c r="M203" s="9"/>
      <c r="N203" s="9"/>
      <c r="O203" s="9"/>
    </row>
    <row r="204">
      <c r="A204" s="9"/>
      <c r="E204" s="13"/>
      <c r="J204" s="121"/>
      <c r="M204" s="9"/>
      <c r="N204" s="9"/>
      <c r="O204" s="9"/>
    </row>
    <row r="205">
      <c r="A205" s="9"/>
      <c r="E205" s="13"/>
      <c r="J205" s="121"/>
      <c r="M205" s="9"/>
      <c r="N205" s="9"/>
      <c r="O205" s="9"/>
    </row>
    <row r="206">
      <c r="A206" s="9"/>
      <c r="E206" s="13"/>
      <c r="J206" s="121"/>
      <c r="M206" s="9"/>
      <c r="N206" s="9"/>
      <c r="O206" s="9"/>
    </row>
    <row r="207">
      <c r="A207" s="9"/>
      <c r="E207" s="13"/>
      <c r="J207" s="121"/>
      <c r="M207" s="9"/>
      <c r="N207" s="9"/>
      <c r="O207" s="9"/>
    </row>
    <row r="208">
      <c r="A208" s="9"/>
      <c r="E208" s="13"/>
      <c r="J208" s="121"/>
      <c r="M208" s="9"/>
      <c r="N208" s="9"/>
      <c r="O208" s="9"/>
    </row>
    <row r="209">
      <c r="A209" s="9"/>
      <c r="E209" s="13"/>
      <c r="J209" s="121"/>
      <c r="M209" s="9"/>
      <c r="N209" s="9"/>
      <c r="O209" s="9"/>
    </row>
    <row r="210">
      <c r="A210" s="9"/>
      <c r="E210" s="13"/>
      <c r="J210" s="121"/>
      <c r="M210" s="9"/>
      <c r="N210" s="9"/>
      <c r="O210" s="9"/>
    </row>
    <row r="211">
      <c r="A211" s="9"/>
      <c r="E211" s="13"/>
      <c r="J211" s="121"/>
      <c r="M211" s="9"/>
      <c r="N211" s="9"/>
      <c r="O211" s="9"/>
    </row>
    <row r="212">
      <c r="A212" s="9"/>
      <c r="E212" s="13"/>
      <c r="J212" s="121"/>
      <c r="M212" s="9"/>
      <c r="N212" s="9"/>
      <c r="O212" s="9"/>
    </row>
    <row r="213">
      <c r="A213" s="9"/>
      <c r="E213" s="13"/>
      <c r="J213" s="121"/>
      <c r="M213" s="9"/>
      <c r="N213" s="9"/>
      <c r="O213" s="9"/>
    </row>
    <row r="214">
      <c r="A214" s="9"/>
      <c r="E214" s="13"/>
      <c r="J214" s="121"/>
      <c r="M214" s="9"/>
      <c r="N214" s="9"/>
      <c r="O214" s="9"/>
    </row>
    <row r="215">
      <c r="A215" s="9"/>
      <c r="E215" s="13"/>
      <c r="J215" s="121"/>
      <c r="M215" s="9"/>
      <c r="N215" s="9"/>
      <c r="O215" s="9"/>
    </row>
    <row r="216">
      <c r="A216" s="9"/>
      <c r="E216" s="13"/>
      <c r="J216" s="121"/>
      <c r="M216" s="9"/>
      <c r="N216" s="9"/>
      <c r="O216" s="9"/>
    </row>
    <row r="217">
      <c r="A217" s="9"/>
      <c r="E217" s="13"/>
      <c r="J217" s="121"/>
      <c r="M217" s="9"/>
      <c r="N217" s="9"/>
      <c r="O217" s="9"/>
    </row>
    <row r="218">
      <c r="A218" s="9"/>
      <c r="E218" s="13"/>
      <c r="J218" s="121"/>
      <c r="M218" s="9"/>
      <c r="N218" s="9"/>
      <c r="O218" s="9"/>
    </row>
    <row r="219">
      <c r="A219" s="9"/>
      <c r="E219" s="13"/>
      <c r="J219" s="121"/>
      <c r="M219" s="9"/>
      <c r="N219" s="9"/>
      <c r="O219" s="9"/>
    </row>
    <row r="220">
      <c r="A220" s="9"/>
      <c r="E220" s="13"/>
      <c r="J220" s="121"/>
      <c r="M220" s="9"/>
      <c r="N220" s="9"/>
      <c r="O220" s="9"/>
    </row>
    <row r="221">
      <c r="A221" s="9"/>
      <c r="E221" s="13"/>
      <c r="J221" s="121"/>
      <c r="M221" s="9"/>
      <c r="N221" s="9"/>
      <c r="O221" s="9"/>
    </row>
    <row r="222">
      <c r="A222" s="9"/>
      <c r="E222" s="13"/>
      <c r="J222" s="121"/>
      <c r="M222" s="9"/>
      <c r="N222" s="9"/>
      <c r="O222" s="9"/>
    </row>
    <row r="223">
      <c r="A223" s="9"/>
      <c r="E223" s="13"/>
      <c r="J223" s="121"/>
      <c r="M223" s="9"/>
      <c r="N223" s="9"/>
      <c r="O223" s="9"/>
    </row>
    <row r="224">
      <c r="A224" s="9"/>
      <c r="E224" s="13"/>
      <c r="J224" s="121"/>
      <c r="M224" s="9"/>
      <c r="N224" s="9"/>
      <c r="O224" s="9"/>
    </row>
    <row r="225">
      <c r="A225" s="9"/>
      <c r="E225" s="13"/>
      <c r="J225" s="121"/>
      <c r="M225" s="9"/>
      <c r="N225" s="9"/>
      <c r="O225" s="9"/>
    </row>
    <row r="226">
      <c r="A226" s="9"/>
      <c r="E226" s="13"/>
      <c r="J226" s="121"/>
      <c r="M226" s="9"/>
      <c r="N226" s="9"/>
      <c r="O226" s="9"/>
    </row>
    <row r="227">
      <c r="A227" s="9"/>
      <c r="E227" s="13"/>
      <c r="J227" s="121"/>
      <c r="M227" s="9"/>
      <c r="N227" s="9"/>
      <c r="O227" s="9"/>
    </row>
    <row r="228">
      <c r="A228" s="9"/>
      <c r="E228" s="13"/>
      <c r="J228" s="121"/>
      <c r="M228" s="9"/>
      <c r="N228" s="9"/>
      <c r="O228" s="9"/>
    </row>
    <row r="229">
      <c r="A229" s="9"/>
      <c r="E229" s="13"/>
      <c r="J229" s="121"/>
      <c r="M229" s="9"/>
      <c r="N229" s="9"/>
      <c r="O229" s="9"/>
    </row>
    <row r="230">
      <c r="A230" s="9"/>
      <c r="E230" s="13"/>
      <c r="J230" s="121"/>
      <c r="M230" s="9"/>
      <c r="N230" s="9"/>
      <c r="O230" s="9"/>
    </row>
    <row r="231">
      <c r="A231" s="9"/>
      <c r="E231" s="13"/>
      <c r="J231" s="121"/>
      <c r="M231" s="9"/>
      <c r="N231" s="9"/>
      <c r="O231" s="9"/>
    </row>
    <row r="232">
      <c r="A232" s="9"/>
      <c r="E232" s="13"/>
      <c r="J232" s="121"/>
      <c r="M232" s="9"/>
      <c r="N232" s="9"/>
      <c r="O232" s="9"/>
    </row>
    <row r="233">
      <c r="A233" s="9"/>
      <c r="E233" s="13"/>
      <c r="J233" s="121"/>
      <c r="M233" s="9"/>
      <c r="N233" s="9"/>
      <c r="O233" s="9"/>
    </row>
    <row r="234">
      <c r="A234" s="9"/>
      <c r="E234" s="13"/>
      <c r="J234" s="121"/>
      <c r="M234" s="9"/>
      <c r="N234" s="9"/>
      <c r="O234" s="9"/>
    </row>
    <row r="235">
      <c r="A235" s="9"/>
      <c r="E235" s="13"/>
      <c r="J235" s="121"/>
      <c r="M235" s="9"/>
      <c r="N235" s="9"/>
      <c r="O235" s="9"/>
    </row>
    <row r="236">
      <c r="A236" s="9"/>
      <c r="E236" s="13"/>
      <c r="J236" s="121"/>
      <c r="M236" s="9"/>
      <c r="N236" s="9"/>
      <c r="O236" s="9"/>
    </row>
    <row r="237">
      <c r="A237" s="9"/>
      <c r="E237" s="13"/>
      <c r="J237" s="121"/>
      <c r="M237" s="9"/>
      <c r="N237" s="9"/>
      <c r="O237" s="9"/>
    </row>
    <row r="238">
      <c r="A238" s="9"/>
      <c r="E238" s="13"/>
      <c r="J238" s="121"/>
      <c r="M238" s="9"/>
      <c r="N238" s="9"/>
      <c r="O238" s="9"/>
    </row>
    <row r="239">
      <c r="A239" s="9"/>
      <c r="E239" s="13"/>
      <c r="J239" s="121"/>
      <c r="M239" s="9"/>
      <c r="N239" s="9"/>
      <c r="O239" s="9"/>
    </row>
    <row r="240">
      <c r="A240" s="9"/>
      <c r="E240" s="13"/>
      <c r="J240" s="121"/>
      <c r="M240" s="9"/>
      <c r="N240" s="9"/>
      <c r="O240" s="9"/>
    </row>
    <row r="241">
      <c r="A241" s="9"/>
      <c r="E241" s="13"/>
      <c r="J241" s="121"/>
      <c r="M241" s="9"/>
      <c r="N241" s="9"/>
      <c r="O241" s="9"/>
    </row>
    <row r="242">
      <c r="A242" s="9"/>
      <c r="E242" s="13"/>
      <c r="J242" s="121"/>
      <c r="M242" s="9"/>
      <c r="N242" s="9"/>
      <c r="O242" s="9"/>
    </row>
    <row r="243">
      <c r="A243" s="9"/>
      <c r="E243" s="13"/>
      <c r="J243" s="121"/>
      <c r="M243" s="9"/>
      <c r="N243" s="9"/>
      <c r="O243" s="9"/>
    </row>
    <row r="244">
      <c r="A244" s="9"/>
      <c r="E244" s="13"/>
      <c r="J244" s="121"/>
      <c r="M244" s="9"/>
      <c r="N244" s="9"/>
      <c r="O244" s="9"/>
    </row>
    <row r="245">
      <c r="A245" s="9"/>
      <c r="E245" s="13"/>
      <c r="J245" s="121"/>
      <c r="M245" s="9"/>
      <c r="N245" s="9"/>
      <c r="O245" s="9"/>
    </row>
    <row r="246">
      <c r="A246" s="9"/>
      <c r="E246" s="13"/>
      <c r="J246" s="121"/>
      <c r="M246" s="9"/>
      <c r="N246" s="9"/>
      <c r="O246" s="9"/>
    </row>
    <row r="247">
      <c r="A247" s="9"/>
      <c r="E247" s="13"/>
      <c r="J247" s="121"/>
      <c r="M247" s="9"/>
      <c r="N247" s="9"/>
      <c r="O247" s="9"/>
    </row>
    <row r="248">
      <c r="A248" s="9"/>
      <c r="E248" s="13"/>
      <c r="J248" s="121"/>
      <c r="M248" s="9"/>
      <c r="N248" s="9"/>
      <c r="O248" s="9"/>
    </row>
    <row r="249">
      <c r="A249" s="9"/>
      <c r="E249" s="13"/>
      <c r="J249" s="121"/>
      <c r="M249" s="9"/>
      <c r="N249" s="9"/>
      <c r="O249" s="9"/>
    </row>
    <row r="250">
      <c r="A250" s="9"/>
      <c r="E250" s="13"/>
      <c r="J250" s="121"/>
      <c r="M250" s="9"/>
      <c r="N250" s="9"/>
      <c r="O250" s="9"/>
    </row>
    <row r="251">
      <c r="A251" s="9"/>
      <c r="E251" s="13"/>
      <c r="J251" s="121"/>
      <c r="M251" s="9"/>
      <c r="N251" s="9"/>
      <c r="O251" s="9"/>
    </row>
    <row r="252">
      <c r="A252" s="9"/>
      <c r="E252" s="13"/>
      <c r="J252" s="121"/>
      <c r="M252" s="9"/>
      <c r="N252" s="9"/>
      <c r="O252" s="9"/>
    </row>
    <row r="253">
      <c r="A253" s="9"/>
      <c r="E253" s="13"/>
      <c r="J253" s="121"/>
      <c r="M253" s="9"/>
      <c r="N253" s="9"/>
      <c r="O253" s="9"/>
    </row>
    <row r="254">
      <c r="A254" s="9"/>
      <c r="E254" s="13"/>
      <c r="J254" s="121"/>
      <c r="M254" s="9"/>
      <c r="N254" s="9"/>
      <c r="O254" s="9"/>
    </row>
    <row r="255">
      <c r="A255" s="9"/>
      <c r="E255" s="13"/>
      <c r="J255" s="121"/>
      <c r="M255" s="9"/>
      <c r="N255" s="9"/>
      <c r="O255" s="9"/>
    </row>
    <row r="256">
      <c r="A256" s="9"/>
      <c r="E256" s="13"/>
      <c r="J256" s="121"/>
      <c r="M256" s="9"/>
      <c r="N256" s="9"/>
      <c r="O256" s="9"/>
    </row>
    <row r="257">
      <c r="A257" s="9"/>
      <c r="E257" s="13"/>
      <c r="J257" s="121"/>
      <c r="M257" s="9"/>
      <c r="N257" s="9"/>
      <c r="O257" s="9"/>
    </row>
    <row r="258">
      <c r="A258" s="9"/>
      <c r="E258" s="13"/>
      <c r="J258" s="121"/>
      <c r="M258" s="9"/>
      <c r="N258" s="9"/>
      <c r="O258" s="9"/>
    </row>
    <row r="259">
      <c r="A259" s="9"/>
      <c r="E259" s="13"/>
      <c r="J259" s="121"/>
      <c r="M259" s="9"/>
      <c r="N259" s="9"/>
      <c r="O259" s="9"/>
    </row>
    <row r="260">
      <c r="A260" s="9"/>
      <c r="E260" s="13"/>
      <c r="J260" s="121"/>
      <c r="M260" s="9"/>
      <c r="N260" s="9"/>
      <c r="O260" s="9"/>
    </row>
    <row r="261">
      <c r="A261" s="9"/>
      <c r="E261" s="13"/>
      <c r="J261" s="121"/>
      <c r="M261" s="9"/>
      <c r="N261" s="9"/>
      <c r="O261" s="9"/>
    </row>
    <row r="262">
      <c r="A262" s="9"/>
      <c r="E262" s="13"/>
      <c r="J262" s="121"/>
      <c r="M262" s="9"/>
      <c r="N262" s="9"/>
      <c r="O262" s="9"/>
    </row>
    <row r="263">
      <c r="A263" s="9"/>
      <c r="E263" s="13"/>
      <c r="J263" s="121"/>
      <c r="M263" s="9"/>
      <c r="N263" s="9"/>
      <c r="O263" s="9"/>
    </row>
    <row r="264">
      <c r="A264" s="9"/>
      <c r="E264" s="13"/>
      <c r="J264" s="121"/>
      <c r="M264" s="9"/>
      <c r="N264" s="9"/>
      <c r="O264" s="9"/>
    </row>
    <row r="265">
      <c r="A265" s="9"/>
      <c r="E265" s="13"/>
      <c r="J265" s="121"/>
      <c r="M265" s="9"/>
      <c r="N265" s="9"/>
      <c r="O265" s="9"/>
    </row>
    <row r="266">
      <c r="A266" s="9"/>
      <c r="E266" s="13"/>
      <c r="J266" s="121"/>
      <c r="M266" s="9"/>
      <c r="N266" s="9"/>
      <c r="O266" s="9"/>
    </row>
    <row r="267">
      <c r="A267" s="9"/>
      <c r="E267" s="13"/>
      <c r="J267" s="121"/>
      <c r="M267" s="9"/>
      <c r="N267" s="9"/>
      <c r="O267" s="9"/>
    </row>
    <row r="268">
      <c r="A268" s="9"/>
      <c r="E268" s="13"/>
      <c r="J268" s="121"/>
      <c r="M268" s="9"/>
      <c r="N268" s="9"/>
      <c r="O268" s="9"/>
    </row>
    <row r="269">
      <c r="A269" s="9"/>
      <c r="E269" s="13"/>
      <c r="J269" s="121"/>
      <c r="M269" s="9"/>
      <c r="N269" s="9"/>
      <c r="O269" s="9"/>
    </row>
    <row r="270">
      <c r="A270" s="9"/>
      <c r="E270" s="13"/>
      <c r="J270" s="121"/>
      <c r="M270" s="9"/>
      <c r="N270" s="9"/>
      <c r="O270" s="9"/>
    </row>
    <row r="271">
      <c r="A271" s="9"/>
      <c r="E271" s="13"/>
      <c r="J271" s="121"/>
      <c r="M271" s="9"/>
      <c r="N271" s="9"/>
      <c r="O271" s="9"/>
    </row>
    <row r="272">
      <c r="A272" s="9"/>
      <c r="E272" s="13"/>
      <c r="J272" s="121"/>
      <c r="M272" s="9"/>
      <c r="N272" s="9"/>
      <c r="O272" s="9"/>
    </row>
    <row r="273">
      <c r="A273" s="9"/>
      <c r="E273" s="13"/>
      <c r="J273" s="121"/>
      <c r="M273" s="9"/>
      <c r="N273" s="9"/>
      <c r="O273" s="9"/>
    </row>
    <row r="274">
      <c r="A274" s="9"/>
      <c r="E274" s="13"/>
      <c r="J274" s="121"/>
      <c r="M274" s="9"/>
      <c r="N274" s="9"/>
      <c r="O274" s="9"/>
    </row>
    <row r="275">
      <c r="A275" s="9"/>
      <c r="E275" s="13"/>
      <c r="J275" s="121"/>
      <c r="M275" s="9"/>
      <c r="N275" s="9"/>
      <c r="O275" s="9"/>
    </row>
    <row r="276">
      <c r="A276" s="9"/>
      <c r="E276" s="13"/>
      <c r="J276" s="121"/>
      <c r="M276" s="9"/>
      <c r="N276" s="9"/>
      <c r="O276" s="9"/>
    </row>
    <row r="277">
      <c r="A277" s="9"/>
      <c r="E277" s="13"/>
      <c r="J277" s="121"/>
      <c r="M277" s="9"/>
      <c r="N277" s="9"/>
      <c r="O277" s="9"/>
    </row>
    <row r="278">
      <c r="A278" s="9"/>
      <c r="E278" s="13"/>
      <c r="J278" s="121"/>
      <c r="M278" s="9"/>
      <c r="N278" s="9"/>
      <c r="O278" s="9"/>
    </row>
    <row r="279">
      <c r="A279" s="9"/>
      <c r="E279" s="13"/>
      <c r="J279" s="121"/>
      <c r="M279" s="9"/>
      <c r="N279" s="9"/>
      <c r="O279" s="9"/>
    </row>
    <row r="280">
      <c r="A280" s="9"/>
      <c r="E280" s="13"/>
      <c r="J280" s="121"/>
      <c r="M280" s="9"/>
      <c r="N280" s="9"/>
      <c r="O280" s="9"/>
    </row>
    <row r="281">
      <c r="A281" s="9"/>
      <c r="E281" s="13"/>
      <c r="J281" s="121"/>
      <c r="M281" s="9"/>
      <c r="N281" s="9"/>
      <c r="O281" s="9"/>
    </row>
    <row r="282">
      <c r="A282" s="9"/>
      <c r="E282" s="13"/>
      <c r="J282" s="121"/>
      <c r="M282" s="9"/>
      <c r="N282" s="9"/>
      <c r="O282" s="9"/>
    </row>
    <row r="283">
      <c r="A283" s="9"/>
      <c r="E283" s="13"/>
      <c r="J283" s="121"/>
      <c r="M283" s="9"/>
      <c r="N283" s="9"/>
      <c r="O283" s="9"/>
    </row>
    <row r="284">
      <c r="A284" s="9"/>
      <c r="E284" s="13"/>
      <c r="J284" s="121"/>
      <c r="M284" s="9"/>
      <c r="N284" s="9"/>
      <c r="O284" s="9"/>
    </row>
    <row r="285">
      <c r="A285" s="9"/>
      <c r="E285" s="13"/>
      <c r="J285" s="121"/>
      <c r="M285" s="9"/>
      <c r="N285" s="9"/>
      <c r="O285" s="9"/>
    </row>
    <row r="286">
      <c r="A286" s="9"/>
      <c r="E286" s="13"/>
      <c r="J286" s="121"/>
      <c r="M286" s="9"/>
      <c r="N286" s="9"/>
      <c r="O286" s="9"/>
    </row>
    <row r="287">
      <c r="A287" s="9"/>
      <c r="E287" s="13"/>
      <c r="J287" s="121"/>
      <c r="M287" s="9"/>
      <c r="N287" s="9"/>
      <c r="O287" s="9"/>
    </row>
    <row r="288">
      <c r="A288" s="9"/>
      <c r="E288" s="13"/>
      <c r="J288" s="121"/>
      <c r="M288" s="9"/>
      <c r="N288" s="9"/>
      <c r="O288" s="9"/>
    </row>
    <row r="289">
      <c r="A289" s="9"/>
      <c r="E289" s="13"/>
      <c r="J289" s="121"/>
      <c r="M289" s="9"/>
      <c r="N289" s="9"/>
      <c r="O289" s="9"/>
    </row>
    <row r="290">
      <c r="A290" s="9"/>
      <c r="E290" s="13"/>
      <c r="J290" s="121"/>
      <c r="M290" s="9"/>
      <c r="N290" s="9"/>
      <c r="O290" s="9"/>
    </row>
    <row r="291">
      <c r="A291" s="9"/>
      <c r="E291" s="13"/>
      <c r="J291" s="121"/>
      <c r="M291" s="9"/>
      <c r="N291" s="9"/>
      <c r="O291" s="9"/>
    </row>
    <row r="292">
      <c r="A292" s="9"/>
      <c r="E292" s="13"/>
      <c r="J292" s="121"/>
      <c r="M292" s="9"/>
      <c r="N292" s="9"/>
      <c r="O292" s="9"/>
    </row>
    <row r="293">
      <c r="A293" s="9"/>
      <c r="E293" s="13"/>
      <c r="J293" s="121"/>
      <c r="M293" s="9"/>
      <c r="N293" s="9"/>
      <c r="O293" s="9"/>
    </row>
    <row r="294">
      <c r="A294" s="9"/>
      <c r="E294" s="13"/>
      <c r="J294" s="121"/>
      <c r="M294" s="9"/>
      <c r="N294" s="9"/>
      <c r="O294" s="9"/>
    </row>
    <row r="295">
      <c r="A295" s="9"/>
      <c r="E295" s="13"/>
      <c r="J295" s="121"/>
      <c r="M295" s="9"/>
      <c r="N295" s="9"/>
      <c r="O295" s="9"/>
    </row>
    <row r="296">
      <c r="A296" s="9"/>
      <c r="E296" s="13"/>
      <c r="J296" s="121"/>
      <c r="M296" s="9"/>
      <c r="N296" s="9"/>
      <c r="O296" s="9"/>
    </row>
    <row r="297">
      <c r="A297" s="9"/>
      <c r="E297" s="13"/>
      <c r="J297" s="121"/>
      <c r="M297" s="9"/>
      <c r="N297" s="9"/>
      <c r="O297" s="9"/>
    </row>
    <row r="298">
      <c r="A298" s="9"/>
      <c r="E298" s="13"/>
      <c r="J298" s="121"/>
      <c r="M298" s="9"/>
      <c r="N298" s="9"/>
      <c r="O298" s="9"/>
    </row>
    <row r="299">
      <c r="A299" s="9"/>
      <c r="E299" s="13"/>
      <c r="J299" s="121"/>
      <c r="M299" s="9"/>
      <c r="N299" s="9"/>
      <c r="O299" s="9"/>
    </row>
    <row r="300">
      <c r="A300" s="9"/>
      <c r="E300" s="13"/>
      <c r="J300" s="121"/>
      <c r="M300" s="9"/>
      <c r="N300" s="9"/>
      <c r="O300" s="9"/>
    </row>
    <row r="301">
      <c r="A301" s="9"/>
      <c r="E301" s="13"/>
      <c r="J301" s="121"/>
      <c r="M301" s="9"/>
      <c r="N301" s="9"/>
      <c r="O301" s="9"/>
    </row>
    <row r="302">
      <c r="A302" s="9"/>
      <c r="E302" s="13"/>
      <c r="J302" s="121"/>
      <c r="M302" s="9"/>
      <c r="N302" s="9"/>
      <c r="O302" s="9"/>
    </row>
    <row r="303">
      <c r="A303" s="9"/>
      <c r="E303" s="13"/>
      <c r="J303" s="121"/>
      <c r="M303" s="9"/>
      <c r="N303" s="9"/>
      <c r="O303" s="9"/>
    </row>
    <row r="304">
      <c r="A304" s="9"/>
      <c r="E304" s="13"/>
      <c r="J304" s="121"/>
      <c r="M304" s="9"/>
      <c r="N304" s="9"/>
      <c r="O304" s="9"/>
    </row>
    <row r="305">
      <c r="A305" s="9"/>
      <c r="E305" s="13"/>
      <c r="J305" s="121"/>
      <c r="M305" s="9"/>
      <c r="N305" s="9"/>
      <c r="O305" s="9"/>
    </row>
    <row r="306">
      <c r="A306" s="9"/>
      <c r="E306" s="13"/>
      <c r="J306" s="121"/>
      <c r="M306" s="9"/>
      <c r="N306" s="9"/>
      <c r="O306" s="9"/>
    </row>
    <row r="307">
      <c r="A307" s="9"/>
      <c r="E307" s="13"/>
      <c r="J307" s="121"/>
      <c r="M307" s="9"/>
      <c r="N307" s="9"/>
      <c r="O307" s="9"/>
    </row>
    <row r="308">
      <c r="A308" s="9"/>
      <c r="E308" s="13"/>
      <c r="J308" s="121"/>
      <c r="M308" s="9"/>
      <c r="N308" s="9"/>
      <c r="O308" s="9"/>
    </row>
    <row r="309">
      <c r="A309" s="9"/>
      <c r="E309" s="13"/>
      <c r="J309" s="121"/>
      <c r="M309" s="9"/>
      <c r="N309" s="9"/>
      <c r="O309" s="9"/>
    </row>
    <row r="310">
      <c r="A310" s="9"/>
      <c r="E310" s="13"/>
      <c r="J310" s="121"/>
      <c r="M310" s="9"/>
      <c r="N310" s="9"/>
      <c r="O310" s="9"/>
    </row>
    <row r="311">
      <c r="A311" s="9"/>
      <c r="E311" s="13"/>
      <c r="J311" s="121"/>
      <c r="M311" s="9"/>
      <c r="N311" s="9"/>
      <c r="O311" s="9"/>
    </row>
    <row r="312">
      <c r="A312" s="9"/>
      <c r="E312" s="13"/>
      <c r="J312" s="121"/>
      <c r="M312" s="9"/>
      <c r="N312" s="9"/>
      <c r="O312" s="9"/>
    </row>
    <row r="313">
      <c r="A313" s="9"/>
      <c r="E313" s="13"/>
      <c r="J313" s="121"/>
      <c r="M313" s="9"/>
      <c r="N313" s="9"/>
      <c r="O313" s="9"/>
    </row>
    <row r="314">
      <c r="A314" s="9"/>
      <c r="E314" s="13"/>
      <c r="J314" s="121"/>
      <c r="M314" s="9"/>
      <c r="N314" s="9"/>
      <c r="O314" s="9"/>
    </row>
    <row r="315">
      <c r="A315" s="9"/>
      <c r="E315" s="13"/>
      <c r="J315" s="121"/>
      <c r="M315" s="9"/>
      <c r="N315" s="9"/>
      <c r="O315" s="9"/>
    </row>
    <row r="316">
      <c r="A316" s="9"/>
      <c r="E316" s="13"/>
      <c r="J316" s="121"/>
      <c r="M316" s="9"/>
      <c r="N316" s="9"/>
      <c r="O316" s="9"/>
    </row>
    <row r="317">
      <c r="A317" s="9"/>
      <c r="E317" s="13"/>
      <c r="J317" s="121"/>
      <c r="M317" s="9"/>
      <c r="N317" s="9"/>
      <c r="O317" s="9"/>
    </row>
    <row r="318">
      <c r="A318" s="9"/>
      <c r="E318" s="13"/>
      <c r="J318" s="121"/>
      <c r="M318" s="9"/>
      <c r="N318" s="9"/>
      <c r="O318" s="9"/>
    </row>
    <row r="319">
      <c r="A319" s="9"/>
      <c r="E319" s="13"/>
      <c r="J319" s="121"/>
      <c r="M319" s="9"/>
      <c r="N319" s="9"/>
      <c r="O319" s="9"/>
    </row>
    <row r="320">
      <c r="A320" s="9"/>
      <c r="E320" s="13"/>
      <c r="J320" s="121"/>
      <c r="M320" s="9"/>
      <c r="N320" s="9"/>
      <c r="O320" s="9"/>
    </row>
    <row r="321">
      <c r="A321" s="9"/>
      <c r="E321" s="13"/>
      <c r="J321" s="121"/>
      <c r="M321" s="9"/>
      <c r="N321" s="9"/>
      <c r="O321" s="9"/>
    </row>
    <row r="322">
      <c r="A322" s="9"/>
      <c r="E322" s="13"/>
      <c r="J322" s="121"/>
      <c r="M322" s="9"/>
      <c r="N322" s="9"/>
      <c r="O322" s="9"/>
    </row>
    <row r="323">
      <c r="A323" s="9"/>
      <c r="E323" s="13"/>
      <c r="J323" s="121"/>
      <c r="M323" s="9"/>
      <c r="N323" s="9"/>
      <c r="O323" s="9"/>
    </row>
    <row r="324">
      <c r="A324" s="9"/>
      <c r="E324" s="13"/>
      <c r="J324" s="121"/>
      <c r="M324" s="9"/>
      <c r="N324" s="9"/>
      <c r="O324" s="9"/>
    </row>
    <row r="325">
      <c r="A325" s="9"/>
      <c r="E325" s="13"/>
      <c r="J325" s="121"/>
      <c r="M325" s="9"/>
      <c r="N325" s="9"/>
      <c r="O325" s="9"/>
    </row>
    <row r="326">
      <c r="A326" s="9"/>
      <c r="E326" s="13"/>
      <c r="J326" s="121"/>
      <c r="M326" s="9"/>
      <c r="N326" s="9"/>
      <c r="O326" s="9"/>
    </row>
    <row r="327">
      <c r="A327" s="9"/>
      <c r="E327" s="13"/>
      <c r="J327" s="121"/>
      <c r="M327" s="9"/>
      <c r="N327" s="9"/>
      <c r="O327" s="9"/>
    </row>
    <row r="328">
      <c r="A328" s="9"/>
      <c r="E328" s="13"/>
      <c r="J328" s="121"/>
      <c r="M328" s="9"/>
      <c r="N328" s="9"/>
      <c r="O328" s="9"/>
    </row>
    <row r="329">
      <c r="A329" s="9"/>
      <c r="E329" s="13"/>
      <c r="J329" s="121"/>
      <c r="M329" s="9"/>
      <c r="N329" s="9"/>
      <c r="O329" s="9"/>
    </row>
    <row r="330">
      <c r="A330" s="9"/>
      <c r="E330" s="13"/>
      <c r="J330" s="121"/>
      <c r="M330" s="9"/>
      <c r="N330" s="9"/>
      <c r="O330" s="9"/>
    </row>
    <row r="331">
      <c r="A331" s="9"/>
      <c r="E331" s="13"/>
      <c r="J331" s="121"/>
      <c r="M331" s="9"/>
      <c r="N331" s="9"/>
      <c r="O331" s="9"/>
    </row>
    <row r="332">
      <c r="A332" s="9"/>
      <c r="E332" s="13"/>
      <c r="J332" s="121"/>
      <c r="M332" s="9"/>
      <c r="N332" s="9"/>
      <c r="O332" s="9"/>
    </row>
    <row r="333">
      <c r="A333" s="9"/>
      <c r="E333" s="13"/>
      <c r="J333" s="121"/>
      <c r="M333" s="9"/>
      <c r="N333" s="9"/>
      <c r="O333" s="9"/>
    </row>
    <row r="334">
      <c r="A334" s="9"/>
      <c r="E334" s="13"/>
      <c r="J334" s="121"/>
      <c r="M334" s="9"/>
      <c r="N334" s="9"/>
      <c r="O334" s="9"/>
    </row>
    <row r="335">
      <c r="A335" s="9"/>
      <c r="E335" s="13"/>
      <c r="J335" s="121"/>
      <c r="M335" s="9"/>
      <c r="N335" s="9"/>
      <c r="O335" s="9"/>
    </row>
    <row r="336">
      <c r="A336" s="9"/>
      <c r="E336" s="13"/>
      <c r="J336" s="121"/>
      <c r="M336" s="9"/>
      <c r="N336" s="9"/>
      <c r="O336" s="9"/>
    </row>
    <row r="337">
      <c r="A337" s="9"/>
      <c r="E337" s="13"/>
      <c r="J337" s="121"/>
      <c r="M337" s="9"/>
      <c r="N337" s="9"/>
      <c r="O337" s="9"/>
    </row>
    <row r="338">
      <c r="A338" s="9"/>
      <c r="E338" s="13"/>
      <c r="J338" s="121"/>
      <c r="M338" s="9"/>
      <c r="N338" s="9"/>
      <c r="O338" s="9"/>
    </row>
    <row r="339">
      <c r="A339" s="9"/>
      <c r="E339" s="13"/>
      <c r="J339" s="121"/>
      <c r="M339" s="9"/>
      <c r="N339" s="9"/>
      <c r="O339" s="9"/>
    </row>
    <row r="340">
      <c r="A340" s="9"/>
      <c r="E340" s="13"/>
      <c r="J340" s="121"/>
      <c r="M340" s="9"/>
      <c r="N340" s="9"/>
      <c r="O340" s="9"/>
    </row>
    <row r="341">
      <c r="A341" s="9"/>
      <c r="E341" s="13"/>
      <c r="J341" s="121"/>
      <c r="M341" s="9"/>
      <c r="N341" s="9"/>
      <c r="O341" s="9"/>
    </row>
    <row r="342">
      <c r="A342" s="9"/>
      <c r="E342" s="13"/>
      <c r="J342" s="121"/>
      <c r="M342" s="9"/>
      <c r="N342" s="9"/>
      <c r="O342" s="9"/>
    </row>
    <row r="343">
      <c r="A343" s="9"/>
      <c r="E343" s="13"/>
      <c r="J343" s="121"/>
      <c r="M343" s="9"/>
      <c r="N343" s="9"/>
      <c r="O343" s="9"/>
    </row>
    <row r="344">
      <c r="A344" s="9"/>
      <c r="E344" s="13"/>
      <c r="J344" s="121"/>
      <c r="M344" s="9"/>
      <c r="N344" s="9"/>
      <c r="O344" s="9"/>
    </row>
    <row r="345">
      <c r="A345" s="9"/>
      <c r="E345" s="13"/>
      <c r="J345" s="121"/>
      <c r="M345" s="9"/>
      <c r="N345" s="9"/>
      <c r="O345" s="9"/>
    </row>
    <row r="346">
      <c r="A346" s="9"/>
      <c r="E346" s="13"/>
      <c r="J346" s="121"/>
      <c r="M346" s="9"/>
      <c r="N346" s="9"/>
      <c r="O346" s="9"/>
    </row>
    <row r="347">
      <c r="A347" s="9"/>
      <c r="E347" s="13"/>
      <c r="J347" s="121"/>
      <c r="M347" s="9"/>
      <c r="N347" s="9"/>
      <c r="O347" s="9"/>
    </row>
    <row r="348">
      <c r="A348" s="9"/>
      <c r="E348" s="13"/>
      <c r="J348" s="121"/>
      <c r="M348" s="9"/>
      <c r="N348" s="9"/>
      <c r="O348" s="9"/>
    </row>
    <row r="349">
      <c r="A349" s="9"/>
      <c r="E349" s="13"/>
      <c r="J349" s="121"/>
      <c r="M349" s="9"/>
      <c r="N349" s="9"/>
      <c r="O349" s="9"/>
    </row>
    <row r="350">
      <c r="A350" s="9"/>
      <c r="E350" s="13"/>
      <c r="J350" s="121"/>
      <c r="M350" s="9"/>
      <c r="N350" s="9"/>
      <c r="O350" s="9"/>
    </row>
    <row r="351">
      <c r="A351" s="9"/>
      <c r="E351" s="13"/>
      <c r="J351" s="121"/>
      <c r="M351" s="9"/>
      <c r="N351" s="9"/>
      <c r="O351" s="9"/>
    </row>
    <row r="352">
      <c r="A352" s="9"/>
      <c r="E352" s="13"/>
      <c r="J352" s="121"/>
      <c r="M352" s="9"/>
      <c r="N352" s="9"/>
      <c r="O352" s="9"/>
    </row>
    <row r="353">
      <c r="A353" s="9"/>
      <c r="E353" s="13"/>
      <c r="J353" s="121"/>
      <c r="M353" s="9"/>
      <c r="N353" s="9"/>
      <c r="O353" s="9"/>
    </row>
    <row r="354">
      <c r="A354" s="9"/>
      <c r="E354" s="13"/>
      <c r="J354" s="121"/>
      <c r="M354" s="9"/>
      <c r="N354" s="9"/>
      <c r="O354" s="9"/>
    </row>
    <row r="355">
      <c r="A355" s="9"/>
      <c r="E355" s="13"/>
      <c r="J355" s="121"/>
      <c r="M355" s="9"/>
      <c r="N355" s="9"/>
      <c r="O355" s="9"/>
    </row>
    <row r="356">
      <c r="A356" s="9"/>
      <c r="E356" s="13"/>
      <c r="J356" s="121"/>
      <c r="M356" s="9"/>
      <c r="N356" s="9"/>
      <c r="O356" s="9"/>
    </row>
    <row r="357">
      <c r="A357" s="9"/>
      <c r="E357" s="13"/>
      <c r="J357" s="121"/>
      <c r="M357" s="9"/>
      <c r="N357" s="9"/>
      <c r="O357" s="9"/>
    </row>
    <row r="358">
      <c r="A358" s="9"/>
      <c r="E358" s="13"/>
      <c r="J358" s="121"/>
      <c r="M358" s="9"/>
      <c r="N358" s="9"/>
      <c r="O358" s="9"/>
    </row>
    <row r="359">
      <c r="A359" s="9"/>
      <c r="E359" s="13"/>
      <c r="J359" s="121"/>
      <c r="M359" s="9"/>
      <c r="N359" s="9"/>
      <c r="O359" s="9"/>
    </row>
    <row r="360">
      <c r="A360" s="9"/>
      <c r="E360" s="13"/>
      <c r="J360" s="121"/>
      <c r="M360" s="9"/>
      <c r="N360" s="9"/>
      <c r="O360" s="9"/>
    </row>
    <row r="361">
      <c r="A361" s="9"/>
      <c r="E361" s="13"/>
      <c r="J361" s="121"/>
      <c r="M361" s="9"/>
      <c r="N361" s="9"/>
      <c r="O361" s="9"/>
    </row>
    <row r="362">
      <c r="A362" s="9"/>
      <c r="E362" s="13"/>
      <c r="J362" s="121"/>
      <c r="M362" s="9"/>
      <c r="N362" s="9"/>
      <c r="O362" s="9"/>
    </row>
    <row r="363">
      <c r="A363" s="9"/>
      <c r="E363" s="13"/>
      <c r="J363" s="121"/>
      <c r="M363" s="9"/>
      <c r="N363" s="9"/>
      <c r="O363" s="9"/>
    </row>
    <row r="364">
      <c r="A364" s="9"/>
      <c r="E364" s="13"/>
      <c r="J364" s="121"/>
      <c r="M364" s="9"/>
      <c r="N364" s="9"/>
      <c r="O364" s="9"/>
    </row>
    <row r="365">
      <c r="A365" s="9"/>
      <c r="E365" s="13"/>
      <c r="J365" s="121"/>
      <c r="M365" s="9"/>
      <c r="N365" s="9"/>
      <c r="O365" s="9"/>
    </row>
    <row r="366">
      <c r="A366" s="9"/>
      <c r="E366" s="13"/>
      <c r="J366" s="121"/>
      <c r="M366" s="9"/>
      <c r="N366" s="9"/>
      <c r="O366" s="9"/>
    </row>
    <row r="367">
      <c r="A367" s="9"/>
      <c r="E367" s="13"/>
      <c r="J367" s="121"/>
      <c r="M367" s="9"/>
      <c r="N367" s="9"/>
      <c r="O367" s="9"/>
    </row>
    <row r="368">
      <c r="A368" s="9"/>
      <c r="E368" s="13"/>
      <c r="J368" s="121"/>
      <c r="M368" s="9"/>
      <c r="N368" s="9"/>
      <c r="O368" s="9"/>
    </row>
    <row r="369">
      <c r="A369" s="9"/>
      <c r="E369" s="13"/>
      <c r="J369" s="121"/>
      <c r="M369" s="9"/>
      <c r="N369" s="9"/>
      <c r="O369" s="9"/>
    </row>
    <row r="370">
      <c r="A370" s="9"/>
      <c r="E370" s="13"/>
      <c r="J370" s="121"/>
      <c r="M370" s="9"/>
      <c r="N370" s="9"/>
      <c r="O370" s="9"/>
    </row>
    <row r="371">
      <c r="A371" s="9"/>
      <c r="E371" s="13"/>
      <c r="J371" s="121"/>
      <c r="M371" s="9"/>
      <c r="N371" s="9"/>
      <c r="O371" s="9"/>
    </row>
    <row r="372">
      <c r="A372" s="9"/>
      <c r="E372" s="13"/>
      <c r="J372" s="121"/>
      <c r="M372" s="9"/>
      <c r="N372" s="9"/>
      <c r="O372" s="9"/>
    </row>
    <row r="373">
      <c r="A373" s="9"/>
      <c r="E373" s="13"/>
      <c r="J373" s="121"/>
      <c r="M373" s="9"/>
      <c r="N373" s="9"/>
      <c r="O373" s="9"/>
    </row>
    <row r="374">
      <c r="A374" s="9"/>
      <c r="E374" s="13"/>
      <c r="J374" s="121"/>
      <c r="M374" s="9"/>
      <c r="N374" s="9"/>
      <c r="O374" s="9"/>
    </row>
    <row r="375">
      <c r="A375" s="9"/>
      <c r="E375" s="13"/>
      <c r="J375" s="121"/>
      <c r="M375" s="9"/>
      <c r="N375" s="9"/>
      <c r="O375" s="9"/>
    </row>
    <row r="376">
      <c r="A376" s="9"/>
      <c r="E376" s="13"/>
      <c r="J376" s="121"/>
      <c r="M376" s="9"/>
      <c r="N376" s="9"/>
      <c r="O376" s="9"/>
    </row>
    <row r="377">
      <c r="A377" s="9"/>
      <c r="E377" s="13"/>
      <c r="J377" s="121"/>
      <c r="M377" s="9"/>
      <c r="N377" s="9"/>
      <c r="O377" s="9"/>
    </row>
    <row r="378">
      <c r="A378" s="9"/>
      <c r="E378" s="13"/>
      <c r="J378" s="121"/>
      <c r="M378" s="9"/>
      <c r="N378" s="9"/>
      <c r="O378" s="9"/>
    </row>
    <row r="379">
      <c r="A379" s="9"/>
      <c r="E379" s="13"/>
      <c r="J379" s="121"/>
      <c r="M379" s="9"/>
      <c r="N379" s="9"/>
      <c r="O379" s="9"/>
    </row>
    <row r="380">
      <c r="A380" s="9"/>
      <c r="E380" s="13"/>
      <c r="J380" s="121"/>
      <c r="M380" s="9"/>
      <c r="N380" s="9"/>
      <c r="O380" s="9"/>
    </row>
    <row r="381">
      <c r="A381" s="9"/>
      <c r="E381" s="13"/>
      <c r="J381" s="121"/>
      <c r="M381" s="9"/>
      <c r="N381" s="9"/>
      <c r="O381" s="9"/>
    </row>
    <row r="382">
      <c r="A382" s="9"/>
      <c r="E382" s="13"/>
      <c r="J382" s="121"/>
      <c r="M382" s="9"/>
      <c r="N382" s="9"/>
      <c r="O382" s="9"/>
    </row>
    <row r="383">
      <c r="A383" s="9"/>
      <c r="E383" s="13"/>
      <c r="J383" s="121"/>
      <c r="M383" s="9"/>
      <c r="N383" s="9"/>
      <c r="O383" s="9"/>
    </row>
    <row r="384">
      <c r="A384" s="9"/>
      <c r="E384" s="13"/>
      <c r="J384" s="121"/>
      <c r="M384" s="9"/>
      <c r="N384" s="9"/>
      <c r="O384" s="9"/>
    </row>
    <row r="385">
      <c r="A385" s="9"/>
      <c r="E385" s="13"/>
      <c r="J385" s="121"/>
      <c r="M385" s="9"/>
      <c r="N385" s="9"/>
      <c r="O385" s="9"/>
    </row>
    <row r="386">
      <c r="A386" s="9"/>
      <c r="E386" s="13"/>
      <c r="J386" s="121"/>
      <c r="M386" s="9"/>
      <c r="N386" s="9"/>
      <c r="O386" s="9"/>
    </row>
    <row r="387">
      <c r="A387" s="9"/>
      <c r="E387" s="13"/>
      <c r="J387" s="121"/>
      <c r="M387" s="9"/>
      <c r="N387" s="9"/>
      <c r="O387" s="9"/>
    </row>
    <row r="388">
      <c r="A388" s="9"/>
      <c r="E388" s="13"/>
      <c r="J388" s="121"/>
      <c r="M388" s="9"/>
      <c r="N388" s="9"/>
      <c r="O388" s="9"/>
    </row>
    <row r="389">
      <c r="A389" s="9"/>
      <c r="E389" s="13"/>
      <c r="J389" s="121"/>
      <c r="M389" s="9"/>
      <c r="N389" s="9"/>
      <c r="O389" s="9"/>
    </row>
    <row r="390">
      <c r="A390" s="9"/>
      <c r="E390" s="13"/>
      <c r="J390" s="121"/>
      <c r="M390" s="9"/>
      <c r="N390" s="9"/>
      <c r="O390" s="9"/>
    </row>
    <row r="391">
      <c r="A391" s="9"/>
      <c r="E391" s="13"/>
      <c r="J391" s="121"/>
      <c r="M391" s="9"/>
      <c r="N391" s="9"/>
      <c r="O391" s="9"/>
    </row>
    <row r="392">
      <c r="A392" s="9"/>
      <c r="E392" s="13"/>
      <c r="J392" s="121"/>
      <c r="M392" s="9"/>
      <c r="N392" s="9"/>
      <c r="O392" s="9"/>
    </row>
    <row r="393">
      <c r="A393" s="9"/>
      <c r="E393" s="13"/>
      <c r="J393" s="121"/>
      <c r="M393" s="9"/>
      <c r="N393" s="9"/>
      <c r="O393" s="9"/>
    </row>
    <row r="394">
      <c r="A394" s="9"/>
      <c r="E394" s="13"/>
      <c r="J394" s="121"/>
      <c r="M394" s="9"/>
      <c r="N394" s="9"/>
      <c r="O394" s="9"/>
    </row>
    <row r="395">
      <c r="A395" s="9"/>
      <c r="E395" s="13"/>
      <c r="J395" s="121"/>
      <c r="M395" s="9"/>
      <c r="N395" s="9"/>
      <c r="O395" s="9"/>
    </row>
    <row r="396">
      <c r="A396" s="9"/>
      <c r="E396" s="13"/>
      <c r="J396" s="121"/>
      <c r="M396" s="9"/>
      <c r="N396" s="9"/>
      <c r="O396" s="9"/>
    </row>
    <row r="397">
      <c r="A397" s="9"/>
      <c r="E397" s="13"/>
      <c r="J397" s="121"/>
      <c r="M397" s="9"/>
      <c r="N397" s="9"/>
      <c r="O397" s="9"/>
    </row>
    <row r="398">
      <c r="A398" s="9"/>
      <c r="E398" s="13"/>
      <c r="J398" s="121"/>
      <c r="M398" s="9"/>
      <c r="N398" s="9"/>
      <c r="O398" s="9"/>
    </row>
    <row r="399">
      <c r="A399" s="9"/>
      <c r="E399" s="13"/>
      <c r="J399" s="121"/>
      <c r="M399" s="9"/>
      <c r="N399" s="9"/>
      <c r="O399" s="9"/>
    </row>
    <row r="400">
      <c r="A400" s="9"/>
      <c r="E400" s="13"/>
      <c r="J400" s="121"/>
      <c r="M400" s="9"/>
      <c r="N400" s="9"/>
      <c r="O400" s="9"/>
    </row>
    <row r="401">
      <c r="A401" s="9"/>
      <c r="E401" s="13"/>
      <c r="J401" s="121"/>
      <c r="M401" s="9"/>
      <c r="N401" s="9"/>
      <c r="O401" s="9"/>
    </row>
    <row r="402">
      <c r="A402" s="9"/>
      <c r="E402" s="13"/>
      <c r="J402" s="121"/>
      <c r="M402" s="9"/>
      <c r="N402" s="9"/>
      <c r="O402" s="9"/>
    </row>
    <row r="403">
      <c r="A403" s="9"/>
      <c r="E403" s="13"/>
      <c r="J403" s="121"/>
      <c r="M403" s="9"/>
      <c r="N403" s="9"/>
      <c r="O403" s="9"/>
    </row>
    <row r="404">
      <c r="A404" s="9"/>
      <c r="E404" s="13"/>
      <c r="J404" s="121"/>
      <c r="M404" s="9"/>
      <c r="N404" s="9"/>
      <c r="O404" s="9"/>
    </row>
    <row r="405">
      <c r="A405" s="9"/>
      <c r="E405" s="13"/>
      <c r="J405" s="121"/>
      <c r="M405" s="9"/>
      <c r="N405" s="9"/>
      <c r="O405" s="9"/>
    </row>
    <row r="406">
      <c r="A406" s="9"/>
      <c r="E406" s="13"/>
      <c r="J406" s="121"/>
      <c r="M406" s="9"/>
      <c r="N406" s="9"/>
      <c r="O406" s="9"/>
    </row>
    <row r="407">
      <c r="A407" s="9"/>
      <c r="E407" s="13"/>
      <c r="J407" s="121"/>
      <c r="M407" s="9"/>
      <c r="N407" s="9"/>
      <c r="O407" s="9"/>
    </row>
    <row r="408">
      <c r="A408" s="9"/>
      <c r="E408" s="13"/>
      <c r="J408" s="121"/>
      <c r="M408" s="9"/>
      <c r="N408" s="9"/>
      <c r="O408" s="9"/>
    </row>
    <row r="409">
      <c r="A409" s="9"/>
      <c r="E409" s="13"/>
      <c r="J409" s="121"/>
      <c r="M409" s="9"/>
      <c r="N409" s="9"/>
      <c r="O409" s="9"/>
    </row>
    <row r="410">
      <c r="A410" s="9"/>
      <c r="E410" s="13"/>
      <c r="J410" s="121"/>
      <c r="M410" s="9"/>
      <c r="N410" s="9"/>
      <c r="O410" s="9"/>
    </row>
    <row r="411">
      <c r="A411" s="9"/>
      <c r="E411" s="13"/>
      <c r="J411" s="121"/>
      <c r="M411" s="9"/>
      <c r="N411" s="9"/>
      <c r="O411" s="9"/>
    </row>
    <row r="412">
      <c r="A412" s="9"/>
      <c r="E412" s="13"/>
      <c r="J412" s="121"/>
      <c r="M412" s="9"/>
      <c r="N412" s="9"/>
      <c r="O412" s="9"/>
    </row>
    <row r="413">
      <c r="A413" s="9"/>
      <c r="E413" s="13"/>
      <c r="J413" s="121"/>
      <c r="M413" s="9"/>
      <c r="N413" s="9"/>
      <c r="O413" s="9"/>
    </row>
    <row r="414">
      <c r="A414" s="9"/>
      <c r="E414" s="13"/>
      <c r="J414" s="121"/>
      <c r="M414" s="9"/>
      <c r="N414" s="9"/>
      <c r="O414" s="9"/>
    </row>
    <row r="415">
      <c r="A415" s="9"/>
      <c r="E415" s="13"/>
      <c r="J415" s="121"/>
      <c r="M415" s="9"/>
      <c r="N415" s="9"/>
      <c r="O415" s="9"/>
    </row>
    <row r="416">
      <c r="A416" s="9"/>
      <c r="E416" s="13"/>
      <c r="J416" s="121"/>
      <c r="M416" s="9"/>
      <c r="N416" s="9"/>
      <c r="O416" s="9"/>
    </row>
    <row r="417">
      <c r="A417" s="9"/>
      <c r="E417" s="13"/>
      <c r="J417" s="121"/>
      <c r="M417" s="9"/>
      <c r="N417" s="9"/>
      <c r="O417" s="9"/>
    </row>
    <row r="418">
      <c r="A418" s="9"/>
      <c r="E418" s="13"/>
      <c r="J418" s="121"/>
      <c r="M418" s="9"/>
      <c r="N418" s="9"/>
      <c r="O418" s="9"/>
    </row>
    <row r="419">
      <c r="A419" s="9"/>
      <c r="E419" s="13"/>
      <c r="J419" s="121"/>
      <c r="M419" s="9"/>
      <c r="N419" s="9"/>
      <c r="O419" s="9"/>
    </row>
    <row r="420">
      <c r="A420" s="9"/>
      <c r="E420" s="13"/>
      <c r="J420" s="121"/>
      <c r="M420" s="9"/>
      <c r="N420" s="9"/>
      <c r="O420" s="9"/>
    </row>
    <row r="421">
      <c r="A421" s="9"/>
      <c r="E421" s="13"/>
      <c r="J421" s="121"/>
      <c r="M421" s="9"/>
      <c r="N421" s="9"/>
      <c r="O421" s="9"/>
    </row>
    <row r="422">
      <c r="A422" s="9"/>
      <c r="E422" s="13"/>
      <c r="J422" s="121"/>
      <c r="M422" s="9"/>
      <c r="N422" s="9"/>
      <c r="O422" s="9"/>
    </row>
    <row r="423">
      <c r="A423" s="9"/>
      <c r="E423" s="13"/>
      <c r="J423" s="121"/>
      <c r="M423" s="9"/>
      <c r="N423" s="9"/>
      <c r="O423" s="9"/>
    </row>
    <row r="424">
      <c r="A424" s="9"/>
      <c r="E424" s="13"/>
      <c r="J424" s="121"/>
      <c r="M424" s="9"/>
      <c r="N424" s="9"/>
      <c r="O424" s="9"/>
    </row>
    <row r="425">
      <c r="A425" s="9"/>
      <c r="E425" s="13"/>
      <c r="J425" s="121"/>
      <c r="M425" s="9"/>
      <c r="N425" s="9"/>
      <c r="O425" s="9"/>
    </row>
    <row r="426">
      <c r="A426" s="9"/>
      <c r="E426" s="13"/>
      <c r="J426" s="121"/>
      <c r="M426" s="9"/>
      <c r="N426" s="9"/>
      <c r="O426" s="9"/>
    </row>
    <row r="427">
      <c r="A427" s="9"/>
      <c r="E427" s="13"/>
      <c r="J427" s="121"/>
      <c r="M427" s="9"/>
      <c r="N427" s="9"/>
      <c r="O427" s="9"/>
    </row>
    <row r="428">
      <c r="A428" s="9"/>
      <c r="E428" s="13"/>
      <c r="J428" s="121"/>
      <c r="M428" s="9"/>
      <c r="N428" s="9"/>
      <c r="O428" s="9"/>
    </row>
    <row r="429">
      <c r="A429" s="9"/>
      <c r="E429" s="13"/>
      <c r="J429" s="121"/>
      <c r="M429" s="9"/>
      <c r="N429" s="9"/>
      <c r="O429" s="9"/>
    </row>
    <row r="430">
      <c r="A430" s="9"/>
      <c r="E430" s="13"/>
      <c r="J430" s="121"/>
      <c r="M430" s="9"/>
      <c r="N430" s="9"/>
      <c r="O430" s="9"/>
    </row>
    <row r="431">
      <c r="A431" s="9"/>
      <c r="E431" s="13"/>
      <c r="J431" s="121"/>
      <c r="M431" s="9"/>
      <c r="N431" s="9"/>
      <c r="O431" s="9"/>
    </row>
    <row r="432">
      <c r="A432" s="9"/>
      <c r="E432" s="13"/>
      <c r="J432" s="121"/>
      <c r="M432" s="9"/>
      <c r="N432" s="9"/>
      <c r="O432" s="9"/>
    </row>
    <row r="433">
      <c r="A433" s="9"/>
      <c r="E433" s="13"/>
      <c r="J433" s="121"/>
      <c r="M433" s="9"/>
      <c r="N433" s="9"/>
      <c r="O433" s="9"/>
    </row>
    <row r="434">
      <c r="A434" s="9"/>
      <c r="E434" s="13"/>
      <c r="J434" s="121"/>
      <c r="M434" s="9"/>
      <c r="N434" s="9"/>
      <c r="O434" s="9"/>
    </row>
    <row r="435">
      <c r="A435" s="9"/>
      <c r="E435" s="13"/>
      <c r="J435" s="121"/>
      <c r="M435" s="9"/>
      <c r="N435" s="9"/>
      <c r="O435" s="9"/>
    </row>
    <row r="436">
      <c r="A436" s="9"/>
      <c r="E436" s="13"/>
      <c r="J436" s="121"/>
      <c r="M436" s="9"/>
      <c r="N436" s="9"/>
      <c r="O436" s="9"/>
    </row>
    <row r="437">
      <c r="A437" s="9"/>
      <c r="E437" s="13"/>
      <c r="J437" s="121"/>
      <c r="M437" s="9"/>
      <c r="N437" s="9"/>
      <c r="O437" s="9"/>
    </row>
    <row r="438">
      <c r="A438" s="9"/>
      <c r="E438" s="13"/>
      <c r="J438" s="121"/>
      <c r="M438" s="9"/>
      <c r="N438" s="9"/>
      <c r="O438" s="9"/>
    </row>
    <row r="439">
      <c r="A439" s="9"/>
      <c r="E439" s="13"/>
      <c r="J439" s="121"/>
      <c r="M439" s="9"/>
      <c r="N439" s="9"/>
      <c r="O439" s="9"/>
    </row>
    <row r="440">
      <c r="A440" s="9"/>
      <c r="E440" s="13"/>
      <c r="J440" s="121"/>
      <c r="M440" s="9"/>
      <c r="N440" s="9"/>
      <c r="O440" s="9"/>
    </row>
    <row r="441">
      <c r="A441" s="9"/>
      <c r="E441" s="13"/>
      <c r="J441" s="121"/>
      <c r="M441" s="9"/>
      <c r="N441" s="9"/>
      <c r="O441" s="9"/>
    </row>
    <row r="442">
      <c r="A442" s="9"/>
      <c r="E442" s="13"/>
      <c r="J442" s="121"/>
      <c r="M442" s="9"/>
      <c r="N442" s="9"/>
      <c r="O442" s="9"/>
    </row>
    <row r="443">
      <c r="A443" s="9"/>
      <c r="E443" s="13"/>
      <c r="J443" s="121"/>
      <c r="M443" s="9"/>
      <c r="N443" s="9"/>
      <c r="O443" s="9"/>
    </row>
    <row r="444">
      <c r="A444" s="9"/>
      <c r="E444" s="13"/>
      <c r="J444" s="121"/>
      <c r="M444" s="9"/>
      <c r="N444" s="9"/>
      <c r="O444" s="9"/>
    </row>
    <row r="445">
      <c r="A445" s="9"/>
      <c r="E445" s="13"/>
      <c r="J445" s="121"/>
      <c r="M445" s="9"/>
      <c r="N445" s="9"/>
      <c r="O445" s="9"/>
    </row>
    <row r="446">
      <c r="A446" s="9"/>
      <c r="E446" s="13"/>
      <c r="J446" s="121"/>
      <c r="M446" s="9"/>
      <c r="N446" s="9"/>
      <c r="O446" s="9"/>
    </row>
    <row r="447">
      <c r="A447" s="9"/>
      <c r="E447" s="13"/>
      <c r="J447" s="121"/>
      <c r="M447" s="9"/>
      <c r="N447" s="9"/>
      <c r="O447" s="9"/>
    </row>
    <row r="448">
      <c r="A448" s="9"/>
      <c r="E448" s="13"/>
      <c r="J448" s="121"/>
      <c r="M448" s="9"/>
      <c r="N448" s="9"/>
      <c r="O448" s="9"/>
    </row>
    <row r="449">
      <c r="A449" s="9"/>
      <c r="E449" s="13"/>
      <c r="J449" s="121"/>
      <c r="M449" s="9"/>
      <c r="N449" s="9"/>
      <c r="O449" s="9"/>
    </row>
    <row r="450">
      <c r="A450" s="9"/>
      <c r="E450" s="13"/>
      <c r="J450" s="121"/>
      <c r="M450" s="9"/>
      <c r="N450" s="9"/>
      <c r="O450" s="9"/>
    </row>
    <row r="451">
      <c r="A451" s="9"/>
      <c r="E451" s="13"/>
      <c r="J451" s="121"/>
      <c r="M451" s="9"/>
      <c r="N451" s="9"/>
      <c r="O451" s="9"/>
    </row>
    <row r="452">
      <c r="A452" s="9"/>
      <c r="E452" s="13"/>
      <c r="J452" s="121"/>
      <c r="M452" s="9"/>
      <c r="N452" s="9"/>
      <c r="O452" s="9"/>
    </row>
    <row r="453">
      <c r="A453" s="9"/>
      <c r="E453" s="13"/>
      <c r="J453" s="121"/>
      <c r="M453" s="9"/>
      <c r="N453" s="9"/>
      <c r="O453" s="9"/>
    </row>
    <row r="454">
      <c r="A454" s="9"/>
      <c r="E454" s="13"/>
      <c r="J454" s="121"/>
      <c r="M454" s="9"/>
      <c r="N454" s="9"/>
      <c r="O454" s="9"/>
    </row>
    <row r="455">
      <c r="A455" s="9"/>
      <c r="E455" s="13"/>
      <c r="J455" s="121"/>
      <c r="M455" s="9"/>
      <c r="N455" s="9"/>
      <c r="O455" s="9"/>
    </row>
    <row r="456">
      <c r="A456" s="9"/>
      <c r="E456" s="13"/>
      <c r="J456" s="121"/>
      <c r="M456" s="9"/>
      <c r="N456" s="9"/>
      <c r="O456" s="9"/>
    </row>
    <row r="457">
      <c r="A457" s="9"/>
      <c r="E457" s="13"/>
      <c r="J457" s="121"/>
      <c r="M457" s="9"/>
      <c r="N457" s="9"/>
      <c r="O457" s="9"/>
    </row>
    <row r="458">
      <c r="A458" s="9"/>
      <c r="E458" s="13"/>
      <c r="J458" s="121"/>
      <c r="M458" s="9"/>
      <c r="N458" s="9"/>
      <c r="O458" s="9"/>
    </row>
    <row r="459">
      <c r="A459" s="9"/>
      <c r="E459" s="13"/>
      <c r="J459" s="121"/>
      <c r="M459" s="9"/>
      <c r="N459" s="9"/>
      <c r="O459" s="9"/>
    </row>
    <row r="460">
      <c r="A460" s="9"/>
      <c r="E460" s="13"/>
      <c r="J460" s="121"/>
      <c r="M460" s="9"/>
      <c r="N460" s="9"/>
      <c r="O460" s="9"/>
    </row>
    <row r="461">
      <c r="A461" s="9"/>
      <c r="E461" s="13"/>
      <c r="J461" s="121"/>
      <c r="M461" s="9"/>
      <c r="N461" s="9"/>
      <c r="O461" s="9"/>
    </row>
    <row r="462">
      <c r="A462" s="9"/>
      <c r="E462" s="13"/>
      <c r="J462" s="121"/>
      <c r="M462" s="9"/>
      <c r="N462" s="9"/>
      <c r="O462" s="9"/>
    </row>
    <row r="463">
      <c r="A463" s="9"/>
      <c r="E463" s="13"/>
      <c r="J463" s="121"/>
      <c r="M463" s="9"/>
      <c r="N463" s="9"/>
      <c r="O463" s="9"/>
    </row>
    <row r="464">
      <c r="A464" s="9"/>
      <c r="E464" s="13"/>
      <c r="J464" s="121"/>
      <c r="M464" s="9"/>
      <c r="N464" s="9"/>
      <c r="O464" s="9"/>
    </row>
    <row r="465">
      <c r="A465" s="9"/>
      <c r="E465" s="13"/>
      <c r="J465" s="121"/>
      <c r="M465" s="9"/>
      <c r="N465" s="9"/>
      <c r="O465" s="9"/>
    </row>
    <row r="466">
      <c r="A466" s="9"/>
      <c r="E466" s="13"/>
      <c r="J466" s="121"/>
      <c r="M466" s="9"/>
      <c r="N466" s="9"/>
      <c r="O466" s="9"/>
    </row>
    <row r="467">
      <c r="A467" s="9"/>
      <c r="E467" s="13"/>
      <c r="J467" s="121"/>
      <c r="M467" s="9"/>
      <c r="N467" s="9"/>
      <c r="O467" s="9"/>
    </row>
    <row r="468">
      <c r="A468" s="9"/>
      <c r="E468" s="13"/>
      <c r="J468" s="121"/>
      <c r="M468" s="9"/>
      <c r="N468" s="9"/>
      <c r="O468" s="9"/>
    </row>
    <row r="469">
      <c r="A469" s="9"/>
      <c r="E469" s="13"/>
      <c r="J469" s="121"/>
      <c r="M469" s="9"/>
      <c r="N469" s="9"/>
      <c r="O469" s="9"/>
    </row>
    <row r="470">
      <c r="A470" s="9"/>
      <c r="E470" s="13"/>
      <c r="J470" s="121"/>
      <c r="M470" s="9"/>
      <c r="N470" s="9"/>
      <c r="O470" s="9"/>
    </row>
    <row r="471">
      <c r="A471" s="9"/>
      <c r="E471" s="13"/>
      <c r="J471" s="121"/>
      <c r="M471" s="9"/>
      <c r="N471" s="9"/>
      <c r="O471" s="9"/>
    </row>
    <row r="472">
      <c r="A472" s="9"/>
      <c r="E472" s="13"/>
      <c r="J472" s="121"/>
      <c r="M472" s="9"/>
      <c r="N472" s="9"/>
      <c r="O472" s="9"/>
    </row>
    <row r="473">
      <c r="A473" s="9"/>
      <c r="E473" s="13"/>
      <c r="J473" s="121"/>
      <c r="M473" s="9"/>
      <c r="N473" s="9"/>
      <c r="O473" s="9"/>
    </row>
    <row r="474">
      <c r="A474" s="9"/>
      <c r="E474" s="13"/>
      <c r="J474" s="121"/>
      <c r="M474" s="9"/>
      <c r="N474" s="9"/>
      <c r="O474" s="9"/>
    </row>
    <row r="475">
      <c r="A475" s="9"/>
      <c r="E475" s="13"/>
      <c r="J475" s="121"/>
      <c r="M475" s="9"/>
      <c r="N475" s="9"/>
      <c r="O475" s="9"/>
    </row>
    <row r="476">
      <c r="A476" s="9"/>
      <c r="E476" s="13"/>
      <c r="J476" s="121"/>
      <c r="M476" s="9"/>
      <c r="N476" s="9"/>
      <c r="O476" s="9"/>
    </row>
    <row r="477">
      <c r="A477" s="9"/>
      <c r="E477" s="13"/>
      <c r="J477" s="121"/>
      <c r="M477" s="9"/>
      <c r="N477" s="9"/>
      <c r="O477" s="9"/>
    </row>
    <row r="478">
      <c r="A478" s="9"/>
      <c r="E478" s="13"/>
      <c r="J478" s="121"/>
      <c r="M478" s="9"/>
      <c r="N478" s="9"/>
      <c r="O478" s="9"/>
    </row>
    <row r="479">
      <c r="A479" s="9"/>
      <c r="E479" s="13"/>
      <c r="J479" s="121"/>
      <c r="M479" s="9"/>
      <c r="N479" s="9"/>
      <c r="O479" s="9"/>
    </row>
    <row r="480">
      <c r="A480" s="9"/>
      <c r="E480" s="13"/>
      <c r="J480" s="121"/>
      <c r="M480" s="9"/>
      <c r="N480" s="9"/>
      <c r="O480" s="9"/>
    </row>
    <row r="481">
      <c r="A481" s="9"/>
      <c r="E481" s="13"/>
      <c r="J481" s="121"/>
      <c r="M481" s="9"/>
      <c r="N481" s="9"/>
      <c r="O481" s="9"/>
    </row>
    <row r="482">
      <c r="A482" s="9"/>
      <c r="E482" s="13"/>
      <c r="J482" s="121"/>
      <c r="M482" s="9"/>
      <c r="N482" s="9"/>
      <c r="O482" s="9"/>
    </row>
    <row r="483">
      <c r="A483" s="9"/>
      <c r="E483" s="13"/>
      <c r="J483" s="121"/>
      <c r="M483" s="9"/>
      <c r="N483" s="9"/>
      <c r="O483" s="9"/>
    </row>
    <row r="484">
      <c r="A484" s="9"/>
      <c r="E484" s="13"/>
      <c r="J484" s="121"/>
      <c r="M484" s="9"/>
      <c r="N484" s="9"/>
      <c r="O484" s="9"/>
    </row>
    <row r="485">
      <c r="A485" s="9"/>
      <c r="E485" s="13"/>
      <c r="J485" s="121"/>
      <c r="M485" s="9"/>
      <c r="N485" s="9"/>
      <c r="O485" s="9"/>
    </row>
    <row r="486">
      <c r="A486" s="9"/>
      <c r="E486" s="13"/>
      <c r="J486" s="121"/>
      <c r="M486" s="9"/>
      <c r="N486" s="9"/>
      <c r="O486" s="9"/>
    </row>
    <row r="487">
      <c r="A487" s="9"/>
      <c r="E487" s="13"/>
      <c r="J487" s="121"/>
      <c r="M487" s="9"/>
      <c r="N487" s="9"/>
      <c r="O487" s="9"/>
    </row>
    <row r="488">
      <c r="A488" s="9"/>
      <c r="E488" s="13"/>
      <c r="J488" s="121"/>
      <c r="M488" s="9"/>
      <c r="N488" s="9"/>
      <c r="O488" s="9"/>
    </row>
    <row r="489">
      <c r="A489" s="9"/>
      <c r="E489" s="13"/>
      <c r="J489" s="121"/>
      <c r="M489" s="9"/>
      <c r="N489" s="9"/>
      <c r="O489" s="9"/>
    </row>
    <row r="490">
      <c r="A490" s="9"/>
      <c r="E490" s="13"/>
      <c r="J490" s="121"/>
      <c r="M490" s="9"/>
      <c r="N490" s="9"/>
      <c r="O490" s="9"/>
    </row>
    <row r="491">
      <c r="A491" s="9"/>
      <c r="E491" s="13"/>
      <c r="J491" s="121"/>
      <c r="M491" s="9"/>
      <c r="N491" s="9"/>
      <c r="O491" s="9"/>
    </row>
    <row r="492">
      <c r="A492" s="9"/>
      <c r="E492" s="13"/>
      <c r="J492" s="121"/>
      <c r="M492" s="9"/>
      <c r="N492" s="9"/>
      <c r="O492" s="9"/>
    </row>
    <row r="493">
      <c r="A493" s="9"/>
      <c r="E493" s="13"/>
      <c r="J493" s="121"/>
      <c r="M493" s="9"/>
      <c r="N493" s="9"/>
      <c r="O493" s="9"/>
    </row>
    <row r="494">
      <c r="A494" s="9"/>
      <c r="E494" s="13"/>
      <c r="J494" s="121"/>
      <c r="M494" s="9"/>
      <c r="N494" s="9"/>
      <c r="O494" s="9"/>
    </row>
    <row r="495">
      <c r="A495" s="9"/>
      <c r="E495" s="13"/>
      <c r="J495" s="121"/>
      <c r="M495" s="9"/>
      <c r="N495" s="9"/>
      <c r="O495" s="9"/>
    </row>
    <row r="496">
      <c r="A496" s="9"/>
      <c r="E496" s="13"/>
      <c r="J496" s="121"/>
      <c r="M496" s="9"/>
      <c r="N496" s="9"/>
      <c r="O496" s="9"/>
    </row>
    <row r="497">
      <c r="A497" s="9"/>
      <c r="E497" s="13"/>
      <c r="J497" s="121"/>
      <c r="M497" s="9"/>
      <c r="N497" s="9"/>
      <c r="O497" s="9"/>
    </row>
    <row r="498">
      <c r="A498" s="9"/>
      <c r="E498" s="13"/>
      <c r="J498" s="121"/>
      <c r="M498" s="9"/>
      <c r="N498" s="9"/>
      <c r="O498" s="9"/>
    </row>
    <row r="499">
      <c r="A499" s="9"/>
      <c r="E499" s="13"/>
      <c r="J499" s="121"/>
      <c r="M499" s="9"/>
      <c r="N499" s="9"/>
      <c r="O499" s="9"/>
    </row>
    <row r="500">
      <c r="A500" s="9"/>
      <c r="E500" s="13"/>
      <c r="J500" s="121"/>
      <c r="M500" s="9"/>
      <c r="N500" s="9"/>
      <c r="O500" s="9"/>
    </row>
    <row r="501">
      <c r="A501" s="9"/>
      <c r="E501" s="13"/>
      <c r="J501" s="121"/>
      <c r="M501" s="9"/>
      <c r="N501" s="9"/>
      <c r="O501" s="9"/>
    </row>
    <row r="502">
      <c r="A502" s="9"/>
      <c r="E502" s="13"/>
      <c r="J502" s="121"/>
      <c r="M502" s="9"/>
      <c r="N502" s="9"/>
      <c r="O502" s="9"/>
    </row>
    <row r="503">
      <c r="A503" s="9"/>
      <c r="E503" s="13"/>
      <c r="J503" s="121"/>
      <c r="M503" s="9"/>
      <c r="N503" s="9"/>
      <c r="O503" s="9"/>
    </row>
    <row r="504">
      <c r="A504" s="9"/>
      <c r="E504" s="13"/>
      <c r="J504" s="121"/>
      <c r="M504" s="9"/>
      <c r="N504" s="9"/>
      <c r="O504" s="9"/>
    </row>
    <row r="505">
      <c r="A505" s="9"/>
      <c r="E505" s="13"/>
      <c r="J505" s="121"/>
      <c r="M505" s="9"/>
      <c r="N505" s="9"/>
      <c r="O505" s="9"/>
    </row>
    <row r="506">
      <c r="A506" s="9"/>
      <c r="E506" s="13"/>
      <c r="J506" s="121"/>
      <c r="M506" s="9"/>
      <c r="N506" s="9"/>
      <c r="O506" s="9"/>
    </row>
    <row r="507">
      <c r="A507" s="9"/>
      <c r="E507" s="13"/>
      <c r="J507" s="121"/>
      <c r="M507" s="9"/>
      <c r="N507" s="9"/>
      <c r="O507" s="9"/>
    </row>
    <row r="508">
      <c r="A508" s="9"/>
      <c r="E508" s="13"/>
      <c r="J508" s="121"/>
      <c r="M508" s="9"/>
      <c r="N508" s="9"/>
      <c r="O508" s="9"/>
    </row>
    <row r="509">
      <c r="A509" s="9"/>
      <c r="E509" s="13"/>
      <c r="J509" s="121"/>
      <c r="M509" s="9"/>
      <c r="N509" s="9"/>
      <c r="O509" s="9"/>
    </row>
    <row r="510">
      <c r="A510" s="9"/>
      <c r="E510" s="13"/>
      <c r="J510" s="121"/>
      <c r="M510" s="9"/>
      <c r="N510" s="9"/>
      <c r="O510" s="9"/>
    </row>
    <row r="511">
      <c r="A511" s="9"/>
      <c r="E511" s="13"/>
      <c r="J511" s="121"/>
      <c r="M511" s="9"/>
      <c r="N511" s="9"/>
      <c r="O511" s="9"/>
    </row>
    <row r="512">
      <c r="A512" s="9"/>
      <c r="E512" s="13"/>
      <c r="J512" s="121"/>
      <c r="M512" s="9"/>
      <c r="N512" s="9"/>
      <c r="O512" s="9"/>
    </row>
    <row r="513">
      <c r="A513" s="9"/>
      <c r="E513" s="13"/>
      <c r="J513" s="121"/>
      <c r="M513" s="9"/>
      <c r="N513" s="9"/>
      <c r="O513" s="9"/>
    </row>
    <row r="514">
      <c r="A514" s="9"/>
      <c r="E514" s="13"/>
      <c r="J514" s="121"/>
      <c r="M514" s="9"/>
      <c r="N514" s="9"/>
      <c r="O514" s="9"/>
    </row>
    <row r="515">
      <c r="A515" s="9"/>
      <c r="E515" s="13"/>
      <c r="J515" s="121"/>
      <c r="M515" s="9"/>
      <c r="N515" s="9"/>
      <c r="O515" s="9"/>
    </row>
    <row r="516">
      <c r="A516" s="9"/>
      <c r="E516" s="13"/>
      <c r="J516" s="121"/>
      <c r="M516" s="9"/>
      <c r="N516" s="9"/>
      <c r="O516" s="9"/>
    </row>
    <row r="517">
      <c r="A517" s="9"/>
      <c r="E517" s="13"/>
      <c r="J517" s="121"/>
      <c r="M517" s="9"/>
      <c r="N517" s="9"/>
      <c r="O517" s="9"/>
    </row>
    <row r="518">
      <c r="A518" s="9"/>
      <c r="E518" s="13"/>
      <c r="J518" s="121"/>
      <c r="M518" s="9"/>
      <c r="N518" s="9"/>
      <c r="O518" s="9"/>
    </row>
    <row r="519">
      <c r="A519" s="9"/>
      <c r="E519" s="13"/>
      <c r="J519" s="121"/>
      <c r="M519" s="9"/>
      <c r="N519" s="9"/>
      <c r="O519" s="9"/>
    </row>
    <row r="520">
      <c r="A520" s="9"/>
      <c r="E520" s="13"/>
      <c r="J520" s="121"/>
      <c r="M520" s="9"/>
      <c r="N520" s="9"/>
      <c r="O520" s="9"/>
    </row>
    <row r="521">
      <c r="A521" s="9"/>
      <c r="E521" s="13"/>
      <c r="J521" s="121"/>
      <c r="M521" s="9"/>
      <c r="N521" s="9"/>
      <c r="O521" s="9"/>
    </row>
    <row r="522">
      <c r="A522" s="9"/>
      <c r="E522" s="13"/>
      <c r="J522" s="121"/>
      <c r="M522" s="9"/>
      <c r="N522" s="9"/>
      <c r="O522" s="9"/>
    </row>
    <row r="523">
      <c r="A523" s="9"/>
      <c r="E523" s="13"/>
      <c r="J523" s="121"/>
      <c r="M523" s="9"/>
      <c r="N523" s="9"/>
      <c r="O523" s="9"/>
    </row>
    <row r="524">
      <c r="A524" s="9"/>
      <c r="E524" s="13"/>
      <c r="J524" s="121"/>
      <c r="M524" s="9"/>
      <c r="N524" s="9"/>
      <c r="O524" s="9"/>
    </row>
    <row r="525">
      <c r="A525" s="9"/>
      <c r="E525" s="13"/>
      <c r="J525" s="121"/>
      <c r="M525" s="9"/>
      <c r="N525" s="9"/>
      <c r="O525" s="9"/>
    </row>
    <row r="526">
      <c r="A526" s="9"/>
      <c r="E526" s="13"/>
      <c r="J526" s="121"/>
      <c r="M526" s="9"/>
      <c r="N526" s="9"/>
      <c r="O526" s="9"/>
    </row>
    <row r="527">
      <c r="A527" s="9"/>
      <c r="E527" s="13"/>
      <c r="J527" s="121"/>
      <c r="M527" s="9"/>
      <c r="N527" s="9"/>
      <c r="O527" s="9"/>
    </row>
    <row r="528">
      <c r="A528" s="9"/>
      <c r="E528" s="13"/>
      <c r="J528" s="121"/>
      <c r="M528" s="9"/>
      <c r="N528" s="9"/>
      <c r="O528" s="9"/>
    </row>
    <row r="529">
      <c r="A529" s="9"/>
      <c r="E529" s="13"/>
      <c r="J529" s="121"/>
      <c r="M529" s="9"/>
      <c r="N529" s="9"/>
      <c r="O529" s="9"/>
    </row>
    <row r="530">
      <c r="A530" s="9"/>
      <c r="E530" s="13"/>
      <c r="J530" s="121"/>
      <c r="M530" s="9"/>
      <c r="N530" s="9"/>
      <c r="O530" s="9"/>
    </row>
    <row r="531">
      <c r="A531" s="9"/>
      <c r="E531" s="13"/>
      <c r="J531" s="121"/>
      <c r="M531" s="9"/>
      <c r="N531" s="9"/>
      <c r="O531" s="9"/>
    </row>
    <row r="532">
      <c r="A532" s="9"/>
      <c r="E532" s="13"/>
      <c r="J532" s="121"/>
      <c r="M532" s="9"/>
      <c r="N532" s="9"/>
      <c r="O532" s="9"/>
    </row>
    <row r="533">
      <c r="A533" s="9"/>
      <c r="E533" s="13"/>
      <c r="J533" s="121"/>
      <c r="M533" s="9"/>
      <c r="N533" s="9"/>
      <c r="O533" s="9"/>
    </row>
    <row r="534">
      <c r="A534" s="9"/>
      <c r="E534" s="13"/>
      <c r="J534" s="121"/>
      <c r="M534" s="9"/>
      <c r="N534" s="9"/>
      <c r="O534" s="9"/>
    </row>
    <row r="535">
      <c r="A535" s="9"/>
      <c r="E535" s="13"/>
      <c r="J535" s="121"/>
      <c r="M535" s="9"/>
      <c r="N535" s="9"/>
      <c r="O535" s="9"/>
    </row>
    <row r="536">
      <c r="A536" s="9"/>
      <c r="E536" s="13"/>
      <c r="J536" s="121"/>
      <c r="M536" s="9"/>
      <c r="N536" s="9"/>
      <c r="O536" s="9"/>
    </row>
    <row r="537">
      <c r="A537" s="9"/>
      <c r="E537" s="13"/>
      <c r="J537" s="121"/>
      <c r="M537" s="9"/>
      <c r="N537" s="9"/>
      <c r="O537" s="9"/>
    </row>
    <row r="538">
      <c r="A538" s="9"/>
      <c r="E538" s="13"/>
      <c r="J538" s="121"/>
      <c r="M538" s="9"/>
      <c r="N538" s="9"/>
      <c r="O538" s="9"/>
    </row>
    <row r="539">
      <c r="A539" s="9"/>
      <c r="E539" s="13"/>
      <c r="J539" s="121"/>
      <c r="M539" s="9"/>
      <c r="N539" s="9"/>
      <c r="O539" s="9"/>
    </row>
    <row r="540">
      <c r="A540" s="9"/>
      <c r="E540" s="13"/>
      <c r="J540" s="121"/>
      <c r="M540" s="9"/>
      <c r="N540" s="9"/>
      <c r="O540" s="9"/>
    </row>
    <row r="541">
      <c r="A541" s="9"/>
      <c r="E541" s="13"/>
      <c r="J541" s="121"/>
      <c r="M541" s="9"/>
      <c r="N541" s="9"/>
      <c r="O541" s="9"/>
    </row>
    <row r="542">
      <c r="A542" s="9"/>
      <c r="E542" s="13"/>
      <c r="J542" s="121"/>
      <c r="M542" s="9"/>
      <c r="N542" s="9"/>
      <c r="O542" s="9"/>
    </row>
    <row r="543">
      <c r="A543" s="9"/>
      <c r="E543" s="13"/>
      <c r="J543" s="121"/>
      <c r="M543" s="9"/>
      <c r="N543" s="9"/>
      <c r="O543" s="9"/>
    </row>
    <row r="544">
      <c r="A544" s="9"/>
      <c r="E544" s="13"/>
      <c r="J544" s="121"/>
      <c r="M544" s="9"/>
      <c r="N544" s="9"/>
      <c r="O544" s="9"/>
    </row>
    <row r="545">
      <c r="A545" s="9"/>
      <c r="E545" s="13"/>
      <c r="J545" s="121"/>
      <c r="M545" s="9"/>
      <c r="N545" s="9"/>
      <c r="O545" s="9"/>
    </row>
    <row r="546">
      <c r="A546" s="9"/>
      <c r="E546" s="13"/>
      <c r="J546" s="121"/>
      <c r="M546" s="9"/>
      <c r="N546" s="9"/>
      <c r="O546" s="9"/>
    </row>
    <row r="547">
      <c r="A547" s="9"/>
      <c r="E547" s="13"/>
      <c r="J547" s="121"/>
      <c r="M547" s="9"/>
      <c r="N547" s="9"/>
      <c r="O547" s="9"/>
    </row>
    <row r="548">
      <c r="A548" s="9"/>
      <c r="E548" s="13"/>
      <c r="J548" s="121"/>
      <c r="M548" s="9"/>
      <c r="N548" s="9"/>
      <c r="O548" s="9"/>
    </row>
    <row r="549">
      <c r="A549" s="9"/>
      <c r="E549" s="13"/>
      <c r="J549" s="121"/>
      <c r="M549" s="9"/>
      <c r="N549" s="9"/>
      <c r="O549" s="9"/>
    </row>
    <row r="550">
      <c r="A550" s="9"/>
      <c r="E550" s="13"/>
      <c r="J550" s="121"/>
      <c r="M550" s="9"/>
      <c r="N550" s="9"/>
      <c r="O550" s="9"/>
    </row>
    <row r="551">
      <c r="A551" s="9"/>
      <c r="E551" s="13"/>
      <c r="J551" s="121"/>
      <c r="M551" s="9"/>
      <c r="N551" s="9"/>
      <c r="O551" s="9"/>
    </row>
    <row r="552">
      <c r="A552" s="9"/>
      <c r="E552" s="13"/>
      <c r="J552" s="121"/>
      <c r="M552" s="9"/>
      <c r="N552" s="9"/>
      <c r="O552" s="9"/>
    </row>
    <row r="553">
      <c r="A553" s="9"/>
      <c r="E553" s="13"/>
      <c r="J553" s="121"/>
      <c r="M553" s="9"/>
      <c r="N553" s="9"/>
      <c r="O553" s="9"/>
    </row>
    <row r="554">
      <c r="A554" s="9"/>
      <c r="E554" s="13"/>
      <c r="J554" s="121"/>
      <c r="M554" s="9"/>
      <c r="N554" s="9"/>
      <c r="O554" s="9"/>
    </row>
    <row r="555">
      <c r="A555" s="9"/>
      <c r="E555" s="13"/>
      <c r="J555" s="121"/>
      <c r="M555" s="9"/>
      <c r="N555" s="9"/>
      <c r="O555" s="9"/>
    </row>
    <row r="556">
      <c r="A556" s="9"/>
      <c r="E556" s="13"/>
      <c r="J556" s="121"/>
      <c r="M556" s="9"/>
      <c r="N556" s="9"/>
      <c r="O556" s="9"/>
    </row>
    <row r="557">
      <c r="A557" s="9"/>
      <c r="E557" s="13"/>
      <c r="J557" s="121"/>
      <c r="M557" s="9"/>
      <c r="N557" s="9"/>
      <c r="O557" s="9"/>
    </row>
    <row r="558">
      <c r="A558" s="9"/>
      <c r="E558" s="13"/>
      <c r="J558" s="121"/>
      <c r="M558" s="9"/>
      <c r="N558" s="9"/>
      <c r="O558" s="9"/>
    </row>
    <row r="559">
      <c r="A559" s="9"/>
      <c r="E559" s="13"/>
      <c r="J559" s="121"/>
      <c r="M559" s="9"/>
      <c r="N559" s="9"/>
      <c r="O559" s="9"/>
    </row>
    <row r="560">
      <c r="A560" s="9"/>
      <c r="E560" s="13"/>
      <c r="J560" s="121"/>
      <c r="M560" s="9"/>
      <c r="N560" s="9"/>
      <c r="O560" s="9"/>
    </row>
    <row r="561">
      <c r="A561" s="9"/>
      <c r="E561" s="13"/>
      <c r="J561" s="121"/>
      <c r="M561" s="9"/>
      <c r="N561" s="9"/>
      <c r="O561" s="9"/>
    </row>
    <row r="562">
      <c r="A562" s="9"/>
      <c r="E562" s="13"/>
      <c r="J562" s="121"/>
      <c r="M562" s="9"/>
      <c r="N562" s="9"/>
      <c r="O562" s="9"/>
    </row>
    <row r="563">
      <c r="A563" s="9"/>
      <c r="E563" s="13"/>
      <c r="J563" s="121"/>
      <c r="M563" s="9"/>
      <c r="N563" s="9"/>
      <c r="O563" s="9"/>
    </row>
    <row r="564">
      <c r="A564" s="9"/>
      <c r="E564" s="13"/>
      <c r="J564" s="121"/>
      <c r="M564" s="9"/>
      <c r="N564" s="9"/>
      <c r="O564" s="9"/>
    </row>
    <row r="565">
      <c r="A565" s="9"/>
      <c r="E565" s="13"/>
      <c r="J565" s="121"/>
      <c r="M565" s="9"/>
      <c r="N565" s="9"/>
      <c r="O565" s="9"/>
    </row>
    <row r="566">
      <c r="A566" s="9"/>
      <c r="E566" s="13"/>
      <c r="J566" s="121"/>
      <c r="M566" s="9"/>
      <c r="N566" s="9"/>
      <c r="O566" s="9"/>
    </row>
    <row r="567">
      <c r="A567" s="9"/>
      <c r="E567" s="13"/>
      <c r="J567" s="121"/>
      <c r="M567" s="9"/>
      <c r="N567" s="9"/>
      <c r="O567" s="9"/>
    </row>
    <row r="568">
      <c r="A568" s="9"/>
      <c r="E568" s="13"/>
      <c r="J568" s="121"/>
      <c r="M568" s="9"/>
      <c r="N568" s="9"/>
      <c r="O568" s="9"/>
    </row>
    <row r="569">
      <c r="A569" s="9"/>
      <c r="E569" s="13"/>
      <c r="J569" s="121"/>
      <c r="M569" s="9"/>
      <c r="N569" s="9"/>
      <c r="O569" s="9"/>
    </row>
    <row r="570">
      <c r="A570" s="9"/>
      <c r="E570" s="13"/>
      <c r="J570" s="121"/>
      <c r="M570" s="9"/>
      <c r="N570" s="9"/>
      <c r="O570" s="9"/>
    </row>
    <row r="571">
      <c r="A571" s="9"/>
      <c r="E571" s="13"/>
      <c r="J571" s="121"/>
      <c r="M571" s="9"/>
      <c r="N571" s="9"/>
      <c r="O571" s="9"/>
    </row>
    <row r="572">
      <c r="A572" s="9"/>
      <c r="E572" s="13"/>
      <c r="J572" s="121"/>
      <c r="M572" s="9"/>
      <c r="N572" s="9"/>
      <c r="O572" s="9"/>
    </row>
    <row r="573">
      <c r="A573" s="9"/>
      <c r="E573" s="13"/>
      <c r="J573" s="121"/>
      <c r="M573" s="9"/>
      <c r="N573" s="9"/>
      <c r="O573" s="9"/>
    </row>
    <row r="574">
      <c r="A574" s="9"/>
      <c r="E574" s="13"/>
      <c r="J574" s="121"/>
      <c r="M574" s="9"/>
      <c r="N574" s="9"/>
      <c r="O574" s="9"/>
    </row>
    <row r="575">
      <c r="A575" s="9"/>
      <c r="E575" s="13"/>
      <c r="J575" s="121"/>
      <c r="M575" s="9"/>
      <c r="N575" s="9"/>
      <c r="O575" s="9"/>
    </row>
    <row r="576">
      <c r="A576" s="9"/>
      <c r="E576" s="13"/>
      <c r="J576" s="121"/>
      <c r="M576" s="9"/>
      <c r="N576" s="9"/>
      <c r="O576" s="9"/>
    </row>
    <row r="577">
      <c r="A577" s="9"/>
      <c r="E577" s="13"/>
      <c r="J577" s="121"/>
      <c r="M577" s="9"/>
      <c r="N577" s="9"/>
      <c r="O577" s="9"/>
    </row>
    <row r="578">
      <c r="A578" s="9"/>
      <c r="E578" s="13"/>
      <c r="J578" s="121"/>
      <c r="M578" s="9"/>
      <c r="N578" s="9"/>
      <c r="O578" s="9"/>
    </row>
    <row r="579">
      <c r="A579" s="9"/>
      <c r="E579" s="13"/>
      <c r="J579" s="121"/>
      <c r="M579" s="9"/>
      <c r="N579" s="9"/>
      <c r="O579" s="9"/>
    </row>
    <row r="580">
      <c r="A580" s="9"/>
      <c r="E580" s="13"/>
      <c r="J580" s="121"/>
      <c r="M580" s="9"/>
      <c r="N580" s="9"/>
      <c r="O580" s="9"/>
    </row>
    <row r="581">
      <c r="A581" s="9"/>
      <c r="E581" s="13"/>
      <c r="J581" s="121"/>
      <c r="M581" s="9"/>
      <c r="N581" s="9"/>
      <c r="O581" s="9"/>
    </row>
    <row r="582">
      <c r="A582" s="9"/>
      <c r="E582" s="13"/>
      <c r="J582" s="121"/>
      <c r="M582" s="9"/>
      <c r="N582" s="9"/>
      <c r="O582" s="9"/>
    </row>
    <row r="583">
      <c r="A583" s="9"/>
      <c r="E583" s="13"/>
      <c r="J583" s="121"/>
      <c r="M583" s="9"/>
      <c r="N583" s="9"/>
      <c r="O583" s="9"/>
    </row>
    <row r="584">
      <c r="A584" s="9"/>
      <c r="E584" s="13"/>
      <c r="J584" s="121"/>
      <c r="M584" s="9"/>
      <c r="N584" s="9"/>
      <c r="O584" s="9"/>
    </row>
    <row r="585">
      <c r="A585" s="9"/>
      <c r="E585" s="13"/>
      <c r="J585" s="121"/>
      <c r="M585" s="9"/>
      <c r="N585" s="9"/>
      <c r="O585" s="9"/>
    </row>
    <row r="586">
      <c r="A586" s="9"/>
      <c r="E586" s="13"/>
      <c r="J586" s="121"/>
      <c r="M586" s="9"/>
      <c r="N586" s="9"/>
      <c r="O586" s="9"/>
    </row>
    <row r="587">
      <c r="A587" s="9"/>
      <c r="E587" s="13"/>
      <c r="J587" s="121"/>
      <c r="M587" s="9"/>
      <c r="N587" s="9"/>
      <c r="O587" s="9"/>
    </row>
    <row r="588">
      <c r="A588" s="9"/>
      <c r="E588" s="13"/>
      <c r="J588" s="121"/>
      <c r="M588" s="9"/>
      <c r="N588" s="9"/>
      <c r="O588" s="9"/>
    </row>
    <row r="589">
      <c r="A589" s="9"/>
      <c r="E589" s="13"/>
      <c r="J589" s="121"/>
      <c r="M589" s="9"/>
      <c r="N589" s="9"/>
      <c r="O589" s="9"/>
    </row>
    <row r="590">
      <c r="A590" s="9"/>
      <c r="E590" s="13"/>
      <c r="J590" s="121"/>
      <c r="M590" s="9"/>
      <c r="N590" s="9"/>
      <c r="O590" s="9"/>
    </row>
    <row r="591">
      <c r="A591" s="9"/>
      <c r="E591" s="13"/>
      <c r="J591" s="121"/>
      <c r="M591" s="9"/>
      <c r="N591" s="9"/>
      <c r="O591" s="9"/>
    </row>
    <row r="592">
      <c r="A592" s="9"/>
      <c r="E592" s="13"/>
      <c r="J592" s="121"/>
      <c r="M592" s="9"/>
      <c r="N592" s="9"/>
      <c r="O592" s="9"/>
    </row>
    <row r="593">
      <c r="A593" s="9"/>
      <c r="E593" s="13"/>
      <c r="J593" s="121"/>
      <c r="M593" s="9"/>
      <c r="N593" s="9"/>
      <c r="O593" s="9"/>
    </row>
    <row r="594">
      <c r="A594" s="9"/>
      <c r="E594" s="13"/>
      <c r="J594" s="121"/>
      <c r="M594" s="9"/>
      <c r="N594" s="9"/>
      <c r="O594" s="9"/>
    </row>
    <row r="595">
      <c r="A595" s="9"/>
      <c r="E595" s="13"/>
      <c r="J595" s="121"/>
      <c r="M595" s="9"/>
      <c r="N595" s="9"/>
      <c r="O595" s="9"/>
    </row>
    <row r="596">
      <c r="A596" s="9"/>
      <c r="E596" s="13"/>
      <c r="J596" s="121"/>
      <c r="M596" s="9"/>
      <c r="N596" s="9"/>
      <c r="O596" s="9"/>
    </row>
    <row r="597">
      <c r="A597" s="9"/>
      <c r="E597" s="13"/>
      <c r="J597" s="121"/>
      <c r="M597" s="9"/>
      <c r="N597" s="9"/>
      <c r="O597" s="9"/>
    </row>
    <row r="598">
      <c r="A598" s="9"/>
      <c r="E598" s="13"/>
      <c r="J598" s="121"/>
      <c r="M598" s="9"/>
      <c r="N598" s="9"/>
      <c r="O598" s="9"/>
    </row>
    <row r="599">
      <c r="A599" s="9"/>
      <c r="E599" s="13"/>
      <c r="J599" s="121"/>
      <c r="M599" s="9"/>
      <c r="N599" s="9"/>
      <c r="O599" s="9"/>
    </row>
    <row r="600">
      <c r="A600" s="9"/>
      <c r="E600" s="13"/>
      <c r="J600" s="121"/>
      <c r="M600" s="9"/>
      <c r="N600" s="9"/>
      <c r="O600" s="9"/>
    </row>
    <row r="601">
      <c r="A601" s="9"/>
      <c r="E601" s="13"/>
      <c r="J601" s="121"/>
      <c r="M601" s="9"/>
      <c r="N601" s="9"/>
      <c r="O601" s="9"/>
    </row>
    <row r="602">
      <c r="A602" s="9"/>
      <c r="E602" s="13"/>
      <c r="J602" s="121"/>
      <c r="M602" s="9"/>
      <c r="N602" s="9"/>
      <c r="O602" s="9"/>
    </row>
    <row r="603">
      <c r="A603" s="9"/>
      <c r="E603" s="13"/>
      <c r="J603" s="121"/>
      <c r="M603" s="9"/>
      <c r="N603" s="9"/>
      <c r="O603" s="9"/>
    </row>
    <row r="604">
      <c r="A604" s="9"/>
      <c r="E604" s="13"/>
      <c r="J604" s="121"/>
      <c r="M604" s="9"/>
      <c r="N604" s="9"/>
      <c r="O604" s="9"/>
    </row>
    <row r="605">
      <c r="A605" s="9"/>
      <c r="E605" s="13"/>
      <c r="J605" s="121"/>
      <c r="M605" s="9"/>
      <c r="N605" s="9"/>
      <c r="O605" s="9"/>
    </row>
    <row r="606">
      <c r="A606" s="9"/>
      <c r="E606" s="13"/>
      <c r="J606" s="121"/>
      <c r="M606" s="9"/>
      <c r="N606" s="9"/>
      <c r="O606" s="9"/>
    </row>
    <row r="607">
      <c r="A607" s="9"/>
      <c r="E607" s="13"/>
      <c r="J607" s="121"/>
      <c r="M607" s="9"/>
      <c r="N607" s="9"/>
      <c r="O607" s="9"/>
    </row>
    <row r="608">
      <c r="A608" s="9"/>
      <c r="E608" s="13"/>
      <c r="J608" s="121"/>
      <c r="M608" s="9"/>
      <c r="N608" s="9"/>
      <c r="O608" s="9"/>
    </row>
    <row r="609">
      <c r="A609" s="9"/>
      <c r="E609" s="13"/>
      <c r="J609" s="121"/>
      <c r="M609" s="9"/>
      <c r="N609" s="9"/>
      <c r="O609" s="9"/>
    </row>
    <row r="610">
      <c r="A610" s="9"/>
      <c r="E610" s="13"/>
      <c r="J610" s="121"/>
      <c r="M610" s="9"/>
      <c r="N610" s="9"/>
      <c r="O610" s="9"/>
    </row>
    <row r="611">
      <c r="A611" s="9"/>
      <c r="E611" s="13"/>
      <c r="J611" s="121"/>
      <c r="M611" s="9"/>
      <c r="N611" s="9"/>
      <c r="O611" s="9"/>
    </row>
    <row r="612">
      <c r="A612" s="9"/>
      <c r="E612" s="13"/>
      <c r="J612" s="121"/>
      <c r="M612" s="9"/>
      <c r="N612" s="9"/>
      <c r="O612" s="9"/>
    </row>
    <row r="613">
      <c r="A613" s="9"/>
      <c r="E613" s="13"/>
      <c r="J613" s="121"/>
      <c r="M613" s="9"/>
      <c r="N613" s="9"/>
      <c r="O613" s="9"/>
    </row>
    <row r="614">
      <c r="A614" s="9"/>
      <c r="E614" s="13"/>
      <c r="J614" s="121"/>
      <c r="M614" s="9"/>
      <c r="N614" s="9"/>
      <c r="O614" s="9"/>
    </row>
    <row r="615">
      <c r="A615" s="9"/>
      <c r="E615" s="13"/>
      <c r="J615" s="121"/>
      <c r="M615" s="9"/>
      <c r="N615" s="9"/>
      <c r="O615" s="9"/>
    </row>
    <row r="616">
      <c r="A616" s="9"/>
      <c r="E616" s="13"/>
      <c r="J616" s="121"/>
      <c r="M616" s="9"/>
      <c r="N616" s="9"/>
      <c r="O616" s="9"/>
    </row>
    <row r="617">
      <c r="A617" s="9"/>
      <c r="E617" s="13"/>
      <c r="J617" s="121"/>
      <c r="M617" s="9"/>
      <c r="N617" s="9"/>
      <c r="O617" s="9"/>
    </row>
    <row r="618">
      <c r="A618" s="9"/>
      <c r="E618" s="13"/>
      <c r="J618" s="121"/>
      <c r="M618" s="9"/>
      <c r="N618" s="9"/>
      <c r="O618" s="9"/>
    </row>
    <row r="619">
      <c r="A619" s="9"/>
      <c r="E619" s="13"/>
      <c r="J619" s="121"/>
      <c r="M619" s="9"/>
      <c r="N619" s="9"/>
      <c r="O619" s="9"/>
    </row>
    <row r="620">
      <c r="A620" s="9"/>
      <c r="E620" s="13"/>
      <c r="J620" s="121"/>
      <c r="M620" s="9"/>
      <c r="N620" s="9"/>
      <c r="O620" s="9"/>
    </row>
    <row r="621">
      <c r="A621" s="9"/>
      <c r="E621" s="13"/>
      <c r="J621" s="121"/>
      <c r="M621" s="9"/>
      <c r="N621" s="9"/>
      <c r="O621" s="9"/>
    </row>
    <row r="622">
      <c r="A622" s="9"/>
      <c r="E622" s="13"/>
      <c r="J622" s="121"/>
      <c r="M622" s="9"/>
      <c r="N622" s="9"/>
      <c r="O622" s="9"/>
    </row>
    <row r="623">
      <c r="A623" s="9"/>
      <c r="E623" s="13"/>
      <c r="J623" s="121"/>
      <c r="M623" s="9"/>
      <c r="N623" s="9"/>
      <c r="O623" s="9"/>
    </row>
    <row r="624">
      <c r="A624" s="9"/>
      <c r="E624" s="13"/>
      <c r="J624" s="121"/>
      <c r="M624" s="9"/>
      <c r="N624" s="9"/>
      <c r="O624" s="9"/>
    </row>
    <row r="625">
      <c r="A625" s="9"/>
      <c r="E625" s="13"/>
      <c r="J625" s="121"/>
      <c r="M625" s="9"/>
      <c r="N625" s="9"/>
      <c r="O625" s="9"/>
    </row>
    <row r="626">
      <c r="A626" s="9"/>
      <c r="E626" s="13"/>
      <c r="J626" s="121"/>
      <c r="M626" s="9"/>
      <c r="N626" s="9"/>
      <c r="O626" s="9"/>
    </row>
    <row r="627">
      <c r="A627" s="9"/>
      <c r="E627" s="13"/>
      <c r="J627" s="121"/>
      <c r="M627" s="9"/>
      <c r="N627" s="9"/>
      <c r="O627" s="9"/>
    </row>
    <row r="628">
      <c r="A628" s="9"/>
      <c r="E628" s="13"/>
      <c r="J628" s="121"/>
      <c r="M628" s="9"/>
      <c r="N628" s="9"/>
      <c r="O628" s="9"/>
    </row>
    <row r="629">
      <c r="A629" s="9"/>
      <c r="E629" s="13"/>
      <c r="J629" s="121"/>
      <c r="M629" s="9"/>
      <c r="N629" s="9"/>
      <c r="O629" s="9"/>
    </row>
    <row r="630">
      <c r="A630" s="9"/>
      <c r="E630" s="13"/>
      <c r="J630" s="121"/>
      <c r="M630" s="9"/>
      <c r="N630" s="9"/>
      <c r="O630" s="9"/>
    </row>
    <row r="631">
      <c r="A631" s="9"/>
      <c r="E631" s="13"/>
      <c r="J631" s="121"/>
      <c r="M631" s="9"/>
      <c r="N631" s="9"/>
      <c r="O631" s="9"/>
    </row>
    <row r="632">
      <c r="A632" s="9"/>
      <c r="E632" s="13"/>
      <c r="J632" s="121"/>
      <c r="M632" s="9"/>
      <c r="N632" s="9"/>
      <c r="O632" s="9"/>
    </row>
    <row r="633">
      <c r="A633" s="9"/>
      <c r="E633" s="13"/>
      <c r="J633" s="121"/>
      <c r="M633" s="9"/>
      <c r="N633" s="9"/>
      <c r="O633" s="9"/>
    </row>
    <row r="634">
      <c r="A634" s="9"/>
      <c r="E634" s="13"/>
      <c r="J634" s="121"/>
      <c r="M634" s="9"/>
      <c r="N634" s="9"/>
      <c r="O634" s="9"/>
    </row>
    <row r="635">
      <c r="A635" s="9"/>
      <c r="E635" s="13"/>
      <c r="J635" s="121"/>
      <c r="M635" s="9"/>
      <c r="N635" s="9"/>
      <c r="O635" s="9"/>
    </row>
    <row r="636">
      <c r="A636" s="9"/>
      <c r="E636" s="13"/>
      <c r="J636" s="121"/>
      <c r="M636" s="9"/>
      <c r="N636" s="9"/>
      <c r="O636" s="9"/>
    </row>
    <row r="637">
      <c r="A637" s="9"/>
      <c r="E637" s="13"/>
      <c r="J637" s="121"/>
      <c r="M637" s="9"/>
      <c r="N637" s="9"/>
      <c r="O637" s="9"/>
    </row>
    <row r="638">
      <c r="A638" s="9"/>
      <c r="E638" s="13"/>
      <c r="J638" s="121"/>
      <c r="M638" s="9"/>
      <c r="N638" s="9"/>
      <c r="O638" s="9"/>
    </row>
    <row r="639">
      <c r="A639" s="9"/>
      <c r="E639" s="13"/>
      <c r="J639" s="121"/>
      <c r="M639" s="9"/>
      <c r="N639" s="9"/>
      <c r="O639" s="9"/>
    </row>
    <row r="640">
      <c r="A640" s="9"/>
      <c r="E640" s="13"/>
      <c r="J640" s="121"/>
      <c r="M640" s="9"/>
      <c r="N640" s="9"/>
      <c r="O640" s="9"/>
    </row>
    <row r="641">
      <c r="A641" s="9"/>
      <c r="E641" s="13"/>
      <c r="J641" s="121"/>
      <c r="M641" s="9"/>
      <c r="N641" s="9"/>
      <c r="O641" s="9"/>
    </row>
    <row r="642">
      <c r="A642" s="9"/>
      <c r="E642" s="13"/>
      <c r="J642" s="121"/>
      <c r="M642" s="9"/>
      <c r="N642" s="9"/>
      <c r="O642" s="9"/>
    </row>
    <row r="643">
      <c r="A643" s="9"/>
      <c r="E643" s="13"/>
      <c r="J643" s="121"/>
      <c r="M643" s="9"/>
      <c r="N643" s="9"/>
      <c r="O643" s="9"/>
    </row>
    <row r="644">
      <c r="A644" s="9"/>
      <c r="E644" s="13"/>
      <c r="J644" s="121"/>
      <c r="M644" s="9"/>
      <c r="N644" s="9"/>
      <c r="O644" s="9"/>
    </row>
    <row r="645">
      <c r="A645" s="9"/>
      <c r="E645" s="13"/>
      <c r="J645" s="121"/>
      <c r="M645" s="9"/>
      <c r="N645" s="9"/>
      <c r="O645" s="9"/>
    </row>
    <row r="646">
      <c r="A646" s="9"/>
      <c r="E646" s="13"/>
      <c r="J646" s="121"/>
      <c r="M646" s="9"/>
      <c r="N646" s="9"/>
      <c r="O646" s="9"/>
    </row>
    <row r="647">
      <c r="A647" s="9"/>
      <c r="E647" s="13"/>
      <c r="J647" s="121"/>
      <c r="M647" s="9"/>
      <c r="N647" s="9"/>
      <c r="O647" s="9"/>
    </row>
    <row r="648">
      <c r="A648" s="9"/>
      <c r="E648" s="13"/>
      <c r="J648" s="121"/>
      <c r="M648" s="9"/>
      <c r="N648" s="9"/>
      <c r="O648" s="9"/>
    </row>
    <row r="649">
      <c r="A649" s="9"/>
      <c r="E649" s="13"/>
      <c r="J649" s="121"/>
      <c r="M649" s="9"/>
      <c r="N649" s="9"/>
      <c r="O649" s="9"/>
    </row>
    <row r="650">
      <c r="A650" s="9"/>
      <c r="E650" s="13"/>
      <c r="J650" s="121"/>
      <c r="M650" s="9"/>
      <c r="N650" s="9"/>
      <c r="O650" s="9"/>
    </row>
    <row r="651">
      <c r="A651" s="9"/>
      <c r="E651" s="13"/>
      <c r="J651" s="121"/>
      <c r="M651" s="9"/>
      <c r="N651" s="9"/>
      <c r="O651" s="9"/>
    </row>
    <row r="652">
      <c r="A652" s="9"/>
      <c r="E652" s="13"/>
      <c r="J652" s="121"/>
      <c r="M652" s="9"/>
      <c r="N652" s="9"/>
      <c r="O652" s="9"/>
    </row>
    <row r="653">
      <c r="A653" s="9"/>
      <c r="E653" s="13"/>
      <c r="J653" s="121"/>
      <c r="M653" s="9"/>
      <c r="N653" s="9"/>
      <c r="O653" s="9"/>
    </row>
    <row r="654">
      <c r="A654" s="9"/>
      <c r="E654" s="13"/>
      <c r="J654" s="121"/>
      <c r="M654" s="9"/>
      <c r="N654" s="9"/>
      <c r="O654" s="9"/>
    </row>
    <row r="655">
      <c r="A655" s="9"/>
      <c r="E655" s="13"/>
      <c r="J655" s="121"/>
      <c r="M655" s="9"/>
      <c r="N655" s="9"/>
      <c r="O655" s="9"/>
    </row>
    <row r="656">
      <c r="A656" s="9"/>
      <c r="E656" s="13"/>
      <c r="J656" s="121"/>
      <c r="M656" s="9"/>
      <c r="N656" s="9"/>
      <c r="O656" s="9"/>
    </row>
    <row r="657">
      <c r="A657" s="9"/>
      <c r="E657" s="13"/>
      <c r="J657" s="121"/>
      <c r="M657" s="9"/>
      <c r="N657" s="9"/>
      <c r="O657" s="9"/>
    </row>
    <row r="658">
      <c r="A658" s="9"/>
      <c r="E658" s="13"/>
      <c r="J658" s="121"/>
      <c r="M658" s="9"/>
      <c r="N658" s="9"/>
      <c r="O658" s="9"/>
    </row>
    <row r="659">
      <c r="A659" s="9"/>
      <c r="E659" s="13"/>
      <c r="J659" s="121"/>
      <c r="M659" s="9"/>
      <c r="N659" s="9"/>
      <c r="O659" s="9"/>
    </row>
    <row r="660">
      <c r="A660" s="9"/>
      <c r="E660" s="13"/>
      <c r="J660" s="121"/>
      <c r="M660" s="9"/>
      <c r="N660" s="9"/>
      <c r="O660" s="9"/>
    </row>
    <row r="661">
      <c r="A661" s="9"/>
      <c r="E661" s="13"/>
      <c r="J661" s="121"/>
      <c r="M661" s="9"/>
      <c r="N661" s="9"/>
      <c r="O661" s="9"/>
    </row>
    <row r="662">
      <c r="A662" s="9"/>
      <c r="E662" s="13"/>
      <c r="J662" s="121"/>
      <c r="M662" s="9"/>
      <c r="N662" s="9"/>
      <c r="O662" s="9"/>
    </row>
    <row r="663">
      <c r="A663" s="9"/>
      <c r="E663" s="13"/>
      <c r="J663" s="121"/>
      <c r="M663" s="9"/>
      <c r="N663" s="9"/>
      <c r="O663" s="9"/>
    </row>
    <row r="664">
      <c r="A664" s="9"/>
      <c r="E664" s="13"/>
      <c r="J664" s="121"/>
      <c r="M664" s="9"/>
      <c r="N664" s="9"/>
      <c r="O664" s="9"/>
    </row>
    <row r="665">
      <c r="A665" s="9"/>
      <c r="E665" s="13"/>
      <c r="J665" s="121"/>
      <c r="M665" s="9"/>
      <c r="N665" s="9"/>
      <c r="O665" s="9"/>
    </row>
    <row r="666">
      <c r="A666" s="9"/>
      <c r="E666" s="13"/>
      <c r="J666" s="121"/>
      <c r="M666" s="9"/>
      <c r="N666" s="9"/>
      <c r="O666" s="9"/>
    </row>
    <row r="667">
      <c r="A667" s="9"/>
      <c r="E667" s="13"/>
      <c r="J667" s="121"/>
      <c r="M667" s="9"/>
      <c r="N667" s="9"/>
      <c r="O667" s="9"/>
    </row>
    <row r="668">
      <c r="A668" s="9"/>
      <c r="E668" s="13"/>
      <c r="J668" s="121"/>
      <c r="M668" s="9"/>
      <c r="N668" s="9"/>
      <c r="O668" s="9"/>
    </row>
    <row r="669">
      <c r="A669" s="9"/>
      <c r="E669" s="13"/>
      <c r="J669" s="121"/>
      <c r="M669" s="9"/>
      <c r="N669" s="9"/>
      <c r="O669" s="9"/>
    </row>
    <row r="670">
      <c r="A670" s="9"/>
      <c r="E670" s="13"/>
      <c r="J670" s="121"/>
      <c r="M670" s="9"/>
      <c r="N670" s="9"/>
      <c r="O670" s="9"/>
    </row>
    <row r="671">
      <c r="A671" s="9"/>
      <c r="E671" s="13"/>
      <c r="J671" s="121"/>
      <c r="M671" s="9"/>
      <c r="N671" s="9"/>
      <c r="O671" s="9"/>
    </row>
    <row r="672">
      <c r="A672" s="9"/>
      <c r="E672" s="13"/>
      <c r="J672" s="121"/>
      <c r="M672" s="9"/>
      <c r="N672" s="9"/>
      <c r="O672" s="9"/>
    </row>
    <row r="673">
      <c r="A673" s="9"/>
      <c r="E673" s="13"/>
      <c r="J673" s="121"/>
      <c r="M673" s="9"/>
      <c r="N673" s="9"/>
      <c r="O673" s="9"/>
    </row>
    <row r="674">
      <c r="A674" s="9"/>
      <c r="E674" s="13"/>
      <c r="J674" s="121"/>
      <c r="M674" s="9"/>
      <c r="N674" s="9"/>
      <c r="O674" s="9"/>
    </row>
    <row r="675">
      <c r="A675" s="9"/>
      <c r="E675" s="13"/>
      <c r="J675" s="121"/>
      <c r="M675" s="9"/>
      <c r="N675" s="9"/>
      <c r="O675" s="9"/>
    </row>
    <row r="676">
      <c r="A676" s="9"/>
      <c r="E676" s="13"/>
      <c r="J676" s="121"/>
      <c r="M676" s="9"/>
      <c r="N676" s="9"/>
      <c r="O676" s="9"/>
    </row>
    <row r="677">
      <c r="A677" s="9"/>
      <c r="E677" s="13"/>
      <c r="J677" s="121"/>
      <c r="M677" s="9"/>
      <c r="N677" s="9"/>
      <c r="O677" s="9"/>
    </row>
    <row r="678">
      <c r="A678" s="9"/>
      <c r="E678" s="13"/>
      <c r="J678" s="121"/>
      <c r="M678" s="9"/>
      <c r="N678" s="9"/>
      <c r="O678" s="9"/>
    </row>
    <row r="679">
      <c r="A679" s="9"/>
      <c r="E679" s="13"/>
      <c r="J679" s="121"/>
      <c r="M679" s="9"/>
      <c r="N679" s="9"/>
      <c r="O679" s="9"/>
    </row>
    <row r="680">
      <c r="A680" s="9"/>
      <c r="E680" s="13"/>
      <c r="J680" s="121"/>
      <c r="M680" s="9"/>
      <c r="N680" s="9"/>
      <c r="O680" s="9"/>
    </row>
    <row r="681">
      <c r="A681" s="9"/>
      <c r="E681" s="13"/>
      <c r="J681" s="121"/>
      <c r="M681" s="9"/>
      <c r="N681" s="9"/>
      <c r="O681" s="9"/>
    </row>
    <row r="682">
      <c r="A682" s="9"/>
      <c r="E682" s="13"/>
      <c r="J682" s="121"/>
      <c r="M682" s="9"/>
      <c r="N682" s="9"/>
      <c r="O682" s="9"/>
    </row>
    <row r="683">
      <c r="A683" s="9"/>
      <c r="E683" s="13"/>
      <c r="J683" s="121"/>
      <c r="M683" s="9"/>
      <c r="N683" s="9"/>
      <c r="O683" s="9"/>
    </row>
    <row r="684">
      <c r="A684" s="9"/>
      <c r="E684" s="13"/>
      <c r="J684" s="121"/>
      <c r="M684" s="9"/>
      <c r="N684" s="9"/>
      <c r="O684" s="9"/>
    </row>
    <row r="685">
      <c r="A685" s="9"/>
      <c r="E685" s="13"/>
      <c r="J685" s="121"/>
      <c r="M685" s="9"/>
      <c r="N685" s="9"/>
      <c r="O685" s="9"/>
    </row>
    <row r="686">
      <c r="A686" s="9"/>
      <c r="E686" s="13"/>
      <c r="J686" s="121"/>
      <c r="M686" s="9"/>
      <c r="N686" s="9"/>
      <c r="O686" s="9"/>
    </row>
    <row r="687">
      <c r="A687" s="9"/>
      <c r="E687" s="13"/>
      <c r="J687" s="121"/>
      <c r="M687" s="9"/>
      <c r="N687" s="9"/>
      <c r="O687" s="9"/>
    </row>
    <row r="688">
      <c r="A688" s="9"/>
      <c r="E688" s="13"/>
      <c r="J688" s="121"/>
      <c r="M688" s="9"/>
      <c r="N688" s="9"/>
      <c r="O688" s="9"/>
    </row>
    <row r="689">
      <c r="A689" s="9"/>
      <c r="E689" s="13"/>
      <c r="J689" s="121"/>
      <c r="M689" s="9"/>
      <c r="N689" s="9"/>
      <c r="O689" s="9"/>
    </row>
    <row r="690">
      <c r="A690" s="9"/>
      <c r="E690" s="13"/>
      <c r="J690" s="121"/>
      <c r="M690" s="9"/>
      <c r="N690" s="9"/>
      <c r="O690" s="9"/>
    </row>
    <row r="691">
      <c r="A691" s="9"/>
      <c r="E691" s="13"/>
      <c r="J691" s="121"/>
      <c r="M691" s="9"/>
      <c r="N691" s="9"/>
      <c r="O691" s="9"/>
    </row>
    <row r="692">
      <c r="A692" s="9"/>
      <c r="E692" s="13"/>
      <c r="J692" s="121"/>
      <c r="M692" s="9"/>
      <c r="N692" s="9"/>
      <c r="O692" s="9"/>
    </row>
    <row r="693">
      <c r="A693" s="9"/>
      <c r="E693" s="13"/>
      <c r="J693" s="121"/>
      <c r="M693" s="9"/>
      <c r="N693" s="9"/>
      <c r="O693" s="9"/>
    </row>
    <row r="694">
      <c r="A694" s="9"/>
      <c r="E694" s="13"/>
      <c r="J694" s="121"/>
      <c r="M694" s="9"/>
      <c r="N694" s="9"/>
      <c r="O694" s="9"/>
    </row>
    <row r="695">
      <c r="A695" s="9"/>
      <c r="E695" s="13"/>
      <c r="J695" s="121"/>
      <c r="M695" s="9"/>
      <c r="N695" s="9"/>
      <c r="O695" s="9"/>
    </row>
    <row r="696">
      <c r="A696" s="9"/>
      <c r="E696" s="13"/>
      <c r="J696" s="121"/>
      <c r="M696" s="9"/>
      <c r="N696" s="9"/>
      <c r="O696" s="9"/>
    </row>
    <row r="697">
      <c r="A697" s="9"/>
      <c r="E697" s="13"/>
      <c r="J697" s="121"/>
      <c r="M697" s="9"/>
      <c r="N697" s="9"/>
      <c r="O697" s="9"/>
    </row>
    <row r="698">
      <c r="A698" s="9"/>
      <c r="E698" s="13"/>
      <c r="J698" s="121"/>
      <c r="M698" s="9"/>
      <c r="N698" s="9"/>
      <c r="O698" s="9"/>
    </row>
    <row r="699">
      <c r="A699" s="9"/>
      <c r="E699" s="13"/>
      <c r="J699" s="121"/>
      <c r="M699" s="9"/>
      <c r="N699" s="9"/>
      <c r="O699" s="9"/>
    </row>
    <row r="700">
      <c r="A700" s="9"/>
      <c r="E700" s="13"/>
      <c r="J700" s="121"/>
      <c r="M700" s="9"/>
      <c r="N700" s="9"/>
      <c r="O700" s="9"/>
    </row>
    <row r="701">
      <c r="A701" s="9"/>
      <c r="E701" s="13"/>
      <c r="J701" s="121"/>
      <c r="M701" s="9"/>
      <c r="N701" s="9"/>
      <c r="O701" s="9"/>
    </row>
    <row r="702">
      <c r="A702" s="9"/>
      <c r="E702" s="13"/>
      <c r="J702" s="121"/>
      <c r="M702" s="9"/>
      <c r="N702" s="9"/>
      <c r="O702" s="9"/>
    </row>
    <row r="703">
      <c r="A703" s="9"/>
      <c r="E703" s="13"/>
      <c r="J703" s="121"/>
      <c r="M703" s="9"/>
      <c r="N703" s="9"/>
      <c r="O703" s="9"/>
    </row>
    <row r="704">
      <c r="A704" s="9"/>
      <c r="E704" s="13"/>
      <c r="J704" s="121"/>
      <c r="M704" s="9"/>
      <c r="N704" s="9"/>
      <c r="O704" s="9"/>
    </row>
    <row r="705">
      <c r="A705" s="9"/>
      <c r="E705" s="13"/>
      <c r="J705" s="121"/>
      <c r="M705" s="9"/>
      <c r="N705" s="9"/>
      <c r="O705" s="9"/>
    </row>
    <row r="706">
      <c r="A706" s="9"/>
      <c r="E706" s="13"/>
      <c r="J706" s="121"/>
      <c r="M706" s="9"/>
      <c r="N706" s="9"/>
      <c r="O706" s="9"/>
    </row>
    <row r="707">
      <c r="A707" s="9"/>
      <c r="E707" s="13"/>
      <c r="J707" s="121"/>
      <c r="M707" s="9"/>
      <c r="N707" s="9"/>
      <c r="O707" s="9"/>
    </row>
    <row r="708">
      <c r="A708" s="9"/>
      <c r="E708" s="13"/>
      <c r="J708" s="121"/>
      <c r="M708" s="9"/>
      <c r="N708" s="9"/>
      <c r="O708" s="9"/>
    </row>
    <row r="709">
      <c r="A709" s="9"/>
      <c r="E709" s="13"/>
      <c r="J709" s="121"/>
      <c r="M709" s="9"/>
      <c r="N709" s="9"/>
      <c r="O709" s="9"/>
    </row>
    <row r="710">
      <c r="A710" s="9"/>
      <c r="E710" s="13"/>
      <c r="J710" s="121"/>
      <c r="M710" s="9"/>
      <c r="N710" s="9"/>
      <c r="O710" s="9"/>
    </row>
    <row r="711">
      <c r="A711" s="9"/>
      <c r="E711" s="13"/>
      <c r="J711" s="121"/>
      <c r="M711" s="9"/>
      <c r="N711" s="9"/>
      <c r="O711" s="9"/>
    </row>
    <row r="712">
      <c r="A712" s="9"/>
      <c r="E712" s="13"/>
      <c r="J712" s="121"/>
      <c r="M712" s="9"/>
      <c r="N712" s="9"/>
      <c r="O712" s="9"/>
    </row>
    <row r="713">
      <c r="A713" s="9"/>
      <c r="E713" s="13"/>
      <c r="J713" s="121"/>
      <c r="M713" s="9"/>
      <c r="N713" s="9"/>
      <c r="O713" s="9"/>
    </row>
    <row r="714">
      <c r="A714" s="9"/>
      <c r="E714" s="13"/>
      <c r="J714" s="121"/>
      <c r="M714" s="9"/>
      <c r="N714" s="9"/>
      <c r="O714" s="9"/>
    </row>
    <row r="715">
      <c r="A715" s="9"/>
      <c r="E715" s="13"/>
      <c r="J715" s="121"/>
      <c r="M715" s="9"/>
      <c r="N715" s="9"/>
      <c r="O715" s="9"/>
    </row>
    <row r="716">
      <c r="A716" s="9"/>
      <c r="E716" s="13"/>
      <c r="J716" s="121"/>
      <c r="M716" s="9"/>
      <c r="N716" s="9"/>
      <c r="O716" s="9"/>
    </row>
    <row r="717">
      <c r="A717" s="9"/>
      <c r="E717" s="13"/>
      <c r="J717" s="121"/>
      <c r="M717" s="9"/>
      <c r="N717" s="9"/>
      <c r="O717" s="9"/>
    </row>
    <row r="718">
      <c r="A718" s="9"/>
      <c r="E718" s="13"/>
      <c r="J718" s="121"/>
      <c r="M718" s="9"/>
      <c r="N718" s="9"/>
      <c r="O718" s="9"/>
    </row>
    <row r="719">
      <c r="A719" s="9"/>
      <c r="E719" s="13"/>
      <c r="J719" s="121"/>
      <c r="M719" s="9"/>
      <c r="N719" s="9"/>
      <c r="O719" s="9"/>
    </row>
    <row r="720">
      <c r="A720" s="9"/>
      <c r="E720" s="13"/>
      <c r="J720" s="121"/>
      <c r="M720" s="9"/>
      <c r="N720" s="9"/>
      <c r="O720" s="9"/>
    </row>
    <row r="721">
      <c r="A721" s="9"/>
      <c r="E721" s="13"/>
      <c r="J721" s="121"/>
      <c r="M721" s="9"/>
      <c r="N721" s="9"/>
      <c r="O721" s="9"/>
    </row>
    <row r="722">
      <c r="A722" s="9"/>
      <c r="E722" s="13"/>
      <c r="J722" s="121"/>
      <c r="M722" s="9"/>
      <c r="N722" s="9"/>
      <c r="O722" s="9"/>
    </row>
    <row r="723">
      <c r="A723" s="9"/>
      <c r="E723" s="13"/>
      <c r="J723" s="121"/>
      <c r="M723" s="9"/>
      <c r="N723" s="9"/>
      <c r="O723" s="9"/>
    </row>
    <row r="724">
      <c r="A724" s="9"/>
      <c r="E724" s="13"/>
      <c r="J724" s="121"/>
      <c r="M724" s="9"/>
      <c r="N724" s="9"/>
      <c r="O724" s="9"/>
    </row>
    <row r="725">
      <c r="A725" s="9"/>
      <c r="E725" s="13"/>
      <c r="J725" s="121"/>
      <c r="M725" s="9"/>
      <c r="N725" s="9"/>
      <c r="O725" s="9"/>
    </row>
    <row r="726">
      <c r="A726" s="9"/>
      <c r="E726" s="13"/>
      <c r="J726" s="121"/>
      <c r="M726" s="9"/>
      <c r="N726" s="9"/>
      <c r="O726" s="9"/>
    </row>
    <row r="727">
      <c r="A727" s="9"/>
      <c r="E727" s="13"/>
      <c r="J727" s="121"/>
      <c r="M727" s="9"/>
      <c r="N727" s="9"/>
      <c r="O727" s="9"/>
    </row>
    <row r="728">
      <c r="A728" s="9"/>
      <c r="E728" s="13"/>
      <c r="J728" s="121"/>
      <c r="M728" s="9"/>
      <c r="N728" s="9"/>
      <c r="O728" s="9"/>
    </row>
    <row r="729">
      <c r="A729" s="9"/>
      <c r="E729" s="13"/>
      <c r="J729" s="121"/>
      <c r="M729" s="9"/>
      <c r="N729" s="9"/>
      <c r="O729" s="9"/>
    </row>
    <row r="730">
      <c r="A730" s="9"/>
      <c r="E730" s="13"/>
      <c r="J730" s="121"/>
      <c r="M730" s="9"/>
      <c r="N730" s="9"/>
      <c r="O730" s="9"/>
    </row>
    <row r="731">
      <c r="A731" s="9"/>
      <c r="E731" s="13"/>
      <c r="J731" s="121"/>
      <c r="M731" s="9"/>
      <c r="N731" s="9"/>
      <c r="O731" s="9"/>
    </row>
    <row r="732">
      <c r="A732" s="9"/>
      <c r="E732" s="13"/>
      <c r="J732" s="121"/>
      <c r="M732" s="9"/>
      <c r="N732" s="9"/>
      <c r="O732" s="9"/>
    </row>
    <row r="733">
      <c r="A733" s="9"/>
      <c r="E733" s="13"/>
      <c r="J733" s="121"/>
      <c r="M733" s="9"/>
      <c r="N733" s="9"/>
      <c r="O733" s="9"/>
    </row>
    <row r="734">
      <c r="A734" s="9"/>
      <c r="E734" s="13"/>
      <c r="J734" s="121"/>
      <c r="M734" s="9"/>
      <c r="N734" s="9"/>
      <c r="O734" s="9"/>
    </row>
    <row r="735">
      <c r="A735" s="9"/>
      <c r="E735" s="13"/>
      <c r="J735" s="121"/>
      <c r="M735" s="9"/>
      <c r="N735" s="9"/>
      <c r="O735" s="9"/>
    </row>
    <row r="736">
      <c r="A736" s="9"/>
      <c r="E736" s="13"/>
      <c r="J736" s="121"/>
      <c r="M736" s="9"/>
      <c r="N736" s="9"/>
      <c r="O736" s="9"/>
    </row>
    <row r="737">
      <c r="A737" s="9"/>
      <c r="E737" s="13"/>
      <c r="J737" s="121"/>
      <c r="M737" s="9"/>
      <c r="N737" s="9"/>
      <c r="O737" s="9"/>
    </row>
    <row r="738">
      <c r="A738" s="9"/>
      <c r="E738" s="13"/>
      <c r="J738" s="121"/>
      <c r="M738" s="9"/>
      <c r="N738" s="9"/>
      <c r="O738" s="9"/>
    </row>
    <row r="739">
      <c r="A739" s="9"/>
      <c r="E739" s="13"/>
      <c r="J739" s="121"/>
      <c r="M739" s="9"/>
      <c r="N739" s="9"/>
      <c r="O739" s="9"/>
    </row>
    <row r="740">
      <c r="A740" s="9"/>
      <c r="E740" s="13"/>
      <c r="J740" s="121"/>
      <c r="M740" s="9"/>
      <c r="N740" s="9"/>
      <c r="O740" s="9"/>
    </row>
    <row r="741">
      <c r="A741" s="9"/>
      <c r="E741" s="13"/>
      <c r="J741" s="121"/>
      <c r="M741" s="9"/>
      <c r="N741" s="9"/>
      <c r="O741" s="9"/>
    </row>
    <row r="742">
      <c r="A742" s="9"/>
      <c r="E742" s="13"/>
      <c r="J742" s="121"/>
      <c r="M742" s="9"/>
      <c r="N742" s="9"/>
      <c r="O742" s="9"/>
    </row>
    <row r="743">
      <c r="A743" s="9"/>
      <c r="E743" s="13"/>
      <c r="J743" s="121"/>
      <c r="M743" s="9"/>
      <c r="N743" s="9"/>
      <c r="O743" s="9"/>
    </row>
    <row r="744">
      <c r="A744" s="9"/>
      <c r="E744" s="13"/>
      <c r="J744" s="121"/>
      <c r="M744" s="9"/>
      <c r="N744" s="9"/>
      <c r="O744" s="9"/>
    </row>
    <row r="745">
      <c r="A745" s="9"/>
      <c r="E745" s="13"/>
      <c r="J745" s="121"/>
      <c r="M745" s="9"/>
      <c r="N745" s="9"/>
      <c r="O745" s="9"/>
    </row>
    <row r="746">
      <c r="A746" s="9"/>
      <c r="E746" s="13"/>
      <c r="J746" s="121"/>
      <c r="M746" s="9"/>
      <c r="N746" s="9"/>
      <c r="O746" s="9"/>
    </row>
    <row r="747">
      <c r="A747" s="9"/>
      <c r="E747" s="13"/>
      <c r="J747" s="121"/>
      <c r="M747" s="9"/>
      <c r="N747" s="9"/>
      <c r="O747" s="9"/>
    </row>
    <row r="748">
      <c r="A748" s="9"/>
      <c r="E748" s="13"/>
      <c r="J748" s="121"/>
      <c r="M748" s="9"/>
      <c r="N748" s="9"/>
      <c r="O748" s="9"/>
    </row>
    <row r="749">
      <c r="A749" s="9"/>
      <c r="E749" s="13"/>
      <c r="J749" s="121"/>
      <c r="M749" s="9"/>
      <c r="N749" s="9"/>
      <c r="O749" s="9"/>
    </row>
    <row r="750">
      <c r="A750" s="9"/>
      <c r="E750" s="13"/>
      <c r="J750" s="121"/>
      <c r="M750" s="9"/>
      <c r="N750" s="9"/>
      <c r="O750" s="9"/>
    </row>
    <row r="751">
      <c r="A751" s="9"/>
      <c r="E751" s="13"/>
      <c r="J751" s="121"/>
      <c r="M751" s="9"/>
      <c r="N751" s="9"/>
      <c r="O751" s="9"/>
    </row>
    <row r="752">
      <c r="A752" s="9"/>
      <c r="E752" s="13"/>
      <c r="J752" s="121"/>
      <c r="M752" s="9"/>
      <c r="N752" s="9"/>
      <c r="O752" s="9"/>
    </row>
    <row r="753">
      <c r="A753" s="9"/>
      <c r="E753" s="13"/>
      <c r="J753" s="121"/>
      <c r="M753" s="9"/>
      <c r="N753" s="9"/>
      <c r="O753" s="9"/>
    </row>
    <row r="754">
      <c r="A754" s="9"/>
      <c r="E754" s="13"/>
      <c r="J754" s="121"/>
      <c r="M754" s="9"/>
      <c r="N754" s="9"/>
      <c r="O754" s="9"/>
    </row>
    <row r="755">
      <c r="A755" s="9"/>
      <c r="E755" s="13"/>
      <c r="J755" s="121"/>
      <c r="M755" s="9"/>
      <c r="N755" s="9"/>
      <c r="O755" s="9"/>
    </row>
    <row r="756">
      <c r="A756" s="9"/>
      <c r="E756" s="13"/>
      <c r="J756" s="121"/>
      <c r="M756" s="9"/>
      <c r="N756" s="9"/>
      <c r="O756" s="9"/>
    </row>
    <row r="757">
      <c r="A757" s="9"/>
      <c r="E757" s="13"/>
      <c r="J757" s="121"/>
      <c r="M757" s="9"/>
      <c r="N757" s="9"/>
      <c r="O757" s="9"/>
    </row>
    <row r="758">
      <c r="A758" s="9"/>
      <c r="E758" s="13"/>
      <c r="J758" s="121"/>
      <c r="M758" s="9"/>
      <c r="N758" s="9"/>
      <c r="O758" s="9"/>
    </row>
    <row r="759">
      <c r="A759" s="9"/>
      <c r="E759" s="13"/>
      <c r="J759" s="121"/>
      <c r="M759" s="9"/>
      <c r="N759" s="9"/>
      <c r="O759" s="9"/>
    </row>
    <row r="760">
      <c r="A760" s="9"/>
      <c r="E760" s="13"/>
      <c r="J760" s="121"/>
      <c r="M760" s="9"/>
      <c r="N760" s="9"/>
      <c r="O760" s="9"/>
    </row>
    <row r="761">
      <c r="A761" s="9"/>
      <c r="E761" s="13"/>
      <c r="J761" s="121"/>
      <c r="M761" s="9"/>
      <c r="N761" s="9"/>
      <c r="O761" s="9"/>
    </row>
    <row r="762">
      <c r="A762" s="9"/>
      <c r="E762" s="13"/>
      <c r="J762" s="121"/>
      <c r="M762" s="9"/>
      <c r="N762" s="9"/>
      <c r="O762" s="9"/>
    </row>
    <row r="763">
      <c r="A763" s="9"/>
      <c r="E763" s="13"/>
      <c r="J763" s="121"/>
      <c r="M763" s="9"/>
      <c r="N763" s="9"/>
      <c r="O763" s="9"/>
    </row>
    <row r="764">
      <c r="A764" s="9"/>
      <c r="E764" s="13"/>
      <c r="J764" s="121"/>
      <c r="M764" s="9"/>
      <c r="N764" s="9"/>
      <c r="O764" s="9"/>
    </row>
    <row r="765">
      <c r="A765" s="9"/>
      <c r="E765" s="13"/>
      <c r="J765" s="121"/>
      <c r="M765" s="9"/>
      <c r="N765" s="9"/>
      <c r="O765" s="9"/>
    </row>
    <row r="766">
      <c r="A766" s="9"/>
      <c r="E766" s="13"/>
      <c r="J766" s="121"/>
      <c r="M766" s="9"/>
      <c r="N766" s="9"/>
      <c r="O766" s="9"/>
    </row>
    <row r="767">
      <c r="A767" s="9"/>
      <c r="E767" s="13"/>
      <c r="J767" s="121"/>
      <c r="M767" s="9"/>
      <c r="N767" s="9"/>
      <c r="O767" s="9"/>
    </row>
    <row r="768">
      <c r="A768" s="9"/>
      <c r="E768" s="13"/>
      <c r="J768" s="121"/>
      <c r="M768" s="9"/>
      <c r="N768" s="9"/>
      <c r="O768" s="9"/>
    </row>
    <row r="769">
      <c r="A769" s="9"/>
      <c r="E769" s="13"/>
      <c r="J769" s="121"/>
      <c r="M769" s="9"/>
      <c r="N769" s="9"/>
      <c r="O769" s="9"/>
    </row>
    <row r="770">
      <c r="A770" s="9"/>
      <c r="E770" s="13"/>
      <c r="J770" s="121"/>
      <c r="M770" s="9"/>
      <c r="N770" s="9"/>
      <c r="O770" s="9"/>
    </row>
    <row r="771">
      <c r="A771" s="9"/>
      <c r="E771" s="13"/>
      <c r="J771" s="121"/>
      <c r="M771" s="9"/>
      <c r="N771" s="9"/>
      <c r="O771" s="9"/>
    </row>
    <row r="772">
      <c r="A772" s="9"/>
      <c r="E772" s="13"/>
      <c r="J772" s="121"/>
      <c r="M772" s="9"/>
      <c r="N772" s="9"/>
      <c r="O772" s="9"/>
    </row>
    <row r="773">
      <c r="A773" s="9"/>
      <c r="E773" s="13"/>
      <c r="J773" s="121"/>
      <c r="M773" s="9"/>
      <c r="N773" s="9"/>
      <c r="O773" s="9"/>
    </row>
    <row r="774">
      <c r="A774" s="9"/>
      <c r="E774" s="13"/>
      <c r="J774" s="121"/>
      <c r="M774" s="9"/>
      <c r="N774" s="9"/>
      <c r="O774" s="9"/>
    </row>
    <row r="775">
      <c r="A775" s="9"/>
      <c r="E775" s="13"/>
      <c r="J775" s="121"/>
      <c r="M775" s="9"/>
      <c r="N775" s="9"/>
      <c r="O775" s="9"/>
    </row>
    <row r="776">
      <c r="A776" s="9"/>
      <c r="E776" s="13"/>
      <c r="J776" s="121"/>
      <c r="M776" s="9"/>
      <c r="N776" s="9"/>
      <c r="O776" s="9"/>
    </row>
    <row r="777">
      <c r="A777" s="9"/>
      <c r="E777" s="13"/>
      <c r="J777" s="121"/>
      <c r="M777" s="9"/>
      <c r="N777" s="9"/>
      <c r="O777" s="9"/>
    </row>
    <row r="778">
      <c r="A778" s="9"/>
      <c r="E778" s="13"/>
      <c r="J778" s="121"/>
      <c r="M778" s="9"/>
      <c r="N778" s="9"/>
      <c r="O778" s="9"/>
    </row>
    <row r="779">
      <c r="A779" s="9"/>
      <c r="E779" s="13"/>
      <c r="J779" s="121"/>
      <c r="M779" s="9"/>
      <c r="N779" s="9"/>
      <c r="O779" s="9"/>
    </row>
    <row r="780">
      <c r="A780" s="9"/>
      <c r="E780" s="13"/>
      <c r="J780" s="121"/>
      <c r="M780" s="9"/>
      <c r="N780" s="9"/>
      <c r="O780" s="9"/>
    </row>
    <row r="781">
      <c r="A781" s="9"/>
      <c r="E781" s="13"/>
      <c r="J781" s="121"/>
      <c r="M781" s="9"/>
      <c r="N781" s="9"/>
      <c r="O781" s="9"/>
    </row>
    <row r="782">
      <c r="A782" s="9"/>
      <c r="E782" s="13"/>
      <c r="J782" s="121"/>
      <c r="M782" s="9"/>
      <c r="N782" s="9"/>
      <c r="O782" s="9"/>
    </row>
    <row r="783">
      <c r="A783" s="9"/>
      <c r="E783" s="13"/>
      <c r="J783" s="121"/>
      <c r="M783" s="9"/>
      <c r="N783" s="9"/>
      <c r="O783" s="9"/>
    </row>
    <row r="784">
      <c r="A784" s="9"/>
      <c r="E784" s="13"/>
      <c r="J784" s="121"/>
      <c r="M784" s="9"/>
      <c r="N784" s="9"/>
      <c r="O784" s="9"/>
    </row>
    <row r="785">
      <c r="A785" s="9"/>
      <c r="E785" s="13"/>
      <c r="J785" s="121"/>
      <c r="M785" s="9"/>
      <c r="N785" s="9"/>
      <c r="O785" s="9"/>
    </row>
    <row r="786">
      <c r="A786" s="9"/>
      <c r="E786" s="13"/>
      <c r="J786" s="121"/>
      <c r="M786" s="9"/>
      <c r="N786" s="9"/>
      <c r="O786" s="9"/>
    </row>
    <row r="787">
      <c r="A787" s="9"/>
      <c r="E787" s="13"/>
      <c r="J787" s="121"/>
      <c r="M787" s="9"/>
      <c r="N787" s="9"/>
      <c r="O787" s="9"/>
    </row>
    <row r="788">
      <c r="A788" s="9"/>
      <c r="E788" s="13"/>
      <c r="J788" s="121"/>
      <c r="M788" s="9"/>
      <c r="N788" s="9"/>
      <c r="O788" s="9"/>
    </row>
    <row r="789">
      <c r="A789" s="9"/>
      <c r="E789" s="13"/>
      <c r="J789" s="121"/>
      <c r="M789" s="9"/>
      <c r="N789" s="9"/>
      <c r="O789" s="9"/>
    </row>
    <row r="790">
      <c r="A790" s="9"/>
      <c r="E790" s="13"/>
      <c r="J790" s="121"/>
      <c r="M790" s="9"/>
      <c r="N790" s="9"/>
      <c r="O790" s="9"/>
    </row>
    <row r="791">
      <c r="A791" s="9"/>
      <c r="E791" s="13"/>
      <c r="J791" s="121"/>
      <c r="M791" s="9"/>
      <c r="N791" s="9"/>
      <c r="O791" s="9"/>
    </row>
    <row r="792">
      <c r="A792" s="9"/>
      <c r="E792" s="13"/>
      <c r="J792" s="121"/>
      <c r="M792" s="9"/>
      <c r="N792" s="9"/>
      <c r="O792" s="9"/>
    </row>
    <row r="793">
      <c r="A793" s="9"/>
      <c r="E793" s="13"/>
      <c r="J793" s="121"/>
      <c r="M793" s="9"/>
      <c r="N793" s="9"/>
      <c r="O793" s="9"/>
    </row>
    <row r="794">
      <c r="A794" s="9"/>
      <c r="E794" s="13"/>
      <c r="J794" s="121"/>
      <c r="M794" s="9"/>
      <c r="N794" s="9"/>
      <c r="O794" s="9"/>
    </row>
    <row r="795">
      <c r="A795" s="9"/>
      <c r="E795" s="13"/>
      <c r="J795" s="121"/>
      <c r="M795" s="9"/>
      <c r="N795" s="9"/>
      <c r="O795" s="9"/>
    </row>
    <row r="796">
      <c r="A796" s="9"/>
      <c r="E796" s="13"/>
      <c r="J796" s="121"/>
      <c r="M796" s="9"/>
      <c r="N796" s="9"/>
      <c r="O796" s="9"/>
    </row>
    <row r="797">
      <c r="A797" s="9"/>
      <c r="E797" s="13"/>
      <c r="J797" s="121"/>
      <c r="M797" s="9"/>
      <c r="N797" s="9"/>
      <c r="O797" s="9"/>
    </row>
    <row r="798">
      <c r="A798" s="9"/>
      <c r="E798" s="13"/>
      <c r="J798" s="121"/>
      <c r="M798" s="9"/>
      <c r="N798" s="9"/>
      <c r="O798" s="9"/>
    </row>
    <row r="799">
      <c r="A799" s="9"/>
      <c r="E799" s="13"/>
      <c r="J799" s="121"/>
      <c r="M799" s="9"/>
      <c r="N799" s="9"/>
      <c r="O799" s="9"/>
    </row>
    <row r="800">
      <c r="A800" s="9"/>
      <c r="E800" s="13"/>
      <c r="J800" s="121"/>
      <c r="M800" s="9"/>
      <c r="N800" s="9"/>
      <c r="O800" s="9"/>
    </row>
    <row r="801">
      <c r="A801" s="9"/>
      <c r="E801" s="13"/>
      <c r="J801" s="121"/>
      <c r="M801" s="9"/>
      <c r="N801" s="9"/>
      <c r="O801" s="9"/>
    </row>
    <row r="802">
      <c r="A802" s="9"/>
      <c r="E802" s="13"/>
      <c r="J802" s="121"/>
      <c r="M802" s="9"/>
      <c r="N802" s="9"/>
      <c r="O802" s="9"/>
    </row>
    <row r="803">
      <c r="A803" s="9"/>
      <c r="E803" s="13"/>
      <c r="J803" s="121"/>
      <c r="M803" s="9"/>
      <c r="N803" s="9"/>
      <c r="O803" s="9"/>
    </row>
    <row r="804">
      <c r="A804" s="9"/>
      <c r="E804" s="13"/>
      <c r="J804" s="121"/>
      <c r="M804" s="9"/>
      <c r="N804" s="9"/>
      <c r="O804" s="9"/>
    </row>
    <row r="805">
      <c r="A805" s="9"/>
      <c r="E805" s="13"/>
      <c r="J805" s="121"/>
      <c r="M805" s="9"/>
      <c r="N805" s="9"/>
      <c r="O805" s="9"/>
    </row>
    <row r="806">
      <c r="A806" s="9"/>
      <c r="E806" s="13"/>
      <c r="J806" s="121"/>
      <c r="M806" s="9"/>
      <c r="N806" s="9"/>
      <c r="O806" s="9"/>
    </row>
    <row r="807">
      <c r="A807" s="9"/>
      <c r="E807" s="13"/>
      <c r="J807" s="121"/>
      <c r="M807" s="9"/>
      <c r="N807" s="9"/>
      <c r="O807" s="9"/>
    </row>
    <row r="808">
      <c r="A808" s="9"/>
      <c r="E808" s="13"/>
      <c r="J808" s="121"/>
      <c r="M808" s="9"/>
      <c r="N808" s="9"/>
      <c r="O808" s="9"/>
    </row>
    <row r="809">
      <c r="A809" s="9"/>
      <c r="E809" s="13"/>
      <c r="J809" s="121"/>
      <c r="M809" s="9"/>
      <c r="N809" s="9"/>
      <c r="O809" s="9"/>
    </row>
    <row r="810">
      <c r="A810" s="9"/>
      <c r="E810" s="13"/>
      <c r="J810" s="121"/>
      <c r="M810" s="9"/>
      <c r="N810" s="9"/>
      <c r="O810" s="9"/>
    </row>
    <row r="811">
      <c r="A811" s="9"/>
      <c r="E811" s="13"/>
      <c r="J811" s="121"/>
      <c r="M811" s="9"/>
      <c r="N811" s="9"/>
      <c r="O811" s="9"/>
    </row>
    <row r="812">
      <c r="A812" s="9"/>
      <c r="E812" s="13"/>
      <c r="J812" s="121"/>
      <c r="M812" s="9"/>
      <c r="N812" s="9"/>
      <c r="O812" s="9"/>
    </row>
    <row r="813">
      <c r="A813" s="9"/>
      <c r="E813" s="13"/>
      <c r="J813" s="121"/>
      <c r="M813" s="9"/>
      <c r="N813" s="9"/>
      <c r="O813" s="9"/>
    </row>
    <row r="814">
      <c r="A814" s="9"/>
      <c r="E814" s="13"/>
      <c r="J814" s="121"/>
      <c r="M814" s="9"/>
      <c r="N814" s="9"/>
      <c r="O814" s="9"/>
    </row>
    <row r="815">
      <c r="A815" s="9"/>
      <c r="E815" s="13"/>
      <c r="J815" s="121"/>
      <c r="M815" s="9"/>
      <c r="N815" s="9"/>
      <c r="O815" s="9"/>
    </row>
    <row r="816">
      <c r="A816" s="9"/>
      <c r="E816" s="13"/>
      <c r="J816" s="121"/>
      <c r="M816" s="9"/>
      <c r="N816" s="9"/>
      <c r="O816" s="9"/>
    </row>
    <row r="817">
      <c r="A817" s="9"/>
      <c r="E817" s="13"/>
      <c r="J817" s="121"/>
      <c r="M817" s="9"/>
      <c r="N817" s="9"/>
      <c r="O817" s="9"/>
    </row>
    <row r="818">
      <c r="A818" s="9"/>
      <c r="E818" s="13"/>
      <c r="J818" s="121"/>
      <c r="M818" s="9"/>
      <c r="N818" s="9"/>
      <c r="O818" s="9"/>
    </row>
    <row r="819">
      <c r="A819" s="9"/>
      <c r="E819" s="13"/>
      <c r="J819" s="121"/>
      <c r="M819" s="9"/>
      <c r="N819" s="9"/>
      <c r="O819" s="9"/>
    </row>
    <row r="820">
      <c r="A820" s="9"/>
      <c r="E820" s="13"/>
      <c r="J820" s="121"/>
      <c r="M820" s="9"/>
      <c r="N820" s="9"/>
      <c r="O820" s="9"/>
    </row>
    <row r="821">
      <c r="A821" s="9"/>
      <c r="E821" s="13"/>
      <c r="J821" s="121"/>
      <c r="M821" s="9"/>
      <c r="N821" s="9"/>
      <c r="O821" s="9"/>
    </row>
    <row r="822">
      <c r="A822" s="9"/>
      <c r="E822" s="13"/>
      <c r="J822" s="121"/>
      <c r="M822" s="9"/>
      <c r="N822" s="9"/>
      <c r="O822" s="9"/>
    </row>
    <row r="823">
      <c r="A823" s="9"/>
      <c r="E823" s="13"/>
      <c r="J823" s="121"/>
      <c r="M823" s="9"/>
      <c r="N823" s="9"/>
      <c r="O823" s="9"/>
    </row>
    <row r="824">
      <c r="A824" s="9"/>
      <c r="E824" s="13"/>
      <c r="J824" s="121"/>
      <c r="M824" s="9"/>
      <c r="N824" s="9"/>
      <c r="O824" s="9"/>
    </row>
    <row r="825">
      <c r="A825" s="9"/>
      <c r="E825" s="13"/>
      <c r="J825" s="121"/>
      <c r="M825" s="9"/>
      <c r="N825" s="9"/>
      <c r="O825" s="9"/>
    </row>
    <row r="826">
      <c r="A826" s="9"/>
      <c r="E826" s="13"/>
      <c r="J826" s="121"/>
      <c r="M826" s="9"/>
      <c r="N826" s="9"/>
      <c r="O826" s="9"/>
    </row>
    <row r="827">
      <c r="A827" s="9"/>
      <c r="E827" s="13"/>
      <c r="J827" s="121"/>
      <c r="M827" s="9"/>
      <c r="N827" s="9"/>
      <c r="O827" s="9"/>
    </row>
    <row r="828">
      <c r="A828" s="9"/>
      <c r="E828" s="13"/>
      <c r="J828" s="121"/>
      <c r="M828" s="9"/>
      <c r="N828" s="9"/>
      <c r="O828" s="9"/>
    </row>
    <row r="829">
      <c r="A829" s="9"/>
      <c r="E829" s="13"/>
      <c r="J829" s="121"/>
      <c r="M829" s="9"/>
      <c r="N829" s="9"/>
      <c r="O829" s="9"/>
    </row>
    <row r="830">
      <c r="A830" s="9"/>
      <c r="E830" s="13"/>
      <c r="J830" s="121"/>
      <c r="M830" s="9"/>
      <c r="N830" s="9"/>
      <c r="O830" s="9"/>
    </row>
    <row r="831">
      <c r="A831" s="9"/>
      <c r="E831" s="13"/>
      <c r="J831" s="121"/>
      <c r="M831" s="9"/>
      <c r="N831" s="9"/>
      <c r="O831" s="9"/>
    </row>
    <row r="832">
      <c r="A832" s="9"/>
      <c r="E832" s="13"/>
      <c r="J832" s="121"/>
      <c r="M832" s="9"/>
      <c r="N832" s="9"/>
      <c r="O832" s="9"/>
    </row>
    <row r="833">
      <c r="A833" s="9"/>
      <c r="E833" s="13"/>
      <c r="J833" s="121"/>
      <c r="M833" s="9"/>
      <c r="N833" s="9"/>
      <c r="O833" s="9"/>
    </row>
    <row r="834">
      <c r="A834" s="9"/>
      <c r="E834" s="13"/>
      <c r="J834" s="121"/>
      <c r="M834" s="9"/>
      <c r="N834" s="9"/>
      <c r="O834" s="9"/>
    </row>
    <row r="835">
      <c r="A835" s="9"/>
      <c r="E835" s="13"/>
      <c r="J835" s="121"/>
      <c r="M835" s="9"/>
      <c r="N835" s="9"/>
      <c r="O835" s="9"/>
    </row>
    <row r="836">
      <c r="A836" s="9"/>
      <c r="E836" s="13"/>
      <c r="J836" s="121"/>
      <c r="M836" s="9"/>
      <c r="N836" s="9"/>
      <c r="O836" s="9"/>
    </row>
    <row r="837">
      <c r="A837" s="9"/>
      <c r="E837" s="13"/>
      <c r="J837" s="121"/>
      <c r="M837" s="9"/>
      <c r="N837" s="9"/>
      <c r="O837" s="9"/>
    </row>
    <row r="838">
      <c r="A838" s="9"/>
      <c r="E838" s="13"/>
      <c r="J838" s="121"/>
      <c r="M838" s="9"/>
      <c r="N838" s="9"/>
      <c r="O838" s="9"/>
    </row>
    <row r="839">
      <c r="A839" s="9"/>
      <c r="E839" s="13"/>
      <c r="J839" s="121"/>
      <c r="M839" s="9"/>
      <c r="N839" s="9"/>
      <c r="O839" s="9"/>
    </row>
    <row r="840">
      <c r="A840" s="9"/>
      <c r="E840" s="13"/>
      <c r="J840" s="121"/>
      <c r="M840" s="9"/>
      <c r="N840" s="9"/>
      <c r="O840" s="9"/>
    </row>
    <row r="841">
      <c r="A841" s="9"/>
      <c r="E841" s="13"/>
      <c r="J841" s="121"/>
      <c r="M841" s="9"/>
      <c r="N841" s="9"/>
      <c r="O841" s="9"/>
    </row>
    <row r="842">
      <c r="A842" s="9"/>
      <c r="E842" s="13"/>
      <c r="J842" s="121"/>
      <c r="M842" s="9"/>
      <c r="N842" s="9"/>
      <c r="O842" s="9"/>
    </row>
    <row r="843">
      <c r="A843" s="9"/>
      <c r="E843" s="13"/>
      <c r="J843" s="121"/>
      <c r="M843" s="9"/>
      <c r="N843" s="9"/>
      <c r="O843" s="9"/>
    </row>
    <row r="844">
      <c r="A844" s="9"/>
      <c r="E844" s="13"/>
      <c r="J844" s="121"/>
      <c r="M844" s="9"/>
      <c r="N844" s="9"/>
      <c r="O844" s="9"/>
    </row>
    <row r="845">
      <c r="A845" s="9"/>
      <c r="E845" s="13"/>
      <c r="J845" s="121"/>
      <c r="M845" s="9"/>
      <c r="N845" s="9"/>
      <c r="O845" s="9"/>
    </row>
    <row r="846">
      <c r="A846" s="9"/>
      <c r="E846" s="13"/>
      <c r="J846" s="121"/>
      <c r="M846" s="9"/>
      <c r="N846" s="9"/>
      <c r="O846" s="9"/>
    </row>
    <row r="847">
      <c r="A847" s="9"/>
      <c r="E847" s="13"/>
      <c r="J847" s="121"/>
      <c r="M847" s="9"/>
      <c r="N847" s="9"/>
      <c r="O847" s="9"/>
    </row>
    <row r="848">
      <c r="A848" s="9"/>
      <c r="E848" s="13"/>
      <c r="J848" s="121"/>
      <c r="M848" s="9"/>
      <c r="N848" s="9"/>
      <c r="O848" s="9"/>
    </row>
    <row r="849">
      <c r="A849" s="9"/>
      <c r="E849" s="13"/>
      <c r="J849" s="121"/>
      <c r="M849" s="9"/>
      <c r="N849" s="9"/>
      <c r="O849" s="9"/>
    </row>
    <row r="850">
      <c r="A850" s="9"/>
      <c r="E850" s="13"/>
      <c r="J850" s="121"/>
      <c r="M850" s="9"/>
      <c r="N850" s="9"/>
      <c r="O850" s="9"/>
    </row>
    <row r="851">
      <c r="A851" s="9"/>
      <c r="E851" s="13"/>
      <c r="J851" s="121"/>
      <c r="M851" s="9"/>
      <c r="N851" s="9"/>
      <c r="O851" s="9"/>
    </row>
    <row r="852">
      <c r="A852" s="9"/>
      <c r="E852" s="13"/>
      <c r="J852" s="121"/>
      <c r="M852" s="9"/>
      <c r="N852" s="9"/>
      <c r="O852" s="9"/>
    </row>
    <row r="853">
      <c r="A853" s="9"/>
      <c r="E853" s="13"/>
      <c r="J853" s="121"/>
      <c r="M853" s="9"/>
      <c r="N853" s="9"/>
      <c r="O853" s="9"/>
    </row>
    <row r="854">
      <c r="A854" s="9"/>
      <c r="E854" s="13"/>
      <c r="J854" s="121"/>
      <c r="M854" s="9"/>
      <c r="N854" s="9"/>
      <c r="O854" s="9"/>
    </row>
    <row r="855">
      <c r="A855" s="9"/>
      <c r="E855" s="13"/>
      <c r="J855" s="121"/>
      <c r="M855" s="9"/>
      <c r="N855" s="9"/>
      <c r="O855" s="9"/>
    </row>
    <row r="856">
      <c r="A856" s="9"/>
      <c r="E856" s="13"/>
      <c r="J856" s="121"/>
      <c r="M856" s="9"/>
      <c r="N856" s="9"/>
      <c r="O856" s="9"/>
    </row>
    <row r="857">
      <c r="A857" s="9"/>
      <c r="E857" s="13"/>
      <c r="J857" s="121"/>
      <c r="M857" s="9"/>
      <c r="N857" s="9"/>
      <c r="O857" s="9"/>
    </row>
    <row r="858">
      <c r="A858" s="9"/>
      <c r="E858" s="13"/>
      <c r="J858" s="121"/>
      <c r="M858" s="9"/>
      <c r="N858" s="9"/>
      <c r="O858" s="9"/>
    </row>
    <row r="859">
      <c r="A859" s="9"/>
      <c r="E859" s="13"/>
      <c r="J859" s="121"/>
      <c r="M859" s="9"/>
      <c r="N859" s="9"/>
      <c r="O859" s="9"/>
    </row>
    <row r="860">
      <c r="A860" s="9"/>
      <c r="E860" s="13"/>
      <c r="J860" s="121"/>
      <c r="M860" s="9"/>
      <c r="N860" s="9"/>
      <c r="O860" s="9"/>
    </row>
    <row r="861">
      <c r="A861" s="9"/>
      <c r="E861" s="13"/>
      <c r="J861" s="121"/>
      <c r="M861" s="9"/>
      <c r="N861" s="9"/>
      <c r="O861" s="9"/>
    </row>
    <row r="862">
      <c r="A862" s="9"/>
      <c r="E862" s="13"/>
      <c r="J862" s="121"/>
      <c r="M862" s="9"/>
      <c r="N862" s="9"/>
      <c r="O862" s="9"/>
    </row>
    <row r="863">
      <c r="A863" s="9"/>
      <c r="E863" s="13"/>
      <c r="J863" s="121"/>
      <c r="M863" s="9"/>
      <c r="N863" s="9"/>
      <c r="O863" s="9"/>
    </row>
    <row r="864">
      <c r="A864" s="9"/>
      <c r="E864" s="13"/>
      <c r="J864" s="121"/>
      <c r="M864" s="9"/>
      <c r="N864" s="9"/>
      <c r="O864" s="9"/>
    </row>
    <row r="865">
      <c r="A865" s="9"/>
      <c r="E865" s="13"/>
      <c r="J865" s="121"/>
      <c r="M865" s="9"/>
      <c r="N865" s="9"/>
      <c r="O865" s="9"/>
    </row>
    <row r="866">
      <c r="A866" s="9"/>
      <c r="E866" s="13"/>
      <c r="J866" s="121"/>
      <c r="M866" s="9"/>
      <c r="N866" s="9"/>
      <c r="O866" s="9"/>
    </row>
    <row r="867">
      <c r="A867" s="9"/>
      <c r="E867" s="13"/>
      <c r="J867" s="121"/>
      <c r="M867" s="9"/>
      <c r="N867" s="9"/>
      <c r="O867" s="9"/>
    </row>
    <row r="868">
      <c r="A868" s="9"/>
      <c r="E868" s="13"/>
      <c r="J868" s="121"/>
      <c r="M868" s="9"/>
      <c r="N868" s="9"/>
      <c r="O868" s="9"/>
    </row>
    <row r="869">
      <c r="A869" s="9"/>
      <c r="E869" s="13"/>
      <c r="J869" s="121"/>
      <c r="M869" s="9"/>
      <c r="N869" s="9"/>
      <c r="O869" s="9"/>
    </row>
    <row r="870">
      <c r="A870" s="9"/>
      <c r="E870" s="13"/>
      <c r="J870" s="121"/>
      <c r="M870" s="9"/>
      <c r="N870" s="9"/>
      <c r="O870" s="9"/>
    </row>
    <row r="871">
      <c r="A871" s="9"/>
      <c r="E871" s="13"/>
      <c r="J871" s="121"/>
      <c r="M871" s="9"/>
      <c r="N871" s="9"/>
      <c r="O871" s="9"/>
    </row>
    <row r="872">
      <c r="A872" s="9"/>
      <c r="E872" s="13"/>
      <c r="J872" s="121"/>
      <c r="M872" s="9"/>
      <c r="N872" s="9"/>
      <c r="O872" s="9"/>
    </row>
    <row r="873">
      <c r="A873" s="9"/>
      <c r="E873" s="13"/>
      <c r="J873" s="121"/>
      <c r="M873" s="9"/>
      <c r="N873" s="9"/>
      <c r="O873" s="9"/>
    </row>
    <row r="874">
      <c r="A874" s="9"/>
      <c r="E874" s="13"/>
      <c r="J874" s="121"/>
      <c r="M874" s="9"/>
      <c r="N874" s="9"/>
      <c r="O874" s="9"/>
    </row>
    <row r="875">
      <c r="A875" s="9"/>
      <c r="E875" s="13"/>
      <c r="J875" s="121"/>
      <c r="M875" s="9"/>
      <c r="N875" s="9"/>
      <c r="O875" s="9"/>
    </row>
    <row r="876">
      <c r="A876" s="9"/>
      <c r="E876" s="13"/>
      <c r="J876" s="121"/>
      <c r="M876" s="9"/>
      <c r="N876" s="9"/>
      <c r="O876" s="9"/>
    </row>
    <row r="877">
      <c r="A877" s="9"/>
      <c r="E877" s="13"/>
      <c r="J877" s="121"/>
      <c r="M877" s="9"/>
      <c r="N877" s="9"/>
      <c r="O877" s="9"/>
    </row>
    <row r="878">
      <c r="A878" s="9"/>
      <c r="E878" s="13"/>
      <c r="J878" s="121"/>
      <c r="M878" s="9"/>
      <c r="N878" s="9"/>
      <c r="O878" s="9"/>
    </row>
    <row r="879">
      <c r="A879" s="9"/>
      <c r="E879" s="13"/>
      <c r="J879" s="121"/>
      <c r="M879" s="9"/>
      <c r="N879" s="9"/>
      <c r="O879" s="9"/>
    </row>
    <row r="880">
      <c r="A880" s="9"/>
      <c r="E880" s="13"/>
      <c r="J880" s="121"/>
      <c r="M880" s="9"/>
      <c r="N880" s="9"/>
      <c r="O880" s="9"/>
    </row>
    <row r="881">
      <c r="A881" s="9"/>
      <c r="E881" s="13"/>
      <c r="J881" s="121"/>
      <c r="M881" s="9"/>
      <c r="N881" s="9"/>
      <c r="O881" s="9"/>
    </row>
    <row r="882">
      <c r="A882" s="9"/>
      <c r="E882" s="13"/>
      <c r="J882" s="121"/>
      <c r="M882" s="9"/>
      <c r="N882" s="9"/>
      <c r="O882" s="9"/>
    </row>
    <row r="883">
      <c r="A883" s="9"/>
      <c r="E883" s="13"/>
      <c r="J883" s="121"/>
      <c r="M883" s="9"/>
      <c r="N883" s="9"/>
      <c r="O883" s="9"/>
    </row>
    <row r="884">
      <c r="A884" s="9"/>
      <c r="E884" s="13"/>
      <c r="J884" s="121"/>
      <c r="M884" s="9"/>
      <c r="N884" s="9"/>
      <c r="O884" s="9"/>
    </row>
    <row r="885">
      <c r="A885" s="9"/>
      <c r="E885" s="13"/>
      <c r="J885" s="121"/>
      <c r="M885" s="9"/>
      <c r="N885" s="9"/>
      <c r="O885" s="9"/>
    </row>
    <row r="886">
      <c r="A886" s="9"/>
      <c r="E886" s="13"/>
      <c r="J886" s="121"/>
      <c r="M886" s="9"/>
      <c r="N886" s="9"/>
      <c r="O886" s="9"/>
    </row>
    <row r="887">
      <c r="A887" s="9"/>
      <c r="E887" s="13"/>
      <c r="J887" s="121"/>
      <c r="M887" s="9"/>
      <c r="N887" s="9"/>
      <c r="O887" s="9"/>
    </row>
    <row r="888">
      <c r="A888" s="9"/>
      <c r="E888" s="13"/>
      <c r="J888" s="121"/>
      <c r="M888" s="9"/>
      <c r="N888" s="9"/>
      <c r="O888" s="9"/>
    </row>
    <row r="889">
      <c r="A889" s="9"/>
      <c r="E889" s="13"/>
      <c r="J889" s="121"/>
      <c r="M889" s="9"/>
      <c r="N889" s="9"/>
      <c r="O889" s="9"/>
    </row>
    <row r="890">
      <c r="A890" s="9"/>
      <c r="E890" s="13"/>
      <c r="J890" s="121"/>
      <c r="M890" s="9"/>
      <c r="N890" s="9"/>
      <c r="O890" s="9"/>
    </row>
    <row r="891">
      <c r="A891" s="9"/>
      <c r="E891" s="13"/>
      <c r="J891" s="121"/>
      <c r="M891" s="9"/>
      <c r="N891" s="9"/>
      <c r="O891" s="9"/>
    </row>
    <row r="892">
      <c r="A892" s="9"/>
      <c r="E892" s="13"/>
      <c r="J892" s="121"/>
      <c r="M892" s="9"/>
      <c r="N892" s="9"/>
      <c r="O892" s="9"/>
    </row>
    <row r="893">
      <c r="A893" s="9"/>
      <c r="E893" s="13"/>
      <c r="J893" s="121"/>
      <c r="M893" s="9"/>
      <c r="N893" s="9"/>
      <c r="O893" s="9"/>
    </row>
    <row r="894">
      <c r="A894" s="9"/>
      <c r="E894" s="13"/>
      <c r="J894" s="121"/>
      <c r="M894" s="9"/>
      <c r="N894" s="9"/>
      <c r="O894" s="9"/>
    </row>
    <row r="895">
      <c r="A895" s="9"/>
      <c r="E895" s="13"/>
      <c r="J895" s="121"/>
      <c r="M895" s="9"/>
      <c r="N895" s="9"/>
      <c r="O895" s="9"/>
    </row>
    <row r="896">
      <c r="A896" s="9"/>
      <c r="E896" s="13"/>
      <c r="J896" s="121"/>
      <c r="M896" s="9"/>
      <c r="N896" s="9"/>
      <c r="O896" s="9"/>
    </row>
    <row r="897">
      <c r="A897" s="9"/>
      <c r="E897" s="13"/>
      <c r="J897" s="121"/>
      <c r="M897" s="9"/>
      <c r="N897" s="9"/>
      <c r="O897" s="9"/>
    </row>
    <row r="898">
      <c r="A898" s="9"/>
      <c r="E898" s="13"/>
      <c r="J898" s="121"/>
      <c r="M898" s="9"/>
      <c r="N898" s="9"/>
      <c r="O898" s="9"/>
    </row>
    <row r="899">
      <c r="A899" s="9"/>
      <c r="E899" s="13"/>
      <c r="J899" s="121"/>
      <c r="M899" s="9"/>
      <c r="N899" s="9"/>
      <c r="O899" s="9"/>
    </row>
    <row r="900">
      <c r="A900" s="9"/>
      <c r="E900" s="13"/>
      <c r="J900" s="121"/>
      <c r="M900" s="9"/>
      <c r="N900" s="9"/>
      <c r="O900" s="9"/>
    </row>
    <row r="901">
      <c r="A901" s="9"/>
      <c r="E901" s="13"/>
      <c r="J901" s="121"/>
      <c r="M901" s="9"/>
      <c r="N901" s="9"/>
      <c r="O901" s="9"/>
    </row>
    <row r="902">
      <c r="A902" s="9"/>
      <c r="E902" s="13"/>
      <c r="J902" s="121"/>
      <c r="M902" s="9"/>
      <c r="N902" s="9"/>
      <c r="O902" s="9"/>
    </row>
    <row r="903">
      <c r="A903" s="9"/>
      <c r="E903" s="13"/>
      <c r="J903" s="121"/>
      <c r="M903" s="9"/>
      <c r="N903" s="9"/>
      <c r="O903" s="9"/>
    </row>
    <row r="904">
      <c r="A904" s="9"/>
      <c r="E904" s="13"/>
      <c r="J904" s="121"/>
      <c r="M904" s="9"/>
      <c r="N904" s="9"/>
      <c r="O904" s="9"/>
    </row>
    <row r="905">
      <c r="A905" s="9"/>
      <c r="E905" s="13"/>
      <c r="J905" s="121"/>
      <c r="M905" s="9"/>
      <c r="N905" s="9"/>
      <c r="O905" s="9"/>
    </row>
    <row r="906">
      <c r="A906" s="9"/>
      <c r="E906" s="13"/>
      <c r="J906" s="121"/>
      <c r="M906" s="9"/>
      <c r="N906" s="9"/>
      <c r="O906" s="9"/>
    </row>
    <row r="907">
      <c r="A907" s="9"/>
      <c r="E907" s="13"/>
      <c r="J907" s="121"/>
      <c r="M907" s="9"/>
      <c r="N907" s="9"/>
      <c r="O907" s="9"/>
    </row>
    <row r="908">
      <c r="A908" s="9"/>
      <c r="E908" s="13"/>
      <c r="J908" s="121"/>
      <c r="M908" s="9"/>
      <c r="N908" s="9"/>
      <c r="O908" s="9"/>
    </row>
    <row r="909">
      <c r="A909" s="9"/>
      <c r="E909" s="13"/>
      <c r="J909" s="121"/>
      <c r="M909" s="9"/>
      <c r="N909" s="9"/>
      <c r="O909" s="9"/>
    </row>
    <row r="910">
      <c r="A910" s="9"/>
      <c r="E910" s="13"/>
      <c r="J910" s="121"/>
      <c r="M910" s="9"/>
      <c r="N910" s="9"/>
      <c r="O910" s="9"/>
    </row>
    <row r="911">
      <c r="A911" s="9"/>
      <c r="E911" s="13"/>
      <c r="J911" s="121"/>
      <c r="M911" s="9"/>
      <c r="N911" s="9"/>
      <c r="O911" s="9"/>
    </row>
    <row r="912">
      <c r="A912" s="9"/>
      <c r="E912" s="13"/>
      <c r="J912" s="121"/>
      <c r="M912" s="9"/>
      <c r="N912" s="9"/>
      <c r="O912" s="9"/>
    </row>
    <row r="913">
      <c r="A913" s="9"/>
      <c r="E913" s="13"/>
      <c r="J913" s="121"/>
      <c r="M913" s="9"/>
      <c r="N913" s="9"/>
      <c r="O913" s="9"/>
    </row>
    <row r="914">
      <c r="A914" s="9"/>
      <c r="E914" s="13"/>
      <c r="J914" s="121"/>
      <c r="M914" s="9"/>
      <c r="N914" s="9"/>
      <c r="O914" s="9"/>
    </row>
    <row r="915">
      <c r="A915" s="9"/>
      <c r="E915" s="13"/>
      <c r="J915" s="121"/>
      <c r="M915" s="9"/>
      <c r="N915" s="9"/>
      <c r="O915" s="9"/>
    </row>
    <row r="916">
      <c r="A916" s="9"/>
      <c r="E916" s="13"/>
      <c r="J916" s="121"/>
      <c r="M916" s="9"/>
      <c r="N916" s="9"/>
      <c r="O916" s="9"/>
    </row>
    <row r="917">
      <c r="A917" s="9"/>
      <c r="E917" s="13"/>
      <c r="J917" s="121"/>
      <c r="M917" s="9"/>
      <c r="N917" s="9"/>
      <c r="O917" s="9"/>
    </row>
    <row r="918">
      <c r="A918" s="9"/>
      <c r="E918" s="13"/>
      <c r="J918" s="121"/>
      <c r="M918" s="9"/>
      <c r="N918" s="9"/>
      <c r="O918" s="9"/>
    </row>
    <row r="919">
      <c r="A919" s="9"/>
      <c r="E919" s="13"/>
      <c r="J919" s="121"/>
      <c r="M919" s="9"/>
      <c r="N919" s="9"/>
      <c r="O919" s="9"/>
    </row>
    <row r="920">
      <c r="A920" s="9"/>
      <c r="E920" s="13"/>
      <c r="J920" s="121"/>
      <c r="M920" s="9"/>
      <c r="N920" s="9"/>
      <c r="O920" s="9"/>
    </row>
    <row r="921">
      <c r="A921" s="9"/>
      <c r="E921" s="13"/>
      <c r="J921" s="121"/>
      <c r="M921" s="9"/>
      <c r="N921" s="9"/>
      <c r="O921" s="9"/>
    </row>
    <row r="922">
      <c r="A922" s="9"/>
      <c r="E922" s="13"/>
      <c r="J922" s="121"/>
      <c r="M922" s="9"/>
      <c r="N922" s="9"/>
      <c r="O922" s="9"/>
    </row>
    <row r="923">
      <c r="A923" s="9"/>
      <c r="E923" s="13"/>
      <c r="J923" s="121"/>
      <c r="M923" s="9"/>
      <c r="N923" s="9"/>
      <c r="O923" s="9"/>
    </row>
    <row r="924">
      <c r="A924" s="9"/>
      <c r="E924" s="13"/>
      <c r="J924" s="121"/>
      <c r="M924" s="9"/>
      <c r="N924" s="9"/>
      <c r="O924" s="9"/>
    </row>
    <row r="925">
      <c r="A925" s="9"/>
      <c r="E925" s="13"/>
      <c r="J925" s="121"/>
      <c r="M925" s="9"/>
      <c r="N925" s="9"/>
      <c r="O925" s="9"/>
    </row>
    <row r="926">
      <c r="A926" s="9"/>
      <c r="E926" s="13"/>
      <c r="J926" s="121"/>
      <c r="M926" s="9"/>
      <c r="N926" s="9"/>
      <c r="O926" s="9"/>
    </row>
    <row r="927">
      <c r="A927" s="9"/>
      <c r="E927" s="13"/>
      <c r="J927" s="121"/>
      <c r="M927" s="9"/>
      <c r="N927" s="9"/>
      <c r="O927" s="9"/>
    </row>
    <row r="928">
      <c r="A928" s="9"/>
      <c r="E928" s="13"/>
      <c r="J928" s="121"/>
      <c r="M928" s="9"/>
      <c r="N928" s="9"/>
      <c r="O928" s="9"/>
    </row>
    <row r="929">
      <c r="A929" s="9"/>
      <c r="E929" s="13"/>
      <c r="J929" s="121"/>
      <c r="M929" s="9"/>
      <c r="N929" s="9"/>
      <c r="O929" s="9"/>
    </row>
    <row r="930">
      <c r="A930" s="9"/>
      <c r="E930" s="13"/>
      <c r="J930" s="121"/>
      <c r="M930" s="9"/>
      <c r="N930" s="9"/>
      <c r="O930" s="9"/>
    </row>
    <row r="931">
      <c r="A931" s="9"/>
      <c r="E931" s="13"/>
      <c r="J931" s="121"/>
      <c r="M931" s="9"/>
      <c r="N931" s="9"/>
      <c r="O931" s="9"/>
    </row>
    <row r="932">
      <c r="A932" s="9"/>
      <c r="E932" s="13"/>
      <c r="J932" s="121"/>
      <c r="M932" s="9"/>
      <c r="N932" s="9"/>
      <c r="O932" s="9"/>
    </row>
    <row r="933">
      <c r="A933" s="9"/>
      <c r="E933" s="13"/>
      <c r="J933" s="121"/>
      <c r="M933" s="9"/>
      <c r="N933" s="9"/>
      <c r="O933" s="9"/>
    </row>
    <row r="934">
      <c r="A934" s="9"/>
      <c r="E934" s="13"/>
      <c r="J934" s="121"/>
      <c r="M934" s="9"/>
      <c r="N934" s="9"/>
      <c r="O934" s="9"/>
    </row>
    <row r="935">
      <c r="A935" s="9"/>
      <c r="E935" s="13"/>
      <c r="J935" s="121"/>
      <c r="M935" s="9"/>
      <c r="N935" s="9"/>
      <c r="O935" s="9"/>
    </row>
    <row r="936">
      <c r="A936" s="9"/>
      <c r="E936" s="13"/>
      <c r="J936" s="121"/>
      <c r="M936" s="9"/>
      <c r="N936" s="9"/>
      <c r="O936" s="9"/>
    </row>
    <row r="937">
      <c r="A937" s="9"/>
      <c r="E937" s="13"/>
      <c r="J937" s="121"/>
      <c r="M937" s="9"/>
      <c r="N937" s="9"/>
      <c r="O937" s="9"/>
    </row>
    <row r="938">
      <c r="A938" s="9"/>
      <c r="E938" s="13"/>
      <c r="J938" s="121"/>
      <c r="M938" s="9"/>
      <c r="N938" s="9"/>
      <c r="O938" s="9"/>
    </row>
    <row r="939">
      <c r="A939" s="9"/>
      <c r="E939" s="13"/>
      <c r="J939" s="121"/>
      <c r="M939" s="9"/>
      <c r="N939" s="9"/>
      <c r="O939" s="9"/>
    </row>
    <row r="940">
      <c r="A940" s="9"/>
      <c r="E940" s="13"/>
      <c r="J940" s="121"/>
      <c r="M940" s="9"/>
      <c r="N940" s="9"/>
      <c r="O940" s="9"/>
    </row>
    <row r="941">
      <c r="A941" s="9"/>
      <c r="E941" s="13"/>
      <c r="J941" s="121"/>
      <c r="M941" s="9"/>
      <c r="N941" s="9"/>
      <c r="O941" s="9"/>
    </row>
    <row r="942">
      <c r="A942" s="9"/>
      <c r="E942" s="13"/>
      <c r="J942" s="121"/>
      <c r="M942" s="9"/>
      <c r="N942" s="9"/>
      <c r="O942" s="9"/>
    </row>
    <row r="943">
      <c r="A943" s="9"/>
      <c r="E943" s="13"/>
      <c r="J943" s="121"/>
      <c r="M943" s="9"/>
      <c r="N943" s="9"/>
      <c r="O943" s="9"/>
    </row>
    <row r="944">
      <c r="A944" s="9"/>
      <c r="E944" s="13"/>
      <c r="J944" s="121"/>
      <c r="M944" s="9"/>
      <c r="N944" s="9"/>
      <c r="O944" s="9"/>
    </row>
    <row r="945">
      <c r="A945" s="9"/>
      <c r="E945" s="13"/>
      <c r="J945" s="121"/>
      <c r="M945" s="9"/>
      <c r="N945" s="9"/>
      <c r="O945" s="9"/>
    </row>
    <row r="946">
      <c r="A946" s="9"/>
      <c r="E946" s="13"/>
      <c r="J946" s="121"/>
      <c r="M946" s="9"/>
      <c r="N946" s="9"/>
      <c r="O946" s="9"/>
    </row>
    <row r="947">
      <c r="A947" s="9"/>
      <c r="E947" s="13"/>
      <c r="J947" s="121"/>
      <c r="M947" s="9"/>
      <c r="N947" s="9"/>
      <c r="O947" s="9"/>
    </row>
    <row r="948">
      <c r="A948" s="9"/>
      <c r="E948" s="13"/>
      <c r="J948" s="121"/>
      <c r="M948" s="9"/>
      <c r="N948" s="9"/>
      <c r="O948" s="9"/>
    </row>
    <row r="949">
      <c r="A949" s="9"/>
      <c r="E949" s="13"/>
      <c r="J949" s="121"/>
      <c r="M949" s="9"/>
      <c r="N949" s="9"/>
      <c r="O949" s="9"/>
    </row>
    <row r="950">
      <c r="A950" s="9"/>
      <c r="E950" s="13"/>
      <c r="J950" s="121"/>
      <c r="M950" s="9"/>
      <c r="N950" s="9"/>
      <c r="O950" s="9"/>
    </row>
    <row r="951">
      <c r="A951" s="9"/>
      <c r="E951" s="13"/>
      <c r="J951" s="121"/>
      <c r="M951" s="9"/>
      <c r="N951" s="9"/>
      <c r="O951" s="9"/>
    </row>
    <row r="952">
      <c r="A952" s="9"/>
      <c r="E952" s="13"/>
      <c r="J952" s="121"/>
      <c r="M952" s="9"/>
      <c r="N952" s="9"/>
      <c r="O952" s="9"/>
    </row>
    <row r="953">
      <c r="A953" s="9"/>
      <c r="E953" s="13"/>
      <c r="J953" s="121"/>
      <c r="M953" s="9"/>
      <c r="N953" s="9"/>
      <c r="O953" s="9"/>
    </row>
    <row r="954">
      <c r="A954" s="9"/>
      <c r="E954" s="13"/>
      <c r="J954" s="121"/>
      <c r="M954" s="9"/>
      <c r="N954" s="9"/>
      <c r="O954" s="9"/>
    </row>
    <row r="955">
      <c r="A955" s="9"/>
      <c r="E955" s="13"/>
      <c r="J955" s="121"/>
      <c r="M955" s="9"/>
      <c r="N955" s="9"/>
      <c r="O955" s="9"/>
    </row>
    <row r="956">
      <c r="A956" s="9"/>
      <c r="E956" s="13"/>
      <c r="J956" s="121"/>
      <c r="M956" s="9"/>
      <c r="N956" s="9"/>
      <c r="O956" s="9"/>
    </row>
    <row r="957">
      <c r="A957" s="9"/>
      <c r="E957" s="13"/>
      <c r="J957" s="121"/>
      <c r="M957" s="9"/>
      <c r="N957" s="9"/>
      <c r="O957" s="9"/>
    </row>
    <row r="958">
      <c r="A958" s="9"/>
      <c r="E958" s="13"/>
      <c r="J958" s="121"/>
      <c r="M958" s="9"/>
      <c r="N958" s="9"/>
      <c r="O958" s="9"/>
    </row>
    <row r="959">
      <c r="A959" s="9"/>
      <c r="E959" s="13"/>
      <c r="J959" s="121"/>
      <c r="M959" s="9"/>
      <c r="N959" s="9"/>
      <c r="O959" s="9"/>
    </row>
    <row r="960">
      <c r="A960" s="9"/>
      <c r="E960" s="13"/>
      <c r="J960" s="121"/>
      <c r="M960" s="9"/>
      <c r="N960" s="9"/>
      <c r="O960" s="9"/>
    </row>
    <row r="961">
      <c r="A961" s="9"/>
      <c r="E961" s="13"/>
      <c r="J961" s="121"/>
      <c r="M961" s="9"/>
      <c r="N961" s="9"/>
      <c r="O961" s="9"/>
    </row>
    <row r="962">
      <c r="A962" s="9"/>
      <c r="E962" s="13"/>
      <c r="J962" s="121"/>
      <c r="M962" s="9"/>
      <c r="N962" s="9"/>
      <c r="O962" s="9"/>
    </row>
    <row r="963">
      <c r="A963" s="9"/>
      <c r="E963" s="13"/>
      <c r="J963" s="121"/>
      <c r="M963" s="9"/>
      <c r="N963" s="9"/>
      <c r="O963" s="9"/>
    </row>
    <row r="964">
      <c r="A964" s="9"/>
      <c r="E964" s="13"/>
      <c r="J964" s="121"/>
      <c r="M964" s="9"/>
      <c r="N964" s="9"/>
      <c r="O964" s="9"/>
    </row>
    <row r="965">
      <c r="A965" s="9"/>
      <c r="E965" s="13"/>
      <c r="J965" s="121"/>
      <c r="M965" s="9"/>
      <c r="N965" s="9"/>
      <c r="O965" s="9"/>
    </row>
    <row r="966">
      <c r="A966" s="9"/>
      <c r="E966" s="13"/>
      <c r="J966" s="121"/>
      <c r="M966" s="9"/>
      <c r="N966" s="9"/>
      <c r="O966" s="9"/>
    </row>
    <row r="967">
      <c r="A967" s="9"/>
      <c r="E967" s="13"/>
      <c r="J967" s="121"/>
      <c r="M967" s="9"/>
      <c r="N967" s="9"/>
      <c r="O967" s="9"/>
    </row>
    <row r="968">
      <c r="A968" s="9"/>
      <c r="E968" s="13"/>
      <c r="J968" s="121"/>
      <c r="M968" s="9"/>
      <c r="N968" s="9"/>
      <c r="O968" s="9"/>
    </row>
    <row r="969">
      <c r="A969" s="9"/>
      <c r="E969" s="13"/>
      <c r="J969" s="121"/>
      <c r="M969" s="9"/>
      <c r="N969" s="9"/>
      <c r="O969" s="9"/>
    </row>
    <row r="970">
      <c r="A970" s="9"/>
      <c r="E970" s="13"/>
      <c r="J970" s="121"/>
      <c r="M970" s="9"/>
      <c r="N970" s="9"/>
      <c r="O970" s="9"/>
    </row>
    <row r="971">
      <c r="A971" s="9"/>
      <c r="E971" s="13"/>
      <c r="J971" s="121"/>
      <c r="M971" s="9"/>
      <c r="N971" s="9"/>
      <c r="O971" s="9"/>
    </row>
    <row r="972">
      <c r="A972" s="9"/>
      <c r="E972" s="13"/>
      <c r="J972" s="121"/>
      <c r="M972" s="9"/>
      <c r="N972" s="9"/>
      <c r="O972" s="9"/>
    </row>
    <row r="973">
      <c r="A973" s="9"/>
      <c r="E973" s="13"/>
      <c r="J973" s="121"/>
      <c r="M973" s="9"/>
      <c r="N973" s="9"/>
      <c r="O973" s="9"/>
    </row>
    <row r="974">
      <c r="A974" s="9"/>
      <c r="E974" s="13"/>
      <c r="J974" s="121"/>
      <c r="M974" s="9"/>
      <c r="N974" s="9"/>
      <c r="O974" s="9"/>
    </row>
    <row r="975">
      <c r="A975" s="9"/>
      <c r="E975" s="13"/>
      <c r="J975" s="121"/>
      <c r="M975" s="9"/>
      <c r="N975" s="9"/>
      <c r="O975" s="9"/>
    </row>
    <row r="976">
      <c r="A976" s="9"/>
      <c r="E976" s="13"/>
      <c r="J976" s="121"/>
      <c r="M976" s="9"/>
      <c r="N976" s="9"/>
      <c r="O976" s="9"/>
    </row>
    <row r="977">
      <c r="A977" s="9"/>
      <c r="E977" s="13"/>
      <c r="J977" s="121"/>
      <c r="M977" s="9"/>
      <c r="N977" s="9"/>
      <c r="O977" s="9"/>
    </row>
    <row r="978">
      <c r="A978" s="9"/>
      <c r="E978" s="13"/>
      <c r="J978" s="121"/>
      <c r="M978" s="9"/>
      <c r="N978" s="9"/>
      <c r="O978" s="9"/>
    </row>
    <row r="979">
      <c r="A979" s="9"/>
      <c r="E979" s="13"/>
      <c r="J979" s="121"/>
      <c r="M979" s="9"/>
      <c r="N979" s="9"/>
      <c r="O979" s="9"/>
    </row>
    <row r="980">
      <c r="A980" s="9"/>
      <c r="E980" s="13"/>
      <c r="J980" s="121"/>
      <c r="M980" s="9"/>
      <c r="N980" s="9"/>
      <c r="O980" s="9"/>
    </row>
    <row r="981">
      <c r="A981" s="9"/>
      <c r="E981" s="13"/>
      <c r="J981" s="121"/>
      <c r="M981" s="9"/>
      <c r="N981" s="9"/>
      <c r="O981" s="9"/>
    </row>
    <row r="982">
      <c r="A982" s="9"/>
      <c r="E982" s="13"/>
      <c r="J982" s="121"/>
      <c r="M982" s="9"/>
      <c r="N982" s="9"/>
      <c r="O982" s="9"/>
    </row>
    <row r="983">
      <c r="A983" s="9"/>
      <c r="E983" s="13"/>
      <c r="J983" s="121"/>
      <c r="M983" s="9"/>
      <c r="N983" s="9"/>
      <c r="O983" s="9"/>
    </row>
    <row r="984">
      <c r="A984" s="9"/>
      <c r="E984" s="13"/>
      <c r="J984" s="121"/>
      <c r="M984" s="9"/>
      <c r="N984" s="9"/>
      <c r="O984" s="9"/>
    </row>
    <row r="985">
      <c r="A985" s="9"/>
      <c r="E985" s="13"/>
      <c r="J985" s="121"/>
      <c r="M985" s="9"/>
      <c r="N985" s="9"/>
      <c r="O985" s="9"/>
    </row>
    <row r="986">
      <c r="A986" s="9"/>
      <c r="E986" s="13"/>
      <c r="J986" s="121"/>
      <c r="M986" s="9"/>
      <c r="N986" s="9"/>
      <c r="O986" s="9"/>
    </row>
    <row r="987">
      <c r="A987" s="9"/>
      <c r="E987" s="13"/>
      <c r="J987" s="121"/>
      <c r="M987" s="9"/>
      <c r="N987" s="9"/>
      <c r="O987" s="9"/>
    </row>
    <row r="988">
      <c r="A988" s="9"/>
      <c r="E988" s="13"/>
      <c r="J988" s="121"/>
      <c r="M988" s="9"/>
      <c r="N988" s="9"/>
      <c r="O988" s="9"/>
    </row>
    <row r="989">
      <c r="A989" s="9"/>
      <c r="E989" s="13"/>
      <c r="J989" s="121"/>
      <c r="M989" s="9"/>
      <c r="N989" s="9"/>
      <c r="O989" s="9"/>
    </row>
  </sheetData>
  <mergeCells count="1">
    <mergeCell ref="A1:P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25"/>
    <col customWidth="1" min="2" max="2" width="21.88"/>
    <col customWidth="1" min="3" max="3" width="25.38"/>
    <col customWidth="1" min="4" max="4" width="7.38"/>
    <col customWidth="1" min="5" max="5" width="6.5"/>
    <col customWidth="1" min="6" max="6" width="16.0"/>
    <col customWidth="1" min="7" max="7" width="10.38"/>
    <col customWidth="1" min="8" max="8" width="4.75"/>
    <col customWidth="1" min="9" max="10" width="5.75"/>
    <col customWidth="1" min="11" max="11" width="8.25"/>
    <col customWidth="1" min="12" max="12" width="5.63"/>
    <col customWidth="1" min="13" max="13" width="6.88"/>
    <col customWidth="1" min="14" max="14" width="6.5"/>
    <col customWidth="1" min="15" max="15" width="5.75"/>
    <col customWidth="1" min="16" max="16" width="11.38"/>
    <col customWidth="1" min="17" max="17" width="9.63"/>
    <col customWidth="1" min="18" max="18" width="4.75"/>
    <col customWidth="1" min="19" max="19" width="9.0"/>
    <col customWidth="1" min="20" max="20" width="7.5"/>
    <col customWidth="1" min="21" max="21" width="7.38"/>
    <col customWidth="1" min="22" max="22" width="7.5"/>
    <col customWidth="1" min="23" max="23" width="5.88"/>
    <col customWidth="1" min="24" max="24" width="4.75"/>
    <col customWidth="1" min="25" max="25" width="7.5"/>
    <col customWidth="1" min="26" max="28" width="8.38"/>
  </cols>
  <sheetData>
    <row r="1">
      <c r="A1" s="234" t="s">
        <v>999</v>
      </c>
      <c r="B1" s="4"/>
      <c r="C1" s="4"/>
      <c r="D1" s="4"/>
      <c r="E1" s="4"/>
      <c r="F1" s="4"/>
      <c r="G1" s="4"/>
      <c r="H1" s="4"/>
      <c r="I1" s="4"/>
      <c r="J1" s="23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236" t="s">
        <v>8</v>
      </c>
      <c r="B2" s="31" t="s">
        <v>9</v>
      </c>
      <c r="C2" s="31" t="s">
        <v>10</v>
      </c>
      <c r="D2" s="237" t="s">
        <v>1000</v>
      </c>
      <c r="E2" s="32" t="s">
        <v>12</v>
      </c>
      <c r="F2" s="31" t="s">
        <v>13</v>
      </c>
      <c r="G2" s="31" t="s">
        <v>14</v>
      </c>
      <c r="H2" s="31" t="s">
        <v>896</v>
      </c>
      <c r="I2" s="32" t="s">
        <v>16</v>
      </c>
      <c r="J2" s="236" t="s">
        <v>17</v>
      </c>
      <c r="K2" s="31" t="s">
        <v>18</v>
      </c>
      <c r="L2" s="31" t="s">
        <v>19</v>
      </c>
      <c r="M2" s="32" t="s">
        <v>20</v>
      </c>
      <c r="N2" s="32" t="s">
        <v>249</v>
      </c>
      <c r="O2" s="32" t="s">
        <v>250</v>
      </c>
      <c r="P2" s="31" t="s">
        <v>23</v>
      </c>
      <c r="Q2" s="210" t="s">
        <v>251</v>
      </c>
      <c r="R2" s="210" t="s">
        <v>252</v>
      </c>
      <c r="S2" s="210" t="s">
        <v>253</v>
      </c>
      <c r="T2" s="210" t="s">
        <v>251</v>
      </c>
      <c r="U2" s="210" t="s">
        <v>252</v>
      </c>
      <c r="V2" s="210" t="s">
        <v>253</v>
      </c>
      <c r="W2" s="210" t="s">
        <v>251</v>
      </c>
      <c r="X2" s="210" t="s">
        <v>252</v>
      </c>
      <c r="Y2" s="210" t="s">
        <v>253</v>
      </c>
      <c r="Z2" s="14" t="s">
        <v>1001</v>
      </c>
      <c r="AA2" s="14" t="s">
        <v>25</v>
      </c>
      <c r="AB2" s="6" t="s">
        <v>26</v>
      </c>
    </row>
    <row r="3">
      <c r="A3" s="5">
        <v>1.0</v>
      </c>
      <c r="B3" s="6" t="s">
        <v>1002</v>
      </c>
      <c r="C3" s="6" t="s">
        <v>1003</v>
      </c>
      <c r="D3" s="237" t="s">
        <v>2</v>
      </c>
      <c r="E3" s="5">
        <v>1450.0</v>
      </c>
      <c r="F3" s="6" t="s">
        <v>474</v>
      </c>
      <c r="G3" s="6">
        <v>7.742346846E9</v>
      </c>
      <c r="I3" s="6">
        <v>18000.0</v>
      </c>
      <c r="J3" s="238">
        <v>5000.0</v>
      </c>
      <c r="M3" s="9">
        <f t="shared" ref="M3:M55" si="1">(H3+I3+J3+K3-L3)</f>
        <v>23000</v>
      </c>
      <c r="N3" s="9">
        <f t="shared" ref="N3:N55" si="2">SUM(Q3, T3, W3+Z3)</f>
        <v>5000</v>
      </c>
      <c r="O3" s="9">
        <f t="shared" ref="O3:O55" si="3">(M3-N3)</f>
        <v>18000</v>
      </c>
      <c r="Q3" s="6">
        <v>5000.0</v>
      </c>
      <c r="R3" s="6">
        <v>3291.0</v>
      </c>
      <c r="S3" s="6" t="s">
        <v>761</v>
      </c>
      <c r="Z3" s="239"/>
      <c r="AA3" s="210"/>
      <c r="AB3" s="210"/>
    </row>
    <row r="4">
      <c r="A4" s="5">
        <v>2.0</v>
      </c>
      <c r="B4" s="6" t="s">
        <v>1004</v>
      </c>
      <c r="C4" s="6" t="s">
        <v>1005</v>
      </c>
      <c r="D4" s="237" t="s">
        <v>1006</v>
      </c>
      <c r="E4" s="5">
        <v>1710.0</v>
      </c>
      <c r="F4" s="6" t="s">
        <v>474</v>
      </c>
      <c r="G4" s="6">
        <v>9.131031727E9</v>
      </c>
      <c r="I4" s="6">
        <v>18000.0</v>
      </c>
      <c r="J4" s="238">
        <v>5000.0</v>
      </c>
      <c r="M4" s="9">
        <f t="shared" si="1"/>
        <v>23000</v>
      </c>
      <c r="N4" s="9">
        <f t="shared" si="2"/>
        <v>10000</v>
      </c>
      <c r="O4" s="9">
        <f t="shared" si="3"/>
        <v>13000</v>
      </c>
      <c r="Q4" s="6">
        <v>10000.0</v>
      </c>
      <c r="R4" s="6">
        <v>3812.0</v>
      </c>
      <c r="S4" s="240">
        <v>45941.0</v>
      </c>
    </row>
    <row r="5">
      <c r="A5" s="5">
        <v>3.0</v>
      </c>
      <c r="B5" s="6" t="s">
        <v>1007</v>
      </c>
      <c r="C5" s="6" t="s">
        <v>94</v>
      </c>
      <c r="D5" s="237" t="s">
        <v>2</v>
      </c>
      <c r="E5" s="5">
        <v>1346.0</v>
      </c>
      <c r="F5" s="6" t="s">
        <v>126</v>
      </c>
      <c r="G5" s="6">
        <v>9.92806296E9</v>
      </c>
      <c r="I5" s="6">
        <v>18000.0</v>
      </c>
      <c r="J5" s="238">
        <v>5000.0</v>
      </c>
      <c r="M5" s="9">
        <f t="shared" si="1"/>
        <v>23000</v>
      </c>
      <c r="N5" s="9">
        <f t="shared" si="2"/>
        <v>0</v>
      </c>
      <c r="O5" s="9">
        <f t="shared" si="3"/>
        <v>23000</v>
      </c>
    </row>
    <row r="6">
      <c r="A6" s="5">
        <v>4.0</v>
      </c>
      <c r="B6" s="6" t="s">
        <v>1008</v>
      </c>
      <c r="C6" s="6" t="s">
        <v>1009</v>
      </c>
      <c r="D6" s="237" t="s">
        <v>1006</v>
      </c>
      <c r="E6" s="5">
        <v>1495.0</v>
      </c>
      <c r="F6" s="6" t="s">
        <v>1010</v>
      </c>
      <c r="G6" s="6">
        <v>9.784188024E9</v>
      </c>
      <c r="I6" s="6">
        <v>18000.0</v>
      </c>
      <c r="J6" s="238">
        <v>8000.0</v>
      </c>
      <c r="L6" s="6">
        <v>2500.0</v>
      </c>
      <c r="M6" s="9">
        <f t="shared" si="1"/>
        <v>23500</v>
      </c>
      <c r="N6" s="9">
        <f t="shared" si="2"/>
        <v>6500</v>
      </c>
      <c r="O6" s="9">
        <f t="shared" si="3"/>
        <v>17000</v>
      </c>
      <c r="Q6" s="6">
        <v>6500.0</v>
      </c>
      <c r="R6" s="6">
        <v>3853.0</v>
      </c>
      <c r="S6" s="240">
        <v>45941.0</v>
      </c>
    </row>
    <row r="7">
      <c r="A7" s="5">
        <v>5.0</v>
      </c>
      <c r="B7" s="6" t="s">
        <v>1011</v>
      </c>
      <c r="C7" s="6" t="s">
        <v>1012</v>
      </c>
      <c r="D7" s="237" t="s">
        <v>2</v>
      </c>
      <c r="E7" s="5">
        <v>1932.0</v>
      </c>
      <c r="F7" s="10" t="s">
        <v>1013</v>
      </c>
      <c r="G7" s="15">
        <v>9.462132132E9</v>
      </c>
      <c r="H7" s="15">
        <v>1000.0</v>
      </c>
      <c r="I7" s="6">
        <v>18000.0</v>
      </c>
      <c r="J7" s="16">
        <v>0.0</v>
      </c>
      <c r="K7" s="10"/>
      <c r="L7" s="15">
        <v>19000.0</v>
      </c>
      <c r="M7" s="9">
        <f t="shared" si="1"/>
        <v>0</v>
      </c>
      <c r="N7" s="9">
        <f t="shared" si="2"/>
        <v>0</v>
      </c>
      <c r="O7" s="9">
        <f t="shared" si="3"/>
        <v>0</v>
      </c>
      <c r="P7" s="10" t="s">
        <v>34</v>
      </c>
    </row>
    <row r="8">
      <c r="A8" s="5">
        <v>6.0</v>
      </c>
      <c r="B8" s="6" t="s">
        <v>1014</v>
      </c>
      <c r="C8" s="6" t="s">
        <v>1015</v>
      </c>
      <c r="D8" s="237" t="s">
        <v>1006</v>
      </c>
      <c r="E8" s="5">
        <v>1540.0</v>
      </c>
      <c r="F8" s="6" t="s">
        <v>900</v>
      </c>
      <c r="G8" s="6">
        <v>7.427803859E9</v>
      </c>
      <c r="I8" s="6">
        <v>18000.0</v>
      </c>
      <c r="J8" s="238">
        <v>6500.0</v>
      </c>
      <c r="M8" s="9">
        <f t="shared" si="1"/>
        <v>24500</v>
      </c>
      <c r="N8" s="9">
        <f t="shared" si="2"/>
        <v>0</v>
      </c>
      <c r="O8" s="9">
        <f t="shared" si="3"/>
        <v>24500</v>
      </c>
    </row>
    <row r="9">
      <c r="A9" s="5">
        <v>7.0</v>
      </c>
      <c r="B9" s="6" t="s">
        <v>1016</v>
      </c>
      <c r="C9" s="6" t="s">
        <v>1017</v>
      </c>
      <c r="D9" s="237" t="s">
        <v>2</v>
      </c>
      <c r="E9" s="5">
        <v>1141.0</v>
      </c>
      <c r="F9" s="10" t="s">
        <v>145</v>
      </c>
      <c r="G9" s="15">
        <v>7.742385898E9</v>
      </c>
      <c r="H9" s="10"/>
      <c r="I9" s="6">
        <v>18000.0</v>
      </c>
      <c r="J9" s="228">
        <v>0.0</v>
      </c>
      <c r="K9" s="10"/>
      <c r="L9" s="10"/>
      <c r="M9" s="9">
        <f t="shared" si="1"/>
        <v>18000</v>
      </c>
      <c r="N9" s="9">
        <f t="shared" si="2"/>
        <v>5000</v>
      </c>
      <c r="O9" s="9">
        <f t="shared" si="3"/>
        <v>13000</v>
      </c>
      <c r="P9" s="10"/>
      <c r="Q9" s="16">
        <v>5000.0</v>
      </c>
      <c r="R9" s="16">
        <v>3054.0</v>
      </c>
      <c r="S9" s="10" t="s">
        <v>275</v>
      </c>
    </row>
    <row r="10">
      <c r="A10" s="5">
        <v>8.0</v>
      </c>
      <c r="B10" s="6" t="s">
        <v>1018</v>
      </c>
      <c r="C10" s="6" t="s">
        <v>1019</v>
      </c>
      <c r="D10" s="237" t="s">
        <v>2</v>
      </c>
      <c r="E10" s="13"/>
      <c r="F10" s="6" t="s">
        <v>30</v>
      </c>
      <c r="G10" s="5">
        <v>9.461360292E9</v>
      </c>
      <c r="I10" s="6">
        <v>18000.0</v>
      </c>
      <c r="J10" s="238">
        <v>9500.0</v>
      </c>
      <c r="M10" s="9">
        <f t="shared" si="1"/>
        <v>27500</v>
      </c>
      <c r="N10" s="9">
        <f t="shared" si="2"/>
        <v>6500</v>
      </c>
      <c r="O10" s="9">
        <f t="shared" si="3"/>
        <v>21000</v>
      </c>
      <c r="Q10" s="6">
        <v>4000.0</v>
      </c>
      <c r="R10" s="6">
        <v>3524.0</v>
      </c>
      <c r="S10" s="27">
        <v>45818.0</v>
      </c>
      <c r="T10" s="6">
        <v>2500.0</v>
      </c>
      <c r="U10" s="6">
        <v>4054.0</v>
      </c>
      <c r="V10" s="6" t="s">
        <v>1020</v>
      </c>
    </row>
    <row r="11">
      <c r="A11" s="5">
        <v>9.0</v>
      </c>
      <c r="B11" s="6" t="s">
        <v>1021</v>
      </c>
      <c r="C11" s="6" t="s">
        <v>1022</v>
      </c>
      <c r="D11" s="237" t="s">
        <v>1006</v>
      </c>
      <c r="E11" s="5">
        <v>1528.0</v>
      </c>
      <c r="F11" s="10" t="s">
        <v>381</v>
      </c>
      <c r="G11" s="15">
        <v>9.602904127E9</v>
      </c>
      <c r="H11" s="15">
        <v>0.0</v>
      </c>
      <c r="I11" s="6">
        <v>18000.0</v>
      </c>
      <c r="J11" s="16">
        <v>6500.0</v>
      </c>
      <c r="K11" s="10"/>
      <c r="L11" s="10"/>
      <c r="M11" s="9">
        <f t="shared" si="1"/>
        <v>24500</v>
      </c>
      <c r="N11" s="9">
        <f t="shared" si="2"/>
        <v>13000</v>
      </c>
      <c r="O11" s="9">
        <f t="shared" si="3"/>
        <v>11500</v>
      </c>
      <c r="P11" s="10" t="s">
        <v>159</v>
      </c>
      <c r="Q11" s="16">
        <v>3000.0</v>
      </c>
      <c r="R11" s="16">
        <v>3166.0</v>
      </c>
      <c r="S11" s="17">
        <v>45816.0</v>
      </c>
      <c r="T11" s="6">
        <v>2000.0</v>
      </c>
      <c r="U11" s="6">
        <v>3388.0</v>
      </c>
      <c r="V11" s="27">
        <v>45909.0</v>
      </c>
      <c r="W11" s="6">
        <v>3000.0</v>
      </c>
      <c r="X11" s="6">
        <v>3564.0</v>
      </c>
      <c r="Y11" s="27">
        <v>45848.0</v>
      </c>
      <c r="Z11" s="6">
        <v>5000.0</v>
      </c>
      <c r="AA11" s="6">
        <v>3787.0</v>
      </c>
      <c r="AB11" s="27">
        <v>45880.0</v>
      </c>
    </row>
    <row r="12">
      <c r="A12" s="5">
        <v>11.0</v>
      </c>
      <c r="B12" s="6" t="s">
        <v>1023</v>
      </c>
      <c r="C12" s="6" t="s">
        <v>1024</v>
      </c>
      <c r="D12" s="237" t="s">
        <v>1006</v>
      </c>
      <c r="E12" s="5">
        <v>1856.0</v>
      </c>
      <c r="F12" s="10" t="s">
        <v>235</v>
      </c>
      <c r="G12" s="15">
        <v>9.35806619E9</v>
      </c>
      <c r="H12" s="15">
        <v>1000.0</v>
      </c>
      <c r="I12" s="6">
        <v>18000.0</v>
      </c>
      <c r="J12" s="16">
        <v>10000.0</v>
      </c>
      <c r="K12" s="10"/>
      <c r="L12" s="15">
        <v>4000.0</v>
      </c>
      <c r="M12" s="9">
        <f t="shared" si="1"/>
        <v>25000</v>
      </c>
      <c r="N12" s="9">
        <f t="shared" si="2"/>
        <v>3000</v>
      </c>
      <c r="O12" s="9">
        <f t="shared" si="3"/>
        <v>22000</v>
      </c>
      <c r="P12" s="10" t="s">
        <v>44</v>
      </c>
      <c r="Q12" s="16">
        <v>3000.0</v>
      </c>
      <c r="R12" s="16">
        <v>2968.0</v>
      </c>
      <c r="S12" s="17">
        <v>45937.0</v>
      </c>
      <c r="T12" s="17"/>
      <c r="U12" s="17"/>
      <c r="V12" s="17"/>
      <c r="W12" s="17"/>
      <c r="X12" s="17"/>
      <c r="Y12" s="17"/>
    </row>
    <row r="13">
      <c r="A13" s="5">
        <v>12.0</v>
      </c>
      <c r="B13" s="6" t="s">
        <v>1025</v>
      </c>
      <c r="C13" s="6" t="s">
        <v>1026</v>
      </c>
      <c r="D13" s="237" t="s">
        <v>1006</v>
      </c>
      <c r="E13" s="5">
        <v>2029.0</v>
      </c>
      <c r="F13" s="6" t="s">
        <v>126</v>
      </c>
      <c r="G13" s="6">
        <v>6.367105416E9</v>
      </c>
      <c r="I13" s="6">
        <v>18000.0</v>
      </c>
      <c r="J13" s="238">
        <v>5000.0</v>
      </c>
      <c r="M13" s="9">
        <f t="shared" si="1"/>
        <v>23000</v>
      </c>
      <c r="N13" s="9">
        <f t="shared" si="2"/>
        <v>0</v>
      </c>
      <c r="O13" s="9">
        <f t="shared" si="3"/>
        <v>23000</v>
      </c>
    </row>
    <row r="14">
      <c r="A14" s="5">
        <v>13.0</v>
      </c>
      <c r="B14" s="6" t="s">
        <v>1027</v>
      </c>
      <c r="C14" s="6" t="s">
        <v>1028</v>
      </c>
      <c r="D14" s="237" t="s">
        <v>2</v>
      </c>
      <c r="E14" s="13"/>
      <c r="F14" s="6" t="s">
        <v>1029</v>
      </c>
      <c r="G14" s="5">
        <v>8.209029615E9</v>
      </c>
      <c r="I14" s="6">
        <v>18000.0</v>
      </c>
      <c r="J14" s="238">
        <v>6500.0</v>
      </c>
      <c r="M14" s="9">
        <f t="shared" si="1"/>
        <v>24500</v>
      </c>
      <c r="N14" s="9">
        <f t="shared" si="2"/>
        <v>0</v>
      </c>
      <c r="O14" s="9">
        <f t="shared" si="3"/>
        <v>24500</v>
      </c>
    </row>
    <row r="15">
      <c r="A15" s="5">
        <v>14.0</v>
      </c>
      <c r="B15" s="6" t="s">
        <v>1030</v>
      </c>
      <c r="C15" s="6" t="s">
        <v>1031</v>
      </c>
      <c r="D15" s="237" t="s">
        <v>1006</v>
      </c>
      <c r="E15" s="5">
        <v>1795.0</v>
      </c>
      <c r="F15" s="10" t="s">
        <v>165</v>
      </c>
      <c r="G15" s="15">
        <v>9.950535422E9</v>
      </c>
      <c r="H15" s="15">
        <v>0.0</v>
      </c>
      <c r="I15" s="6">
        <v>18000.0</v>
      </c>
      <c r="J15" s="16">
        <v>7000.0</v>
      </c>
      <c r="K15" s="10"/>
      <c r="L15" s="15">
        <v>4000.0</v>
      </c>
      <c r="M15" s="9">
        <f t="shared" si="1"/>
        <v>21000</v>
      </c>
      <c r="N15" s="9">
        <f t="shared" si="2"/>
        <v>5000</v>
      </c>
      <c r="O15" s="9">
        <f t="shared" si="3"/>
        <v>16000</v>
      </c>
      <c r="P15" s="10" t="s">
        <v>177</v>
      </c>
      <c r="Q15" s="6">
        <v>5000.0</v>
      </c>
      <c r="R15" s="6">
        <v>3480.0</v>
      </c>
      <c r="S15" s="27">
        <v>45757.0</v>
      </c>
    </row>
    <row r="16">
      <c r="A16" s="5">
        <v>15.0</v>
      </c>
      <c r="B16" s="10" t="s">
        <v>176</v>
      </c>
      <c r="C16" s="10" t="s">
        <v>1032</v>
      </c>
      <c r="D16" s="237" t="s">
        <v>1006</v>
      </c>
      <c r="E16" s="12">
        <v>2037.0</v>
      </c>
      <c r="F16" s="10" t="s">
        <v>1033</v>
      </c>
      <c r="G16" s="15">
        <v>9.79908908E9</v>
      </c>
      <c r="H16" s="15">
        <v>1000.0</v>
      </c>
      <c r="I16" s="6">
        <v>18000.0</v>
      </c>
      <c r="J16" s="16">
        <v>10000.0</v>
      </c>
      <c r="K16" s="10"/>
      <c r="L16" s="15">
        <v>10000.0</v>
      </c>
      <c r="M16" s="9">
        <f t="shared" si="1"/>
        <v>19000</v>
      </c>
      <c r="N16" s="9">
        <f t="shared" si="2"/>
        <v>0</v>
      </c>
      <c r="O16" s="9">
        <f t="shared" si="3"/>
        <v>19000</v>
      </c>
      <c r="P16" s="10" t="s">
        <v>44</v>
      </c>
      <c r="T16" s="10"/>
      <c r="U16" s="10"/>
      <c r="V16" s="10"/>
      <c r="W16" s="10"/>
      <c r="X16" s="10"/>
      <c r="Y16" s="10"/>
    </row>
    <row r="17">
      <c r="A17" s="5">
        <v>16.0</v>
      </c>
      <c r="B17" s="6" t="s">
        <v>1034</v>
      </c>
      <c r="C17" s="6" t="s">
        <v>1035</v>
      </c>
      <c r="D17" s="237" t="s">
        <v>2</v>
      </c>
      <c r="E17" s="13"/>
      <c r="F17" s="6" t="s">
        <v>145</v>
      </c>
      <c r="G17" s="5">
        <v>9.16620473E9</v>
      </c>
      <c r="I17" s="6">
        <v>18000.0</v>
      </c>
      <c r="J17" s="241">
        <v>0.0</v>
      </c>
      <c r="K17" s="242"/>
      <c r="L17" s="242"/>
      <c r="M17" s="9">
        <f t="shared" si="1"/>
        <v>18000</v>
      </c>
      <c r="N17" s="9">
        <f t="shared" si="2"/>
        <v>7000</v>
      </c>
      <c r="O17" s="9">
        <f t="shared" si="3"/>
        <v>11000</v>
      </c>
      <c r="Q17" s="6">
        <v>4000.0</v>
      </c>
      <c r="R17" s="6">
        <v>3408.0</v>
      </c>
      <c r="S17" s="6" t="s">
        <v>1036</v>
      </c>
      <c r="T17" s="6">
        <v>3000.0</v>
      </c>
      <c r="U17" s="6">
        <v>3562.0</v>
      </c>
      <c r="V17" s="27">
        <v>45848.0</v>
      </c>
    </row>
    <row r="18">
      <c r="A18" s="5">
        <v>17.0</v>
      </c>
      <c r="B18" s="6" t="s">
        <v>1037</v>
      </c>
      <c r="C18" s="6" t="s">
        <v>1038</v>
      </c>
      <c r="D18" s="237" t="s">
        <v>2</v>
      </c>
      <c r="E18" s="9"/>
      <c r="F18" s="6" t="s">
        <v>126</v>
      </c>
      <c r="G18" s="6">
        <v>8.770437271E9</v>
      </c>
      <c r="H18" s="6">
        <v>1000.0</v>
      </c>
      <c r="I18" s="6">
        <v>18000.0</v>
      </c>
      <c r="J18" s="238">
        <v>5000.0</v>
      </c>
      <c r="L18" s="6">
        <v>1000.0</v>
      </c>
      <c r="M18" s="9">
        <f t="shared" si="1"/>
        <v>23000</v>
      </c>
      <c r="N18" s="9">
        <f t="shared" si="2"/>
        <v>12000</v>
      </c>
      <c r="O18" s="9">
        <f t="shared" si="3"/>
        <v>11000</v>
      </c>
      <c r="Q18" s="6">
        <v>6000.0</v>
      </c>
      <c r="R18" s="6">
        <v>3584.0</v>
      </c>
      <c r="S18" s="27">
        <v>45848.0</v>
      </c>
      <c r="T18" s="6">
        <v>6000.0</v>
      </c>
      <c r="U18" s="6">
        <v>4036.0</v>
      </c>
      <c r="V18" s="6" t="s">
        <v>261</v>
      </c>
    </row>
    <row r="19">
      <c r="A19" s="5">
        <v>18.0</v>
      </c>
      <c r="B19" s="6" t="s">
        <v>1039</v>
      </c>
      <c r="C19" s="6" t="s">
        <v>1040</v>
      </c>
      <c r="D19" s="237" t="s">
        <v>1006</v>
      </c>
      <c r="E19" s="5">
        <v>1798.0</v>
      </c>
      <c r="I19" s="6">
        <v>18000.0</v>
      </c>
      <c r="J19" s="121"/>
      <c r="M19" s="9">
        <f t="shared" si="1"/>
        <v>18000</v>
      </c>
      <c r="N19" s="9">
        <f t="shared" si="2"/>
        <v>5000</v>
      </c>
      <c r="O19" s="9">
        <f t="shared" si="3"/>
        <v>13000</v>
      </c>
      <c r="Q19" s="6">
        <v>5000.0</v>
      </c>
      <c r="R19" s="6">
        <v>3946.0</v>
      </c>
      <c r="S19" s="6" t="s">
        <v>132</v>
      </c>
    </row>
    <row r="20">
      <c r="A20" s="5">
        <v>19.0</v>
      </c>
      <c r="B20" s="6" t="s">
        <v>1041</v>
      </c>
      <c r="C20" s="6" t="s">
        <v>1042</v>
      </c>
      <c r="D20" s="237" t="s">
        <v>1006</v>
      </c>
      <c r="E20" s="5">
        <v>1532.0</v>
      </c>
      <c r="F20" s="6" t="s">
        <v>3</v>
      </c>
      <c r="G20" s="6">
        <v>9.05723532E9</v>
      </c>
      <c r="I20" s="6">
        <v>18000.0</v>
      </c>
      <c r="J20" s="238">
        <v>6500.0</v>
      </c>
      <c r="L20" s="6">
        <v>2500.0</v>
      </c>
      <c r="M20" s="9">
        <f t="shared" si="1"/>
        <v>22000</v>
      </c>
      <c r="N20" s="9">
        <f t="shared" si="2"/>
        <v>10000</v>
      </c>
      <c r="O20" s="9">
        <f t="shared" si="3"/>
        <v>12000</v>
      </c>
      <c r="Q20" s="6">
        <v>10000.0</v>
      </c>
      <c r="R20" s="6">
        <v>3416.0</v>
      </c>
      <c r="S20" s="6" t="s">
        <v>331</v>
      </c>
    </row>
    <row r="21">
      <c r="A21" s="5">
        <v>20.0</v>
      </c>
      <c r="B21" s="10" t="s">
        <v>1043</v>
      </c>
      <c r="C21" s="10" t="s">
        <v>1044</v>
      </c>
      <c r="D21" s="237" t="s">
        <v>2</v>
      </c>
      <c r="F21" s="10" t="s">
        <v>662</v>
      </c>
      <c r="G21" s="15">
        <v>8.000580846E9</v>
      </c>
      <c r="H21" s="15">
        <v>1000.0</v>
      </c>
      <c r="I21" s="6">
        <v>18000.0</v>
      </c>
      <c r="J21" s="16">
        <v>6500.0</v>
      </c>
      <c r="K21" s="10"/>
      <c r="L21" s="15">
        <v>1500.0</v>
      </c>
      <c r="M21" s="9">
        <f t="shared" si="1"/>
        <v>24000</v>
      </c>
      <c r="N21" s="9">
        <f t="shared" si="2"/>
        <v>14000</v>
      </c>
      <c r="O21" s="9">
        <f t="shared" si="3"/>
        <v>10000</v>
      </c>
      <c r="P21" s="10" t="s">
        <v>177</v>
      </c>
      <c r="Q21" s="16">
        <v>8000.0</v>
      </c>
      <c r="R21" s="16">
        <v>2852.0</v>
      </c>
      <c r="S21" s="10" t="s">
        <v>697</v>
      </c>
      <c r="T21" s="14">
        <v>6000.0</v>
      </c>
      <c r="U21" s="14">
        <v>4000.0</v>
      </c>
      <c r="V21" s="14" t="s">
        <v>312</v>
      </c>
      <c r="W21" s="10"/>
      <c r="X21" s="10"/>
      <c r="Y21" s="10"/>
    </row>
    <row r="22">
      <c r="A22" s="5">
        <v>21.0</v>
      </c>
      <c r="B22" s="6" t="s">
        <v>1045</v>
      </c>
      <c r="C22" s="6" t="s">
        <v>566</v>
      </c>
      <c r="D22" s="237" t="s">
        <v>2</v>
      </c>
      <c r="E22" s="13"/>
      <c r="F22" s="6" t="s">
        <v>568</v>
      </c>
      <c r="G22" s="5">
        <v>9.772977179E9</v>
      </c>
      <c r="I22" s="6">
        <v>18000.0</v>
      </c>
      <c r="J22" s="238">
        <v>9000.0</v>
      </c>
      <c r="L22" s="6">
        <v>3000.0</v>
      </c>
      <c r="M22" s="9">
        <f t="shared" si="1"/>
        <v>24000</v>
      </c>
      <c r="N22" s="9">
        <f t="shared" si="2"/>
        <v>10000</v>
      </c>
      <c r="O22" s="9">
        <f t="shared" si="3"/>
        <v>14000</v>
      </c>
      <c r="P22" s="6" t="s">
        <v>44</v>
      </c>
      <c r="Q22" s="6">
        <v>10000.0</v>
      </c>
      <c r="R22" s="6">
        <v>3528.0</v>
      </c>
      <c r="S22" s="27">
        <v>45818.0</v>
      </c>
      <c r="Z22" s="17"/>
      <c r="AA22" s="17"/>
      <c r="AB22" s="17"/>
    </row>
    <row r="23">
      <c r="A23" s="5">
        <v>22.0</v>
      </c>
      <c r="B23" s="6" t="s">
        <v>373</v>
      </c>
      <c r="C23" s="6" t="s">
        <v>1046</v>
      </c>
      <c r="D23" s="237" t="s">
        <v>1006</v>
      </c>
      <c r="E23" s="9"/>
      <c r="F23" s="6" t="s">
        <v>30</v>
      </c>
      <c r="G23" s="6">
        <v>9.343652755E9</v>
      </c>
      <c r="I23" s="6">
        <v>18000.0</v>
      </c>
      <c r="J23" s="238">
        <v>9500.0</v>
      </c>
      <c r="M23" s="9">
        <f t="shared" si="1"/>
        <v>27500</v>
      </c>
      <c r="N23" s="9">
        <f t="shared" si="2"/>
        <v>0</v>
      </c>
      <c r="O23" s="9">
        <f t="shared" si="3"/>
        <v>27500</v>
      </c>
    </row>
    <row r="24">
      <c r="A24" s="5">
        <v>23.0</v>
      </c>
      <c r="B24" s="243" t="s">
        <v>1047</v>
      </c>
      <c r="C24" s="14" t="s">
        <v>1048</v>
      </c>
      <c r="D24" s="237" t="s">
        <v>2</v>
      </c>
      <c r="E24" s="243"/>
      <c r="F24" s="10" t="s">
        <v>126</v>
      </c>
      <c r="G24" s="15">
        <v>9.829864622E9</v>
      </c>
      <c r="H24" s="242"/>
      <c r="I24" s="6">
        <v>18000.0</v>
      </c>
      <c r="J24" s="241">
        <v>5000.0</v>
      </c>
      <c r="K24" s="242"/>
      <c r="L24" s="242"/>
      <c r="M24" s="9">
        <f t="shared" si="1"/>
        <v>23000</v>
      </c>
      <c r="N24" s="9">
        <f t="shared" si="2"/>
        <v>2000</v>
      </c>
      <c r="O24" s="9">
        <f t="shared" si="3"/>
        <v>21000</v>
      </c>
      <c r="P24" s="242"/>
      <c r="Q24" s="244">
        <v>2000.0</v>
      </c>
      <c r="R24" s="244">
        <v>3355.0</v>
      </c>
      <c r="S24" s="244" t="s">
        <v>452</v>
      </c>
    </row>
    <row r="25">
      <c r="A25" s="5">
        <v>24.0</v>
      </c>
      <c r="B25" s="6" t="s">
        <v>1049</v>
      </c>
      <c r="C25" s="6" t="s">
        <v>1050</v>
      </c>
      <c r="D25" s="237" t="s">
        <v>2</v>
      </c>
      <c r="E25" s="5">
        <v>1454.0</v>
      </c>
      <c r="F25" s="6" t="s">
        <v>126</v>
      </c>
      <c r="G25" s="6">
        <v>6.377394541E9</v>
      </c>
      <c r="I25" s="6">
        <v>18000.0</v>
      </c>
      <c r="J25" s="238">
        <v>5000.0</v>
      </c>
      <c r="L25" s="6">
        <v>23000.0</v>
      </c>
      <c r="M25" s="9">
        <f t="shared" si="1"/>
        <v>0</v>
      </c>
      <c r="N25" s="9">
        <f t="shared" si="2"/>
        <v>0</v>
      </c>
      <c r="O25" s="9">
        <f t="shared" si="3"/>
        <v>0</v>
      </c>
      <c r="P25" s="6" t="s">
        <v>131</v>
      </c>
    </row>
    <row r="26">
      <c r="A26" s="5">
        <v>25.0</v>
      </c>
      <c r="B26" s="6" t="s">
        <v>680</v>
      </c>
      <c r="C26" s="6" t="s">
        <v>1051</v>
      </c>
      <c r="D26" s="237" t="s">
        <v>2</v>
      </c>
      <c r="E26" s="5">
        <v>1343.0</v>
      </c>
      <c r="F26" s="6" t="s">
        <v>1052</v>
      </c>
      <c r="G26" s="6">
        <v>9.929885711E9</v>
      </c>
      <c r="I26" s="6">
        <v>18000.0</v>
      </c>
      <c r="J26" s="238">
        <v>8000.0</v>
      </c>
      <c r="M26" s="9">
        <f t="shared" si="1"/>
        <v>26000</v>
      </c>
      <c r="N26" s="9">
        <f t="shared" si="2"/>
        <v>20000</v>
      </c>
      <c r="O26" s="9">
        <f t="shared" si="3"/>
        <v>6000</v>
      </c>
      <c r="Q26" s="6">
        <v>20000.0</v>
      </c>
      <c r="R26" s="6">
        <v>3705.0</v>
      </c>
      <c r="S26" s="240">
        <v>45940.0</v>
      </c>
    </row>
    <row r="27">
      <c r="A27" s="5">
        <v>26.0</v>
      </c>
      <c r="B27" s="6" t="s">
        <v>1053</v>
      </c>
      <c r="C27" s="6" t="s">
        <v>1054</v>
      </c>
      <c r="D27" s="237" t="s">
        <v>1006</v>
      </c>
      <c r="E27" s="5">
        <v>1721.0</v>
      </c>
      <c r="F27" s="6" t="s">
        <v>1055</v>
      </c>
      <c r="G27" s="6">
        <v>8.000194342E9</v>
      </c>
      <c r="I27" s="6">
        <v>18000.0</v>
      </c>
      <c r="J27" s="238">
        <v>10000.0</v>
      </c>
      <c r="M27" s="9">
        <f t="shared" si="1"/>
        <v>28000</v>
      </c>
      <c r="N27" s="9">
        <f t="shared" si="2"/>
        <v>0</v>
      </c>
      <c r="O27" s="9">
        <f t="shared" si="3"/>
        <v>28000</v>
      </c>
    </row>
    <row r="28">
      <c r="A28" s="5">
        <v>27.0</v>
      </c>
      <c r="B28" s="6" t="s">
        <v>1056</v>
      </c>
      <c r="C28" s="6" t="s">
        <v>1057</v>
      </c>
      <c r="D28" s="237" t="s">
        <v>1006</v>
      </c>
      <c r="E28" s="5">
        <v>1857.0</v>
      </c>
      <c r="F28" s="10" t="s">
        <v>834</v>
      </c>
      <c r="G28" s="15">
        <v>8.905775724E9</v>
      </c>
      <c r="H28" s="15">
        <v>1000.0</v>
      </c>
      <c r="I28" s="6">
        <v>18000.0</v>
      </c>
      <c r="J28" s="16">
        <v>9000.0</v>
      </c>
      <c r="K28" s="10"/>
      <c r="L28" s="15">
        <v>6000.0</v>
      </c>
      <c r="M28" s="9">
        <f t="shared" si="1"/>
        <v>22000</v>
      </c>
      <c r="N28" s="9">
        <f t="shared" si="2"/>
        <v>4000</v>
      </c>
      <c r="O28" s="9">
        <f t="shared" si="3"/>
        <v>18000</v>
      </c>
      <c r="P28" s="10" t="s">
        <v>44</v>
      </c>
      <c r="Q28" s="16">
        <v>4000.0</v>
      </c>
      <c r="R28" s="16">
        <v>2975.0</v>
      </c>
      <c r="S28" s="17">
        <v>45937.0</v>
      </c>
      <c r="T28" s="17"/>
      <c r="U28" s="17"/>
      <c r="V28" s="17"/>
      <c r="W28" s="17"/>
      <c r="X28" s="17"/>
      <c r="Y28" s="17"/>
      <c r="Z28" s="10"/>
      <c r="AA28" s="10"/>
      <c r="AB28" s="10"/>
    </row>
    <row r="29">
      <c r="A29" s="5">
        <v>28.0</v>
      </c>
      <c r="B29" s="6" t="s">
        <v>1058</v>
      </c>
      <c r="C29" s="6" t="s">
        <v>1059</v>
      </c>
      <c r="D29" s="237" t="s">
        <v>1006</v>
      </c>
      <c r="E29" s="5">
        <v>1714.0</v>
      </c>
      <c r="F29" s="6" t="s">
        <v>3</v>
      </c>
      <c r="G29" s="6">
        <v>9.001624882E9</v>
      </c>
      <c r="I29" s="6">
        <v>18000.0</v>
      </c>
      <c r="J29" s="238">
        <v>6500.0</v>
      </c>
      <c r="L29" s="6">
        <v>3000.0</v>
      </c>
      <c r="M29" s="9">
        <f t="shared" si="1"/>
        <v>21500</v>
      </c>
      <c r="N29" s="9">
        <f t="shared" si="2"/>
        <v>7000</v>
      </c>
      <c r="O29" s="9">
        <f t="shared" si="3"/>
        <v>14500</v>
      </c>
      <c r="Q29" s="6">
        <v>5000.0</v>
      </c>
      <c r="R29" s="6">
        <v>3573.0</v>
      </c>
      <c r="S29" s="27">
        <v>45848.0</v>
      </c>
      <c r="T29" s="6">
        <v>2000.0</v>
      </c>
      <c r="U29" s="6">
        <v>4003.0</v>
      </c>
      <c r="V29" s="6" t="s">
        <v>312</v>
      </c>
    </row>
    <row r="30">
      <c r="A30" s="5">
        <v>29.0</v>
      </c>
      <c r="B30" s="6" t="s">
        <v>1060</v>
      </c>
      <c r="C30" s="6" t="s">
        <v>1061</v>
      </c>
      <c r="D30" s="237" t="s">
        <v>2</v>
      </c>
      <c r="E30" s="5">
        <v>1451.0</v>
      </c>
      <c r="F30" s="6" t="s">
        <v>145</v>
      </c>
      <c r="G30" s="6">
        <v>8.107656003E9</v>
      </c>
      <c r="I30" s="6">
        <v>18000.0</v>
      </c>
      <c r="J30" s="238">
        <v>0.0</v>
      </c>
      <c r="M30" s="9">
        <f t="shared" si="1"/>
        <v>18000</v>
      </c>
      <c r="N30" s="9">
        <f t="shared" si="2"/>
        <v>15000</v>
      </c>
      <c r="O30" s="9">
        <f t="shared" si="3"/>
        <v>3000</v>
      </c>
      <c r="Q30" s="6">
        <v>15000.0</v>
      </c>
      <c r="R30" s="6">
        <v>3951.0</v>
      </c>
      <c r="S30" s="6" t="s">
        <v>132</v>
      </c>
    </row>
    <row r="31">
      <c r="A31" s="5">
        <v>30.0</v>
      </c>
      <c r="B31" s="6" t="s">
        <v>1062</v>
      </c>
      <c r="C31" s="6" t="s">
        <v>1063</v>
      </c>
      <c r="D31" s="237" t="s">
        <v>2</v>
      </c>
      <c r="E31" s="5">
        <v>1455.0</v>
      </c>
      <c r="F31" s="6" t="s">
        <v>126</v>
      </c>
      <c r="G31" s="6">
        <v>9.587531382E9</v>
      </c>
      <c r="I31" s="6">
        <v>18000.0</v>
      </c>
      <c r="J31" s="238">
        <v>5000.0</v>
      </c>
      <c r="L31" s="6">
        <v>23000.0</v>
      </c>
      <c r="M31" s="9">
        <f t="shared" si="1"/>
        <v>0</v>
      </c>
      <c r="N31" s="9">
        <f t="shared" si="2"/>
        <v>0</v>
      </c>
      <c r="O31" s="9">
        <f t="shared" si="3"/>
        <v>0</v>
      </c>
      <c r="P31" s="6" t="s">
        <v>131</v>
      </c>
    </row>
    <row r="32">
      <c r="A32" s="5">
        <v>31.0</v>
      </c>
      <c r="B32" s="6" t="s">
        <v>1064</v>
      </c>
      <c r="C32" s="6" t="s">
        <v>1065</v>
      </c>
      <c r="D32" s="237" t="s">
        <v>2</v>
      </c>
      <c r="E32" s="5">
        <v>1308.0</v>
      </c>
      <c r="F32" s="6" t="s">
        <v>165</v>
      </c>
      <c r="G32" s="6">
        <v>6.381530439E9</v>
      </c>
      <c r="H32" s="15">
        <v>0.0</v>
      </c>
      <c r="I32" s="6">
        <v>18000.0</v>
      </c>
      <c r="J32" s="16">
        <v>7000.0</v>
      </c>
      <c r="K32" s="10"/>
      <c r="L32" s="15">
        <v>3500.0</v>
      </c>
      <c r="M32" s="9">
        <f t="shared" si="1"/>
        <v>21500</v>
      </c>
      <c r="N32" s="9">
        <f t="shared" si="2"/>
        <v>10000</v>
      </c>
      <c r="O32" s="9">
        <f t="shared" si="3"/>
        <v>11500</v>
      </c>
      <c r="P32" s="10" t="s">
        <v>44</v>
      </c>
      <c r="Q32" s="16">
        <v>10000.0</v>
      </c>
      <c r="R32" s="16">
        <v>3172.0</v>
      </c>
      <c r="S32" s="17">
        <v>45816.0</v>
      </c>
    </row>
    <row r="33">
      <c r="A33" s="5">
        <v>32.0</v>
      </c>
      <c r="B33" s="6" t="s">
        <v>1066</v>
      </c>
      <c r="C33" s="6" t="s">
        <v>1067</v>
      </c>
      <c r="D33" s="237" t="s">
        <v>1006</v>
      </c>
      <c r="E33" s="9"/>
      <c r="F33" s="6" t="s">
        <v>1068</v>
      </c>
      <c r="G33" s="6">
        <v>8.108153289E9</v>
      </c>
      <c r="H33" s="6">
        <v>1000.0</v>
      </c>
      <c r="I33" s="6">
        <v>17000.0</v>
      </c>
      <c r="J33" s="228">
        <v>10000.0</v>
      </c>
      <c r="K33" s="15"/>
      <c r="L33" s="14">
        <v>4000.0</v>
      </c>
      <c r="M33" s="9">
        <f t="shared" si="1"/>
        <v>24000</v>
      </c>
      <c r="N33" s="9">
        <f t="shared" si="2"/>
        <v>9000</v>
      </c>
      <c r="O33" s="9">
        <f t="shared" si="3"/>
        <v>15000</v>
      </c>
      <c r="P33" s="9"/>
      <c r="Q33" s="16">
        <v>4000.0</v>
      </c>
      <c r="R33" s="16">
        <v>2970.0</v>
      </c>
      <c r="S33" s="17">
        <v>45937.0</v>
      </c>
      <c r="T33" s="6">
        <v>5000.0</v>
      </c>
      <c r="U33" s="6">
        <v>3755.0</v>
      </c>
      <c r="V33" s="6" t="s">
        <v>600</v>
      </c>
    </row>
    <row r="34">
      <c r="A34" s="5">
        <v>33.0</v>
      </c>
      <c r="B34" s="6" t="s">
        <v>1069</v>
      </c>
      <c r="C34" s="6" t="s">
        <v>1070</v>
      </c>
      <c r="D34" s="6" t="s">
        <v>1071</v>
      </c>
      <c r="E34" s="5">
        <v>1597.0</v>
      </c>
      <c r="F34" s="6" t="s">
        <v>145</v>
      </c>
      <c r="G34" s="6">
        <v>9.928842938E9</v>
      </c>
      <c r="I34" s="6">
        <v>18000.0</v>
      </c>
      <c r="J34" s="238">
        <v>0.0</v>
      </c>
      <c r="M34" s="9">
        <f t="shared" si="1"/>
        <v>18000</v>
      </c>
      <c r="N34" s="9">
        <f t="shared" si="2"/>
        <v>0</v>
      </c>
      <c r="O34" s="9">
        <f t="shared" si="3"/>
        <v>18000</v>
      </c>
    </row>
    <row r="35">
      <c r="A35" s="5">
        <v>34.0</v>
      </c>
      <c r="B35" s="6" t="s">
        <v>1072</v>
      </c>
      <c r="C35" s="6" t="s">
        <v>1073</v>
      </c>
      <c r="D35" s="6" t="s">
        <v>2</v>
      </c>
      <c r="E35" s="5">
        <v>1979.0</v>
      </c>
      <c r="F35" s="10" t="s">
        <v>662</v>
      </c>
      <c r="G35" s="15">
        <v>9.352342901E9</v>
      </c>
      <c r="H35" s="15">
        <v>1000.0</v>
      </c>
      <c r="I35" s="6">
        <v>18000.0</v>
      </c>
      <c r="J35" s="16">
        <v>6500.0</v>
      </c>
      <c r="K35" s="10"/>
      <c r="L35" s="15">
        <v>3500.0</v>
      </c>
      <c r="M35" s="9">
        <f t="shared" si="1"/>
        <v>22000</v>
      </c>
      <c r="N35" s="9">
        <f t="shared" si="2"/>
        <v>6000</v>
      </c>
      <c r="O35" s="9">
        <f t="shared" si="3"/>
        <v>16000</v>
      </c>
      <c r="P35" s="10" t="s">
        <v>44</v>
      </c>
      <c r="Q35" s="16">
        <v>6000.0</v>
      </c>
      <c r="R35" s="16">
        <v>3083.0</v>
      </c>
      <c r="S35" s="10" t="s">
        <v>1074</v>
      </c>
      <c r="T35" s="10"/>
      <c r="U35" s="10"/>
      <c r="V35" s="10"/>
      <c r="W35" s="10"/>
      <c r="X35" s="10"/>
      <c r="Y35" s="10"/>
    </row>
    <row r="36">
      <c r="A36" s="5">
        <v>35.0</v>
      </c>
      <c r="B36" s="6" t="s">
        <v>1075</v>
      </c>
      <c r="C36" s="6" t="s">
        <v>1076</v>
      </c>
      <c r="D36" s="237" t="s">
        <v>1006</v>
      </c>
      <c r="E36" s="5">
        <v>1786.0</v>
      </c>
      <c r="F36" s="6" t="s">
        <v>169</v>
      </c>
      <c r="G36" s="6">
        <v>7.665647452E9</v>
      </c>
      <c r="I36" s="6">
        <v>18000.0</v>
      </c>
      <c r="J36" s="238">
        <v>7500.0</v>
      </c>
      <c r="M36" s="9">
        <f t="shared" si="1"/>
        <v>25500</v>
      </c>
      <c r="N36" s="9">
        <f t="shared" si="2"/>
        <v>0</v>
      </c>
      <c r="O36" s="9">
        <f t="shared" si="3"/>
        <v>25500</v>
      </c>
    </row>
    <row r="37">
      <c r="A37" s="5">
        <v>36.0</v>
      </c>
      <c r="B37" s="6" t="s">
        <v>1077</v>
      </c>
      <c r="C37" s="6" t="s">
        <v>1078</v>
      </c>
      <c r="D37" s="237" t="s">
        <v>1006</v>
      </c>
      <c r="E37" s="5">
        <v>1348.0</v>
      </c>
      <c r="F37" s="10" t="s">
        <v>662</v>
      </c>
      <c r="G37" s="15">
        <v>9.587608533E9</v>
      </c>
      <c r="H37" s="15">
        <v>0.0</v>
      </c>
      <c r="I37" s="6">
        <v>18000.0</v>
      </c>
      <c r="J37" s="16">
        <v>6500.0</v>
      </c>
      <c r="K37" s="10"/>
      <c r="L37" s="15">
        <v>2500.0</v>
      </c>
      <c r="M37" s="9">
        <f t="shared" si="1"/>
        <v>22000</v>
      </c>
      <c r="N37" s="9">
        <f t="shared" si="2"/>
        <v>0</v>
      </c>
      <c r="O37" s="9">
        <f t="shared" si="3"/>
        <v>22000</v>
      </c>
      <c r="P37" s="10" t="s">
        <v>44</v>
      </c>
    </row>
    <row r="38">
      <c r="A38" s="5">
        <v>37.0</v>
      </c>
      <c r="B38" s="6" t="s">
        <v>1079</v>
      </c>
      <c r="C38" s="6" t="s">
        <v>1080</v>
      </c>
      <c r="D38" s="237" t="s">
        <v>2</v>
      </c>
      <c r="E38" s="5">
        <v>1212.0</v>
      </c>
      <c r="F38" s="6" t="s">
        <v>126</v>
      </c>
      <c r="G38" s="6">
        <v>8.875139643E9</v>
      </c>
      <c r="I38" s="6">
        <v>18000.0</v>
      </c>
      <c r="J38" s="238">
        <v>5000.0</v>
      </c>
      <c r="L38" s="6">
        <v>4500.0</v>
      </c>
      <c r="M38" s="9">
        <f t="shared" si="1"/>
        <v>18500</v>
      </c>
      <c r="N38" s="9">
        <f t="shared" si="2"/>
        <v>10000</v>
      </c>
      <c r="O38" s="9">
        <f t="shared" si="3"/>
        <v>8500</v>
      </c>
      <c r="Q38" s="6">
        <v>10000.0</v>
      </c>
      <c r="R38" s="6">
        <v>3555.0</v>
      </c>
      <c r="S38" s="27">
        <v>45818.0</v>
      </c>
    </row>
    <row r="39">
      <c r="A39" s="5">
        <v>38.0</v>
      </c>
      <c r="B39" s="10" t="s">
        <v>1081</v>
      </c>
      <c r="C39" s="10" t="s">
        <v>1082</v>
      </c>
      <c r="D39" s="237" t="s">
        <v>2</v>
      </c>
      <c r="F39" s="10" t="s">
        <v>165</v>
      </c>
      <c r="G39" s="15">
        <v>8.829914462E9</v>
      </c>
      <c r="H39" s="15">
        <v>1000.0</v>
      </c>
      <c r="I39" s="6">
        <v>18000.0</v>
      </c>
      <c r="J39" s="16">
        <v>7000.0</v>
      </c>
      <c r="K39" s="10"/>
      <c r="L39" s="15">
        <v>4000.0</v>
      </c>
      <c r="M39" s="9">
        <f t="shared" si="1"/>
        <v>22000</v>
      </c>
      <c r="N39" s="9">
        <f t="shared" si="2"/>
        <v>15000</v>
      </c>
      <c r="O39" s="9">
        <f t="shared" si="3"/>
        <v>7000</v>
      </c>
      <c r="P39" s="10" t="s">
        <v>44</v>
      </c>
      <c r="Q39" s="16">
        <v>8000.0</v>
      </c>
      <c r="R39" s="16">
        <v>2967.0</v>
      </c>
      <c r="S39" s="17">
        <v>45937.0</v>
      </c>
      <c r="T39" s="14">
        <v>7000.0</v>
      </c>
      <c r="U39" s="14">
        <v>3600.0</v>
      </c>
      <c r="V39" s="245">
        <v>45848.0</v>
      </c>
      <c r="W39" s="10"/>
      <c r="X39" s="10"/>
      <c r="Y39" s="10"/>
    </row>
    <row r="40">
      <c r="A40" s="5">
        <v>39.0</v>
      </c>
      <c r="B40" s="6" t="s">
        <v>1083</v>
      </c>
      <c r="C40" s="6" t="s">
        <v>1084</v>
      </c>
      <c r="D40" s="237" t="s">
        <v>2</v>
      </c>
      <c r="E40" s="5">
        <v>1167.0</v>
      </c>
      <c r="F40" s="6" t="s">
        <v>1085</v>
      </c>
      <c r="G40" s="6">
        <v>9.799351902E9</v>
      </c>
      <c r="I40" s="6">
        <v>18000.0</v>
      </c>
      <c r="J40" s="238">
        <v>7000.0</v>
      </c>
      <c r="L40" s="6">
        <v>3000.0</v>
      </c>
      <c r="M40" s="9">
        <f t="shared" si="1"/>
        <v>22000</v>
      </c>
      <c r="N40" s="9">
        <f t="shared" si="2"/>
        <v>10000</v>
      </c>
      <c r="O40" s="9">
        <f t="shared" si="3"/>
        <v>12000</v>
      </c>
      <c r="Q40" s="6">
        <v>10000.0</v>
      </c>
      <c r="R40" s="6">
        <v>3448.0</v>
      </c>
      <c r="S40" s="6" t="s">
        <v>1086</v>
      </c>
      <c r="Z40" s="17"/>
      <c r="AA40" s="17"/>
      <c r="AB40" s="17"/>
    </row>
    <row r="41">
      <c r="A41" s="5">
        <v>40.0</v>
      </c>
      <c r="B41" s="6" t="s">
        <v>1087</v>
      </c>
      <c r="C41" s="6" t="s">
        <v>1088</v>
      </c>
      <c r="D41" s="237" t="s">
        <v>1006</v>
      </c>
      <c r="E41" s="5">
        <v>1421.0</v>
      </c>
      <c r="F41" s="6" t="s">
        <v>244</v>
      </c>
      <c r="G41" s="6">
        <v>9.610755636E9</v>
      </c>
      <c r="I41" s="6">
        <v>18000.0</v>
      </c>
      <c r="J41" s="238">
        <v>5000.0</v>
      </c>
      <c r="L41" s="6">
        <v>2000.0</v>
      </c>
      <c r="M41" s="9">
        <f t="shared" si="1"/>
        <v>21000</v>
      </c>
      <c r="N41" s="9">
        <f t="shared" si="2"/>
        <v>4000</v>
      </c>
      <c r="O41" s="9">
        <f t="shared" si="3"/>
        <v>17000</v>
      </c>
      <c r="Q41" s="6">
        <v>4000.0</v>
      </c>
      <c r="R41" s="6">
        <v>3556.0</v>
      </c>
      <c r="S41" s="27">
        <v>45818.0</v>
      </c>
    </row>
    <row r="42">
      <c r="A42" s="5">
        <v>41.0</v>
      </c>
      <c r="B42" s="6" t="s">
        <v>1089</v>
      </c>
      <c r="C42" s="6" t="s">
        <v>1090</v>
      </c>
      <c r="D42" s="237" t="s">
        <v>1006</v>
      </c>
      <c r="E42" s="5">
        <v>1799.0</v>
      </c>
      <c r="F42" s="10" t="s">
        <v>3</v>
      </c>
      <c r="G42" s="15">
        <v>8.769144129E9</v>
      </c>
      <c r="H42" s="10"/>
      <c r="I42" s="6">
        <v>18000.0</v>
      </c>
      <c r="J42" s="228">
        <v>6500.0</v>
      </c>
      <c r="K42" s="10"/>
      <c r="L42" s="10"/>
      <c r="M42" s="9">
        <f t="shared" si="1"/>
        <v>24500</v>
      </c>
      <c r="N42" s="9">
        <f t="shared" si="2"/>
        <v>10000</v>
      </c>
      <c r="O42" s="9">
        <f t="shared" si="3"/>
        <v>14500</v>
      </c>
      <c r="P42" s="10"/>
      <c r="Q42" s="16">
        <v>5000.0</v>
      </c>
      <c r="R42" s="16">
        <v>3003.0</v>
      </c>
      <c r="S42" s="10" t="s">
        <v>191</v>
      </c>
      <c r="T42" s="6">
        <v>5000.0</v>
      </c>
      <c r="U42" s="6">
        <v>3857.0</v>
      </c>
      <c r="V42" s="240">
        <v>45941.0</v>
      </c>
    </row>
    <row r="43">
      <c r="A43" s="5">
        <v>42.0</v>
      </c>
      <c r="B43" s="10" t="s">
        <v>1091</v>
      </c>
      <c r="C43" s="10" t="s">
        <v>1092</v>
      </c>
      <c r="D43" s="237" t="s">
        <v>1006</v>
      </c>
      <c r="F43" s="10" t="s">
        <v>1033</v>
      </c>
      <c r="G43" s="15">
        <v>9.352262569E9</v>
      </c>
      <c r="H43" s="15">
        <v>1000.0</v>
      </c>
      <c r="I43" s="6">
        <v>18000.0</v>
      </c>
      <c r="J43" s="16">
        <v>7500.0</v>
      </c>
      <c r="K43" s="10"/>
      <c r="L43" s="15">
        <v>3100.0</v>
      </c>
      <c r="M43" s="9">
        <f t="shared" si="1"/>
        <v>23400</v>
      </c>
      <c r="N43" s="9">
        <f t="shared" si="2"/>
        <v>4000</v>
      </c>
      <c r="O43" s="9">
        <f t="shared" si="3"/>
        <v>19400</v>
      </c>
      <c r="P43" s="10" t="s">
        <v>131</v>
      </c>
      <c r="Q43" s="16">
        <v>2000.0</v>
      </c>
      <c r="R43" s="16">
        <v>3136.0</v>
      </c>
      <c r="S43" s="17">
        <v>45696.0</v>
      </c>
      <c r="T43" s="14">
        <v>2000.0</v>
      </c>
      <c r="U43" s="14">
        <v>3824.0</v>
      </c>
      <c r="V43" s="246">
        <v>45941.0</v>
      </c>
      <c r="W43" s="10"/>
      <c r="X43" s="10"/>
      <c r="Y43" s="10"/>
      <c r="Z43" s="10"/>
      <c r="AA43" s="10"/>
      <c r="AB43" s="10"/>
    </row>
    <row r="44">
      <c r="A44" s="5">
        <v>43.0</v>
      </c>
      <c r="B44" s="6" t="s">
        <v>1093</v>
      </c>
      <c r="C44" s="6" t="s">
        <v>1094</v>
      </c>
      <c r="D44" s="237" t="s">
        <v>1006</v>
      </c>
      <c r="E44" s="5">
        <v>1533.0</v>
      </c>
      <c r="F44" s="10" t="s">
        <v>3</v>
      </c>
      <c r="G44" s="15">
        <v>9.829666304E9</v>
      </c>
      <c r="H44" s="15">
        <v>0.0</v>
      </c>
      <c r="I44" s="6">
        <v>18000.0</v>
      </c>
      <c r="J44" s="16">
        <v>6500.0</v>
      </c>
      <c r="K44" s="10"/>
      <c r="L44" s="15">
        <v>2000.0</v>
      </c>
      <c r="M44" s="9">
        <f t="shared" si="1"/>
        <v>22500</v>
      </c>
      <c r="N44" s="9">
        <f t="shared" si="2"/>
        <v>4000</v>
      </c>
      <c r="O44" s="9">
        <f t="shared" si="3"/>
        <v>18500</v>
      </c>
      <c r="P44" s="10" t="s">
        <v>177</v>
      </c>
      <c r="Q44" s="6">
        <v>4000.0</v>
      </c>
      <c r="R44" s="6">
        <v>3980.0</v>
      </c>
      <c r="S44" s="6" t="s">
        <v>132</v>
      </c>
      <c r="Z44" s="10"/>
      <c r="AA44" s="10"/>
      <c r="AB44" s="10"/>
    </row>
    <row r="45">
      <c r="A45" s="5">
        <v>44.0</v>
      </c>
      <c r="B45" s="6" t="s">
        <v>1095</v>
      </c>
      <c r="C45" s="6" t="s">
        <v>1096</v>
      </c>
      <c r="D45" s="237" t="s">
        <v>2</v>
      </c>
      <c r="E45" s="5">
        <v>1307.0</v>
      </c>
      <c r="F45" s="6" t="s">
        <v>33</v>
      </c>
      <c r="G45" s="6">
        <v>9.982893576E9</v>
      </c>
      <c r="I45" s="6">
        <v>18000.0</v>
      </c>
      <c r="J45" s="238">
        <v>5000.0</v>
      </c>
      <c r="M45" s="9">
        <f t="shared" si="1"/>
        <v>23000</v>
      </c>
      <c r="N45" s="9">
        <f t="shared" si="2"/>
        <v>0</v>
      </c>
      <c r="O45" s="9">
        <f t="shared" si="3"/>
        <v>23000</v>
      </c>
    </row>
    <row r="46">
      <c r="A46" s="5">
        <v>45.0</v>
      </c>
      <c r="B46" s="6" t="s">
        <v>1097</v>
      </c>
      <c r="C46" s="6" t="s">
        <v>1098</v>
      </c>
      <c r="D46" s="237" t="s">
        <v>2</v>
      </c>
      <c r="E46" s="5">
        <v>1719.0</v>
      </c>
      <c r="F46" s="6" t="s">
        <v>169</v>
      </c>
      <c r="G46" s="6">
        <v>9.783598656E9</v>
      </c>
      <c r="I46" s="6">
        <v>18000.0</v>
      </c>
      <c r="J46" s="238">
        <v>7500.0</v>
      </c>
      <c r="M46" s="9">
        <f t="shared" si="1"/>
        <v>25500</v>
      </c>
      <c r="N46" s="9">
        <f t="shared" si="2"/>
        <v>7000</v>
      </c>
      <c r="O46" s="9">
        <f t="shared" si="3"/>
        <v>18500</v>
      </c>
      <c r="Q46" s="6">
        <v>7000.0</v>
      </c>
      <c r="R46" s="6">
        <v>3766.0</v>
      </c>
      <c r="S46" s="27">
        <v>45727.0</v>
      </c>
    </row>
    <row r="47">
      <c r="A47" s="5">
        <v>46.0</v>
      </c>
      <c r="B47" s="6" t="s">
        <v>1099</v>
      </c>
      <c r="C47" s="6" t="s">
        <v>1100</v>
      </c>
      <c r="D47" s="237" t="s">
        <v>1006</v>
      </c>
      <c r="E47" s="5">
        <v>1339.0</v>
      </c>
      <c r="F47" s="10" t="s">
        <v>474</v>
      </c>
      <c r="G47" s="15">
        <v>9.602758124E9</v>
      </c>
      <c r="H47" s="15">
        <v>0.0</v>
      </c>
      <c r="I47" s="6">
        <v>18000.0</v>
      </c>
      <c r="J47" s="16">
        <v>5000.0</v>
      </c>
      <c r="K47" s="10"/>
      <c r="L47" s="15">
        <v>3000.0</v>
      </c>
      <c r="M47" s="9">
        <f t="shared" si="1"/>
        <v>20000</v>
      </c>
      <c r="N47" s="9">
        <f t="shared" si="2"/>
        <v>10000</v>
      </c>
      <c r="O47" s="9">
        <f t="shared" si="3"/>
        <v>10000</v>
      </c>
      <c r="P47" s="10" t="s">
        <v>44</v>
      </c>
      <c r="Q47" s="16">
        <v>6000.0</v>
      </c>
      <c r="R47" s="16">
        <v>2931.0</v>
      </c>
      <c r="S47" s="17">
        <v>45845.0</v>
      </c>
      <c r="T47" s="6">
        <v>4000.0</v>
      </c>
      <c r="U47" s="6">
        <v>3580.0</v>
      </c>
      <c r="V47" s="27">
        <v>45848.0</v>
      </c>
    </row>
    <row r="48">
      <c r="A48" s="5">
        <v>47.0</v>
      </c>
      <c r="B48" s="6" t="s">
        <v>1101</v>
      </c>
      <c r="C48" s="6" t="s">
        <v>1102</v>
      </c>
      <c r="D48" s="237" t="s">
        <v>1006</v>
      </c>
      <c r="E48" s="5">
        <v>1457.0</v>
      </c>
      <c r="F48" s="6" t="s">
        <v>474</v>
      </c>
      <c r="G48" s="6">
        <v>7.023898458E9</v>
      </c>
      <c r="I48" s="6">
        <v>18000.0</v>
      </c>
      <c r="J48" s="238">
        <v>5000.0</v>
      </c>
      <c r="M48" s="9">
        <f t="shared" si="1"/>
        <v>23000</v>
      </c>
      <c r="N48" s="9">
        <f t="shared" si="2"/>
        <v>0</v>
      </c>
      <c r="O48" s="9">
        <f t="shared" si="3"/>
        <v>23000</v>
      </c>
    </row>
    <row r="49">
      <c r="A49" s="5">
        <v>48.0</v>
      </c>
      <c r="B49" s="6" t="s">
        <v>1103</v>
      </c>
      <c r="C49" s="6" t="s">
        <v>1104</v>
      </c>
      <c r="D49" s="237" t="s">
        <v>1006</v>
      </c>
      <c r="E49" s="9"/>
      <c r="F49" s="6" t="s">
        <v>1085</v>
      </c>
      <c r="G49" s="6">
        <v>7.665645783E9</v>
      </c>
      <c r="I49" s="6">
        <v>18000.0</v>
      </c>
      <c r="J49" s="238">
        <v>7000.0</v>
      </c>
      <c r="M49" s="9">
        <f t="shared" si="1"/>
        <v>25000</v>
      </c>
      <c r="N49" s="9">
        <f t="shared" si="2"/>
        <v>5000</v>
      </c>
      <c r="O49" s="9">
        <f t="shared" si="3"/>
        <v>20000</v>
      </c>
      <c r="Q49" s="6">
        <v>5000.0</v>
      </c>
      <c r="R49" s="6">
        <v>3501.0</v>
      </c>
      <c r="S49" s="27">
        <v>45757.0</v>
      </c>
    </row>
    <row r="50">
      <c r="A50" s="5">
        <v>49.0</v>
      </c>
      <c r="B50" s="6" t="s">
        <v>1105</v>
      </c>
      <c r="C50" s="6" t="s">
        <v>1106</v>
      </c>
      <c r="D50" s="237" t="s">
        <v>2</v>
      </c>
      <c r="E50" s="5">
        <v>1305.0</v>
      </c>
      <c r="F50" s="6" t="s">
        <v>33</v>
      </c>
      <c r="G50" s="6">
        <v>9.929249414E9</v>
      </c>
      <c r="I50" s="6">
        <v>18000.0</v>
      </c>
      <c r="J50" s="238">
        <v>5000.0</v>
      </c>
      <c r="M50" s="9">
        <f t="shared" si="1"/>
        <v>23000</v>
      </c>
      <c r="N50" s="9">
        <f t="shared" si="2"/>
        <v>0</v>
      </c>
      <c r="O50" s="9">
        <f t="shared" si="3"/>
        <v>23000</v>
      </c>
    </row>
    <row r="51">
      <c r="A51" s="5">
        <v>50.0</v>
      </c>
      <c r="B51" s="6" t="s">
        <v>1107</v>
      </c>
      <c r="C51" s="6" t="s">
        <v>1108</v>
      </c>
      <c r="D51" s="237" t="s">
        <v>1006</v>
      </c>
      <c r="E51" s="5">
        <v>1973.0</v>
      </c>
      <c r="F51" s="10" t="s">
        <v>1109</v>
      </c>
      <c r="G51" s="15">
        <v>9.928407842E9</v>
      </c>
      <c r="H51" s="15">
        <v>1000.0</v>
      </c>
      <c r="I51" s="6">
        <v>18000.0</v>
      </c>
      <c r="J51" s="16">
        <v>5000.0</v>
      </c>
      <c r="K51" s="10"/>
      <c r="L51" s="15">
        <v>18000.0</v>
      </c>
      <c r="M51" s="9">
        <f t="shared" si="1"/>
        <v>6000</v>
      </c>
      <c r="N51" s="9">
        <f t="shared" si="2"/>
        <v>6000</v>
      </c>
      <c r="O51" s="9">
        <f t="shared" si="3"/>
        <v>0</v>
      </c>
      <c r="P51" s="10" t="s">
        <v>44</v>
      </c>
      <c r="Q51" s="228">
        <v>6000.0</v>
      </c>
      <c r="R51" s="16">
        <v>2909.0</v>
      </c>
      <c r="S51" s="229">
        <v>45845.0</v>
      </c>
      <c r="T51" s="17"/>
      <c r="U51" s="17"/>
      <c r="V51" s="17"/>
      <c r="W51" s="17"/>
      <c r="X51" s="17"/>
      <c r="Y51" s="17"/>
    </row>
    <row r="52">
      <c r="A52" s="5">
        <v>51.0</v>
      </c>
      <c r="B52" s="6" t="s">
        <v>1110</v>
      </c>
      <c r="C52" s="6" t="s">
        <v>1111</v>
      </c>
      <c r="D52" s="237" t="s">
        <v>2</v>
      </c>
      <c r="E52" s="5">
        <v>1708.0</v>
      </c>
      <c r="F52" s="10" t="s">
        <v>264</v>
      </c>
      <c r="G52" s="15">
        <v>9.928518449E9</v>
      </c>
      <c r="H52" s="15">
        <v>0.0</v>
      </c>
      <c r="I52" s="6">
        <v>18000.0</v>
      </c>
      <c r="J52" s="16">
        <v>6500.0</v>
      </c>
      <c r="K52" s="10"/>
      <c r="L52" s="26">
        <v>3500.0</v>
      </c>
      <c r="M52" s="9">
        <f t="shared" si="1"/>
        <v>21000</v>
      </c>
      <c r="N52" s="9">
        <f t="shared" si="2"/>
        <v>8000</v>
      </c>
      <c r="O52" s="9">
        <f t="shared" si="3"/>
        <v>13000</v>
      </c>
      <c r="P52" s="10" t="s">
        <v>44</v>
      </c>
      <c r="Q52" s="6">
        <v>5000.0</v>
      </c>
      <c r="R52" s="6">
        <v>3518.0</v>
      </c>
      <c r="S52" s="27">
        <v>45818.0</v>
      </c>
      <c r="T52" s="6">
        <v>3000.0</v>
      </c>
      <c r="U52" s="6">
        <v>3976.0</v>
      </c>
      <c r="V52" s="6" t="s">
        <v>132</v>
      </c>
    </row>
    <row r="53">
      <c r="A53" s="5">
        <v>52.0</v>
      </c>
      <c r="B53" s="6" t="s">
        <v>1112</v>
      </c>
      <c r="C53" s="6" t="s">
        <v>1113</v>
      </c>
      <c r="D53" s="6" t="s">
        <v>1006</v>
      </c>
      <c r="E53" s="5">
        <v>990.0</v>
      </c>
      <c r="F53" s="6" t="s">
        <v>474</v>
      </c>
      <c r="G53" s="6">
        <v>9.950818517E9</v>
      </c>
      <c r="I53" s="6">
        <v>18000.0</v>
      </c>
      <c r="J53" s="238">
        <v>5000.0</v>
      </c>
      <c r="M53" s="9">
        <f t="shared" si="1"/>
        <v>23000</v>
      </c>
      <c r="N53" s="9">
        <f t="shared" si="2"/>
        <v>9000</v>
      </c>
      <c r="O53" s="9">
        <f t="shared" si="3"/>
        <v>14000</v>
      </c>
      <c r="Q53" s="6">
        <v>6000.0</v>
      </c>
      <c r="R53" s="6">
        <v>3740.0</v>
      </c>
      <c r="S53" s="6" t="s">
        <v>291</v>
      </c>
      <c r="T53" s="6">
        <v>3000.0</v>
      </c>
      <c r="U53" s="6">
        <v>3981.0</v>
      </c>
      <c r="V53" s="6" t="s">
        <v>132</v>
      </c>
    </row>
    <row r="54">
      <c r="A54" s="5">
        <v>53.0</v>
      </c>
      <c r="B54" s="6" t="s">
        <v>1114</v>
      </c>
      <c r="D54" s="237" t="s">
        <v>1006</v>
      </c>
      <c r="E54" s="9"/>
      <c r="G54" s="6">
        <v>9.950818517E9</v>
      </c>
      <c r="I54" s="6">
        <v>18000.0</v>
      </c>
      <c r="J54" s="121"/>
      <c r="M54" s="9">
        <f t="shared" si="1"/>
        <v>18000</v>
      </c>
      <c r="N54" s="9">
        <f t="shared" si="2"/>
        <v>6000</v>
      </c>
      <c r="O54" s="9">
        <f t="shared" si="3"/>
        <v>12000</v>
      </c>
      <c r="Q54" s="6">
        <v>6000.0</v>
      </c>
      <c r="R54" s="6">
        <v>3740.0</v>
      </c>
      <c r="S54" s="6" t="s">
        <v>291</v>
      </c>
    </row>
    <row r="55">
      <c r="A55" s="5">
        <v>54.0</v>
      </c>
      <c r="B55" s="6" t="s">
        <v>1115</v>
      </c>
      <c r="C55" s="6" t="s">
        <v>268</v>
      </c>
      <c r="D55" s="237" t="s">
        <v>1006</v>
      </c>
      <c r="E55" s="5">
        <v>1698.0</v>
      </c>
      <c r="F55" s="6" t="s">
        <v>165</v>
      </c>
      <c r="G55" s="6">
        <v>9.928415416E9</v>
      </c>
      <c r="I55" s="6">
        <v>18000.0</v>
      </c>
      <c r="J55" s="238">
        <v>7000.0</v>
      </c>
      <c r="M55" s="9">
        <f t="shared" si="1"/>
        <v>25000</v>
      </c>
      <c r="N55" s="9">
        <f t="shared" si="2"/>
        <v>20000</v>
      </c>
      <c r="O55" s="9">
        <f t="shared" si="3"/>
        <v>5000</v>
      </c>
      <c r="Q55" s="6">
        <v>20000.0</v>
      </c>
      <c r="R55" s="6">
        <v>3510.0</v>
      </c>
      <c r="S55" s="27">
        <v>45757.0</v>
      </c>
    </row>
    <row r="56">
      <c r="A56" s="9"/>
      <c r="E56" s="9"/>
      <c r="I56" s="9"/>
      <c r="J56" s="121"/>
      <c r="M56" s="9"/>
      <c r="N56" s="9"/>
      <c r="O56" s="9"/>
    </row>
    <row r="57">
      <c r="A57" s="9"/>
      <c r="E57" s="9"/>
      <c r="I57" s="9"/>
      <c r="J57" s="121"/>
      <c r="M57" s="9"/>
      <c r="N57" s="9"/>
      <c r="O57" s="9"/>
    </row>
    <row r="58">
      <c r="A58" s="9"/>
      <c r="E58" s="9"/>
      <c r="I58" s="9"/>
      <c r="J58" s="121"/>
      <c r="M58" s="9"/>
      <c r="N58" s="9"/>
      <c r="O58" s="9"/>
    </row>
    <row r="59">
      <c r="A59" s="9"/>
      <c r="E59" s="9"/>
      <c r="I59" s="9"/>
      <c r="J59" s="121"/>
      <c r="M59" s="9"/>
      <c r="N59" s="9"/>
      <c r="O59" s="9"/>
    </row>
    <row r="60">
      <c r="A60" s="9"/>
      <c r="E60" s="9"/>
      <c r="I60" s="9"/>
      <c r="J60" s="121"/>
      <c r="M60" s="9"/>
      <c r="N60" s="9"/>
      <c r="O60" s="9"/>
    </row>
    <row r="61">
      <c r="A61" s="9"/>
      <c r="E61" s="9"/>
      <c r="I61" s="9"/>
      <c r="J61" s="121"/>
      <c r="M61" s="9"/>
      <c r="N61" s="9"/>
      <c r="O61" s="9"/>
    </row>
    <row r="62">
      <c r="A62" s="9"/>
      <c r="E62" s="9"/>
      <c r="I62" s="9"/>
      <c r="J62" s="121"/>
      <c r="M62" s="9"/>
      <c r="N62" s="9"/>
      <c r="O62" s="9"/>
    </row>
    <row r="63">
      <c r="A63" s="9"/>
      <c r="E63" s="9"/>
      <c r="I63" s="9"/>
      <c r="J63" s="121"/>
      <c r="M63" s="9"/>
      <c r="N63" s="9"/>
      <c r="O63" s="9"/>
    </row>
    <row r="64">
      <c r="A64" s="9"/>
      <c r="E64" s="9"/>
      <c r="I64" s="9"/>
      <c r="J64" s="121"/>
      <c r="M64" s="9"/>
      <c r="N64" s="9"/>
      <c r="O64" s="9"/>
    </row>
    <row r="65">
      <c r="A65" s="9"/>
      <c r="E65" s="9"/>
      <c r="I65" s="9"/>
      <c r="J65" s="121"/>
      <c r="M65" s="9"/>
      <c r="N65" s="9"/>
      <c r="O65" s="9"/>
    </row>
    <row r="66">
      <c r="A66" s="9"/>
      <c r="E66" s="9"/>
      <c r="I66" s="9"/>
      <c r="J66" s="121"/>
      <c r="M66" s="9"/>
      <c r="N66" s="9"/>
      <c r="O66" s="9"/>
    </row>
    <row r="67">
      <c r="A67" s="9"/>
      <c r="E67" s="9"/>
      <c r="I67" s="9"/>
      <c r="J67" s="121"/>
      <c r="M67" s="9"/>
      <c r="N67" s="9"/>
      <c r="O67" s="9"/>
    </row>
    <row r="68">
      <c r="A68" s="9"/>
      <c r="E68" s="9"/>
      <c r="I68" s="9"/>
      <c r="J68" s="121"/>
      <c r="M68" s="9"/>
      <c r="N68" s="9"/>
      <c r="O68" s="9"/>
    </row>
    <row r="69">
      <c r="A69" s="9"/>
      <c r="E69" s="9"/>
      <c r="I69" s="9"/>
      <c r="J69" s="121"/>
      <c r="M69" s="9"/>
      <c r="N69" s="9"/>
      <c r="O69" s="9"/>
    </row>
    <row r="70">
      <c r="A70" s="9"/>
      <c r="E70" s="9"/>
      <c r="I70" s="9"/>
      <c r="J70" s="121"/>
      <c r="M70" s="9"/>
      <c r="N70" s="9"/>
      <c r="O70" s="9"/>
    </row>
    <row r="71">
      <c r="A71" s="9"/>
      <c r="E71" s="9"/>
      <c r="I71" s="9"/>
      <c r="J71" s="121"/>
      <c r="M71" s="9"/>
      <c r="N71" s="9"/>
      <c r="O71" s="9"/>
    </row>
    <row r="72">
      <c r="A72" s="9"/>
      <c r="E72" s="9"/>
      <c r="I72" s="9"/>
      <c r="J72" s="121"/>
      <c r="M72" s="9"/>
      <c r="N72" s="9"/>
      <c r="O72" s="9"/>
    </row>
    <row r="73">
      <c r="A73" s="9"/>
      <c r="E73" s="9"/>
      <c r="I73" s="9"/>
      <c r="J73" s="121"/>
      <c r="M73" s="9"/>
      <c r="N73" s="9"/>
      <c r="O73" s="9"/>
    </row>
    <row r="74">
      <c r="A74" s="9"/>
      <c r="E74" s="9"/>
      <c r="I74" s="9"/>
      <c r="J74" s="121"/>
      <c r="M74" s="9"/>
      <c r="N74" s="9"/>
      <c r="O74" s="9"/>
    </row>
    <row r="75">
      <c r="A75" s="9"/>
      <c r="E75" s="9"/>
      <c r="I75" s="9"/>
      <c r="J75" s="121"/>
      <c r="M75" s="9"/>
      <c r="N75" s="9"/>
      <c r="O75" s="9"/>
    </row>
    <row r="76">
      <c r="A76" s="9"/>
      <c r="E76" s="9"/>
      <c r="I76" s="9"/>
      <c r="J76" s="121"/>
      <c r="M76" s="9"/>
      <c r="N76" s="9"/>
      <c r="O76" s="9"/>
    </row>
    <row r="77">
      <c r="A77" s="9"/>
      <c r="E77" s="9"/>
      <c r="I77" s="9"/>
      <c r="J77" s="121"/>
      <c r="M77" s="9"/>
      <c r="N77" s="9"/>
      <c r="O77" s="9"/>
    </row>
    <row r="78">
      <c r="A78" s="9"/>
      <c r="E78" s="9"/>
      <c r="I78" s="9"/>
      <c r="J78" s="121"/>
      <c r="M78" s="9"/>
      <c r="N78" s="9"/>
      <c r="O78" s="9"/>
    </row>
    <row r="79">
      <c r="A79" s="9"/>
      <c r="E79" s="9"/>
      <c r="I79" s="9"/>
      <c r="J79" s="121"/>
      <c r="M79" s="9"/>
      <c r="N79" s="9"/>
      <c r="O79" s="9"/>
    </row>
    <row r="80">
      <c r="A80" s="9"/>
      <c r="E80" s="9"/>
      <c r="I80" s="9"/>
      <c r="J80" s="121"/>
      <c r="M80" s="9"/>
      <c r="N80" s="9"/>
      <c r="O80" s="9"/>
    </row>
    <row r="81">
      <c r="A81" s="9"/>
      <c r="E81" s="9"/>
      <c r="I81" s="9"/>
      <c r="J81" s="121"/>
      <c r="M81" s="9"/>
      <c r="N81" s="9"/>
      <c r="O81" s="9"/>
    </row>
    <row r="82">
      <c r="A82" s="9"/>
      <c r="E82" s="9"/>
      <c r="I82" s="9"/>
      <c r="J82" s="121"/>
      <c r="M82" s="9"/>
      <c r="N82" s="9"/>
      <c r="O82" s="9"/>
    </row>
    <row r="83">
      <c r="A83" s="9"/>
      <c r="E83" s="9"/>
      <c r="I83" s="9"/>
      <c r="J83" s="121"/>
      <c r="M83" s="9"/>
      <c r="N83" s="9"/>
      <c r="O83" s="9"/>
    </row>
    <row r="84">
      <c r="A84" s="9"/>
      <c r="E84" s="9"/>
      <c r="I84" s="9"/>
      <c r="J84" s="121"/>
      <c r="M84" s="9"/>
      <c r="N84" s="9"/>
      <c r="O84" s="9"/>
    </row>
    <row r="85">
      <c r="A85" s="9"/>
      <c r="E85" s="9"/>
      <c r="I85" s="9"/>
      <c r="J85" s="121"/>
      <c r="M85" s="9"/>
      <c r="N85" s="9"/>
      <c r="O85" s="9"/>
    </row>
    <row r="86">
      <c r="A86" s="9"/>
      <c r="E86" s="9"/>
      <c r="I86" s="9"/>
      <c r="J86" s="121"/>
      <c r="M86" s="9"/>
      <c r="N86" s="9"/>
      <c r="O86" s="9"/>
    </row>
    <row r="87">
      <c r="A87" s="9"/>
      <c r="E87" s="9"/>
      <c r="I87" s="9"/>
      <c r="J87" s="121"/>
      <c r="M87" s="9"/>
      <c r="N87" s="9"/>
      <c r="O87" s="9"/>
    </row>
    <row r="88">
      <c r="A88" s="9"/>
      <c r="E88" s="9"/>
      <c r="I88" s="9"/>
      <c r="J88" s="121"/>
      <c r="M88" s="9"/>
      <c r="N88" s="9"/>
      <c r="O88" s="9"/>
    </row>
    <row r="89">
      <c r="A89" s="9"/>
      <c r="E89" s="9"/>
      <c r="I89" s="9"/>
      <c r="J89" s="121"/>
      <c r="M89" s="9"/>
      <c r="N89" s="9"/>
      <c r="O89" s="9"/>
    </row>
    <row r="90">
      <c r="A90" s="9"/>
      <c r="E90" s="9"/>
      <c r="I90" s="9"/>
      <c r="J90" s="121"/>
      <c r="M90" s="9"/>
      <c r="N90" s="9"/>
      <c r="O90" s="9"/>
    </row>
    <row r="91">
      <c r="A91" s="9"/>
      <c r="E91" s="9"/>
      <c r="I91" s="9"/>
      <c r="J91" s="121"/>
      <c r="M91" s="9"/>
      <c r="N91" s="9"/>
      <c r="O91" s="9"/>
    </row>
    <row r="92">
      <c r="A92" s="9"/>
      <c r="E92" s="9"/>
      <c r="I92" s="9"/>
      <c r="J92" s="121"/>
      <c r="M92" s="9"/>
      <c r="N92" s="9"/>
      <c r="O92" s="9"/>
    </row>
    <row r="93">
      <c r="A93" s="9"/>
      <c r="E93" s="9"/>
      <c r="I93" s="9"/>
      <c r="J93" s="121"/>
      <c r="M93" s="9"/>
      <c r="N93" s="9"/>
      <c r="O93" s="9"/>
    </row>
    <row r="94">
      <c r="A94" s="9"/>
      <c r="E94" s="9"/>
      <c r="I94" s="9"/>
      <c r="J94" s="121"/>
      <c r="M94" s="9"/>
      <c r="N94" s="9"/>
      <c r="O94" s="9"/>
    </row>
    <row r="95">
      <c r="A95" s="9"/>
      <c r="E95" s="9"/>
      <c r="I95" s="9"/>
      <c r="J95" s="121"/>
      <c r="M95" s="9"/>
      <c r="N95" s="9"/>
      <c r="O95" s="9"/>
    </row>
    <row r="96">
      <c r="A96" s="9"/>
      <c r="E96" s="9"/>
      <c r="I96" s="9"/>
      <c r="J96" s="121"/>
      <c r="M96" s="9"/>
      <c r="N96" s="9"/>
      <c r="O96" s="9"/>
    </row>
    <row r="97">
      <c r="A97" s="9"/>
      <c r="E97" s="9"/>
      <c r="I97" s="9"/>
      <c r="J97" s="121"/>
      <c r="M97" s="9"/>
      <c r="N97" s="9"/>
      <c r="O97" s="9"/>
    </row>
    <row r="98">
      <c r="A98" s="9"/>
      <c r="E98" s="9"/>
      <c r="I98" s="9"/>
      <c r="J98" s="121"/>
      <c r="M98" s="9"/>
      <c r="N98" s="9"/>
      <c r="O98" s="9"/>
    </row>
    <row r="99">
      <c r="A99" s="9"/>
      <c r="E99" s="9"/>
      <c r="I99" s="9"/>
      <c r="J99" s="121"/>
      <c r="M99" s="9"/>
      <c r="N99" s="9"/>
      <c r="O99" s="9"/>
    </row>
    <row r="100">
      <c r="A100" s="9"/>
      <c r="E100" s="9"/>
      <c r="I100" s="9"/>
      <c r="J100" s="121"/>
      <c r="M100" s="9"/>
      <c r="N100" s="9"/>
      <c r="O100" s="9"/>
    </row>
    <row r="101">
      <c r="A101" s="9"/>
      <c r="E101" s="9"/>
      <c r="I101" s="9"/>
      <c r="J101" s="121"/>
      <c r="M101" s="9"/>
      <c r="N101" s="9"/>
      <c r="O101" s="9"/>
    </row>
    <row r="102">
      <c r="A102" s="9"/>
      <c r="E102" s="9"/>
      <c r="I102" s="9"/>
      <c r="J102" s="121"/>
      <c r="M102" s="9"/>
      <c r="N102" s="9"/>
      <c r="O102" s="9"/>
    </row>
    <row r="103">
      <c r="A103" s="9"/>
      <c r="E103" s="9"/>
      <c r="I103" s="9"/>
      <c r="J103" s="121"/>
      <c r="M103" s="9"/>
      <c r="N103" s="9"/>
      <c r="O103" s="9"/>
    </row>
    <row r="104">
      <c r="A104" s="9"/>
      <c r="E104" s="9"/>
      <c r="I104" s="9"/>
      <c r="J104" s="121"/>
      <c r="M104" s="9"/>
      <c r="N104" s="9"/>
      <c r="O104" s="9"/>
    </row>
    <row r="105">
      <c r="A105" s="9"/>
      <c r="E105" s="9"/>
      <c r="I105" s="9"/>
      <c r="J105" s="121"/>
      <c r="M105" s="9"/>
      <c r="N105" s="9"/>
      <c r="O105" s="9"/>
    </row>
    <row r="106">
      <c r="A106" s="9"/>
      <c r="E106" s="9"/>
      <c r="I106" s="9"/>
      <c r="J106" s="121"/>
      <c r="M106" s="9"/>
      <c r="N106" s="9"/>
      <c r="O106" s="9"/>
    </row>
    <row r="107">
      <c r="A107" s="9"/>
      <c r="E107" s="9"/>
      <c r="I107" s="9"/>
      <c r="J107" s="121"/>
      <c r="M107" s="9"/>
      <c r="N107" s="9"/>
      <c r="O107" s="9"/>
    </row>
    <row r="108">
      <c r="A108" s="9"/>
      <c r="E108" s="9"/>
      <c r="I108" s="9"/>
      <c r="J108" s="121"/>
      <c r="M108" s="9"/>
      <c r="N108" s="9"/>
      <c r="O108" s="9"/>
    </row>
    <row r="109">
      <c r="A109" s="9"/>
      <c r="E109" s="9"/>
      <c r="I109" s="9"/>
      <c r="J109" s="121"/>
      <c r="M109" s="9"/>
      <c r="N109" s="9"/>
      <c r="O109" s="9"/>
    </row>
    <row r="110">
      <c r="A110" s="9"/>
      <c r="E110" s="9"/>
      <c r="I110" s="9"/>
      <c r="J110" s="121"/>
      <c r="M110" s="9"/>
      <c r="N110" s="9"/>
      <c r="O110" s="9"/>
    </row>
    <row r="111">
      <c r="A111" s="9"/>
      <c r="E111" s="9"/>
      <c r="I111" s="9"/>
      <c r="J111" s="121"/>
      <c r="M111" s="9"/>
      <c r="N111" s="9"/>
      <c r="O111" s="9"/>
    </row>
    <row r="112">
      <c r="A112" s="9"/>
      <c r="E112" s="9"/>
      <c r="I112" s="9"/>
      <c r="J112" s="121"/>
      <c r="M112" s="9"/>
      <c r="N112" s="9"/>
      <c r="O112" s="9"/>
    </row>
    <row r="113">
      <c r="A113" s="9"/>
      <c r="E113" s="9"/>
      <c r="I113" s="9"/>
      <c r="J113" s="121"/>
      <c r="M113" s="9"/>
      <c r="N113" s="9"/>
      <c r="O113" s="9"/>
    </row>
    <row r="114">
      <c r="A114" s="9"/>
      <c r="E114" s="9"/>
      <c r="I114" s="9"/>
      <c r="J114" s="121"/>
      <c r="M114" s="9"/>
      <c r="N114" s="9"/>
      <c r="O114" s="9"/>
    </row>
    <row r="115">
      <c r="A115" s="9"/>
      <c r="E115" s="9"/>
      <c r="I115" s="9"/>
      <c r="J115" s="121"/>
      <c r="M115" s="9"/>
      <c r="N115" s="9"/>
      <c r="O115" s="9"/>
    </row>
    <row r="116">
      <c r="A116" s="9"/>
      <c r="E116" s="9"/>
      <c r="I116" s="9"/>
      <c r="J116" s="121"/>
      <c r="M116" s="9"/>
      <c r="N116" s="9"/>
      <c r="O116" s="9"/>
    </row>
    <row r="117">
      <c r="A117" s="9"/>
      <c r="E117" s="9"/>
      <c r="I117" s="9"/>
      <c r="J117" s="121"/>
      <c r="M117" s="9"/>
      <c r="N117" s="9"/>
      <c r="O117" s="9"/>
    </row>
    <row r="118">
      <c r="A118" s="9"/>
      <c r="E118" s="9"/>
      <c r="I118" s="9"/>
      <c r="J118" s="121"/>
      <c r="M118" s="9"/>
      <c r="N118" s="9"/>
      <c r="O118" s="9"/>
    </row>
    <row r="119">
      <c r="A119" s="9"/>
      <c r="E119" s="9"/>
      <c r="I119" s="9"/>
      <c r="J119" s="121"/>
      <c r="M119" s="9"/>
      <c r="N119" s="9"/>
      <c r="O119" s="9"/>
    </row>
    <row r="120">
      <c r="A120" s="9"/>
      <c r="E120" s="9"/>
      <c r="I120" s="9"/>
      <c r="J120" s="121"/>
      <c r="M120" s="9"/>
      <c r="N120" s="9"/>
      <c r="O120" s="9"/>
    </row>
    <row r="121">
      <c r="A121" s="9"/>
      <c r="E121" s="9"/>
      <c r="I121" s="9"/>
      <c r="J121" s="121"/>
      <c r="M121" s="9"/>
      <c r="N121" s="9"/>
      <c r="O121" s="9"/>
    </row>
    <row r="122">
      <c r="A122" s="9"/>
      <c r="E122" s="9"/>
      <c r="I122" s="9"/>
      <c r="J122" s="121"/>
      <c r="M122" s="9"/>
      <c r="N122" s="9"/>
      <c r="O122" s="9"/>
    </row>
    <row r="123">
      <c r="A123" s="9"/>
      <c r="E123" s="9"/>
      <c r="I123" s="9"/>
      <c r="J123" s="121"/>
      <c r="M123" s="9"/>
      <c r="N123" s="9"/>
      <c r="O123" s="9"/>
    </row>
    <row r="124">
      <c r="A124" s="9"/>
      <c r="E124" s="9"/>
      <c r="I124" s="9"/>
      <c r="J124" s="121"/>
      <c r="M124" s="9"/>
      <c r="N124" s="9"/>
      <c r="O124" s="9"/>
    </row>
    <row r="125">
      <c r="A125" s="9"/>
      <c r="E125" s="9"/>
      <c r="I125" s="9"/>
      <c r="J125" s="121"/>
      <c r="M125" s="9"/>
      <c r="N125" s="9"/>
      <c r="O125" s="9"/>
    </row>
    <row r="126">
      <c r="A126" s="9"/>
      <c r="E126" s="9"/>
      <c r="I126" s="9"/>
      <c r="J126" s="121"/>
      <c r="M126" s="9"/>
      <c r="N126" s="9"/>
      <c r="O126" s="9"/>
    </row>
    <row r="127">
      <c r="A127" s="9"/>
      <c r="E127" s="9"/>
      <c r="I127" s="9"/>
      <c r="J127" s="121"/>
      <c r="M127" s="9"/>
      <c r="N127" s="9"/>
      <c r="O127" s="9"/>
    </row>
    <row r="128">
      <c r="A128" s="9"/>
      <c r="E128" s="9"/>
      <c r="I128" s="9"/>
      <c r="J128" s="121"/>
      <c r="M128" s="9"/>
      <c r="N128" s="9"/>
      <c r="O128" s="9"/>
    </row>
    <row r="129">
      <c r="A129" s="9"/>
      <c r="E129" s="9"/>
      <c r="I129" s="9"/>
      <c r="J129" s="121"/>
      <c r="M129" s="9"/>
      <c r="N129" s="9"/>
      <c r="O129" s="9"/>
    </row>
    <row r="130">
      <c r="A130" s="9"/>
      <c r="E130" s="9"/>
      <c r="I130" s="9"/>
      <c r="J130" s="121"/>
      <c r="M130" s="9"/>
      <c r="N130" s="9"/>
      <c r="O130" s="9"/>
    </row>
    <row r="131">
      <c r="A131" s="9"/>
      <c r="E131" s="9"/>
      <c r="I131" s="9"/>
      <c r="J131" s="121"/>
      <c r="M131" s="9"/>
      <c r="N131" s="9"/>
      <c r="O131" s="9"/>
    </row>
    <row r="132">
      <c r="A132" s="9"/>
      <c r="E132" s="9"/>
      <c r="I132" s="9"/>
      <c r="J132" s="121"/>
      <c r="M132" s="9"/>
      <c r="N132" s="9"/>
      <c r="O132" s="9"/>
    </row>
    <row r="133">
      <c r="A133" s="9"/>
      <c r="E133" s="9"/>
      <c r="I133" s="9"/>
      <c r="J133" s="121"/>
      <c r="M133" s="9"/>
      <c r="N133" s="9"/>
      <c r="O133" s="9"/>
    </row>
    <row r="134">
      <c r="A134" s="9"/>
      <c r="E134" s="9"/>
      <c r="I134" s="9"/>
      <c r="J134" s="121"/>
      <c r="M134" s="9"/>
      <c r="N134" s="9"/>
      <c r="O134" s="9"/>
    </row>
    <row r="135">
      <c r="A135" s="9"/>
      <c r="E135" s="9"/>
      <c r="I135" s="9"/>
      <c r="J135" s="121"/>
      <c r="M135" s="9"/>
      <c r="N135" s="9"/>
      <c r="O135" s="9"/>
    </row>
    <row r="136">
      <c r="A136" s="9"/>
      <c r="E136" s="9"/>
      <c r="I136" s="9"/>
      <c r="J136" s="121"/>
      <c r="M136" s="9"/>
      <c r="N136" s="9"/>
      <c r="O136" s="9"/>
    </row>
    <row r="137">
      <c r="A137" s="9"/>
      <c r="E137" s="9"/>
      <c r="I137" s="9"/>
      <c r="J137" s="121"/>
      <c r="M137" s="9"/>
      <c r="N137" s="9"/>
      <c r="O137" s="9"/>
    </row>
    <row r="138">
      <c r="A138" s="9"/>
      <c r="E138" s="9"/>
      <c r="I138" s="9"/>
      <c r="J138" s="121"/>
      <c r="M138" s="9"/>
      <c r="N138" s="9"/>
      <c r="O138" s="9"/>
    </row>
    <row r="139">
      <c r="A139" s="9"/>
      <c r="E139" s="9"/>
      <c r="I139" s="9"/>
      <c r="J139" s="121"/>
      <c r="M139" s="9"/>
      <c r="N139" s="9"/>
      <c r="O139" s="9"/>
    </row>
    <row r="140">
      <c r="A140" s="9"/>
      <c r="E140" s="9"/>
      <c r="I140" s="9"/>
      <c r="J140" s="121"/>
      <c r="M140" s="9"/>
      <c r="N140" s="9"/>
      <c r="O140" s="9"/>
    </row>
    <row r="141">
      <c r="A141" s="9"/>
      <c r="E141" s="9"/>
      <c r="I141" s="9"/>
      <c r="J141" s="121"/>
      <c r="M141" s="9"/>
      <c r="N141" s="9"/>
      <c r="O141" s="9"/>
    </row>
    <row r="142">
      <c r="A142" s="9"/>
      <c r="E142" s="9"/>
      <c r="I142" s="9"/>
      <c r="J142" s="121"/>
      <c r="M142" s="9"/>
      <c r="N142" s="9"/>
      <c r="O142" s="9"/>
    </row>
    <row r="143">
      <c r="A143" s="9"/>
      <c r="E143" s="9"/>
      <c r="I143" s="9"/>
      <c r="J143" s="121"/>
      <c r="M143" s="9"/>
      <c r="N143" s="9"/>
      <c r="O143" s="9"/>
    </row>
    <row r="144">
      <c r="A144" s="9"/>
      <c r="E144" s="9"/>
      <c r="I144" s="9"/>
      <c r="J144" s="121"/>
      <c r="M144" s="9"/>
      <c r="N144" s="9"/>
      <c r="O144" s="9"/>
    </row>
    <row r="145">
      <c r="A145" s="9"/>
      <c r="E145" s="9"/>
      <c r="I145" s="9"/>
      <c r="J145" s="121"/>
      <c r="M145" s="9"/>
      <c r="N145" s="9"/>
      <c r="O145" s="9"/>
    </row>
    <row r="146">
      <c r="A146" s="9"/>
      <c r="E146" s="9"/>
      <c r="I146" s="9"/>
      <c r="J146" s="121"/>
      <c r="M146" s="9"/>
      <c r="N146" s="9"/>
      <c r="O146" s="9"/>
    </row>
    <row r="147">
      <c r="A147" s="9"/>
      <c r="E147" s="9"/>
      <c r="I147" s="9"/>
      <c r="J147" s="121"/>
      <c r="M147" s="9"/>
      <c r="N147" s="9"/>
      <c r="O147" s="9"/>
    </row>
    <row r="148">
      <c r="A148" s="9"/>
      <c r="E148" s="9"/>
      <c r="I148" s="9"/>
      <c r="J148" s="121"/>
      <c r="M148" s="9"/>
      <c r="N148" s="9"/>
      <c r="O148" s="9"/>
    </row>
    <row r="149">
      <c r="A149" s="9"/>
      <c r="E149" s="9"/>
      <c r="I149" s="9"/>
      <c r="J149" s="121"/>
      <c r="M149" s="9"/>
      <c r="N149" s="9"/>
      <c r="O149" s="9"/>
    </row>
    <row r="150">
      <c r="A150" s="9"/>
      <c r="E150" s="9"/>
      <c r="I150" s="9"/>
      <c r="J150" s="121"/>
      <c r="M150" s="9"/>
      <c r="N150" s="9"/>
      <c r="O150" s="9"/>
    </row>
    <row r="151">
      <c r="A151" s="9"/>
      <c r="E151" s="9"/>
      <c r="I151" s="9"/>
      <c r="J151" s="121"/>
      <c r="M151" s="9"/>
      <c r="N151" s="9"/>
      <c r="O151" s="9"/>
    </row>
    <row r="152">
      <c r="A152" s="9"/>
      <c r="E152" s="9"/>
      <c r="I152" s="9"/>
      <c r="J152" s="121"/>
      <c r="M152" s="9"/>
      <c r="N152" s="9"/>
      <c r="O152" s="9"/>
    </row>
    <row r="153">
      <c r="A153" s="9"/>
      <c r="E153" s="9"/>
      <c r="I153" s="9"/>
      <c r="J153" s="121"/>
      <c r="M153" s="9"/>
      <c r="N153" s="9"/>
      <c r="O153" s="9"/>
    </row>
    <row r="154">
      <c r="A154" s="9"/>
      <c r="E154" s="9"/>
      <c r="I154" s="9"/>
      <c r="J154" s="121"/>
      <c r="M154" s="9"/>
      <c r="N154" s="9"/>
      <c r="O154" s="9"/>
    </row>
    <row r="155">
      <c r="A155" s="9"/>
      <c r="E155" s="9"/>
      <c r="I155" s="9"/>
      <c r="J155" s="121"/>
      <c r="M155" s="9"/>
      <c r="N155" s="9"/>
      <c r="O155" s="9"/>
    </row>
    <row r="156">
      <c r="A156" s="9"/>
      <c r="E156" s="9"/>
      <c r="I156" s="9"/>
      <c r="J156" s="121"/>
      <c r="M156" s="9"/>
      <c r="N156" s="9"/>
      <c r="O156" s="9"/>
    </row>
    <row r="157">
      <c r="A157" s="9"/>
      <c r="E157" s="9"/>
      <c r="I157" s="9"/>
      <c r="J157" s="121"/>
      <c r="M157" s="9"/>
      <c r="N157" s="9"/>
      <c r="O157" s="9"/>
    </row>
    <row r="158">
      <c r="A158" s="9"/>
      <c r="E158" s="9"/>
      <c r="I158" s="9"/>
      <c r="J158" s="121"/>
      <c r="M158" s="9"/>
      <c r="N158" s="9"/>
      <c r="O158" s="9"/>
    </row>
    <row r="159">
      <c r="A159" s="9"/>
      <c r="E159" s="9"/>
      <c r="I159" s="9"/>
      <c r="J159" s="121"/>
      <c r="M159" s="9"/>
      <c r="N159" s="9"/>
      <c r="O159" s="9"/>
    </row>
    <row r="160">
      <c r="A160" s="9"/>
      <c r="E160" s="9"/>
      <c r="I160" s="9"/>
      <c r="J160" s="121"/>
      <c r="M160" s="9"/>
      <c r="N160" s="9"/>
      <c r="O160" s="9"/>
    </row>
    <row r="161">
      <c r="A161" s="9"/>
      <c r="E161" s="9"/>
      <c r="I161" s="9"/>
      <c r="J161" s="121"/>
      <c r="M161" s="9"/>
      <c r="N161" s="9"/>
      <c r="O161" s="9"/>
    </row>
    <row r="162">
      <c r="A162" s="9"/>
      <c r="E162" s="9"/>
      <c r="I162" s="9"/>
      <c r="J162" s="121"/>
      <c r="M162" s="9"/>
      <c r="N162" s="9"/>
      <c r="O162" s="9"/>
    </row>
    <row r="163">
      <c r="A163" s="9"/>
      <c r="E163" s="9"/>
      <c r="I163" s="9"/>
      <c r="J163" s="121"/>
      <c r="M163" s="9"/>
      <c r="N163" s="9"/>
      <c r="O163" s="9"/>
    </row>
    <row r="164">
      <c r="A164" s="9"/>
      <c r="E164" s="9"/>
      <c r="I164" s="9"/>
      <c r="J164" s="121"/>
      <c r="M164" s="9"/>
      <c r="N164" s="9"/>
      <c r="O164" s="9"/>
    </row>
    <row r="165">
      <c r="A165" s="9"/>
      <c r="E165" s="9"/>
      <c r="I165" s="9"/>
      <c r="J165" s="121"/>
      <c r="M165" s="9"/>
      <c r="N165" s="9"/>
      <c r="O165" s="9"/>
    </row>
    <row r="166">
      <c r="A166" s="9"/>
      <c r="E166" s="9"/>
      <c r="I166" s="9"/>
      <c r="J166" s="121"/>
      <c r="M166" s="9"/>
      <c r="N166" s="9"/>
      <c r="O166" s="9"/>
    </row>
    <row r="167">
      <c r="A167" s="9"/>
      <c r="E167" s="9"/>
      <c r="I167" s="9"/>
      <c r="J167" s="121"/>
      <c r="M167" s="9"/>
      <c r="N167" s="9"/>
      <c r="O167" s="9"/>
    </row>
    <row r="168">
      <c r="A168" s="9"/>
      <c r="E168" s="9"/>
      <c r="I168" s="9"/>
      <c r="J168" s="121"/>
      <c r="M168" s="9"/>
      <c r="N168" s="9"/>
      <c r="O168" s="9"/>
    </row>
    <row r="169">
      <c r="A169" s="9"/>
      <c r="E169" s="9"/>
      <c r="I169" s="9"/>
      <c r="J169" s="121"/>
      <c r="M169" s="9"/>
      <c r="N169" s="9"/>
      <c r="O169" s="9"/>
    </row>
    <row r="170">
      <c r="A170" s="9"/>
      <c r="E170" s="9"/>
      <c r="I170" s="9"/>
      <c r="J170" s="121"/>
      <c r="M170" s="9"/>
      <c r="N170" s="9"/>
      <c r="O170" s="9"/>
    </row>
    <row r="171">
      <c r="A171" s="9"/>
      <c r="E171" s="9"/>
      <c r="I171" s="9"/>
      <c r="J171" s="121"/>
      <c r="M171" s="9"/>
      <c r="N171" s="9"/>
      <c r="O171" s="9"/>
    </row>
    <row r="172">
      <c r="A172" s="9"/>
      <c r="E172" s="9"/>
      <c r="I172" s="9"/>
      <c r="J172" s="121"/>
      <c r="M172" s="9"/>
      <c r="N172" s="9"/>
      <c r="O172" s="9"/>
    </row>
    <row r="173">
      <c r="A173" s="9"/>
      <c r="E173" s="9"/>
      <c r="I173" s="9"/>
      <c r="J173" s="121"/>
      <c r="M173" s="9"/>
      <c r="N173" s="9"/>
      <c r="O173" s="9"/>
    </row>
    <row r="174">
      <c r="A174" s="9"/>
      <c r="E174" s="9"/>
      <c r="I174" s="9"/>
      <c r="J174" s="121"/>
      <c r="M174" s="9"/>
      <c r="N174" s="9"/>
      <c r="O174" s="9"/>
    </row>
    <row r="175">
      <c r="A175" s="9"/>
      <c r="E175" s="9"/>
      <c r="I175" s="9"/>
      <c r="J175" s="121"/>
      <c r="M175" s="9"/>
      <c r="N175" s="9"/>
      <c r="O175" s="9"/>
    </row>
    <row r="176">
      <c r="A176" s="9"/>
      <c r="E176" s="9"/>
      <c r="I176" s="9"/>
      <c r="J176" s="121"/>
      <c r="M176" s="9"/>
      <c r="N176" s="9"/>
      <c r="O176" s="9"/>
    </row>
    <row r="177">
      <c r="A177" s="9"/>
      <c r="E177" s="9"/>
      <c r="I177" s="9"/>
      <c r="J177" s="121"/>
      <c r="M177" s="9"/>
      <c r="N177" s="9"/>
      <c r="O177" s="9"/>
    </row>
    <row r="178">
      <c r="A178" s="9"/>
      <c r="E178" s="9"/>
      <c r="I178" s="9"/>
      <c r="J178" s="121"/>
      <c r="M178" s="9"/>
      <c r="N178" s="9"/>
      <c r="O178" s="9"/>
    </row>
    <row r="179">
      <c r="A179" s="9"/>
      <c r="E179" s="9"/>
      <c r="I179" s="9"/>
      <c r="J179" s="121"/>
      <c r="M179" s="9"/>
      <c r="N179" s="9"/>
      <c r="O179" s="9"/>
    </row>
    <row r="180">
      <c r="A180" s="9"/>
      <c r="E180" s="9"/>
      <c r="I180" s="9"/>
      <c r="J180" s="121"/>
      <c r="M180" s="9"/>
      <c r="N180" s="9"/>
      <c r="O180" s="9"/>
    </row>
    <row r="181">
      <c r="A181" s="9"/>
      <c r="E181" s="9"/>
      <c r="I181" s="9"/>
      <c r="J181" s="121"/>
      <c r="M181" s="9"/>
      <c r="N181" s="9"/>
      <c r="O181" s="9"/>
    </row>
    <row r="182">
      <c r="A182" s="9"/>
      <c r="E182" s="9"/>
      <c r="I182" s="9"/>
      <c r="J182" s="121"/>
      <c r="M182" s="9"/>
      <c r="N182" s="9"/>
      <c r="O182" s="9"/>
    </row>
    <row r="183">
      <c r="A183" s="9"/>
      <c r="E183" s="9"/>
      <c r="I183" s="9"/>
      <c r="J183" s="121"/>
      <c r="M183" s="9"/>
      <c r="N183" s="9"/>
      <c r="O183" s="9"/>
    </row>
    <row r="184">
      <c r="A184" s="9"/>
      <c r="E184" s="9"/>
      <c r="I184" s="9"/>
      <c r="J184" s="121"/>
      <c r="M184" s="9"/>
      <c r="N184" s="9"/>
      <c r="O184" s="9"/>
    </row>
    <row r="185">
      <c r="A185" s="9"/>
      <c r="E185" s="9"/>
      <c r="I185" s="9"/>
      <c r="J185" s="121"/>
      <c r="M185" s="9"/>
      <c r="N185" s="9"/>
      <c r="O185" s="9"/>
    </row>
    <row r="186">
      <c r="A186" s="9"/>
      <c r="E186" s="9"/>
      <c r="I186" s="9"/>
      <c r="J186" s="121"/>
      <c r="M186" s="9"/>
      <c r="N186" s="9"/>
      <c r="O186" s="9"/>
    </row>
    <row r="187">
      <c r="A187" s="9"/>
      <c r="E187" s="9"/>
      <c r="I187" s="9"/>
      <c r="J187" s="121"/>
      <c r="M187" s="9"/>
      <c r="N187" s="9"/>
      <c r="O187" s="9"/>
    </row>
    <row r="188">
      <c r="A188" s="9"/>
      <c r="E188" s="9"/>
      <c r="I188" s="9"/>
      <c r="J188" s="121"/>
      <c r="M188" s="9"/>
      <c r="N188" s="9"/>
      <c r="O188" s="9"/>
    </row>
    <row r="189">
      <c r="A189" s="9"/>
      <c r="E189" s="9"/>
      <c r="I189" s="9"/>
      <c r="J189" s="121"/>
      <c r="M189" s="9"/>
      <c r="N189" s="9"/>
      <c r="O189" s="9"/>
    </row>
    <row r="190">
      <c r="A190" s="9"/>
      <c r="E190" s="9"/>
      <c r="I190" s="9"/>
      <c r="J190" s="121"/>
      <c r="M190" s="9"/>
      <c r="N190" s="9"/>
      <c r="O190" s="9"/>
    </row>
    <row r="191">
      <c r="A191" s="9"/>
      <c r="E191" s="9"/>
      <c r="I191" s="9"/>
      <c r="J191" s="121"/>
      <c r="M191" s="9"/>
      <c r="N191" s="9"/>
      <c r="O191" s="9"/>
    </row>
    <row r="192">
      <c r="A192" s="9"/>
      <c r="E192" s="9"/>
      <c r="I192" s="9"/>
      <c r="J192" s="121"/>
      <c r="M192" s="9"/>
      <c r="N192" s="9"/>
      <c r="O192" s="9"/>
    </row>
    <row r="193">
      <c r="A193" s="9"/>
      <c r="E193" s="9"/>
      <c r="I193" s="9"/>
      <c r="J193" s="121"/>
      <c r="M193" s="9"/>
      <c r="N193" s="9"/>
      <c r="O193" s="9"/>
    </row>
    <row r="194">
      <c r="A194" s="9"/>
      <c r="E194" s="9"/>
      <c r="I194" s="9"/>
      <c r="J194" s="121"/>
      <c r="M194" s="9"/>
      <c r="N194" s="9"/>
      <c r="O194" s="9"/>
    </row>
    <row r="195">
      <c r="A195" s="9"/>
      <c r="E195" s="9"/>
      <c r="I195" s="9"/>
      <c r="J195" s="121"/>
      <c r="M195" s="9"/>
      <c r="N195" s="9"/>
      <c r="O195" s="9"/>
    </row>
    <row r="196">
      <c r="A196" s="9"/>
      <c r="E196" s="9"/>
      <c r="I196" s="9"/>
      <c r="J196" s="121"/>
      <c r="M196" s="9"/>
      <c r="N196" s="9"/>
      <c r="O196" s="9"/>
    </row>
    <row r="197">
      <c r="A197" s="9"/>
      <c r="E197" s="9"/>
      <c r="I197" s="9"/>
      <c r="J197" s="121"/>
      <c r="M197" s="9"/>
      <c r="N197" s="9"/>
      <c r="O197" s="9"/>
    </row>
    <row r="198">
      <c r="A198" s="9"/>
      <c r="E198" s="9"/>
      <c r="I198" s="9"/>
      <c r="J198" s="121"/>
      <c r="M198" s="9"/>
      <c r="N198" s="9"/>
      <c r="O198" s="9"/>
    </row>
    <row r="199">
      <c r="A199" s="9"/>
      <c r="E199" s="9"/>
      <c r="I199" s="9"/>
      <c r="J199" s="121"/>
      <c r="M199" s="9"/>
      <c r="N199" s="9"/>
      <c r="O199" s="9"/>
    </row>
    <row r="200">
      <c r="A200" s="9"/>
      <c r="E200" s="9"/>
      <c r="I200" s="9"/>
      <c r="J200" s="121"/>
      <c r="M200" s="9"/>
      <c r="N200" s="9"/>
      <c r="O200" s="9"/>
    </row>
    <row r="201">
      <c r="A201" s="9"/>
      <c r="E201" s="9"/>
      <c r="I201" s="9"/>
      <c r="J201" s="121"/>
      <c r="M201" s="9"/>
      <c r="N201" s="9"/>
      <c r="O201" s="9"/>
    </row>
    <row r="202">
      <c r="A202" s="9"/>
      <c r="E202" s="9"/>
      <c r="I202" s="9"/>
      <c r="J202" s="121"/>
      <c r="M202" s="9"/>
      <c r="N202" s="9"/>
      <c r="O202" s="9"/>
    </row>
    <row r="203">
      <c r="A203" s="9"/>
      <c r="E203" s="9"/>
      <c r="I203" s="9"/>
      <c r="J203" s="121"/>
      <c r="M203" s="9"/>
      <c r="N203" s="9"/>
      <c r="O203" s="9"/>
    </row>
    <row r="204">
      <c r="A204" s="9"/>
      <c r="E204" s="9"/>
      <c r="I204" s="9"/>
      <c r="J204" s="121"/>
      <c r="M204" s="9"/>
      <c r="N204" s="9"/>
      <c r="O204" s="9"/>
    </row>
    <row r="205">
      <c r="A205" s="9"/>
      <c r="E205" s="9"/>
      <c r="I205" s="9"/>
      <c r="J205" s="121"/>
      <c r="M205" s="9"/>
      <c r="N205" s="9"/>
      <c r="O205" s="9"/>
    </row>
    <row r="206">
      <c r="A206" s="9"/>
      <c r="E206" s="9"/>
      <c r="I206" s="9"/>
      <c r="J206" s="121"/>
      <c r="M206" s="9"/>
      <c r="N206" s="9"/>
      <c r="O206" s="9"/>
    </row>
    <row r="207">
      <c r="A207" s="9"/>
      <c r="E207" s="9"/>
      <c r="I207" s="9"/>
      <c r="J207" s="121"/>
      <c r="M207" s="9"/>
      <c r="N207" s="9"/>
      <c r="O207" s="9"/>
    </row>
    <row r="208">
      <c r="A208" s="9"/>
      <c r="E208" s="9"/>
      <c r="I208" s="9"/>
      <c r="J208" s="121"/>
      <c r="M208" s="9"/>
      <c r="N208" s="9"/>
      <c r="O208" s="9"/>
    </row>
    <row r="209">
      <c r="A209" s="9"/>
      <c r="E209" s="9"/>
      <c r="I209" s="9"/>
      <c r="J209" s="121"/>
      <c r="M209" s="9"/>
      <c r="N209" s="9"/>
      <c r="O209" s="9"/>
    </row>
    <row r="210">
      <c r="A210" s="9"/>
      <c r="E210" s="9"/>
      <c r="I210" s="9"/>
      <c r="J210" s="121"/>
      <c r="M210" s="9"/>
      <c r="N210" s="9"/>
      <c r="O210" s="9"/>
    </row>
    <row r="211">
      <c r="A211" s="9"/>
      <c r="E211" s="9"/>
      <c r="I211" s="9"/>
      <c r="J211" s="121"/>
      <c r="M211" s="9"/>
      <c r="N211" s="9"/>
      <c r="O211" s="9"/>
    </row>
    <row r="212">
      <c r="A212" s="9"/>
      <c r="E212" s="9"/>
      <c r="I212" s="9"/>
      <c r="J212" s="121"/>
      <c r="M212" s="9"/>
      <c r="N212" s="9"/>
      <c r="O212" s="9"/>
    </row>
    <row r="213">
      <c r="A213" s="9"/>
      <c r="E213" s="9"/>
      <c r="I213" s="9"/>
      <c r="J213" s="121"/>
      <c r="M213" s="9"/>
      <c r="N213" s="9"/>
      <c r="O213" s="9"/>
    </row>
    <row r="214">
      <c r="A214" s="9"/>
      <c r="E214" s="9"/>
      <c r="I214" s="9"/>
      <c r="J214" s="121"/>
      <c r="M214" s="9"/>
      <c r="N214" s="9"/>
      <c r="O214" s="9"/>
    </row>
    <row r="215">
      <c r="A215" s="9"/>
      <c r="E215" s="9"/>
      <c r="I215" s="9"/>
      <c r="J215" s="121"/>
      <c r="M215" s="9"/>
      <c r="N215" s="9"/>
      <c r="O215" s="9"/>
    </row>
    <row r="216">
      <c r="A216" s="9"/>
      <c r="E216" s="9"/>
      <c r="I216" s="9"/>
      <c r="J216" s="121"/>
      <c r="M216" s="9"/>
      <c r="N216" s="9"/>
      <c r="O216" s="9"/>
    </row>
    <row r="217">
      <c r="A217" s="9"/>
      <c r="E217" s="9"/>
      <c r="I217" s="9"/>
      <c r="J217" s="121"/>
      <c r="M217" s="9"/>
      <c r="N217" s="9"/>
      <c r="O217" s="9"/>
    </row>
    <row r="218">
      <c r="A218" s="9"/>
      <c r="E218" s="9"/>
      <c r="I218" s="9"/>
      <c r="J218" s="121"/>
      <c r="M218" s="9"/>
      <c r="N218" s="9"/>
      <c r="O218" s="9"/>
    </row>
    <row r="219">
      <c r="A219" s="9"/>
      <c r="E219" s="9"/>
      <c r="I219" s="9"/>
      <c r="J219" s="121"/>
      <c r="M219" s="9"/>
      <c r="N219" s="9"/>
      <c r="O219" s="9"/>
    </row>
    <row r="220">
      <c r="A220" s="9"/>
      <c r="E220" s="9"/>
      <c r="I220" s="9"/>
      <c r="J220" s="121"/>
      <c r="M220" s="9"/>
      <c r="N220" s="9"/>
      <c r="O220" s="9"/>
    </row>
    <row r="221">
      <c r="A221" s="9"/>
      <c r="E221" s="9"/>
      <c r="I221" s="9"/>
      <c r="J221" s="121"/>
      <c r="M221" s="9"/>
      <c r="N221" s="9"/>
      <c r="O221" s="9"/>
    </row>
    <row r="222">
      <c r="A222" s="9"/>
      <c r="E222" s="9"/>
      <c r="I222" s="9"/>
      <c r="J222" s="121"/>
      <c r="M222" s="9"/>
      <c r="N222" s="9"/>
      <c r="O222" s="9"/>
    </row>
    <row r="223">
      <c r="A223" s="9"/>
      <c r="E223" s="9"/>
      <c r="I223" s="9"/>
      <c r="J223" s="121"/>
      <c r="M223" s="9"/>
      <c r="N223" s="9"/>
      <c r="O223" s="9"/>
    </row>
    <row r="224">
      <c r="A224" s="9"/>
      <c r="E224" s="9"/>
      <c r="I224" s="9"/>
      <c r="J224" s="121"/>
      <c r="M224" s="9"/>
      <c r="N224" s="9"/>
      <c r="O224" s="9"/>
    </row>
    <row r="225">
      <c r="A225" s="9"/>
      <c r="E225" s="9"/>
      <c r="I225" s="9"/>
      <c r="J225" s="121"/>
      <c r="M225" s="9"/>
      <c r="N225" s="9"/>
      <c r="O225" s="9"/>
    </row>
    <row r="226">
      <c r="A226" s="9"/>
      <c r="E226" s="9"/>
      <c r="I226" s="9"/>
      <c r="J226" s="121"/>
      <c r="M226" s="9"/>
      <c r="N226" s="9"/>
      <c r="O226" s="9"/>
    </row>
    <row r="227">
      <c r="A227" s="9"/>
      <c r="E227" s="9"/>
      <c r="I227" s="9"/>
      <c r="J227" s="121"/>
      <c r="M227" s="9"/>
      <c r="N227" s="9"/>
      <c r="O227" s="9"/>
    </row>
    <row r="228">
      <c r="A228" s="9"/>
      <c r="E228" s="9"/>
      <c r="I228" s="9"/>
      <c r="J228" s="121"/>
      <c r="M228" s="9"/>
      <c r="N228" s="9"/>
      <c r="O228" s="9"/>
    </row>
    <row r="229">
      <c r="A229" s="9"/>
      <c r="E229" s="9"/>
      <c r="I229" s="9"/>
      <c r="J229" s="121"/>
      <c r="M229" s="9"/>
      <c r="N229" s="9"/>
      <c r="O229" s="9"/>
    </row>
    <row r="230">
      <c r="A230" s="9"/>
      <c r="E230" s="9"/>
      <c r="I230" s="9"/>
      <c r="J230" s="121"/>
      <c r="M230" s="9"/>
      <c r="N230" s="9"/>
      <c r="O230" s="9"/>
    </row>
    <row r="231">
      <c r="A231" s="9"/>
      <c r="E231" s="9"/>
      <c r="I231" s="9"/>
      <c r="J231" s="121"/>
      <c r="M231" s="9"/>
      <c r="N231" s="9"/>
      <c r="O231" s="9"/>
    </row>
    <row r="232">
      <c r="A232" s="9"/>
      <c r="E232" s="9"/>
      <c r="I232" s="9"/>
      <c r="J232" s="121"/>
      <c r="M232" s="9"/>
      <c r="N232" s="9"/>
      <c r="O232" s="9"/>
    </row>
    <row r="233">
      <c r="A233" s="9"/>
      <c r="E233" s="9"/>
      <c r="I233" s="9"/>
      <c r="J233" s="121"/>
      <c r="M233" s="9"/>
      <c r="N233" s="9"/>
      <c r="O233" s="9"/>
    </row>
    <row r="234">
      <c r="A234" s="9"/>
      <c r="E234" s="9"/>
      <c r="I234" s="9"/>
      <c r="J234" s="121"/>
      <c r="M234" s="9"/>
      <c r="N234" s="9"/>
      <c r="O234" s="9"/>
    </row>
    <row r="235">
      <c r="A235" s="9"/>
      <c r="E235" s="9"/>
      <c r="I235" s="9"/>
      <c r="J235" s="121"/>
      <c r="M235" s="9"/>
      <c r="N235" s="9"/>
      <c r="O235" s="9"/>
    </row>
    <row r="236">
      <c r="A236" s="9"/>
      <c r="E236" s="9"/>
      <c r="I236" s="9"/>
      <c r="J236" s="121"/>
      <c r="M236" s="9"/>
      <c r="N236" s="9"/>
      <c r="O236" s="9"/>
    </row>
    <row r="237">
      <c r="A237" s="9"/>
      <c r="E237" s="9"/>
      <c r="I237" s="9"/>
      <c r="J237" s="121"/>
      <c r="M237" s="9"/>
      <c r="N237" s="9"/>
      <c r="O237" s="9"/>
    </row>
    <row r="238">
      <c r="A238" s="9"/>
      <c r="E238" s="9"/>
      <c r="I238" s="9"/>
      <c r="J238" s="121"/>
      <c r="M238" s="9"/>
      <c r="N238" s="9"/>
      <c r="O238" s="9"/>
    </row>
    <row r="239">
      <c r="A239" s="9"/>
      <c r="E239" s="9"/>
      <c r="I239" s="9"/>
      <c r="J239" s="121"/>
      <c r="M239" s="9"/>
      <c r="N239" s="9"/>
      <c r="O239" s="9"/>
    </row>
    <row r="240">
      <c r="A240" s="9"/>
      <c r="E240" s="9"/>
      <c r="I240" s="9"/>
      <c r="J240" s="121"/>
      <c r="M240" s="9"/>
      <c r="N240" s="9"/>
      <c r="O240" s="9"/>
    </row>
    <row r="241">
      <c r="A241" s="9"/>
      <c r="E241" s="9"/>
      <c r="I241" s="9"/>
      <c r="J241" s="121"/>
      <c r="M241" s="9"/>
      <c r="N241" s="9"/>
      <c r="O241" s="9"/>
    </row>
    <row r="242">
      <c r="A242" s="9"/>
      <c r="E242" s="9"/>
      <c r="I242" s="9"/>
      <c r="J242" s="121"/>
      <c r="M242" s="9"/>
      <c r="N242" s="9"/>
      <c r="O242" s="9"/>
    </row>
    <row r="243">
      <c r="A243" s="9"/>
      <c r="E243" s="9"/>
      <c r="I243" s="9"/>
      <c r="J243" s="121"/>
      <c r="M243" s="9"/>
      <c r="N243" s="9"/>
      <c r="O243" s="9"/>
    </row>
    <row r="244">
      <c r="A244" s="9"/>
      <c r="E244" s="9"/>
      <c r="I244" s="9"/>
      <c r="J244" s="121"/>
      <c r="M244" s="9"/>
      <c r="N244" s="9"/>
      <c r="O244" s="9"/>
    </row>
    <row r="245">
      <c r="A245" s="9"/>
      <c r="E245" s="9"/>
      <c r="I245" s="9"/>
      <c r="J245" s="121"/>
      <c r="M245" s="9"/>
      <c r="N245" s="9"/>
      <c r="O245" s="9"/>
    </row>
    <row r="246">
      <c r="A246" s="9"/>
      <c r="E246" s="9"/>
      <c r="I246" s="9"/>
      <c r="J246" s="121"/>
      <c r="M246" s="9"/>
      <c r="N246" s="9"/>
      <c r="O246" s="9"/>
    </row>
    <row r="247">
      <c r="A247" s="9"/>
      <c r="E247" s="9"/>
      <c r="I247" s="9"/>
      <c r="J247" s="121"/>
      <c r="M247" s="9"/>
      <c r="N247" s="9"/>
      <c r="O247" s="9"/>
    </row>
    <row r="248">
      <c r="A248" s="9"/>
      <c r="E248" s="9"/>
      <c r="I248" s="9"/>
      <c r="J248" s="121"/>
      <c r="M248" s="9"/>
      <c r="N248" s="9"/>
      <c r="O248" s="9"/>
    </row>
    <row r="249">
      <c r="A249" s="9"/>
      <c r="E249" s="9"/>
      <c r="I249" s="9"/>
      <c r="J249" s="121"/>
      <c r="M249" s="9"/>
      <c r="N249" s="9"/>
      <c r="O249" s="9"/>
    </row>
    <row r="250">
      <c r="A250" s="9"/>
      <c r="E250" s="9"/>
      <c r="I250" s="9"/>
      <c r="J250" s="121"/>
      <c r="M250" s="9"/>
      <c r="N250" s="9"/>
      <c r="O250" s="9"/>
    </row>
    <row r="251">
      <c r="A251" s="9"/>
      <c r="E251" s="9"/>
      <c r="I251" s="9"/>
      <c r="J251" s="121"/>
      <c r="M251" s="9"/>
      <c r="N251" s="9"/>
      <c r="O251" s="9"/>
    </row>
    <row r="252">
      <c r="A252" s="9"/>
      <c r="E252" s="9"/>
      <c r="I252" s="9"/>
      <c r="J252" s="121"/>
      <c r="M252" s="9"/>
      <c r="N252" s="9"/>
      <c r="O252" s="9"/>
    </row>
    <row r="253">
      <c r="A253" s="9"/>
      <c r="E253" s="9"/>
      <c r="I253" s="9"/>
      <c r="J253" s="121"/>
      <c r="M253" s="9"/>
      <c r="N253" s="9"/>
      <c r="O253" s="9"/>
    </row>
    <row r="254">
      <c r="A254" s="9"/>
      <c r="E254" s="9"/>
      <c r="I254" s="9"/>
      <c r="J254" s="121"/>
      <c r="M254" s="9"/>
      <c r="N254" s="9"/>
      <c r="O254" s="9"/>
    </row>
    <row r="255">
      <c r="A255" s="9"/>
      <c r="E255" s="9"/>
      <c r="I255" s="9"/>
      <c r="J255" s="121"/>
      <c r="M255" s="9"/>
      <c r="N255" s="9"/>
      <c r="O255" s="9"/>
    </row>
    <row r="256">
      <c r="A256" s="9"/>
      <c r="E256" s="9"/>
      <c r="I256" s="9"/>
      <c r="J256" s="121"/>
      <c r="M256" s="9"/>
      <c r="N256" s="9"/>
      <c r="O256" s="9"/>
    </row>
    <row r="257">
      <c r="A257" s="9"/>
      <c r="E257" s="9"/>
      <c r="I257" s="9"/>
      <c r="J257" s="121"/>
      <c r="M257" s="9"/>
      <c r="N257" s="9"/>
      <c r="O257" s="9"/>
    </row>
    <row r="258">
      <c r="A258" s="9"/>
      <c r="E258" s="9"/>
      <c r="I258" s="9"/>
      <c r="J258" s="121"/>
      <c r="M258" s="9"/>
      <c r="N258" s="9"/>
      <c r="O258" s="9"/>
    </row>
    <row r="259">
      <c r="A259" s="9"/>
      <c r="E259" s="9"/>
      <c r="I259" s="9"/>
      <c r="J259" s="121"/>
      <c r="M259" s="9"/>
      <c r="N259" s="9"/>
      <c r="O259" s="9"/>
    </row>
    <row r="260">
      <c r="A260" s="9"/>
      <c r="E260" s="9"/>
      <c r="I260" s="9"/>
      <c r="J260" s="121"/>
      <c r="M260" s="9"/>
      <c r="N260" s="9"/>
      <c r="O260" s="9"/>
    </row>
    <row r="261">
      <c r="A261" s="9"/>
      <c r="E261" s="9"/>
      <c r="I261" s="9"/>
      <c r="J261" s="121"/>
      <c r="M261" s="9"/>
      <c r="N261" s="9"/>
      <c r="O261" s="9"/>
    </row>
    <row r="262">
      <c r="A262" s="9"/>
      <c r="E262" s="9"/>
      <c r="I262" s="9"/>
      <c r="J262" s="121"/>
      <c r="M262" s="9"/>
      <c r="N262" s="9"/>
      <c r="O262" s="9"/>
    </row>
    <row r="263">
      <c r="A263" s="9"/>
      <c r="E263" s="9"/>
      <c r="I263" s="9"/>
      <c r="J263" s="121"/>
      <c r="M263" s="9"/>
      <c r="N263" s="9"/>
      <c r="O263" s="9"/>
    </row>
    <row r="264">
      <c r="A264" s="9"/>
      <c r="E264" s="9"/>
      <c r="I264" s="9"/>
      <c r="J264" s="121"/>
      <c r="M264" s="9"/>
      <c r="N264" s="9"/>
      <c r="O264" s="9"/>
    </row>
    <row r="265">
      <c r="A265" s="9"/>
      <c r="E265" s="9"/>
      <c r="I265" s="9"/>
      <c r="J265" s="121"/>
      <c r="M265" s="9"/>
      <c r="N265" s="9"/>
      <c r="O265" s="9"/>
    </row>
    <row r="266">
      <c r="A266" s="9"/>
      <c r="E266" s="9"/>
      <c r="I266" s="9"/>
      <c r="J266" s="121"/>
      <c r="M266" s="9"/>
      <c r="N266" s="9"/>
      <c r="O266" s="9"/>
    </row>
    <row r="267">
      <c r="A267" s="9"/>
      <c r="E267" s="9"/>
      <c r="I267" s="9"/>
      <c r="J267" s="121"/>
      <c r="M267" s="9"/>
      <c r="N267" s="9"/>
      <c r="O267" s="9"/>
    </row>
    <row r="268">
      <c r="A268" s="9"/>
      <c r="E268" s="9"/>
      <c r="I268" s="9"/>
      <c r="J268" s="121"/>
      <c r="M268" s="9"/>
      <c r="N268" s="9"/>
      <c r="O268" s="9"/>
    </row>
    <row r="269">
      <c r="A269" s="9"/>
      <c r="E269" s="9"/>
      <c r="I269" s="9"/>
      <c r="J269" s="121"/>
      <c r="M269" s="9"/>
      <c r="N269" s="9"/>
      <c r="O269" s="9"/>
    </row>
    <row r="270">
      <c r="A270" s="9"/>
      <c r="E270" s="9"/>
      <c r="I270" s="9"/>
      <c r="J270" s="121"/>
      <c r="M270" s="9"/>
      <c r="N270" s="9"/>
      <c r="O270" s="9"/>
    </row>
    <row r="271">
      <c r="A271" s="9"/>
      <c r="E271" s="9"/>
      <c r="I271" s="9"/>
      <c r="J271" s="121"/>
      <c r="M271" s="9"/>
      <c r="N271" s="9"/>
      <c r="O271" s="9"/>
    </row>
    <row r="272">
      <c r="A272" s="9"/>
      <c r="E272" s="9"/>
      <c r="I272" s="9"/>
      <c r="J272" s="121"/>
      <c r="M272" s="9"/>
      <c r="N272" s="9"/>
      <c r="O272" s="9"/>
    </row>
    <row r="273">
      <c r="A273" s="9"/>
      <c r="E273" s="9"/>
      <c r="I273" s="9"/>
      <c r="J273" s="121"/>
      <c r="M273" s="9"/>
      <c r="N273" s="9"/>
      <c r="O273" s="9"/>
    </row>
    <row r="274">
      <c r="A274" s="9"/>
      <c r="E274" s="9"/>
      <c r="I274" s="9"/>
      <c r="J274" s="121"/>
      <c r="M274" s="9"/>
      <c r="N274" s="9"/>
      <c r="O274" s="9"/>
    </row>
    <row r="275">
      <c r="A275" s="9"/>
      <c r="E275" s="9"/>
      <c r="I275" s="9"/>
      <c r="J275" s="121"/>
      <c r="M275" s="9"/>
      <c r="N275" s="9"/>
      <c r="O275" s="9"/>
    </row>
    <row r="276">
      <c r="A276" s="9"/>
      <c r="E276" s="9"/>
      <c r="I276" s="9"/>
      <c r="J276" s="121"/>
      <c r="M276" s="9"/>
      <c r="N276" s="9"/>
      <c r="O276" s="9"/>
    </row>
    <row r="277">
      <c r="A277" s="9"/>
      <c r="E277" s="9"/>
      <c r="I277" s="9"/>
      <c r="J277" s="121"/>
      <c r="M277" s="9"/>
      <c r="N277" s="9"/>
      <c r="O277" s="9"/>
    </row>
    <row r="278">
      <c r="A278" s="9"/>
      <c r="E278" s="9"/>
      <c r="I278" s="9"/>
      <c r="J278" s="121"/>
      <c r="M278" s="9"/>
      <c r="N278" s="9"/>
      <c r="O278" s="9"/>
    </row>
    <row r="279">
      <c r="A279" s="9"/>
      <c r="E279" s="9"/>
      <c r="I279" s="9"/>
      <c r="J279" s="121"/>
      <c r="M279" s="9"/>
      <c r="N279" s="9"/>
      <c r="O279" s="9"/>
    </row>
    <row r="280">
      <c r="A280" s="9"/>
      <c r="E280" s="9"/>
      <c r="I280" s="9"/>
      <c r="J280" s="121"/>
      <c r="M280" s="9"/>
      <c r="N280" s="9"/>
      <c r="O280" s="9"/>
    </row>
    <row r="281">
      <c r="A281" s="9"/>
      <c r="E281" s="9"/>
      <c r="I281" s="9"/>
      <c r="J281" s="121"/>
      <c r="M281" s="9"/>
      <c r="N281" s="9"/>
      <c r="O281" s="9"/>
    </row>
    <row r="282">
      <c r="A282" s="9"/>
      <c r="E282" s="9"/>
      <c r="I282" s="9"/>
      <c r="J282" s="121"/>
      <c r="M282" s="9"/>
      <c r="N282" s="9"/>
      <c r="O282" s="9"/>
    </row>
    <row r="283">
      <c r="A283" s="9"/>
      <c r="E283" s="9"/>
      <c r="I283" s="9"/>
      <c r="J283" s="121"/>
      <c r="M283" s="9"/>
      <c r="N283" s="9"/>
      <c r="O283" s="9"/>
    </row>
    <row r="284">
      <c r="A284" s="9"/>
      <c r="E284" s="9"/>
      <c r="I284" s="9"/>
      <c r="J284" s="121"/>
      <c r="M284" s="9"/>
      <c r="N284" s="9"/>
      <c r="O284" s="9"/>
    </row>
    <row r="285">
      <c r="A285" s="9"/>
      <c r="E285" s="9"/>
      <c r="I285" s="9"/>
      <c r="J285" s="121"/>
      <c r="M285" s="9"/>
      <c r="N285" s="9"/>
      <c r="O285" s="9"/>
    </row>
    <row r="286">
      <c r="A286" s="9"/>
      <c r="E286" s="9"/>
      <c r="I286" s="9"/>
      <c r="J286" s="121"/>
      <c r="M286" s="9"/>
      <c r="N286" s="9"/>
      <c r="O286" s="9"/>
    </row>
    <row r="287">
      <c r="A287" s="9"/>
      <c r="E287" s="9"/>
      <c r="I287" s="9"/>
      <c r="J287" s="121"/>
      <c r="M287" s="9"/>
      <c r="N287" s="9"/>
      <c r="O287" s="9"/>
    </row>
    <row r="288">
      <c r="A288" s="9"/>
      <c r="E288" s="9"/>
      <c r="I288" s="9"/>
      <c r="J288" s="121"/>
      <c r="M288" s="9"/>
      <c r="N288" s="9"/>
      <c r="O288" s="9"/>
    </row>
    <row r="289">
      <c r="A289" s="9"/>
      <c r="E289" s="9"/>
      <c r="I289" s="9"/>
      <c r="J289" s="121"/>
      <c r="M289" s="9"/>
      <c r="N289" s="9"/>
      <c r="O289" s="9"/>
    </row>
    <row r="290">
      <c r="A290" s="9"/>
      <c r="E290" s="9"/>
      <c r="I290" s="9"/>
      <c r="J290" s="121"/>
      <c r="M290" s="9"/>
      <c r="N290" s="9"/>
      <c r="O290" s="9"/>
    </row>
    <row r="291">
      <c r="A291" s="9"/>
      <c r="E291" s="9"/>
      <c r="I291" s="9"/>
      <c r="J291" s="121"/>
      <c r="M291" s="9"/>
      <c r="N291" s="9"/>
      <c r="O291" s="9"/>
    </row>
    <row r="292">
      <c r="A292" s="9"/>
      <c r="E292" s="9"/>
      <c r="I292" s="9"/>
      <c r="J292" s="121"/>
      <c r="M292" s="9"/>
      <c r="N292" s="9"/>
      <c r="O292" s="9"/>
    </row>
    <row r="293">
      <c r="A293" s="9"/>
      <c r="E293" s="9"/>
      <c r="I293" s="9"/>
      <c r="J293" s="121"/>
      <c r="M293" s="9"/>
      <c r="N293" s="9"/>
      <c r="O293" s="9"/>
    </row>
    <row r="294">
      <c r="A294" s="9"/>
      <c r="E294" s="9"/>
      <c r="I294" s="9"/>
      <c r="J294" s="121"/>
      <c r="M294" s="9"/>
      <c r="N294" s="9"/>
      <c r="O294" s="9"/>
    </row>
    <row r="295">
      <c r="A295" s="9"/>
      <c r="E295" s="9"/>
      <c r="I295" s="9"/>
      <c r="J295" s="121"/>
      <c r="M295" s="9"/>
      <c r="N295" s="9"/>
      <c r="O295" s="9"/>
    </row>
    <row r="296">
      <c r="A296" s="9"/>
      <c r="E296" s="9"/>
      <c r="I296" s="9"/>
      <c r="J296" s="121"/>
      <c r="M296" s="9"/>
      <c r="N296" s="9"/>
      <c r="O296" s="9"/>
    </row>
    <row r="297">
      <c r="A297" s="9"/>
      <c r="E297" s="9"/>
      <c r="I297" s="9"/>
      <c r="J297" s="121"/>
      <c r="M297" s="9"/>
      <c r="N297" s="9"/>
      <c r="O297" s="9"/>
    </row>
    <row r="298">
      <c r="A298" s="9"/>
      <c r="E298" s="9"/>
      <c r="I298" s="9"/>
      <c r="J298" s="121"/>
      <c r="M298" s="9"/>
      <c r="N298" s="9"/>
      <c r="O298" s="9"/>
    </row>
    <row r="299">
      <c r="A299" s="9"/>
      <c r="E299" s="9"/>
      <c r="I299" s="9"/>
      <c r="J299" s="121"/>
      <c r="M299" s="9"/>
      <c r="N299" s="9"/>
      <c r="O299" s="9"/>
    </row>
    <row r="300">
      <c r="A300" s="9"/>
      <c r="E300" s="9"/>
      <c r="I300" s="9"/>
      <c r="J300" s="121"/>
      <c r="M300" s="9"/>
      <c r="N300" s="9"/>
      <c r="O300" s="9"/>
    </row>
    <row r="301">
      <c r="A301" s="9"/>
      <c r="E301" s="9"/>
      <c r="I301" s="9"/>
      <c r="J301" s="121"/>
      <c r="M301" s="9"/>
      <c r="N301" s="9"/>
      <c r="O301" s="9"/>
    </row>
    <row r="302">
      <c r="A302" s="9"/>
      <c r="E302" s="9"/>
      <c r="I302" s="9"/>
      <c r="J302" s="121"/>
      <c r="M302" s="9"/>
      <c r="N302" s="9"/>
      <c r="O302" s="9"/>
    </row>
    <row r="303">
      <c r="A303" s="9"/>
      <c r="E303" s="9"/>
      <c r="I303" s="9"/>
      <c r="J303" s="121"/>
      <c r="M303" s="9"/>
      <c r="N303" s="9"/>
      <c r="O303" s="9"/>
    </row>
    <row r="304">
      <c r="A304" s="9"/>
      <c r="E304" s="9"/>
      <c r="I304" s="9"/>
      <c r="J304" s="121"/>
      <c r="M304" s="9"/>
      <c r="N304" s="9"/>
      <c r="O304" s="9"/>
    </row>
    <row r="305">
      <c r="A305" s="9"/>
      <c r="E305" s="9"/>
      <c r="I305" s="9"/>
      <c r="J305" s="121"/>
      <c r="M305" s="9"/>
      <c r="N305" s="9"/>
      <c r="O305" s="9"/>
    </row>
    <row r="306">
      <c r="A306" s="9"/>
      <c r="E306" s="9"/>
      <c r="I306" s="9"/>
      <c r="J306" s="121"/>
      <c r="M306" s="9"/>
      <c r="N306" s="9"/>
      <c r="O306" s="9"/>
    </row>
    <row r="307">
      <c r="A307" s="9"/>
      <c r="E307" s="9"/>
      <c r="I307" s="9"/>
      <c r="J307" s="121"/>
      <c r="M307" s="9"/>
      <c r="N307" s="9"/>
      <c r="O307" s="9"/>
    </row>
    <row r="308">
      <c r="A308" s="9"/>
      <c r="E308" s="9"/>
      <c r="I308" s="9"/>
      <c r="J308" s="121"/>
      <c r="M308" s="9"/>
      <c r="N308" s="9"/>
      <c r="O308" s="9"/>
    </row>
    <row r="309">
      <c r="A309" s="9"/>
      <c r="E309" s="9"/>
      <c r="I309" s="9"/>
      <c r="J309" s="121"/>
      <c r="M309" s="9"/>
      <c r="N309" s="9"/>
      <c r="O309" s="9"/>
    </row>
    <row r="310">
      <c r="A310" s="9"/>
      <c r="E310" s="9"/>
      <c r="I310" s="9"/>
      <c r="J310" s="121"/>
      <c r="M310" s="9"/>
      <c r="N310" s="9"/>
      <c r="O310" s="9"/>
    </row>
    <row r="311">
      <c r="A311" s="9"/>
      <c r="E311" s="9"/>
      <c r="I311" s="9"/>
      <c r="J311" s="121"/>
      <c r="M311" s="9"/>
      <c r="N311" s="9"/>
      <c r="O311" s="9"/>
    </row>
    <row r="312">
      <c r="A312" s="9"/>
      <c r="E312" s="9"/>
      <c r="I312" s="9"/>
      <c r="J312" s="121"/>
      <c r="M312" s="9"/>
      <c r="N312" s="9"/>
      <c r="O312" s="9"/>
    </row>
    <row r="313">
      <c r="A313" s="9"/>
      <c r="E313" s="9"/>
      <c r="I313" s="9"/>
      <c r="J313" s="121"/>
      <c r="M313" s="9"/>
      <c r="N313" s="9"/>
      <c r="O313" s="9"/>
    </row>
    <row r="314">
      <c r="A314" s="9"/>
      <c r="E314" s="9"/>
      <c r="I314" s="9"/>
      <c r="J314" s="121"/>
      <c r="M314" s="9"/>
      <c r="N314" s="9"/>
      <c r="O314" s="9"/>
    </row>
    <row r="315">
      <c r="A315" s="9"/>
      <c r="E315" s="9"/>
      <c r="I315" s="9"/>
      <c r="J315" s="121"/>
      <c r="M315" s="9"/>
      <c r="N315" s="9"/>
      <c r="O315" s="9"/>
    </row>
    <row r="316">
      <c r="A316" s="9"/>
      <c r="E316" s="9"/>
      <c r="I316" s="9"/>
      <c r="J316" s="121"/>
      <c r="M316" s="9"/>
      <c r="N316" s="9"/>
      <c r="O316" s="9"/>
    </row>
    <row r="317">
      <c r="A317" s="9"/>
      <c r="E317" s="9"/>
      <c r="I317" s="9"/>
      <c r="J317" s="121"/>
      <c r="M317" s="9"/>
      <c r="N317" s="9"/>
      <c r="O317" s="9"/>
    </row>
    <row r="318">
      <c r="A318" s="9"/>
      <c r="E318" s="9"/>
      <c r="I318" s="9"/>
      <c r="J318" s="121"/>
      <c r="M318" s="9"/>
      <c r="N318" s="9"/>
      <c r="O318" s="9"/>
    </row>
    <row r="319">
      <c r="A319" s="9"/>
      <c r="E319" s="9"/>
      <c r="I319" s="9"/>
      <c r="J319" s="121"/>
      <c r="M319" s="9"/>
      <c r="N319" s="9"/>
      <c r="O319" s="9"/>
    </row>
    <row r="320">
      <c r="A320" s="9"/>
      <c r="E320" s="9"/>
      <c r="I320" s="9"/>
      <c r="J320" s="121"/>
      <c r="M320" s="9"/>
      <c r="N320" s="9"/>
      <c r="O320" s="9"/>
    </row>
    <row r="321">
      <c r="A321" s="9"/>
      <c r="E321" s="9"/>
      <c r="I321" s="9"/>
      <c r="J321" s="121"/>
      <c r="M321" s="9"/>
      <c r="N321" s="9"/>
      <c r="O321" s="9"/>
    </row>
    <row r="322">
      <c r="A322" s="9"/>
      <c r="E322" s="9"/>
      <c r="I322" s="9"/>
      <c r="J322" s="121"/>
      <c r="M322" s="9"/>
      <c r="N322" s="9"/>
      <c r="O322" s="9"/>
    </row>
    <row r="323">
      <c r="A323" s="9"/>
      <c r="E323" s="9"/>
      <c r="I323" s="9"/>
      <c r="J323" s="121"/>
      <c r="M323" s="9"/>
      <c r="N323" s="9"/>
      <c r="O323" s="9"/>
    </row>
    <row r="324">
      <c r="A324" s="9"/>
      <c r="E324" s="9"/>
      <c r="I324" s="9"/>
      <c r="J324" s="121"/>
      <c r="M324" s="9"/>
      <c r="N324" s="9"/>
      <c r="O324" s="9"/>
    </row>
    <row r="325">
      <c r="A325" s="9"/>
      <c r="E325" s="9"/>
      <c r="I325" s="9"/>
      <c r="J325" s="121"/>
      <c r="M325" s="9"/>
      <c r="N325" s="9"/>
      <c r="O325" s="9"/>
    </row>
    <row r="326">
      <c r="A326" s="9"/>
      <c r="E326" s="9"/>
      <c r="I326" s="9"/>
      <c r="J326" s="121"/>
      <c r="M326" s="9"/>
      <c r="N326" s="9"/>
      <c r="O326" s="9"/>
    </row>
    <row r="327">
      <c r="A327" s="9"/>
      <c r="E327" s="9"/>
      <c r="I327" s="9"/>
      <c r="J327" s="121"/>
      <c r="M327" s="9"/>
      <c r="N327" s="9"/>
      <c r="O327" s="9"/>
    </row>
    <row r="328">
      <c r="A328" s="9"/>
      <c r="E328" s="9"/>
      <c r="I328" s="9"/>
      <c r="J328" s="121"/>
      <c r="M328" s="9"/>
      <c r="N328" s="9"/>
      <c r="O328" s="9"/>
    </row>
    <row r="329">
      <c r="A329" s="9"/>
      <c r="E329" s="9"/>
      <c r="I329" s="9"/>
      <c r="J329" s="121"/>
      <c r="M329" s="9"/>
      <c r="N329" s="9"/>
      <c r="O329" s="9"/>
    </row>
    <row r="330">
      <c r="A330" s="9"/>
      <c r="E330" s="9"/>
      <c r="I330" s="9"/>
      <c r="J330" s="121"/>
      <c r="M330" s="9"/>
      <c r="N330" s="9"/>
      <c r="O330" s="9"/>
    </row>
    <row r="331">
      <c r="A331" s="9"/>
      <c r="E331" s="9"/>
      <c r="I331" s="9"/>
      <c r="J331" s="121"/>
      <c r="M331" s="9"/>
      <c r="N331" s="9"/>
      <c r="O331" s="9"/>
    </row>
    <row r="332">
      <c r="A332" s="9"/>
      <c r="E332" s="9"/>
      <c r="I332" s="9"/>
      <c r="J332" s="121"/>
      <c r="M332" s="9"/>
      <c r="N332" s="9"/>
      <c r="O332" s="9"/>
    </row>
    <row r="333">
      <c r="A333" s="9"/>
      <c r="E333" s="9"/>
      <c r="I333" s="9"/>
      <c r="J333" s="121"/>
      <c r="M333" s="9"/>
      <c r="N333" s="9"/>
      <c r="O333" s="9"/>
    </row>
    <row r="334">
      <c r="A334" s="9"/>
      <c r="E334" s="9"/>
      <c r="I334" s="9"/>
      <c r="J334" s="121"/>
      <c r="M334" s="9"/>
      <c r="N334" s="9"/>
      <c r="O334" s="9"/>
    </row>
    <row r="335">
      <c r="A335" s="9"/>
      <c r="E335" s="9"/>
      <c r="I335" s="9"/>
      <c r="J335" s="121"/>
      <c r="M335" s="9"/>
      <c r="N335" s="9"/>
      <c r="O335" s="9"/>
    </row>
    <row r="336">
      <c r="A336" s="9"/>
      <c r="E336" s="9"/>
      <c r="I336" s="9"/>
      <c r="J336" s="121"/>
      <c r="M336" s="9"/>
      <c r="N336" s="9"/>
      <c r="O336" s="9"/>
    </row>
    <row r="337">
      <c r="A337" s="9"/>
      <c r="E337" s="9"/>
      <c r="I337" s="9"/>
      <c r="J337" s="121"/>
      <c r="M337" s="9"/>
      <c r="N337" s="9"/>
      <c r="O337" s="9"/>
    </row>
    <row r="338">
      <c r="A338" s="9"/>
      <c r="E338" s="9"/>
      <c r="I338" s="9"/>
      <c r="J338" s="121"/>
      <c r="M338" s="9"/>
      <c r="N338" s="9"/>
      <c r="O338" s="9"/>
    </row>
    <row r="339">
      <c r="A339" s="9"/>
      <c r="E339" s="9"/>
      <c r="I339" s="9"/>
      <c r="J339" s="121"/>
      <c r="M339" s="9"/>
      <c r="N339" s="9"/>
      <c r="O339" s="9"/>
    </row>
    <row r="340">
      <c r="A340" s="9"/>
      <c r="E340" s="9"/>
      <c r="I340" s="9"/>
      <c r="J340" s="121"/>
      <c r="M340" s="9"/>
      <c r="N340" s="9"/>
      <c r="O340" s="9"/>
    </row>
    <row r="341">
      <c r="A341" s="9"/>
      <c r="E341" s="9"/>
      <c r="I341" s="9"/>
      <c r="J341" s="121"/>
      <c r="M341" s="9"/>
      <c r="N341" s="9"/>
      <c r="O341" s="9"/>
    </row>
    <row r="342">
      <c r="A342" s="9"/>
      <c r="E342" s="9"/>
      <c r="I342" s="9"/>
      <c r="J342" s="121"/>
      <c r="M342" s="9"/>
      <c r="N342" s="9"/>
      <c r="O342" s="9"/>
    </row>
    <row r="343">
      <c r="A343" s="9"/>
      <c r="E343" s="9"/>
      <c r="I343" s="9"/>
      <c r="J343" s="121"/>
      <c r="M343" s="9"/>
      <c r="N343" s="9"/>
      <c r="O343" s="9"/>
    </row>
    <row r="344">
      <c r="A344" s="9"/>
      <c r="E344" s="9"/>
      <c r="I344" s="9"/>
      <c r="J344" s="121"/>
      <c r="M344" s="9"/>
      <c r="N344" s="9"/>
      <c r="O344" s="9"/>
    </row>
    <row r="345">
      <c r="A345" s="9"/>
      <c r="E345" s="9"/>
      <c r="I345" s="9"/>
      <c r="J345" s="121"/>
      <c r="M345" s="9"/>
      <c r="N345" s="9"/>
      <c r="O345" s="9"/>
    </row>
    <row r="346">
      <c r="A346" s="9"/>
      <c r="E346" s="9"/>
      <c r="I346" s="9"/>
      <c r="J346" s="121"/>
      <c r="M346" s="9"/>
      <c r="N346" s="9"/>
      <c r="O346" s="9"/>
    </row>
    <row r="347">
      <c r="A347" s="9"/>
      <c r="E347" s="9"/>
      <c r="I347" s="9"/>
      <c r="J347" s="121"/>
      <c r="M347" s="9"/>
      <c r="N347" s="9"/>
      <c r="O347" s="9"/>
    </row>
    <row r="348">
      <c r="A348" s="9"/>
      <c r="E348" s="9"/>
      <c r="I348" s="9"/>
      <c r="J348" s="121"/>
      <c r="M348" s="9"/>
      <c r="N348" s="9"/>
      <c r="O348" s="9"/>
    </row>
    <row r="349">
      <c r="A349" s="9"/>
      <c r="E349" s="9"/>
      <c r="I349" s="9"/>
      <c r="J349" s="121"/>
      <c r="M349" s="9"/>
      <c r="N349" s="9"/>
      <c r="O349" s="9"/>
    </row>
    <row r="350">
      <c r="A350" s="9"/>
      <c r="E350" s="9"/>
      <c r="I350" s="9"/>
      <c r="J350" s="121"/>
      <c r="M350" s="9"/>
      <c r="N350" s="9"/>
      <c r="O350" s="9"/>
    </row>
    <row r="351">
      <c r="A351" s="9"/>
      <c r="E351" s="9"/>
      <c r="I351" s="9"/>
      <c r="J351" s="121"/>
      <c r="M351" s="9"/>
      <c r="N351" s="9"/>
      <c r="O351" s="9"/>
    </row>
    <row r="352">
      <c r="A352" s="9"/>
      <c r="E352" s="9"/>
      <c r="I352" s="9"/>
      <c r="J352" s="121"/>
      <c r="M352" s="9"/>
      <c r="N352" s="9"/>
      <c r="O352" s="9"/>
    </row>
    <row r="353">
      <c r="A353" s="9"/>
      <c r="E353" s="9"/>
      <c r="I353" s="9"/>
      <c r="J353" s="121"/>
      <c r="M353" s="9"/>
      <c r="N353" s="9"/>
      <c r="O353" s="9"/>
    </row>
    <row r="354">
      <c r="A354" s="9"/>
      <c r="E354" s="9"/>
      <c r="I354" s="9"/>
      <c r="J354" s="121"/>
      <c r="M354" s="9"/>
      <c r="N354" s="9"/>
      <c r="O354" s="9"/>
    </row>
    <row r="355">
      <c r="A355" s="9"/>
      <c r="E355" s="9"/>
      <c r="I355" s="9"/>
      <c r="J355" s="121"/>
      <c r="M355" s="9"/>
      <c r="N355" s="9"/>
      <c r="O355" s="9"/>
    </row>
    <row r="356">
      <c r="A356" s="9"/>
      <c r="E356" s="9"/>
      <c r="I356" s="9"/>
      <c r="J356" s="121"/>
      <c r="M356" s="9"/>
      <c r="N356" s="9"/>
      <c r="O356" s="9"/>
    </row>
    <row r="357">
      <c r="A357" s="9"/>
      <c r="E357" s="9"/>
      <c r="I357" s="9"/>
      <c r="J357" s="121"/>
      <c r="M357" s="9"/>
      <c r="N357" s="9"/>
      <c r="O357" s="9"/>
    </row>
    <row r="358">
      <c r="A358" s="9"/>
      <c r="E358" s="9"/>
      <c r="I358" s="9"/>
      <c r="J358" s="121"/>
      <c r="M358" s="9"/>
      <c r="N358" s="9"/>
      <c r="O358" s="9"/>
    </row>
    <row r="359">
      <c r="A359" s="9"/>
      <c r="E359" s="9"/>
      <c r="I359" s="9"/>
      <c r="J359" s="121"/>
      <c r="M359" s="9"/>
      <c r="N359" s="9"/>
      <c r="O359" s="9"/>
    </row>
    <row r="360">
      <c r="A360" s="9"/>
      <c r="E360" s="9"/>
      <c r="I360" s="9"/>
      <c r="J360" s="121"/>
      <c r="M360" s="9"/>
      <c r="N360" s="9"/>
      <c r="O360" s="9"/>
    </row>
    <row r="361">
      <c r="A361" s="9"/>
      <c r="E361" s="9"/>
      <c r="I361" s="9"/>
      <c r="J361" s="121"/>
      <c r="M361" s="9"/>
      <c r="N361" s="9"/>
      <c r="O361" s="9"/>
    </row>
    <row r="362">
      <c r="A362" s="9"/>
      <c r="E362" s="9"/>
      <c r="I362" s="9"/>
      <c r="J362" s="121"/>
      <c r="M362" s="9"/>
      <c r="N362" s="9"/>
      <c r="O362" s="9"/>
    </row>
    <row r="363">
      <c r="A363" s="9"/>
      <c r="E363" s="9"/>
      <c r="I363" s="9"/>
      <c r="J363" s="121"/>
      <c r="M363" s="9"/>
      <c r="N363" s="9"/>
      <c r="O363" s="9"/>
    </row>
    <row r="364">
      <c r="A364" s="9"/>
      <c r="E364" s="9"/>
      <c r="I364" s="9"/>
      <c r="J364" s="121"/>
      <c r="M364" s="9"/>
      <c r="N364" s="9"/>
      <c r="O364" s="9"/>
    </row>
    <row r="365">
      <c r="A365" s="9"/>
      <c r="E365" s="9"/>
      <c r="I365" s="9"/>
      <c r="J365" s="121"/>
      <c r="M365" s="9"/>
      <c r="N365" s="9"/>
      <c r="O365" s="9"/>
    </row>
    <row r="366">
      <c r="A366" s="9"/>
      <c r="E366" s="9"/>
      <c r="I366" s="9"/>
      <c r="J366" s="121"/>
      <c r="M366" s="9"/>
      <c r="N366" s="9"/>
      <c r="O366" s="9"/>
    </row>
    <row r="367">
      <c r="A367" s="9"/>
      <c r="E367" s="9"/>
      <c r="I367" s="9"/>
      <c r="J367" s="121"/>
      <c r="M367" s="9"/>
      <c r="N367" s="9"/>
      <c r="O367" s="9"/>
    </row>
    <row r="368">
      <c r="A368" s="9"/>
      <c r="E368" s="9"/>
      <c r="I368" s="9"/>
      <c r="J368" s="121"/>
      <c r="M368" s="9"/>
      <c r="N368" s="9"/>
      <c r="O368" s="9"/>
    </row>
    <row r="369">
      <c r="A369" s="9"/>
      <c r="E369" s="9"/>
      <c r="I369" s="9"/>
      <c r="J369" s="121"/>
      <c r="M369" s="9"/>
      <c r="N369" s="9"/>
      <c r="O369" s="9"/>
    </row>
    <row r="370">
      <c r="A370" s="9"/>
      <c r="E370" s="9"/>
      <c r="I370" s="9"/>
      <c r="J370" s="121"/>
      <c r="M370" s="9"/>
      <c r="N370" s="9"/>
      <c r="O370" s="9"/>
    </row>
    <row r="371">
      <c r="A371" s="9"/>
      <c r="E371" s="9"/>
      <c r="I371" s="9"/>
      <c r="J371" s="121"/>
      <c r="M371" s="9"/>
      <c r="N371" s="9"/>
      <c r="O371" s="9"/>
    </row>
    <row r="372">
      <c r="A372" s="9"/>
      <c r="E372" s="9"/>
      <c r="I372" s="9"/>
      <c r="J372" s="121"/>
      <c r="M372" s="9"/>
      <c r="N372" s="9"/>
      <c r="O372" s="9"/>
    </row>
    <row r="373">
      <c r="A373" s="9"/>
      <c r="E373" s="9"/>
      <c r="I373" s="9"/>
      <c r="J373" s="121"/>
      <c r="M373" s="9"/>
      <c r="N373" s="9"/>
      <c r="O373" s="9"/>
    </row>
    <row r="374">
      <c r="A374" s="9"/>
      <c r="E374" s="9"/>
      <c r="I374" s="9"/>
      <c r="J374" s="121"/>
      <c r="M374" s="9"/>
      <c r="N374" s="9"/>
      <c r="O374" s="9"/>
    </row>
    <row r="375">
      <c r="A375" s="9"/>
      <c r="E375" s="9"/>
      <c r="I375" s="9"/>
      <c r="J375" s="121"/>
      <c r="M375" s="9"/>
      <c r="N375" s="9"/>
      <c r="O375" s="9"/>
    </row>
    <row r="376">
      <c r="A376" s="9"/>
      <c r="E376" s="9"/>
      <c r="I376" s="9"/>
      <c r="J376" s="121"/>
      <c r="M376" s="9"/>
      <c r="N376" s="9"/>
      <c r="O376" s="9"/>
    </row>
    <row r="377">
      <c r="A377" s="9"/>
      <c r="E377" s="9"/>
      <c r="I377" s="9"/>
      <c r="J377" s="121"/>
      <c r="M377" s="9"/>
      <c r="N377" s="9"/>
      <c r="O377" s="9"/>
    </row>
    <row r="378">
      <c r="A378" s="9"/>
      <c r="E378" s="9"/>
      <c r="I378" s="9"/>
      <c r="J378" s="121"/>
      <c r="M378" s="9"/>
      <c r="N378" s="9"/>
      <c r="O378" s="9"/>
    </row>
    <row r="379">
      <c r="A379" s="9"/>
      <c r="E379" s="9"/>
      <c r="I379" s="9"/>
      <c r="J379" s="121"/>
      <c r="M379" s="9"/>
      <c r="N379" s="9"/>
      <c r="O379" s="9"/>
    </row>
    <row r="380">
      <c r="A380" s="9"/>
      <c r="E380" s="9"/>
      <c r="I380" s="9"/>
      <c r="J380" s="121"/>
      <c r="M380" s="9"/>
      <c r="N380" s="9"/>
      <c r="O380" s="9"/>
    </row>
    <row r="381">
      <c r="A381" s="9"/>
      <c r="E381" s="9"/>
      <c r="I381" s="9"/>
      <c r="J381" s="121"/>
      <c r="M381" s="9"/>
      <c r="N381" s="9"/>
      <c r="O381" s="9"/>
    </row>
    <row r="382">
      <c r="A382" s="9"/>
      <c r="E382" s="9"/>
      <c r="I382" s="9"/>
      <c r="J382" s="121"/>
      <c r="M382" s="9"/>
      <c r="N382" s="9"/>
      <c r="O382" s="9"/>
    </row>
    <row r="383">
      <c r="A383" s="9"/>
      <c r="E383" s="9"/>
      <c r="I383" s="9"/>
      <c r="J383" s="121"/>
      <c r="M383" s="9"/>
      <c r="N383" s="9"/>
      <c r="O383" s="9"/>
    </row>
    <row r="384">
      <c r="A384" s="9"/>
      <c r="E384" s="9"/>
      <c r="I384" s="9"/>
      <c r="J384" s="121"/>
      <c r="M384" s="9"/>
      <c r="N384" s="9"/>
      <c r="O384" s="9"/>
    </row>
    <row r="385">
      <c r="A385" s="9"/>
      <c r="E385" s="9"/>
      <c r="I385" s="9"/>
      <c r="J385" s="121"/>
      <c r="M385" s="9"/>
      <c r="N385" s="9"/>
      <c r="O385" s="9"/>
    </row>
    <row r="386">
      <c r="A386" s="9"/>
      <c r="E386" s="9"/>
      <c r="I386" s="9"/>
      <c r="J386" s="121"/>
      <c r="M386" s="9"/>
      <c r="N386" s="9"/>
      <c r="O386" s="9"/>
    </row>
    <row r="387">
      <c r="A387" s="9"/>
      <c r="E387" s="9"/>
      <c r="I387" s="9"/>
      <c r="J387" s="121"/>
      <c r="M387" s="9"/>
      <c r="N387" s="9"/>
      <c r="O387" s="9"/>
    </row>
    <row r="388">
      <c r="A388" s="9"/>
      <c r="E388" s="9"/>
      <c r="I388" s="9"/>
      <c r="J388" s="121"/>
      <c r="M388" s="9"/>
      <c r="N388" s="9"/>
      <c r="O388" s="9"/>
    </row>
    <row r="389">
      <c r="A389" s="9"/>
      <c r="E389" s="9"/>
      <c r="I389" s="9"/>
      <c r="J389" s="121"/>
      <c r="M389" s="9"/>
      <c r="N389" s="9"/>
      <c r="O389" s="9"/>
    </row>
    <row r="390">
      <c r="A390" s="9"/>
      <c r="E390" s="9"/>
      <c r="I390" s="9"/>
      <c r="J390" s="121"/>
      <c r="M390" s="9"/>
      <c r="N390" s="9"/>
      <c r="O390" s="9"/>
    </row>
    <row r="391">
      <c r="A391" s="9"/>
      <c r="E391" s="9"/>
      <c r="I391" s="9"/>
      <c r="J391" s="121"/>
      <c r="M391" s="9"/>
      <c r="N391" s="9"/>
      <c r="O391" s="9"/>
    </row>
    <row r="392">
      <c r="A392" s="9"/>
      <c r="E392" s="9"/>
      <c r="I392" s="9"/>
      <c r="J392" s="121"/>
      <c r="M392" s="9"/>
      <c r="N392" s="9"/>
      <c r="O392" s="9"/>
    </row>
    <row r="393">
      <c r="A393" s="9"/>
      <c r="E393" s="9"/>
      <c r="I393" s="9"/>
      <c r="J393" s="121"/>
      <c r="M393" s="9"/>
      <c r="N393" s="9"/>
      <c r="O393" s="9"/>
    </row>
    <row r="394">
      <c r="A394" s="9"/>
      <c r="E394" s="9"/>
      <c r="I394" s="9"/>
      <c r="J394" s="121"/>
      <c r="M394" s="9"/>
      <c r="N394" s="9"/>
      <c r="O394" s="9"/>
    </row>
    <row r="395">
      <c r="A395" s="9"/>
      <c r="E395" s="9"/>
      <c r="I395" s="9"/>
      <c r="J395" s="121"/>
      <c r="M395" s="9"/>
      <c r="N395" s="9"/>
      <c r="O395" s="9"/>
    </row>
    <row r="396">
      <c r="A396" s="9"/>
      <c r="E396" s="9"/>
      <c r="I396" s="9"/>
      <c r="J396" s="121"/>
      <c r="M396" s="9"/>
      <c r="N396" s="9"/>
      <c r="O396" s="9"/>
    </row>
    <row r="397">
      <c r="A397" s="9"/>
      <c r="E397" s="9"/>
      <c r="I397" s="9"/>
      <c r="J397" s="121"/>
      <c r="M397" s="9"/>
      <c r="N397" s="9"/>
      <c r="O397" s="9"/>
    </row>
    <row r="398">
      <c r="A398" s="9"/>
      <c r="E398" s="9"/>
      <c r="I398" s="9"/>
      <c r="J398" s="121"/>
      <c r="M398" s="9"/>
      <c r="N398" s="9"/>
      <c r="O398" s="9"/>
    </row>
    <row r="399">
      <c r="A399" s="9"/>
      <c r="E399" s="9"/>
      <c r="I399" s="9"/>
      <c r="J399" s="121"/>
      <c r="M399" s="9"/>
      <c r="N399" s="9"/>
      <c r="O399" s="9"/>
    </row>
    <row r="400">
      <c r="A400" s="9"/>
      <c r="E400" s="9"/>
      <c r="I400" s="9"/>
      <c r="J400" s="121"/>
      <c r="M400" s="9"/>
      <c r="N400" s="9"/>
      <c r="O400" s="9"/>
    </row>
    <row r="401">
      <c r="A401" s="9"/>
      <c r="E401" s="9"/>
      <c r="I401" s="9"/>
      <c r="J401" s="121"/>
      <c r="M401" s="9"/>
      <c r="N401" s="9"/>
      <c r="O401" s="9"/>
    </row>
    <row r="402">
      <c r="A402" s="9"/>
      <c r="E402" s="9"/>
      <c r="I402" s="9"/>
      <c r="J402" s="121"/>
      <c r="M402" s="9"/>
      <c r="N402" s="9"/>
      <c r="O402" s="9"/>
    </row>
    <row r="403">
      <c r="A403" s="9"/>
      <c r="E403" s="9"/>
      <c r="I403" s="9"/>
      <c r="J403" s="121"/>
      <c r="M403" s="9"/>
      <c r="N403" s="9"/>
      <c r="O403" s="9"/>
    </row>
    <row r="404">
      <c r="A404" s="9"/>
      <c r="E404" s="9"/>
      <c r="I404" s="9"/>
      <c r="J404" s="121"/>
      <c r="M404" s="9"/>
      <c r="N404" s="9"/>
      <c r="O404" s="9"/>
    </row>
    <row r="405">
      <c r="A405" s="9"/>
      <c r="E405" s="9"/>
      <c r="I405" s="9"/>
      <c r="J405" s="121"/>
      <c r="M405" s="9"/>
      <c r="N405" s="9"/>
      <c r="O405" s="9"/>
    </row>
    <row r="406">
      <c r="A406" s="9"/>
      <c r="E406" s="9"/>
      <c r="I406" s="9"/>
      <c r="J406" s="121"/>
      <c r="M406" s="9"/>
      <c r="N406" s="9"/>
      <c r="O406" s="9"/>
    </row>
    <row r="407">
      <c r="A407" s="9"/>
      <c r="E407" s="9"/>
      <c r="I407" s="9"/>
      <c r="J407" s="121"/>
      <c r="M407" s="9"/>
      <c r="N407" s="9"/>
      <c r="O407" s="9"/>
    </row>
    <row r="408">
      <c r="A408" s="9"/>
      <c r="E408" s="9"/>
      <c r="I408" s="9"/>
      <c r="J408" s="121"/>
      <c r="M408" s="9"/>
      <c r="N408" s="9"/>
      <c r="O408" s="9"/>
    </row>
    <row r="409">
      <c r="A409" s="9"/>
      <c r="E409" s="9"/>
      <c r="I409" s="9"/>
      <c r="J409" s="121"/>
      <c r="M409" s="9"/>
      <c r="N409" s="9"/>
      <c r="O409" s="9"/>
    </row>
    <row r="410">
      <c r="A410" s="9"/>
      <c r="E410" s="9"/>
      <c r="I410" s="9"/>
      <c r="J410" s="121"/>
      <c r="M410" s="9"/>
      <c r="N410" s="9"/>
      <c r="O410" s="9"/>
    </row>
    <row r="411">
      <c r="A411" s="9"/>
      <c r="E411" s="9"/>
      <c r="I411" s="9"/>
      <c r="J411" s="121"/>
      <c r="M411" s="9"/>
      <c r="N411" s="9"/>
      <c r="O411" s="9"/>
    </row>
    <row r="412">
      <c r="A412" s="9"/>
      <c r="E412" s="9"/>
      <c r="I412" s="9"/>
      <c r="J412" s="121"/>
      <c r="M412" s="9"/>
      <c r="N412" s="9"/>
      <c r="O412" s="9"/>
    </row>
    <row r="413">
      <c r="A413" s="9"/>
      <c r="E413" s="9"/>
      <c r="I413" s="9"/>
      <c r="J413" s="121"/>
      <c r="M413" s="9"/>
      <c r="N413" s="9"/>
      <c r="O413" s="9"/>
    </row>
    <row r="414">
      <c r="A414" s="9"/>
      <c r="E414" s="9"/>
      <c r="I414" s="9"/>
      <c r="J414" s="121"/>
      <c r="M414" s="9"/>
      <c r="N414" s="9"/>
      <c r="O414" s="9"/>
    </row>
    <row r="415">
      <c r="A415" s="9"/>
      <c r="E415" s="9"/>
      <c r="I415" s="9"/>
      <c r="J415" s="121"/>
      <c r="M415" s="9"/>
      <c r="N415" s="9"/>
      <c r="O415" s="9"/>
    </row>
    <row r="416">
      <c r="A416" s="9"/>
      <c r="E416" s="9"/>
      <c r="I416" s="9"/>
      <c r="J416" s="121"/>
      <c r="M416" s="9"/>
      <c r="N416" s="9"/>
      <c r="O416" s="9"/>
    </row>
    <row r="417">
      <c r="A417" s="9"/>
      <c r="E417" s="9"/>
      <c r="I417" s="9"/>
      <c r="J417" s="121"/>
      <c r="M417" s="9"/>
      <c r="N417" s="9"/>
      <c r="O417" s="9"/>
    </row>
    <row r="418">
      <c r="A418" s="9"/>
      <c r="E418" s="9"/>
      <c r="I418" s="9"/>
      <c r="J418" s="121"/>
      <c r="M418" s="9"/>
      <c r="N418" s="9"/>
      <c r="O418" s="9"/>
    </row>
    <row r="419">
      <c r="A419" s="9"/>
      <c r="E419" s="9"/>
      <c r="I419" s="9"/>
      <c r="J419" s="121"/>
      <c r="M419" s="9"/>
      <c r="N419" s="9"/>
      <c r="O419" s="9"/>
    </row>
    <row r="420">
      <c r="A420" s="9"/>
      <c r="E420" s="9"/>
      <c r="I420" s="9"/>
      <c r="J420" s="121"/>
      <c r="M420" s="9"/>
      <c r="N420" s="9"/>
      <c r="O420" s="9"/>
    </row>
    <row r="421">
      <c r="A421" s="9"/>
      <c r="E421" s="9"/>
      <c r="I421" s="9"/>
      <c r="J421" s="121"/>
      <c r="M421" s="9"/>
      <c r="N421" s="9"/>
      <c r="O421" s="9"/>
    </row>
    <row r="422">
      <c r="A422" s="9"/>
      <c r="E422" s="9"/>
      <c r="I422" s="9"/>
      <c r="J422" s="121"/>
      <c r="M422" s="9"/>
      <c r="N422" s="9"/>
      <c r="O422" s="9"/>
    </row>
    <row r="423">
      <c r="A423" s="9"/>
      <c r="E423" s="9"/>
      <c r="I423" s="9"/>
      <c r="J423" s="121"/>
      <c r="M423" s="9"/>
      <c r="N423" s="9"/>
      <c r="O423" s="9"/>
    </row>
    <row r="424">
      <c r="A424" s="9"/>
      <c r="E424" s="9"/>
      <c r="I424" s="9"/>
      <c r="J424" s="121"/>
      <c r="M424" s="9"/>
      <c r="N424" s="9"/>
      <c r="O424" s="9"/>
    </row>
    <row r="425">
      <c r="A425" s="9"/>
      <c r="E425" s="9"/>
      <c r="I425" s="9"/>
      <c r="J425" s="121"/>
      <c r="M425" s="9"/>
      <c r="N425" s="9"/>
      <c r="O425" s="9"/>
    </row>
    <row r="426">
      <c r="A426" s="9"/>
      <c r="E426" s="9"/>
      <c r="I426" s="9"/>
      <c r="J426" s="121"/>
      <c r="M426" s="9"/>
      <c r="N426" s="9"/>
      <c r="O426" s="9"/>
    </row>
    <row r="427">
      <c r="A427" s="9"/>
      <c r="E427" s="9"/>
      <c r="I427" s="9"/>
      <c r="J427" s="121"/>
      <c r="M427" s="9"/>
      <c r="N427" s="9"/>
      <c r="O427" s="9"/>
    </row>
    <row r="428">
      <c r="A428" s="9"/>
      <c r="E428" s="9"/>
      <c r="I428" s="9"/>
      <c r="J428" s="121"/>
      <c r="M428" s="9"/>
      <c r="N428" s="9"/>
      <c r="O428" s="9"/>
    </row>
    <row r="429">
      <c r="A429" s="9"/>
      <c r="E429" s="9"/>
      <c r="I429" s="9"/>
      <c r="J429" s="121"/>
      <c r="M429" s="9"/>
      <c r="N429" s="9"/>
      <c r="O429" s="9"/>
    </row>
    <row r="430">
      <c r="A430" s="9"/>
      <c r="E430" s="9"/>
      <c r="I430" s="9"/>
      <c r="J430" s="121"/>
      <c r="M430" s="9"/>
      <c r="N430" s="9"/>
      <c r="O430" s="9"/>
    </row>
    <row r="431">
      <c r="A431" s="9"/>
      <c r="E431" s="9"/>
      <c r="I431" s="9"/>
      <c r="J431" s="121"/>
      <c r="M431" s="9"/>
      <c r="N431" s="9"/>
      <c r="O431" s="9"/>
    </row>
    <row r="432">
      <c r="A432" s="9"/>
      <c r="E432" s="9"/>
      <c r="I432" s="9"/>
      <c r="J432" s="121"/>
      <c r="M432" s="9"/>
      <c r="N432" s="9"/>
      <c r="O432" s="9"/>
    </row>
    <row r="433">
      <c r="A433" s="9"/>
      <c r="E433" s="9"/>
      <c r="I433" s="9"/>
      <c r="J433" s="121"/>
      <c r="M433" s="9"/>
      <c r="N433" s="9"/>
      <c r="O433" s="9"/>
    </row>
    <row r="434">
      <c r="A434" s="9"/>
      <c r="E434" s="9"/>
      <c r="I434" s="9"/>
      <c r="J434" s="121"/>
      <c r="M434" s="9"/>
      <c r="N434" s="9"/>
      <c r="O434" s="9"/>
    </row>
    <row r="435">
      <c r="A435" s="9"/>
      <c r="E435" s="9"/>
      <c r="I435" s="9"/>
      <c r="J435" s="121"/>
      <c r="M435" s="9"/>
      <c r="N435" s="9"/>
      <c r="O435" s="9"/>
    </row>
    <row r="436">
      <c r="A436" s="9"/>
      <c r="E436" s="9"/>
      <c r="I436" s="9"/>
      <c r="J436" s="121"/>
      <c r="M436" s="9"/>
      <c r="N436" s="9"/>
      <c r="O436" s="9"/>
    </row>
    <row r="437">
      <c r="A437" s="9"/>
      <c r="E437" s="9"/>
      <c r="I437" s="9"/>
      <c r="J437" s="121"/>
      <c r="M437" s="9"/>
      <c r="N437" s="9"/>
      <c r="O437" s="9"/>
    </row>
    <row r="438">
      <c r="A438" s="9"/>
      <c r="E438" s="9"/>
      <c r="I438" s="9"/>
      <c r="J438" s="121"/>
      <c r="M438" s="9"/>
      <c r="N438" s="9"/>
      <c r="O438" s="9"/>
    </row>
    <row r="439">
      <c r="A439" s="9"/>
      <c r="E439" s="9"/>
      <c r="I439" s="9"/>
      <c r="J439" s="121"/>
      <c r="M439" s="9"/>
      <c r="N439" s="9"/>
      <c r="O439" s="9"/>
    </row>
    <row r="440">
      <c r="A440" s="9"/>
      <c r="E440" s="9"/>
      <c r="I440" s="9"/>
      <c r="J440" s="121"/>
      <c r="M440" s="9"/>
      <c r="N440" s="9"/>
      <c r="O440" s="9"/>
    </row>
    <row r="441">
      <c r="A441" s="9"/>
      <c r="E441" s="9"/>
      <c r="I441" s="9"/>
      <c r="J441" s="121"/>
      <c r="M441" s="9"/>
      <c r="N441" s="9"/>
      <c r="O441" s="9"/>
    </row>
    <row r="442">
      <c r="A442" s="9"/>
      <c r="E442" s="9"/>
      <c r="I442" s="9"/>
      <c r="J442" s="121"/>
      <c r="M442" s="9"/>
      <c r="N442" s="9"/>
      <c r="O442" s="9"/>
    </row>
    <row r="443">
      <c r="A443" s="9"/>
      <c r="E443" s="9"/>
      <c r="I443" s="9"/>
      <c r="J443" s="121"/>
      <c r="M443" s="9"/>
      <c r="N443" s="9"/>
      <c r="O443" s="9"/>
    </row>
    <row r="444">
      <c r="A444" s="9"/>
      <c r="E444" s="9"/>
      <c r="I444" s="9"/>
      <c r="J444" s="121"/>
      <c r="M444" s="9"/>
      <c r="N444" s="9"/>
      <c r="O444" s="9"/>
    </row>
    <row r="445">
      <c r="A445" s="9"/>
      <c r="E445" s="9"/>
      <c r="I445" s="9"/>
      <c r="J445" s="121"/>
      <c r="M445" s="9"/>
      <c r="N445" s="9"/>
      <c r="O445" s="9"/>
    </row>
    <row r="446">
      <c r="A446" s="9"/>
      <c r="E446" s="9"/>
      <c r="I446" s="9"/>
      <c r="J446" s="121"/>
      <c r="M446" s="9"/>
      <c r="N446" s="9"/>
      <c r="O446" s="9"/>
    </row>
    <row r="447">
      <c r="A447" s="9"/>
      <c r="E447" s="9"/>
      <c r="I447" s="9"/>
      <c r="J447" s="121"/>
      <c r="M447" s="9"/>
      <c r="N447" s="9"/>
      <c r="O447" s="9"/>
    </row>
    <row r="448">
      <c r="A448" s="9"/>
      <c r="E448" s="9"/>
      <c r="I448" s="9"/>
      <c r="J448" s="121"/>
      <c r="M448" s="9"/>
      <c r="N448" s="9"/>
      <c r="O448" s="9"/>
    </row>
    <row r="449">
      <c r="A449" s="9"/>
      <c r="E449" s="9"/>
      <c r="I449" s="9"/>
      <c r="J449" s="121"/>
      <c r="M449" s="9"/>
      <c r="N449" s="9"/>
      <c r="O449" s="9"/>
    </row>
    <row r="450">
      <c r="A450" s="9"/>
      <c r="E450" s="9"/>
      <c r="I450" s="9"/>
      <c r="J450" s="121"/>
      <c r="M450" s="9"/>
      <c r="N450" s="9"/>
      <c r="O450" s="9"/>
    </row>
    <row r="451">
      <c r="A451" s="9"/>
      <c r="E451" s="9"/>
      <c r="I451" s="9"/>
      <c r="J451" s="121"/>
      <c r="M451" s="9"/>
      <c r="N451" s="9"/>
      <c r="O451" s="9"/>
    </row>
    <row r="452">
      <c r="A452" s="9"/>
      <c r="E452" s="9"/>
      <c r="I452" s="9"/>
      <c r="J452" s="121"/>
      <c r="M452" s="9"/>
      <c r="N452" s="9"/>
      <c r="O452" s="9"/>
    </row>
    <row r="453">
      <c r="A453" s="9"/>
      <c r="E453" s="9"/>
      <c r="I453" s="9"/>
      <c r="J453" s="121"/>
      <c r="M453" s="9"/>
      <c r="N453" s="9"/>
      <c r="O453" s="9"/>
    </row>
    <row r="454">
      <c r="A454" s="9"/>
      <c r="E454" s="9"/>
      <c r="I454" s="9"/>
      <c r="J454" s="121"/>
      <c r="M454" s="9"/>
      <c r="N454" s="9"/>
      <c r="O454" s="9"/>
    </row>
    <row r="455">
      <c r="A455" s="9"/>
      <c r="E455" s="9"/>
      <c r="I455" s="9"/>
      <c r="J455" s="121"/>
      <c r="M455" s="9"/>
      <c r="N455" s="9"/>
      <c r="O455" s="9"/>
    </row>
    <row r="456">
      <c r="A456" s="9"/>
      <c r="E456" s="9"/>
      <c r="I456" s="9"/>
      <c r="J456" s="121"/>
      <c r="M456" s="9"/>
      <c r="N456" s="9"/>
      <c r="O456" s="9"/>
    </row>
    <row r="457">
      <c r="A457" s="9"/>
      <c r="E457" s="9"/>
      <c r="I457" s="9"/>
      <c r="J457" s="121"/>
      <c r="M457" s="9"/>
      <c r="N457" s="9"/>
      <c r="O457" s="9"/>
    </row>
    <row r="458">
      <c r="A458" s="9"/>
      <c r="E458" s="9"/>
      <c r="I458" s="9"/>
      <c r="J458" s="121"/>
      <c r="M458" s="9"/>
      <c r="N458" s="9"/>
      <c r="O458" s="9"/>
    </row>
    <row r="459">
      <c r="A459" s="9"/>
      <c r="E459" s="9"/>
      <c r="I459" s="9"/>
      <c r="J459" s="121"/>
      <c r="M459" s="9"/>
      <c r="N459" s="9"/>
      <c r="O459" s="9"/>
    </row>
    <row r="460">
      <c r="A460" s="9"/>
      <c r="E460" s="9"/>
      <c r="I460" s="9"/>
      <c r="J460" s="121"/>
      <c r="M460" s="9"/>
      <c r="N460" s="9"/>
      <c r="O460" s="9"/>
    </row>
    <row r="461">
      <c r="A461" s="9"/>
      <c r="E461" s="9"/>
      <c r="I461" s="9"/>
      <c r="J461" s="121"/>
      <c r="M461" s="9"/>
      <c r="N461" s="9"/>
      <c r="O461" s="9"/>
    </row>
    <row r="462">
      <c r="A462" s="9"/>
      <c r="E462" s="9"/>
      <c r="I462" s="9"/>
      <c r="J462" s="121"/>
      <c r="M462" s="9"/>
      <c r="N462" s="9"/>
      <c r="O462" s="9"/>
    </row>
    <row r="463">
      <c r="A463" s="9"/>
      <c r="E463" s="9"/>
      <c r="I463" s="9"/>
      <c r="J463" s="121"/>
      <c r="M463" s="9"/>
      <c r="N463" s="9"/>
      <c r="O463" s="9"/>
    </row>
    <row r="464">
      <c r="A464" s="9"/>
      <c r="E464" s="9"/>
      <c r="I464" s="9"/>
      <c r="J464" s="121"/>
      <c r="M464" s="9"/>
      <c r="N464" s="9"/>
      <c r="O464" s="9"/>
    </row>
    <row r="465">
      <c r="A465" s="9"/>
      <c r="E465" s="9"/>
      <c r="I465" s="9"/>
      <c r="J465" s="121"/>
      <c r="M465" s="9"/>
      <c r="N465" s="9"/>
      <c r="O465" s="9"/>
    </row>
    <row r="466">
      <c r="A466" s="9"/>
      <c r="E466" s="9"/>
      <c r="I466" s="9"/>
      <c r="J466" s="121"/>
      <c r="M466" s="9"/>
      <c r="N466" s="9"/>
      <c r="O466" s="9"/>
    </row>
    <row r="467">
      <c r="A467" s="9"/>
      <c r="E467" s="9"/>
      <c r="I467" s="9"/>
      <c r="J467" s="121"/>
      <c r="M467" s="9"/>
      <c r="N467" s="9"/>
      <c r="O467" s="9"/>
    </row>
    <row r="468">
      <c r="A468" s="9"/>
      <c r="E468" s="9"/>
      <c r="I468" s="9"/>
      <c r="J468" s="121"/>
      <c r="M468" s="9"/>
      <c r="N468" s="9"/>
      <c r="O468" s="9"/>
    </row>
    <row r="469">
      <c r="A469" s="9"/>
      <c r="E469" s="9"/>
      <c r="I469" s="9"/>
      <c r="J469" s="121"/>
      <c r="M469" s="9"/>
      <c r="N469" s="9"/>
      <c r="O469" s="9"/>
    </row>
    <row r="470">
      <c r="A470" s="9"/>
      <c r="E470" s="9"/>
      <c r="I470" s="9"/>
      <c r="J470" s="121"/>
      <c r="M470" s="9"/>
      <c r="N470" s="9"/>
      <c r="O470" s="9"/>
    </row>
    <row r="471">
      <c r="A471" s="9"/>
      <c r="E471" s="9"/>
      <c r="I471" s="9"/>
      <c r="J471" s="121"/>
      <c r="M471" s="9"/>
      <c r="N471" s="9"/>
      <c r="O471" s="9"/>
    </row>
    <row r="472">
      <c r="A472" s="9"/>
      <c r="E472" s="9"/>
      <c r="I472" s="9"/>
      <c r="J472" s="121"/>
      <c r="M472" s="9"/>
      <c r="N472" s="9"/>
      <c r="O472" s="9"/>
    </row>
    <row r="473">
      <c r="A473" s="9"/>
      <c r="E473" s="9"/>
      <c r="I473" s="9"/>
      <c r="J473" s="121"/>
      <c r="M473" s="9"/>
      <c r="N473" s="9"/>
      <c r="O473" s="9"/>
    </row>
    <row r="474">
      <c r="A474" s="9"/>
      <c r="E474" s="9"/>
      <c r="I474" s="9"/>
      <c r="J474" s="121"/>
      <c r="M474" s="9"/>
      <c r="N474" s="9"/>
      <c r="O474" s="9"/>
    </row>
    <row r="475">
      <c r="A475" s="9"/>
      <c r="E475" s="9"/>
      <c r="I475" s="9"/>
      <c r="J475" s="121"/>
      <c r="M475" s="9"/>
      <c r="N475" s="9"/>
      <c r="O475" s="9"/>
    </row>
    <row r="476">
      <c r="A476" s="9"/>
      <c r="E476" s="9"/>
      <c r="I476" s="9"/>
      <c r="J476" s="121"/>
      <c r="M476" s="9"/>
      <c r="N476" s="9"/>
      <c r="O476" s="9"/>
    </row>
    <row r="477">
      <c r="A477" s="9"/>
      <c r="E477" s="9"/>
      <c r="I477" s="9"/>
      <c r="J477" s="121"/>
      <c r="M477" s="9"/>
      <c r="N477" s="9"/>
      <c r="O477" s="9"/>
    </row>
    <row r="478">
      <c r="A478" s="9"/>
      <c r="E478" s="9"/>
      <c r="I478" s="9"/>
      <c r="J478" s="121"/>
      <c r="M478" s="9"/>
      <c r="N478" s="9"/>
      <c r="O478" s="9"/>
    </row>
    <row r="479">
      <c r="A479" s="9"/>
      <c r="E479" s="9"/>
      <c r="I479" s="9"/>
      <c r="J479" s="121"/>
      <c r="M479" s="9"/>
      <c r="N479" s="9"/>
      <c r="O479" s="9"/>
    </row>
    <row r="480">
      <c r="A480" s="9"/>
      <c r="E480" s="9"/>
      <c r="I480" s="9"/>
      <c r="J480" s="121"/>
      <c r="M480" s="9"/>
      <c r="N480" s="9"/>
      <c r="O480" s="9"/>
    </row>
    <row r="481">
      <c r="A481" s="9"/>
      <c r="E481" s="9"/>
      <c r="I481" s="9"/>
      <c r="J481" s="121"/>
      <c r="M481" s="9"/>
      <c r="N481" s="9"/>
      <c r="O481" s="9"/>
    </row>
    <row r="482">
      <c r="A482" s="9"/>
      <c r="E482" s="9"/>
      <c r="I482" s="9"/>
      <c r="J482" s="121"/>
      <c r="M482" s="9"/>
      <c r="N482" s="9"/>
      <c r="O482" s="9"/>
    </row>
    <row r="483">
      <c r="A483" s="9"/>
      <c r="E483" s="9"/>
      <c r="I483" s="9"/>
      <c r="J483" s="121"/>
      <c r="M483" s="9"/>
      <c r="N483" s="9"/>
      <c r="O483" s="9"/>
    </row>
    <row r="484">
      <c r="A484" s="9"/>
      <c r="E484" s="9"/>
      <c r="I484" s="9"/>
      <c r="J484" s="121"/>
      <c r="M484" s="9"/>
      <c r="N484" s="9"/>
      <c r="O484" s="9"/>
    </row>
    <row r="485">
      <c r="A485" s="9"/>
      <c r="E485" s="9"/>
      <c r="I485" s="9"/>
      <c r="J485" s="121"/>
      <c r="M485" s="9"/>
      <c r="N485" s="9"/>
      <c r="O485" s="9"/>
    </row>
    <row r="486">
      <c r="A486" s="9"/>
      <c r="E486" s="9"/>
      <c r="I486" s="9"/>
      <c r="J486" s="121"/>
      <c r="M486" s="9"/>
      <c r="N486" s="9"/>
      <c r="O486" s="9"/>
    </row>
    <row r="487">
      <c r="A487" s="9"/>
      <c r="E487" s="9"/>
      <c r="I487" s="9"/>
      <c r="J487" s="121"/>
      <c r="M487" s="9"/>
      <c r="N487" s="9"/>
      <c r="O487" s="9"/>
    </row>
    <row r="488">
      <c r="A488" s="9"/>
      <c r="E488" s="9"/>
      <c r="I488" s="9"/>
      <c r="J488" s="121"/>
      <c r="M488" s="9"/>
      <c r="N488" s="9"/>
      <c r="O488" s="9"/>
    </row>
    <row r="489">
      <c r="A489" s="9"/>
      <c r="E489" s="9"/>
      <c r="I489" s="9"/>
      <c r="J489" s="121"/>
      <c r="M489" s="9"/>
      <c r="N489" s="9"/>
      <c r="O489" s="9"/>
    </row>
    <row r="490">
      <c r="A490" s="9"/>
      <c r="E490" s="9"/>
      <c r="I490" s="9"/>
      <c r="J490" s="121"/>
      <c r="M490" s="9"/>
      <c r="N490" s="9"/>
      <c r="O490" s="9"/>
    </row>
    <row r="491">
      <c r="A491" s="9"/>
      <c r="E491" s="9"/>
      <c r="I491" s="9"/>
      <c r="J491" s="121"/>
      <c r="M491" s="9"/>
      <c r="N491" s="9"/>
      <c r="O491" s="9"/>
    </row>
    <row r="492">
      <c r="A492" s="9"/>
      <c r="E492" s="9"/>
      <c r="I492" s="9"/>
      <c r="J492" s="121"/>
      <c r="M492" s="9"/>
      <c r="N492" s="9"/>
      <c r="O492" s="9"/>
    </row>
    <row r="493">
      <c r="A493" s="9"/>
      <c r="E493" s="9"/>
      <c r="I493" s="9"/>
      <c r="J493" s="121"/>
      <c r="M493" s="9"/>
      <c r="N493" s="9"/>
      <c r="O493" s="9"/>
    </row>
    <row r="494">
      <c r="A494" s="9"/>
      <c r="E494" s="9"/>
      <c r="I494" s="9"/>
      <c r="J494" s="121"/>
      <c r="M494" s="9"/>
      <c r="N494" s="9"/>
      <c r="O494" s="9"/>
    </row>
    <row r="495">
      <c r="A495" s="9"/>
      <c r="E495" s="9"/>
      <c r="I495" s="9"/>
      <c r="J495" s="121"/>
      <c r="M495" s="9"/>
      <c r="N495" s="9"/>
      <c r="O495" s="9"/>
    </row>
    <row r="496">
      <c r="A496" s="9"/>
      <c r="E496" s="9"/>
      <c r="I496" s="9"/>
      <c r="J496" s="121"/>
      <c r="M496" s="9"/>
      <c r="N496" s="9"/>
      <c r="O496" s="9"/>
    </row>
    <row r="497">
      <c r="A497" s="9"/>
      <c r="E497" s="9"/>
      <c r="I497" s="9"/>
      <c r="J497" s="121"/>
      <c r="M497" s="9"/>
      <c r="N497" s="9"/>
      <c r="O497" s="9"/>
    </row>
    <row r="498">
      <c r="A498" s="9"/>
      <c r="E498" s="9"/>
      <c r="I498" s="9"/>
      <c r="J498" s="121"/>
      <c r="M498" s="9"/>
      <c r="N498" s="9"/>
      <c r="O498" s="9"/>
    </row>
    <row r="499">
      <c r="A499" s="9"/>
      <c r="E499" s="9"/>
      <c r="I499" s="9"/>
      <c r="J499" s="121"/>
      <c r="M499" s="9"/>
      <c r="N499" s="9"/>
      <c r="O499" s="9"/>
    </row>
    <row r="500">
      <c r="A500" s="9"/>
      <c r="E500" s="9"/>
      <c r="I500" s="9"/>
      <c r="J500" s="121"/>
      <c r="M500" s="9"/>
      <c r="N500" s="9"/>
      <c r="O500" s="9"/>
    </row>
    <row r="501">
      <c r="A501" s="9"/>
      <c r="E501" s="9"/>
      <c r="I501" s="9"/>
      <c r="J501" s="121"/>
      <c r="M501" s="9"/>
      <c r="N501" s="9"/>
      <c r="O501" s="9"/>
    </row>
    <row r="502">
      <c r="A502" s="9"/>
      <c r="E502" s="9"/>
      <c r="I502" s="9"/>
      <c r="J502" s="121"/>
      <c r="M502" s="9"/>
      <c r="N502" s="9"/>
      <c r="O502" s="9"/>
    </row>
    <row r="503">
      <c r="A503" s="9"/>
      <c r="E503" s="9"/>
      <c r="I503" s="9"/>
      <c r="J503" s="121"/>
      <c r="M503" s="9"/>
      <c r="N503" s="9"/>
      <c r="O503" s="9"/>
    </row>
    <row r="504">
      <c r="A504" s="9"/>
      <c r="E504" s="9"/>
      <c r="I504" s="9"/>
      <c r="J504" s="121"/>
      <c r="M504" s="9"/>
      <c r="N504" s="9"/>
      <c r="O504" s="9"/>
    </row>
    <row r="505">
      <c r="A505" s="9"/>
      <c r="E505" s="9"/>
      <c r="I505" s="9"/>
      <c r="J505" s="121"/>
      <c r="M505" s="9"/>
      <c r="N505" s="9"/>
      <c r="O505" s="9"/>
    </row>
    <row r="506">
      <c r="A506" s="9"/>
      <c r="E506" s="9"/>
      <c r="I506" s="9"/>
      <c r="J506" s="121"/>
      <c r="M506" s="9"/>
      <c r="N506" s="9"/>
      <c r="O506" s="9"/>
    </row>
    <row r="507">
      <c r="A507" s="9"/>
      <c r="E507" s="9"/>
      <c r="I507" s="9"/>
      <c r="J507" s="121"/>
      <c r="M507" s="9"/>
      <c r="N507" s="9"/>
      <c r="O507" s="9"/>
    </row>
    <row r="508">
      <c r="A508" s="9"/>
      <c r="E508" s="9"/>
      <c r="I508" s="9"/>
      <c r="J508" s="121"/>
      <c r="M508" s="9"/>
      <c r="N508" s="9"/>
      <c r="O508" s="9"/>
    </row>
    <row r="509">
      <c r="A509" s="9"/>
      <c r="E509" s="9"/>
      <c r="I509" s="9"/>
      <c r="J509" s="121"/>
      <c r="M509" s="9"/>
      <c r="N509" s="9"/>
      <c r="O509" s="9"/>
    </row>
    <row r="510">
      <c r="A510" s="9"/>
      <c r="E510" s="9"/>
      <c r="I510" s="9"/>
      <c r="J510" s="121"/>
      <c r="M510" s="9"/>
      <c r="N510" s="9"/>
      <c r="O510" s="9"/>
    </row>
    <row r="511">
      <c r="A511" s="9"/>
      <c r="E511" s="9"/>
      <c r="I511" s="9"/>
      <c r="J511" s="121"/>
      <c r="M511" s="9"/>
      <c r="N511" s="9"/>
      <c r="O511" s="9"/>
    </row>
    <row r="512">
      <c r="A512" s="9"/>
      <c r="E512" s="9"/>
      <c r="I512" s="9"/>
      <c r="J512" s="121"/>
      <c r="M512" s="9"/>
      <c r="N512" s="9"/>
      <c r="O512" s="9"/>
    </row>
    <row r="513">
      <c r="A513" s="9"/>
      <c r="E513" s="9"/>
      <c r="I513" s="9"/>
      <c r="J513" s="121"/>
      <c r="M513" s="9"/>
      <c r="N513" s="9"/>
      <c r="O513" s="9"/>
    </row>
    <row r="514">
      <c r="A514" s="9"/>
      <c r="E514" s="9"/>
      <c r="I514" s="9"/>
      <c r="J514" s="121"/>
      <c r="M514" s="9"/>
      <c r="N514" s="9"/>
      <c r="O514" s="9"/>
    </row>
    <row r="515">
      <c r="A515" s="9"/>
      <c r="E515" s="9"/>
      <c r="I515" s="9"/>
      <c r="J515" s="121"/>
      <c r="M515" s="9"/>
      <c r="N515" s="9"/>
      <c r="O515" s="9"/>
    </row>
    <row r="516">
      <c r="A516" s="9"/>
      <c r="E516" s="9"/>
      <c r="I516" s="9"/>
      <c r="J516" s="121"/>
      <c r="M516" s="9"/>
      <c r="N516" s="9"/>
      <c r="O516" s="9"/>
    </row>
    <row r="517">
      <c r="A517" s="9"/>
      <c r="E517" s="9"/>
      <c r="I517" s="9"/>
      <c r="J517" s="121"/>
      <c r="M517" s="9"/>
      <c r="N517" s="9"/>
      <c r="O517" s="9"/>
    </row>
    <row r="518">
      <c r="A518" s="9"/>
      <c r="E518" s="9"/>
      <c r="I518" s="9"/>
      <c r="J518" s="121"/>
      <c r="M518" s="9"/>
      <c r="N518" s="9"/>
      <c r="O518" s="9"/>
    </row>
    <row r="519">
      <c r="A519" s="9"/>
      <c r="E519" s="9"/>
      <c r="I519" s="9"/>
      <c r="J519" s="121"/>
      <c r="M519" s="9"/>
      <c r="N519" s="9"/>
      <c r="O519" s="9"/>
    </row>
    <row r="520">
      <c r="A520" s="9"/>
      <c r="E520" s="9"/>
      <c r="I520" s="9"/>
      <c r="J520" s="121"/>
      <c r="M520" s="9"/>
      <c r="N520" s="9"/>
      <c r="O520" s="9"/>
    </row>
    <row r="521">
      <c r="A521" s="9"/>
      <c r="E521" s="9"/>
      <c r="I521" s="9"/>
      <c r="J521" s="121"/>
      <c r="M521" s="9"/>
      <c r="N521" s="9"/>
      <c r="O521" s="9"/>
    </row>
    <row r="522">
      <c r="A522" s="9"/>
      <c r="E522" s="9"/>
      <c r="I522" s="9"/>
      <c r="J522" s="121"/>
      <c r="M522" s="9"/>
      <c r="N522" s="9"/>
      <c r="O522" s="9"/>
    </row>
    <row r="523">
      <c r="A523" s="9"/>
      <c r="E523" s="9"/>
      <c r="I523" s="9"/>
      <c r="J523" s="121"/>
      <c r="M523" s="9"/>
      <c r="N523" s="9"/>
      <c r="O523" s="9"/>
    </row>
    <row r="524">
      <c r="A524" s="9"/>
      <c r="E524" s="9"/>
      <c r="I524" s="9"/>
      <c r="J524" s="121"/>
      <c r="M524" s="9"/>
      <c r="N524" s="9"/>
      <c r="O524" s="9"/>
    </row>
    <row r="525">
      <c r="A525" s="9"/>
      <c r="E525" s="9"/>
      <c r="I525" s="9"/>
      <c r="J525" s="121"/>
      <c r="M525" s="9"/>
      <c r="N525" s="9"/>
      <c r="O525" s="9"/>
    </row>
    <row r="526">
      <c r="A526" s="9"/>
      <c r="E526" s="9"/>
      <c r="I526" s="9"/>
      <c r="J526" s="121"/>
      <c r="M526" s="9"/>
      <c r="N526" s="9"/>
      <c r="O526" s="9"/>
    </row>
    <row r="527">
      <c r="A527" s="9"/>
      <c r="E527" s="9"/>
      <c r="I527" s="9"/>
      <c r="J527" s="121"/>
      <c r="M527" s="9"/>
      <c r="N527" s="9"/>
      <c r="O527" s="9"/>
    </row>
    <row r="528">
      <c r="A528" s="9"/>
      <c r="E528" s="9"/>
      <c r="I528" s="9"/>
      <c r="J528" s="121"/>
      <c r="M528" s="9"/>
      <c r="N528" s="9"/>
      <c r="O528" s="9"/>
    </row>
    <row r="529">
      <c r="A529" s="9"/>
      <c r="E529" s="9"/>
      <c r="I529" s="9"/>
      <c r="J529" s="121"/>
      <c r="M529" s="9"/>
      <c r="N529" s="9"/>
      <c r="O529" s="9"/>
    </row>
    <row r="530">
      <c r="A530" s="9"/>
      <c r="E530" s="9"/>
      <c r="I530" s="9"/>
      <c r="J530" s="121"/>
      <c r="M530" s="9"/>
      <c r="N530" s="9"/>
      <c r="O530" s="9"/>
    </row>
    <row r="531">
      <c r="A531" s="9"/>
      <c r="E531" s="9"/>
      <c r="I531" s="9"/>
      <c r="J531" s="121"/>
      <c r="M531" s="9"/>
      <c r="N531" s="9"/>
      <c r="O531" s="9"/>
    </row>
    <row r="532">
      <c r="A532" s="9"/>
      <c r="E532" s="9"/>
      <c r="I532" s="9"/>
      <c r="J532" s="121"/>
      <c r="M532" s="9"/>
      <c r="N532" s="9"/>
      <c r="O532" s="9"/>
    </row>
    <row r="533">
      <c r="A533" s="9"/>
      <c r="E533" s="9"/>
      <c r="I533" s="9"/>
      <c r="J533" s="121"/>
      <c r="M533" s="9"/>
      <c r="N533" s="9"/>
      <c r="O533" s="9"/>
    </row>
    <row r="534">
      <c r="A534" s="9"/>
      <c r="E534" s="9"/>
      <c r="I534" s="9"/>
      <c r="J534" s="121"/>
      <c r="M534" s="9"/>
      <c r="N534" s="9"/>
      <c r="O534" s="9"/>
    </row>
    <row r="535">
      <c r="A535" s="9"/>
      <c r="E535" s="9"/>
      <c r="I535" s="9"/>
      <c r="J535" s="121"/>
      <c r="M535" s="9"/>
      <c r="N535" s="9"/>
      <c r="O535" s="9"/>
    </row>
    <row r="536">
      <c r="A536" s="9"/>
      <c r="E536" s="9"/>
      <c r="I536" s="9"/>
      <c r="J536" s="121"/>
      <c r="M536" s="9"/>
      <c r="N536" s="9"/>
      <c r="O536" s="9"/>
    </row>
    <row r="537">
      <c r="A537" s="9"/>
      <c r="E537" s="9"/>
      <c r="I537" s="9"/>
      <c r="J537" s="121"/>
      <c r="M537" s="9"/>
      <c r="N537" s="9"/>
      <c r="O537" s="9"/>
    </row>
    <row r="538">
      <c r="A538" s="9"/>
      <c r="E538" s="9"/>
      <c r="I538" s="9"/>
      <c r="J538" s="121"/>
      <c r="M538" s="9"/>
      <c r="N538" s="9"/>
      <c r="O538" s="9"/>
    </row>
    <row r="539">
      <c r="A539" s="9"/>
      <c r="E539" s="9"/>
      <c r="I539" s="9"/>
      <c r="J539" s="121"/>
      <c r="M539" s="9"/>
      <c r="N539" s="9"/>
      <c r="O539" s="9"/>
    </row>
    <row r="540">
      <c r="A540" s="9"/>
      <c r="E540" s="9"/>
      <c r="I540" s="9"/>
      <c r="J540" s="121"/>
      <c r="M540" s="9"/>
      <c r="N540" s="9"/>
      <c r="O540" s="9"/>
    </row>
    <row r="541">
      <c r="A541" s="9"/>
      <c r="E541" s="9"/>
      <c r="I541" s="9"/>
      <c r="J541" s="121"/>
      <c r="M541" s="9"/>
      <c r="N541" s="9"/>
      <c r="O541" s="9"/>
    </row>
    <row r="542">
      <c r="A542" s="9"/>
      <c r="E542" s="9"/>
      <c r="I542" s="9"/>
      <c r="J542" s="121"/>
      <c r="M542" s="9"/>
      <c r="N542" s="9"/>
      <c r="O542" s="9"/>
    </row>
    <row r="543">
      <c r="A543" s="9"/>
      <c r="E543" s="9"/>
      <c r="I543" s="9"/>
      <c r="J543" s="121"/>
      <c r="M543" s="9"/>
      <c r="N543" s="9"/>
      <c r="O543" s="9"/>
    </row>
    <row r="544">
      <c r="A544" s="9"/>
      <c r="E544" s="9"/>
      <c r="I544" s="9"/>
      <c r="J544" s="121"/>
      <c r="M544" s="9"/>
      <c r="N544" s="9"/>
      <c r="O544" s="9"/>
    </row>
    <row r="545">
      <c r="A545" s="9"/>
      <c r="E545" s="9"/>
      <c r="I545" s="9"/>
      <c r="J545" s="121"/>
      <c r="M545" s="9"/>
      <c r="N545" s="9"/>
      <c r="O545" s="9"/>
    </row>
    <row r="546">
      <c r="A546" s="9"/>
      <c r="E546" s="9"/>
      <c r="I546" s="9"/>
      <c r="J546" s="121"/>
      <c r="M546" s="9"/>
      <c r="N546" s="9"/>
      <c r="O546" s="9"/>
    </row>
    <row r="547">
      <c r="A547" s="9"/>
      <c r="E547" s="9"/>
      <c r="I547" s="9"/>
      <c r="J547" s="121"/>
      <c r="M547" s="9"/>
      <c r="N547" s="9"/>
      <c r="O547" s="9"/>
    </row>
    <row r="548">
      <c r="A548" s="9"/>
      <c r="E548" s="9"/>
      <c r="I548" s="9"/>
      <c r="J548" s="121"/>
      <c r="M548" s="9"/>
      <c r="N548" s="9"/>
      <c r="O548" s="9"/>
    </row>
    <row r="549">
      <c r="A549" s="9"/>
      <c r="E549" s="9"/>
      <c r="I549" s="9"/>
      <c r="J549" s="121"/>
      <c r="M549" s="9"/>
      <c r="N549" s="9"/>
      <c r="O549" s="9"/>
    </row>
    <row r="550">
      <c r="A550" s="9"/>
      <c r="E550" s="9"/>
      <c r="I550" s="9"/>
      <c r="J550" s="121"/>
      <c r="M550" s="9"/>
      <c r="N550" s="9"/>
      <c r="O550" s="9"/>
    </row>
    <row r="551">
      <c r="A551" s="9"/>
      <c r="E551" s="9"/>
      <c r="I551" s="9"/>
      <c r="J551" s="121"/>
      <c r="M551" s="9"/>
      <c r="N551" s="9"/>
      <c r="O551" s="9"/>
    </row>
    <row r="552">
      <c r="A552" s="9"/>
      <c r="E552" s="9"/>
      <c r="I552" s="9"/>
      <c r="J552" s="121"/>
      <c r="M552" s="9"/>
      <c r="N552" s="9"/>
      <c r="O552" s="9"/>
    </row>
    <row r="553">
      <c r="A553" s="9"/>
      <c r="E553" s="9"/>
      <c r="I553" s="9"/>
      <c r="J553" s="121"/>
      <c r="M553" s="9"/>
      <c r="N553" s="9"/>
      <c r="O553" s="9"/>
    </row>
    <row r="554">
      <c r="A554" s="9"/>
      <c r="E554" s="9"/>
      <c r="I554" s="9"/>
      <c r="J554" s="121"/>
      <c r="M554" s="9"/>
      <c r="N554" s="9"/>
      <c r="O554" s="9"/>
    </row>
    <row r="555">
      <c r="A555" s="9"/>
      <c r="E555" s="9"/>
      <c r="I555" s="9"/>
      <c r="J555" s="121"/>
      <c r="M555" s="9"/>
      <c r="N555" s="9"/>
      <c r="O555" s="9"/>
    </row>
    <row r="556">
      <c r="A556" s="9"/>
      <c r="E556" s="9"/>
      <c r="I556" s="9"/>
      <c r="J556" s="121"/>
      <c r="M556" s="9"/>
      <c r="N556" s="9"/>
      <c r="O556" s="9"/>
    </row>
    <row r="557">
      <c r="A557" s="9"/>
      <c r="E557" s="9"/>
      <c r="I557" s="9"/>
      <c r="J557" s="121"/>
      <c r="M557" s="9"/>
      <c r="N557" s="9"/>
      <c r="O557" s="9"/>
    </row>
    <row r="558">
      <c r="A558" s="9"/>
      <c r="E558" s="9"/>
      <c r="I558" s="9"/>
      <c r="J558" s="121"/>
      <c r="M558" s="9"/>
      <c r="N558" s="9"/>
      <c r="O558" s="9"/>
    </row>
    <row r="559">
      <c r="A559" s="9"/>
      <c r="E559" s="9"/>
      <c r="I559" s="9"/>
      <c r="J559" s="121"/>
      <c r="M559" s="9"/>
      <c r="N559" s="9"/>
      <c r="O559" s="9"/>
    </row>
    <row r="560">
      <c r="A560" s="9"/>
      <c r="E560" s="9"/>
      <c r="I560" s="9"/>
      <c r="J560" s="121"/>
      <c r="M560" s="9"/>
      <c r="N560" s="9"/>
      <c r="O560" s="9"/>
    </row>
    <row r="561">
      <c r="A561" s="9"/>
      <c r="E561" s="9"/>
      <c r="I561" s="9"/>
      <c r="J561" s="121"/>
      <c r="M561" s="9"/>
      <c r="N561" s="9"/>
      <c r="O561" s="9"/>
    </row>
    <row r="562">
      <c r="A562" s="9"/>
      <c r="E562" s="9"/>
      <c r="I562" s="9"/>
      <c r="J562" s="121"/>
      <c r="M562" s="9"/>
      <c r="N562" s="9"/>
      <c r="O562" s="9"/>
    </row>
    <row r="563">
      <c r="A563" s="9"/>
      <c r="E563" s="9"/>
      <c r="I563" s="9"/>
      <c r="J563" s="121"/>
      <c r="M563" s="9"/>
      <c r="N563" s="9"/>
      <c r="O563" s="9"/>
    </row>
    <row r="564">
      <c r="A564" s="9"/>
      <c r="E564" s="9"/>
      <c r="I564" s="9"/>
      <c r="J564" s="121"/>
      <c r="M564" s="9"/>
      <c r="N564" s="9"/>
      <c r="O564" s="9"/>
    </row>
    <row r="565">
      <c r="A565" s="9"/>
      <c r="E565" s="9"/>
      <c r="I565" s="9"/>
      <c r="J565" s="121"/>
      <c r="M565" s="9"/>
      <c r="N565" s="9"/>
      <c r="O565" s="9"/>
    </row>
    <row r="566">
      <c r="A566" s="9"/>
      <c r="E566" s="9"/>
      <c r="I566" s="9"/>
      <c r="J566" s="121"/>
      <c r="M566" s="9"/>
      <c r="N566" s="9"/>
      <c r="O566" s="9"/>
    </row>
    <row r="567">
      <c r="A567" s="9"/>
      <c r="E567" s="9"/>
      <c r="I567" s="9"/>
      <c r="J567" s="121"/>
      <c r="M567" s="9"/>
      <c r="N567" s="9"/>
      <c r="O567" s="9"/>
    </row>
    <row r="568">
      <c r="A568" s="9"/>
      <c r="E568" s="9"/>
      <c r="I568" s="9"/>
      <c r="J568" s="121"/>
      <c r="M568" s="9"/>
      <c r="N568" s="9"/>
      <c r="O568" s="9"/>
    </row>
    <row r="569">
      <c r="A569" s="9"/>
      <c r="E569" s="9"/>
      <c r="I569" s="9"/>
      <c r="J569" s="121"/>
      <c r="M569" s="9"/>
      <c r="N569" s="9"/>
      <c r="O569" s="9"/>
    </row>
    <row r="570">
      <c r="A570" s="9"/>
      <c r="E570" s="9"/>
      <c r="I570" s="9"/>
      <c r="J570" s="121"/>
      <c r="M570" s="9"/>
      <c r="N570" s="9"/>
      <c r="O570" s="9"/>
    </row>
    <row r="571">
      <c r="A571" s="9"/>
      <c r="E571" s="9"/>
      <c r="I571" s="9"/>
      <c r="J571" s="121"/>
      <c r="M571" s="9"/>
      <c r="N571" s="9"/>
      <c r="O571" s="9"/>
    </row>
    <row r="572">
      <c r="A572" s="9"/>
      <c r="E572" s="9"/>
      <c r="I572" s="9"/>
      <c r="J572" s="121"/>
      <c r="M572" s="9"/>
      <c r="N572" s="9"/>
      <c r="O572" s="9"/>
    </row>
    <row r="573">
      <c r="A573" s="9"/>
      <c r="E573" s="9"/>
      <c r="I573" s="9"/>
      <c r="J573" s="121"/>
      <c r="M573" s="9"/>
      <c r="N573" s="9"/>
      <c r="O573" s="9"/>
    </row>
    <row r="574">
      <c r="A574" s="9"/>
      <c r="E574" s="9"/>
      <c r="I574" s="9"/>
      <c r="J574" s="121"/>
      <c r="M574" s="9"/>
      <c r="N574" s="9"/>
      <c r="O574" s="9"/>
    </row>
    <row r="575">
      <c r="A575" s="9"/>
      <c r="E575" s="9"/>
      <c r="I575" s="9"/>
      <c r="J575" s="121"/>
      <c r="M575" s="9"/>
      <c r="N575" s="9"/>
      <c r="O575" s="9"/>
    </row>
    <row r="576">
      <c r="A576" s="9"/>
      <c r="E576" s="9"/>
      <c r="I576" s="9"/>
      <c r="J576" s="121"/>
      <c r="M576" s="9"/>
      <c r="N576" s="9"/>
      <c r="O576" s="9"/>
    </row>
    <row r="577">
      <c r="A577" s="9"/>
      <c r="E577" s="9"/>
      <c r="I577" s="9"/>
      <c r="J577" s="121"/>
      <c r="M577" s="9"/>
      <c r="N577" s="9"/>
      <c r="O577" s="9"/>
    </row>
    <row r="578">
      <c r="A578" s="9"/>
      <c r="E578" s="9"/>
      <c r="I578" s="9"/>
      <c r="J578" s="121"/>
      <c r="M578" s="9"/>
      <c r="N578" s="9"/>
      <c r="O578" s="9"/>
    </row>
    <row r="579">
      <c r="A579" s="9"/>
      <c r="E579" s="9"/>
      <c r="I579" s="9"/>
      <c r="J579" s="121"/>
      <c r="M579" s="9"/>
      <c r="N579" s="9"/>
      <c r="O579" s="9"/>
    </row>
    <row r="580">
      <c r="A580" s="9"/>
      <c r="E580" s="9"/>
      <c r="I580" s="9"/>
      <c r="J580" s="121"/>
      <c r="M580" s="9"/>
      <c r="N580" s="9"/>
      <c r="O580" s="9"/>
    </row>
    <row r="581">
      <c r="A581" s="9"/>
      <c r="E581" s="9"/>
      <c r="I581" s="9"/>
      <c r="J581" s="121"/>
      <c r="M581" s="9"/>
      <c r="N581" s="9"/>
      <c r="O581" s="9"/>
    </row>
    <row r="582">
      <c r="A582" s="9"/>
      <c r="E582" s="9"/>
      <c r="I582" s="9"/>
      <c r="J582" s="121"/>
      <c r="M582" s="9"/>
      <c r="N582" s="9"/>
      <c r="O582" s="9"/>
    </row>
    <row r="583">
      <c r="A583" s="9"/>
      <c r="E583" s="9"/>
      <c r="I583" s="9"/>
      <c r="J583" s="121"/>
      <c r="M583" s="9"/>
      <c r="N583" s="9"/>
      <c r="O583" s="9"/>
    </row>
    <row r="584">
      <c r="A584" s="9"/>
      <c r="E584" s="9"/>
      <c r="I584" s="9"/>
      <c r="J584" s="121"/>
      <c r="M584" s="9"/>
      <c r="N584" s="9"/>
      <c r="O584" s="9"/>
    </row>
    <row r="585">
      <c r="A585" s="9"/>
      <c r="E585" s="9"/>
      <c r="I585" s="9"/>
      <c r="J585" s="121"/>
      <c r="M585" s="9"/>
      <c r="N585" s="9"/>
      <c r="O585" s="9"/>
    </row>
    <row r="586">
      <c r="A586" s="9"/>
      <c r="E586" s="9"/>
      <c r="I586" s="9"/>
      <c r="J586" s="121"/>
      <c r="M586" s="9"/>
      <c r="N586" s="9"/>
      <c r="O586" s="9"/>
    </row>
    <row r="587">
      <c r="A587" s="9"/>
      <c r="E587" s="9"/>
      <c r="I587" s="9"/>
      <c r="J587" s="121"/>
      <c r="M587" s="9"/>
      <c r="N587" s="9"/>
      <c r="O587" s="9"/>
    </row>
    <row r="588">
      <c r="A588" s="9"/>
      <c r="E588" s="9"/>
      <c r="I588" s="9"/>
      <c r="J588" s="121"/>
      <c r="M588" s="9"/>
      <c r="N588" s="9"/>
      <c r="O588" s="9"/>
    </row>
    <row r="589">
      <c r="A589" s="9"/>
      <c r="E589" s="9"/>
      <c r="I589" s="9"/>
      <c r="J589" s="121"/>
      <c r="M589" s="9"/>
      <c r="N589" s="9"/>
      <c r="O589" s="9"/>
    </row>
    <row r="590">
      <c r="A590" s="9"/>
      <c r="E590" s="9"/>
      <c r="I590" s="9"/>
      <c r="J590" s="121"/>
      <c r="M590" s="9"/>
      <c r="N590" s="9"/>
      <c r="O590" s="9"/>
    </row>
    <row r="591">
      <c r="A591" s="9"/>
      <c r="E591" s="9"/>
      <c r="I591" s="9"/>
      <c r="J591" s="121"/>
      <c r="M591" s="9"/>
      <c r="N591" s="9"/>
      <c r="O591" s="9"/>
    </row>
    <row r="592">
      <c r="A592" s="9"/>
      <c r="E592" s="9"/>
      <c r="I592" s="9"/>
      <c r="J592" s="121"/>
      <c r="M592" s="9"/>
      <c r="N592" s="9"/>
      <c r="O592" s="9"/>
    </row>
    <row r="593">
      <c r="A593" s="9"/>
      <c r="E593" s="9"/>
      <c r="I593" s="9"/>
      <c r="J593" s="121"/>
      <c r="M593" s="9"/>
      <c r="N593" s="9"/>
      <c r="O593" s="9"/>
    </row>
    <row r="594">
      <c r="A594" s="9"/>
      <c r="E594" s="9"/>
      <c r="I594" s="9"/>
      <c r="J594" s="121"/>
      <c r="M594" s="9"/>
      <c r="N594" s="9"/>
      <c r="O594" s="9"/>
    </row>
    <row r="595">
      <c r="A595" s="9"/>
      <c r="E595" s="9"/>
      <c r="I595" s="9"/>
      <c r="J595" s="121"/>
      <c r="M595" s="9"/>
      <c r="N595" s="9"/>
      <c r="O595" s="9"/>
    </row>
    <row r="596">
      <c r="A596" s="9"/>
      <c r="E596" s="9"/>
      <c r="I596" s="9"/>
      <c r="J596" s="121"/>
      <c r="M596" s="9"/>
      <c r="N596" s="9"/>
      <c r="O596" s="9"/>
    </row>
    <row r="597">
      <c r="A597" s="9"/>
      <c r="E597" s="9"/>
      <c r="I597" s="9"/>
      <c r="J597" s="121"/>
      <c r="M597" s="9"/>
      <c r="N597" s="9"/>
      <c r="O597" s="9"/>
    </row>
    <row r="598">
      <c r="A598" s="9"/>
      <c r="E598" s="9"/>
      <c r="I598" s="9"/>
      <c r="J598" s="121"/>
      <c r="M598" s="9"/>
      <c r="N598" s="9"/>
      <c r="O598" s="9"/>
    </row>
    <row r="599">
      <c r="A599" s="9"/>
      <c r="E599" s="9"/>
      <c r="I599" s="9"/>
      <c r="J599" s="121"/>
      <c r="M599" s="9"/>
      <c r="N599" s="9"/>
      <c r="O599" s="9"/>
    </row>
    <row r="600">
      <c r="A600" s="9"/>
      <c r="E600" s="9"/>
      <c r="I600" s="9"/>
      <c r="J600" s="121"/>
      <c r="M600" s="9"/>
      <c r="N600" s="9"/>
      <c r="O600" s="9"/>
    </row>
    <row r="601">
      <c r="A601" s="9"/>
      <c r="E601" s="9"/>
      <c r="I601" s="9"/>
      <c r="J601" s="121"/>
      <c r="M601" s="9"/>
      <c r="N601" s="9"/>
      <c r="O601" s="9"/>
    </row>
    <row r="602">
      <c r="A602" s="9"/>
      <c r="E602" s="9"/>
      <c r="I602" s="9"/>
      <c r="J602" s="121"/>
      <c r="M602" s="9"/>
      <c r="N602" s="9"/>
      <c r="O602" s="9"/>
    </row>
    <row r="603">
      <c r="A603" s="9"/>
      <c r="E603" s="9"/>
      <c r="I603" s="9"/>
      <c r="J603" s="121"/>
      <c r="M603" s="9"/>
      <c r="N603" s="9"/>
      <c r="O603" s="9"/>
    </row>
    <row r="604">
      <c r="A604" s="9"/>
      <c r="E604" s="9"/>
      <c r="I604" s="9"/>
      <c r="J604" s="121"/>
      <c r="M604" s="9"/>
      <c r="N604" s="9"/>
      <c r="O604" s="9"/>
    </row>
    <row r="605">
      <c r="A605" s="9"/>
      <c r="E605" s="9"/>
      <c r="I605" s="9"/>
      <c r="J605" s="121"/>
      <c r="M605" s="9"/>
      <c r="N605" s="9"/>
      <c r="O605" s="9"/>
    </row>
    <row r="606">
      <c r="A606" s="9"/>
      <c r="E606" s="9"/>
      <c r="I606" s="9"/>
      <c r="J606" s="121"/>
      <c r="M606" s="9"/>
      <c r="N606" s="9"/>
      <c r="O606" s="9"/>
    </row>
    <row r="607">
      <c r="A607" s="9"/>
      <c r="E607" s="9"/>
      <c r="I607" s="9"/>
      <c r="J607" s="121"/>
      <c r="M607" s="9"/>
      <c r="N607" s="9"/>
      <c r="O607" s="9"/>
    </row>
    <row r="608">
      <c r="A608" s="9"/>
      <c r="E608" s="9"/>
      <c r="I608" s="9"/>
      <c r="J608" s="121"/>
      <c r="M608" s="9"/>
      <c r="N608" s="9"/>
      <c r="O608" s="9"/>
    </row>
    <row r="609">
      <c r="A609" s="9"/>
      <c r="E609" s="9"/>
      <c r="I609" s="9"/>
      <c r="J609" s="121"/>
      <c r="M609" s="9"/>
      <c r="N609" s="9"/>
      <c r="O609" s="9"/>
    </row>
    <row r="610">
      <c r="A610" s="9"/>
      <c r="E610" s="9"/>
      <c r="I610" s="9"/>
      <c r="J610" s="121"/>
      <c r="M610" s="9"/>
      <c r="N610" s="9"/>
      <c r="O610" s="9"/>
    </row>
    <row r="611">
      <c r="A611" s="9"/>
      <c r="E611" s="9"/>
      <c r="I611" s="9"/>
      <c r="J611" s="121"/>
      <c r="M611" s="9"/>
      <c r="N611" s="9"/>
      <c r="O611" s="9"/>
    </row>
    <row r="612">
      <c r="A612" s="9"/>
      <c r="E612" s="9"/>
      <c r="I612" s="9"/>
      <c r="J612" s="121"/>
      <c r="M612" s="9"/>
      <c r="N612" s="9"/>
      <c r="O612" s="9"/>
    </row>
    <row r="613">
      <c r="A613" s="9"/>
      <c r="E613" s="9"/>
      <c r="I613" s="9"/>
      <c r="J613" s="121"/>
      <c r="M613" s="9"/>
      <c r="N613" s="9"/>
      <c r="O613" s="9"/>
    </row>
    <row r="614">
      <c r="A614" s="9"/>
      <c r="E614" s="9"/>
      <c r="I614" s="9"/>
      <c r="J614" s="121"/>
      <c r="M614" s="9"/>
      <c r="N614" s="9"/>
      <c r="O614" s="9"/>
    </row>
    <row r="615">
      <c r="A615" s="9"/>
      <c r="E615" s="9"/>
      <c r="I615" s="9"/>
      <c r="J615" s="121"/>
      <c r="M615" s="9"/>
      <c r="N615" s="9"/>
      <c r="O615" s="9"/>
    </row>
    <row r="616">
      <c r="A616" s="9"/>
      <c r="E616" s="9"/>
      <c r="I616" s="9"/>
      <c r="J616" s="121"/>
      <c r="M616" s="9"/>
      <c r="N616" s="9"/>
      <c r="O616" s="9"/>
    </row>
    <row r="617">
      <c r="A617" s="9"/>
      <c r="E617" s="9"/>
      <c r="I617" s="9"/>
      <c r="J617" s="121"/>
      <c r="M617" s="9"/>
      <c r="N617" s="9"/>
      <c r="O617" s="9"/>
    </row>
    <row r="618">
      <c r="A618" s="9"/>
      <c r="E618" s="9"/>
      <c r="I618" s="9"/>
      <c r="J618" s="121"/>
      <c r="M618" s="9"/>
      <c r="N618" s="9"/>
      <c r="O618" s="9"/>
    </row>
    <row r="619">
      <c r="A619" s="9"/>
      <c r="E619" s="9"/>
      <c r="I619" s="9"/>
      <c r="J619" s="121"/>
      <c r="M619" s="9"/>
      <c r="N619" s="9"/>
      <c r="O619" s="9"/>
    </row>
    <row r="620">
      <c r="A620" s="9"/>
      <c r="E620" s="9"/>
      <c r="I620" s="9"/>
      <c r="J620" s="121"/>
      <c r="M620" s="9"/>
      <c r="N620" s="9"/>
      <c r="O620" s="9"/>
    </row>
    <row r="621">
      <c r="A621" s="9"/>
      <c r="E621" s="9"/>
      <c r="I621" s="9"/>
      <c r="J621" s="121"/>
      <c r="M621" s="9"/>
      <c r="N621" s="9"/>
      <c r="O621" s="9"/>
    </row>
    <row r="622">
      <c r="A622" s="9"/>
      <c r="E622" s="9"/>
      <c r="I622" s="9"/>
      <c r="J622" s="121"/>
      <c r="M622" s="9"/>
      <c r="N622" s="9"/>
      <c r="O622" s="9"/>
    </row>
    <row r="623">
      <c r="A623" s="9"/>
      <c r="E623" s="9"/>
      <c r="I623" s="9"/>
      <c r="J623" s="121"/>
      <c r="M623" s="9"/>
      <c r="N623" s="9"/>
      <c r="O623" s="9"/>
    </row>
    <row r="624">
      <c r="A624" s="9"/>
      <c r="E624" s="9"/>
      <c r="I624" s="9"/>
      <c r="J624" s="121"/>
      <c r="M624" s="9"/>
      <c r="N624" s="9"/>
      <c r="O624" s="9"/>
    </row>
    <row r="625">
      <c r="A625" s="9"/>
      <c r="E625" s="9"/>
      <c r="I625" s="9"/>
      <c r="J625" s="121"/>
      <c r="M625" s="9"/>
      <c r="N625" s="9"/>
      <c r="O625" s="9"/>
    </row>
    <row r="626">
      <c r="A626" s="9"/>
      <c r="E626" s="9"/>
      <c r="I626" s="9"/>
      <c r="J626" s="121"/>
      <c r="M626" s="9"/>
      <c r="N626" s="9"/>
      <c r="O626" s="9"/>
    </row>
    <row r="627">
      <c r="A627" s="9"/>
      <c r="E627" s="9"/>
      <c r="I627" s="9"/>
      <c r="J627" s="121"/>
      <c r="M627" s="9"/>
      <c r="N627" s="9"/>
      <c r="O627" s="9"/>
    </row>
    <row r="628">
      <c r="A628" s="9"/>
      <c r="E628" s="9"/>
      <c r="I628" s="9"/>
      <c r="J628" s="121"/>
      <c r="M628" s="9"/>
      <c r="N628" s="9"/>
      <c r="O628" s="9"/>
    </row>
    <row r="629">
      <c r="A629" s="9"/>
      <c r="E629" s="9"/>
      <c r="I629" s="9"/>
      <c r="J629" s="121"/>
      <c r="M629" s="9"/>
      <c r="N629" s="9"/>
      <c r="O629" s="9"/>
    </row>
    <row r="630">
      <c r="A630" s="9"/>
      <c r="E630" s="9"/>
      <c r="I630" s="9"/>
      <c r="J630" s="121"/>
      <c r="M630" s="9"/>
      <c r="N630" s="9"/>
      <c r="O630" s="9"/>
    </row>
    <row r="631">
      <c r="A631" s="9"/>
      <c r="E631" s="9"/>
      <c r="I631" s="9"/>
      <c r="J631" s="121"/>
      <c r="M631" s="9"/>
      <c r="N631" s="9"/>
      <c r="O631" s="9"/>
    </row>
    <row r="632">
      <c r="A632" s="9"/>
      <c r="E632" s="9"/>
      <c r="I632" s="9"/>
      <c r="J632" s="121"/>
      <c r="M632" s="9"/>
      <c r="N632" s="9"/>
      <c r="O632" s="9"/>
    </row>
    <row r="633">
      <c r="A633" s="9"/>
      <c r="E633" s="9"/>
      <c r="I633" s="9"/>
      <c r="J633" s="121"/>
      <c r="M633" s="9"/>
      <c r="N633" s="9"/>
      <c r="O633" s="9"/>
    </row>
    <row r="634">
      <c r="A634" s="9"/>
      <c r="E634" s="9"/>
      <c r="I634" s="9"/>
      <c r="J634" s="121"/>
      <c r="M634" s="9"/>
      <c r="N634" s="9"/>
      <c r="O634" s="9"/>
    </row>
    <row r="635">
      <c r="A635" s="9"/>
      <c r="E635" s="9"/>
      <c r="I635" s="9"/>
      <c r="J635" s="121"/>
      <c r="M635" s="9"/>
      <c r="N635" s="9"/>
      <c r="O635" s="9"/>
    </row>
    <row r="636">
      <c r="A636" s="9"/>
      <c r="E636" s="9"/>
      <c r="I636" s="9"/>
      <c r="J636" s="121"/>
      <c r="M636" s="9"/>
      <c r="N636" s="9"/>
      <c r="O636" s="9"/>
    </row>
    <row r="637">
      <c r="A637" s="9"/>
      <c r="E637" s="9"/>
      <c r="I637" s="9"/>
      <c r="J637" s="121"/>
      <c r="M637" s="9"/>
      <c r="N637" s="9"/>
      <c r="O637" s="9"/>
    </row>
    <row r="638">
      <c r="A638" s="9"/>
      <c r="E638" s="9"/>
      <c r="I638" s="9"/>
      <c r="J638" s="121"/>
      <c r="M638" s="9"/>
      <c r="N638" s="9"/>
      <c r="O638" s="9"/>
    </row>
    <row r="639">
      <c r="A639" s="9"/>
      <c r="E639" s="9"/>
      <c r="I639" s="9"/>
      <c r="J639" s="121"/>
      <c r="M639" s="9"/>
      <c r="N639" s="9"/>
      <c r="O639" s="9"/>
    </row>
    <row r="640">
      <c r="A640" s="9"/>
      <c r="E640" s="9"/>
      <c r="I640" s="9"/>
      <c r="J640" s="121"/>
      <c r="M640" s="9"/>
      <c r="N640" s="9"/>
      <c r="O640" s="9"/>
    </row>
    <row r="641">
      <c r="A641" s="9"/>
      <c r="E641" s="9"/>
      <c r="I641" s="9"/>
      <c r="J641" s="121"/>
      <c r="M641" s="9"/>
      <c r="N641" s="9"/>
      <c r="O641" s="9"/>
    </row>
    <row r="642">
      <c r="A642" s="9"/>
      <c r="E642" s="9"/>
      <c r="I642" s="9"/>
      <c r="J642" s="121"/>
      <c r="M642" s="9"/>
      <c r="N642" s="9"/>
      <c r="O642" s="9"/>
    </row>
    <row r="643">
      <c r="A643" s="9"/>
      <c r="E643" s="9"/>
      <c r="I643" s="9"/>
      <c r="J643" s="121"/>
      <c r="M643" s="9"/>
      <c r="N643" s="9"/>
      <c r="O643" s="9"/>
    </row>
    <row r="644">
      <c r="A644" s="9"/>
      <c r="E644" s="9"/>
      <c r="I644" s="9"/>
      <c r="J644" s="121"/>
      <c r="M644" s="9"/>
      <c r="N644" s="9"/>
      <c r="O644" s="9"/>
    </row>
    <row r="645">
      <c r="A645" s="9"/>
      <c r="E645" s="9"/>
      <c r="I645" s="9"/>
      <c r="J645" s="121"/>
      <c r="M645" s="9"/>
      <c r="N645" s="9"/>
      <c r="O645" s="9"/>
    </row>
    <row r="646">
      <c r="A646" s="9"/>
      <c r="E646" s="9"/>
      <c r="I646" s="9"/>
      <c r="J646" s="121"/>
      <c r="M646" s="9"/>
      <c r="N646" s="9"/>
      <c r="O646" s="9"/>
    </row>
    <row r="647">
      <c r="A647" s="9"/>
      <c r="E647" s="9"/>
      <c r="I647" s="9"/>
      <c r="J647" s="121"/>
      <c r="M647" s="9"/>
      <c r="N647" s="9"/>
      <c r="O647" s="9"/>
    </row>
    <row r="648">
      <c r="A648" s="9"/>
      <c r="E648" s="9"/>
      <c r="I648" s="9"/>
      <c r="J648" s="121"/>
      <c r="M648" s="9"/>
      <c r="N648" s="9"/>
      <c r="O648" s="9"/>
    </row>
    <row r="649">
      <c r="A649" s="9"/>
      <c r="E649" s="9"/>
      <c r="I649" s="9"/>
      <c r="J649" s="121"/>
      <c r="M649" s="9"/>
      <c r="N649" s="9"/>
      <c r="O649" s="9"/>
    </row>
    <row r="650">
      <c r="A650" s="9"/>
      <c r="E650" s="9"/>
      <c r="I650" s="9"/>
      <c r="J650" s="121"/>
      <c r="M650" s="9"/>
      <c r="N650" s="9"/>
      <c r="O650" s="9"/>
    </row>
    <row r="651">
      <c r="A651" s="9"/>
      <c r="E651" s="9"/>
      <c r="I651" s="9"/>
      <c r="J651" s="121"/>
      <c r="M651" s="9"/>
      <c r="N651" s="9"/>
      <c r="O651" s="9"/>
    </row>
    <row r="652">
      <c r="A652" s="9"/>
      <c r="E652" s="9"/>
      <c r="I652" s="9"/>
      <c r="J652" s="121"/>
      <c r="M652" s="9"/>
      <c r="N652" s="9"/>
      <c r="O652" s="9"/>
    </row>
    <row r="653">
      <c r="A653" s="9"/>
      <c r="E653" s="9"/>
      <c r="I653" s="9"/>
      <c r="J653" s="121"/>
      <c r="M653" s="9"/>
      <c r="N653" s="9"/>
      <c r="O653" s="9"/>
    </row>
    <row r="654">
      <c r="A654" s="9"/>
      <c r="E654" s="9"/>
      <c r="I654" s="9"/>
      <c r="J654" s="121"/>
      <c r="M654" s="9"/>
      <c r="N654" s="9"/>
      <c r="O654" s="9"/>
    </row>
    <row r="655">
      <c r="A655" s="9"/>
      <c r="E655" s="9"/>
      <c r="I655" s="9"/>
      <c r="J655" s="121"/>
      <c r="M655" s="9"/>
      <c r="N655" s="9"/>
      <c r="O655" s="9"/>
    </row>
    <row r="656">
      <c r="A656" s="9"/>
      <c r="E656" s="9"/>
      <c r="I656" s="9"/>
      <c r="J656" s="121"/>
      <c r="M656" s="9"/>
      <c r="N656" s="9"/>
      <c r="O656" s="9"/>
    </row>
    <row r="657">
      <c r="A657" s="9"/>
      <c r="E657" s="9"/>
      <c r="I657" s="9"/>
      <c r="J657" s="121"/>
      <c r="M657" s="9"/>
      <c r="N657" s="9"/>
      <c r="O657" s="9"/>
    </row>
    <row r="658">
      <c r="A658" s="9"/>
      <c r="E658" s="9"/>
      <c r="I658" s="9"/>
      <c r="J658" s="121"/>
      <c r="M658" s="9"/>
      <c r="N658" s="9"/>
      <c r="O658" s="9"/>
    </row>
    <row r="659">
      <c r="A659" s="9"/>
      <c r="E659" s="9"/>
      <c r="I659" s="9"/>
      <c r="J659" s="121"/>
      <c r="M659" s="9"/>
      <c r="N659" s="9"/>
      <c r="O659" s="9"/>
    </row>
    <row r="660">
      <c r="A660" s="9"/>
      <c r="E660" s="9"/>
      <c r="I660" s="9"/>
      <c r="J660" s="121"/>
      <c r="M660" s="9"/>
      <c r="N660" s="9"/>
      <c r="O660" s="9"/>
    </row>
    <row r="661">
      <c r="A661" s="9"/>
      <c r="E661" s="9"/>
      <c r="I661" s="9"/>
      <c r="J661" s="121"/>
      <c r="M661" s="9"/>
      <c r="N661" s="9"/>
      <c r="O661" s="9"/>
    </row>
    <row r="662">
      <c r="A662" s="9"/>
      <c r="E662" s="9"/>
      <c r="I662" s="9"/>
      <c r="J662" s="121"/>
      <c r="M662" s="9"/>
      <c r="N662" s="9"/>
      <c r="O662" s="9"/>
    </row>
    <row r="663">
      <c r="A663" s="9"/>
      <c r="E663" s="9"/>
      <c r="I663" s="9"/>
      <c r="J663" s="121"/>
      <c r="M663" s="9"/>
      <c r="N663" s="9"/>
      <c r="O663" s="9"/>
    </row>
    <row r="664">
      <c r="A664" s="9"/>
      <c r="E664" s="9"/>
      <c r="I664" s="9"/>
      <c r="J664" s="121"/>
      <c r="M664" s="9"/>
      <c r="N664" s="9"/>
      <c r="O664" s="9"/>
    </row>
    <row r="665">
      <c r="A665" s="9"/>
      <c r="E665" s="9"/>
      <c r="I665" s="9"/>
      <c r="J665" s="121"/>
      <c r="M665" s="9"/>
      <c r="N665" s="9"/>
      <c r="O665" s="9"/>
    </row>
    <row r="666">
      <c r="A666" s="9"/>
      <c r="E666" s="9"/>
      <c r="I666" s="9"/>
      <c r="J666" s="121"/>
      <c r="M666" s="9"/>
      <c r="N666" s="9"/>
      <c r="O666" s="9"/>
    </row>
    <row r="667">
      <c r="A667" s="9"/>
      <c r="E667" s="9"/>
      <c r="I667" s="9"/>
      <c r="J667" s="121"/>
      <c r="M667" s="9"/>
      <c r="N667" s="9"/>
      <c r="O667" s="9"/>
    </row>
    <row r="668">
      <c r="A668" s="9"/>
      <c r="E668" s="9"/>
      <c r="I668" s="9"/>
      <c r="J668" s="121"/>
      <c r="M668" s="9"/>
      <c r="N668" s="9"/>
      <c r="O668" s="9"/>
    </row>
    <row r="669">
      <c r="A669" s="9"/>
      <c r="E669" s="9"/>
      <c r="I669" s="9"/>
      <c r="J669" s="121"/>
      <c r="M669" s="9"/>
      <c r="N669" s="9"/>
      <c r="O669" s="9"/>
    </row>
    <row r="670">
      <c r="A670" s="9"/>
      <c r="E670" s="9"/>
      <c r="I670" s="9"/>
      <c r="J670" s="121"/>
      <c r="M670" s="9"/>
      <c r="N670" s="9"/>
      <c r="O670" s="9"/>
    </row>
    <row r="671">
      <c r="A671" s="9"/>
      <c r="E671" s="9"/>
      <c r="I671" s="9"/>
      <c r="J671" s="121"/>
      <c r="M671" s="9"/>
      <c r="N671" s="9"/>
      <c r="O671" s="9"/>
    </row>
    <row r="672">
      <c r="A672" s="9"/>
      <c r="E672" s="9"/>
      <c r="I672" s="9"/>
      <c r="J672" s="121"/>
      <c r="M672" s="9"/>
      <c r="N672" s="9"/>
      <c r="O672" s="9"/>
    </row>
    <row r="673">
      <c r="A673" s="9"/>
      <c r="E673" s="9"/>
      <c r="I673" s="9"/>
      <c r="J673" s="121"/>
      <c r="M673" s="9"/>
      <c r="N673" s="9"/>
      <c r="O673" s="9"/>
    </row>
    <row r="674">
      <c r="A674" s="9"/>
      <c r="E674" s="9"/>
      <c r="I674" s="9"/>
      <c r="J674" s="121"/>
      <c r="M674" s="9"/>
      <c r="N674" s="9"/>
      <c r="O674" s="9"/>
    </row>
    <row r="675">
      <c r="A675" s="9"/>
      <c r="E675" s="9"/>
      <c r="I675" s="9"/>
      <c r="J675" s="121"/>
      <c r="M675" s="9"/>
      <c r="N675" s="9"/>
      <c r="O675" s="9"/>
    </row>
    <row r="676">
      <c r="A676" s="9"/>
      <c r="E676" s="9"/>
      <c r="I676" s="9"/>
      <c r="J676" s="121"/>
      <c r="M676" s="9"/>
      <c r="N676" s="9"/>
      <c r="O676" s="9"/>
    </row>
    <row r="677">
      <c r="A677" s="9"/>
      <c r="E677" s="9"/>
      <c r="I677" s="9"/>
      <c r="J677" s="121"/>
      <c r="M677" s="9"/>
      <c r="N677" s="9"/>
      <c r="O677" s="9"/>
    </row>
    <row r="678">
      <c r="A678" s="9"/>
      <c r="E678" s="9"/>
      <c r="I678" s="9"/>
      <c r="J678" s="121"/>
      <c r="M678" s="9"/>
      <c r="N678" s="9"/>
      <c r="O678" s="9"/>
    </row>
    <row r="679">
      <c r="A679" s="9"/>
      <c r="E679" s="9"/>
      <c r="I679" s="9"/>
      <c r="J679" s="121"/>
      <c r="M679" s="9"/>
      <c r="N679" s="9"/>
      <c r="O679" s="9"/>
    </row>
    <row r="680">
      <c r="A680" s="9"/>
      <c r="E680" s="9"/>
      <c r="I680" s="9"/>
      <c r="J680" s="121"/>
      <c r="M680" s="9"/>
      <c r="N680" s="9"/>
      <c r="O680" s="9"/>
    </row>
    <row r="681">
      <c r="A681" s="9"/>
      <c r="E681" s="9"/>
      <c r="I681" s="9"/>
      <c r="J681" s="121"/>
      <c r="M681" s="9"/>
      <c r="N681" s="9"/>
      <c r="O681" s="9"/>
    </row>
    <row r="682">
      <c r="A682" s="9"/>
      <c r="E682" s="9"/>
      <c r="I682" s="9"/>
      <c r="J682" s="121"/>
      <c r="M682" s="9"/>
      <c r="N682" s="9"/>
      <c r="O682" s="9"/>
    </row>
    <row r="683">
      <c r="A683" s="9"/>
      <c r="E683" s="9"/>
      <c r="I683" s="9"/>
      <c r="J683" s="121"/>
      <c r="M683" s="9"/>
      <c r="N683" s="9"/>
      <c r="O683" s="9"/>
    </row>
    <row r="684">
      <c r="A684" s="9"/>
      <c r="E684" s="9"/>
      <c r="I684" s="9"/>
      <c r="J684" s="121"/>
      <c r="M684" s="9"/>
      <c r="N684" s="9"/>
      <c r="O684" s="9"/>
    </row>
    <row r="685">
      <c r="A685" s="9"/>
      <c r="E685" s="9"/>
      <c r="I685" s="9"/>
      <c r="J685" s="121"/>
      <c r="M685" s="9"/>
      <c r="N685" s="9"/>
      <c r="O685" s="9"/>
    </row>
    <row r="686">
      <c r="A686" s="9"/>
      <c r="E686" s="9"/>
      <c r="I686" s="9"/>
      <c r="J686" s="121"/>
      <c r="M686" s="9"/>
      <c r="N686" s="9"/>
      <c r="O686" s="9"/>
    </row>
    <row r="687">
      <c r="A687" s="9"/>
      <c r="E687" s="9"/>
      <c r="I687" s="9"/>
      <c r="J687" s="121"/>
      <c r="M687" s="9"/>
      <c r="N687" s="9"/>
      <c r="O687" s="9"/>
    </row>
    <row r="688">
      <c r="A688" s="9"/>
      <c r="E688" s="9"/>
      <c r="I688" s="9"/>
      <c r="J688" s="121"/>
      <c r="M688" s="9"/>
      <c r="N688" s="9"/>
      <c r="O688" s="9"/>
    </row>
    <row r="689">
      <c r="A689" s="9"/>
      <c r="E689" s="9"/>
      <c r="I689" s="9"/>
      <c r="J689" s="121"/>
      <c r="M689" s="9"/>
      <c r="N689" s="9"/>
      <c r="O689" s="9"/>
    </row>
    <row r="690">
      <c r="A690" s="9"/>
      <c r="E690" s="9"/>
      <c r="I690" s="9"/>
      <c r="J690" s="121"/>
      <c r="M690" s="9"/>
      <c r="N690" s="9"/>
      <c r="O690" s="9"/>
    </row>
    <row r="691">
      <c r="A691" s="9"/>
      <c r="E691" s="9"/>
      <c r="I691" s="9"/>
      <c r="J691" s="121"/>
      <c r="M691" s="9"/>
      <c r="N691" s="9"/>
      <c r="O691" s="9"/>
    </row>
    <row r="692">
      <c r="A692" s="9"/>
      <c r="E692" s="9"/>
      <c r="I692" s="9"/>
      <c r="J692" s="121"/>
      <c r="M692" s="9"/>
      <c r="N692" s="9"/>
      <c r="O692" s="9"/>
    </row>
    <row r="693">
      <c r="A693" s="9"/>
      <c r="E693" s="9"/>
      <c r="I693" s="9"/>
      <c r="J693" s="121"/>
      <c r="M693" s="9"/>
      <c r="N693" s="9"/>
      <c r="O693" s="9"/>
    </row>
    <row r="694">
      <c r="A694" s="9"/>
      <c r="E694" s="9"/>
      <c r="I694" s="9"/>
      <c r="J694" s="121"/>
      <c r="M694" s="9"/>
      <c r="N694" s="9"/>
      <c r="O694" s="9"/>
    </row>
    <row r="695">
      <c r="A695" s="9"/>
      <c r="E695" s="9"/>
      <c r="I695" s="9"/>
      <c r="J695" s="121"/>
      <c r="M695" s="9"/>
      <c r="N695" s="9"/>
      <c r="O695" s="9"/>
    </row>
    <row r="696">
      <c r="A696" s="9"/>
      <c r="E696" s="9"/>
      <c r="I696" s="9"/>
      <c r="J696" s="121"/>
      <c r="M696" s="9"/>
      <c r="N696" s="9"/>
      <c r="O696" s="9"/>
    </row>
    <row r="697">
      <c r="A697" s="9"/>
      <c r="E697" s="9"/>
      <c r="I697" s="9"/>
      <c r="J697" s="121"/>
      <c r="M697" s="9"/>
      <c r="N697" s="9"/>
      <c r="O697" s="9"/>
    </row>
    <row r="698">
      <c r="A698" s="9"/>
      <c r="E698" s="9"/>
      <c r="I698" s="9"/>
      <c r="J698" s="121"/>
      <c r="M698" s="9"/>
      <c r="N698" s="9"/>
      <c r="O698" s="9"/>
    </row>
    <row r="699">
      <c r="A699" s="9"/>
      <c r="E699" s="9"/>
      <c r="I699" s="9"/>
      <c r="J699" s="121"/>
      <c r="M699" s="9"/>
      <c r="N699" s="9"/>
      <c r="O699" s="9"/>
    </row>
    <row r="700">
      <c r="A700" s="9"/>
      <c r="E700" s="9"/>
      <c r="I700" s="9"/>
      <c r="J700" s="121"/>
      <c r="M700" s="9"/>
      <c r="N700" s="9"/>
      <c r="O700" s="9"/>
    </row>
    <row r="701">
      <c r="A701" s="9"/>
      <c r="E701" s="9"/>
      <c r="I701" s="9"/>
      <c r="J701" s="121"/>
      <c r="M701" s="9"/>
      <c r="N701" s="9"/>
      <c r="O701" s="9"/>
    </row>
    <row r="702">
      <c r="A702" s="9"/>
      <c r="E702" s="9"/>
      <c r="I702" s="9"/>
      <c r="J702" s="121"/>
      <c r="M702" s="9"/>
      <c r="N702" s="9"/>
      <c r="O702" s="9"/>
    </row>
    <row r="703">
      <c r="A703" s="9"/>
      <c r="E703" s="9"/>
      <c r="I703" s="9"/>
      <c r="J703" s="121"/>
      <c r="M703" s="9"/>
      <c r="N703" s="9"/>
      <c r="O703" s="9"/>
    </row>
    <row r="704">
      <c r="A704" s="9"/>
      <c r="E704" s="9"/>
      <c r="I704" s="9"/>
      <c r="J704" s="121"/>
      <c r="M704" s="9"/>
      <c r="N704" s="9"/>
      <c r="O704" s="9"/>
    </row>
    <row r="705">
      <c r="A705" s="9"/>
      <c r="E705" s="9"/>
      <c r="I705" s="9"/>
      <c r="J705" s="121"/>
      <c r="M705" s="9"/>
      <c r="N705" s="9"/>
      <c r="O705" s="9"/>
    </row>
    <row r="706">
      <c r="A706" s="9"/>
      <c r="E706" s="9"/>
      <c r="I706" s="9"/>
      <c r="J706" s="121"/>
      <c r="M706" s="9"/>
      <c r="N706" s="9"/>
      <c r="O706" s="9"/>
    </row>
    <row r="707">
      <c r="A707" s="9"/>
      <c r="E707" s="9"/>
      <c r="I707" s="9"/>
      <c r="J707" s="121"/>
      <c r="M707" s="9"/>
      <c r="N707" s="9"/>
      <c r="O707" s="9"/>
    </row>
    <row r="708">
      <c r="A708" s="9"/>
      <c r="E708" s="9"/>
      <c r="I708" s="9"/>
      <c r="J708" s="121"/>
      <c r="M708" s="9"/>
      <c r="N708" s="9"/>
      <c r="O708" s="9"/>
    </row>
    <row r="709">
      <c r="A709" s="9"/>
      <c r="E709" s="9"/>
      <c r="I709" s="9"/>
      <c r="J709" s="121"/>
      <c r="M709" s="9"/>
      <c r="N709" s="9"/>
      <c r="O709" s="9"/>
    </row>
    <row r="710">
      <c r="A710" s="9"/>
      <c r="E710" s="9"/>
      <c r="I710" s="9"/>
      <c r="J710" s="121"/>
      <c r="M710" s="9"/>
      <c r="N710" s="9"/>
      <c r="O710" s="9"/>
    </row>
    <row r="711">
      <c r="A711" s="9"/>
      <c r="E711" s="9"/>
      <c r="I711" s="9"/>
      <c r="J711" s="121"/>
      <c r="M711" s="9"/>
      <c r="N711" s="9"/>
      <c r="O711" s="9"/>
    </row>
    <row r="712">
      <c r="A712" s="9"/>
      <c r="E712" s="9"/>
      <c r="I712" s="9"/>
      <c r="J712" s="121"/>
      <c r="M712" s="9"/>
      <c r="N712" s="9"/>
      <c r="O712" s="9"/>
    </row>
    <row r="713">
      <c r="A713" s="9"/>
      <c r="E713" s="9"/>
      <c r="I713" s="9"/>
      <c r="J713" s="121"/>
      <c r="M713" s="9"/>
      <c r="N713" s="9"/>
      <c r="O713" s="9"/>
    </row>
    <row r="714">
      <c r="A714" s="9"/>
      <c r="E714" s="9"/>
      <c r="I714" s="9"/>
      <c r="J714" s="121"/>
      <c r="M714" s="9"/>
      <c r="N714" s="9"/>
      <c r="O714" s="9"/>
    </row>
    <row r="715">
      <c r="A715" s="9"/>
      <c r="E715" s="9"/>
      <c r="I715" s="9"/>
      <c r="J715" s="121"/>
      <c r="M715" s="9"/>
      <c r="N715" s="9"/>
      <c r="O715" s="9"/>
    </row>
    <row r="716">
      <c r="A716" s="9"/>
      <c r="E716" s="9"/>
      <c r="I716" s="9"/>
      <c r="J716" s="121"/>
      <c r="M716" s="9"/>
      <c r="N716" s="9"/>
      <c r="O716" s="9"/>
    </row>
    <row r="717">
      <c r="A717" s="9"/>
      <c r="E717" s="9"/>
      <c r="I717" s="9"/>
      <c r="J717" s="121"/>
      <c r="M717" s="9"/>
      <c r="N717" s="9"/>
      <c r="O717" s="9"/>
    </row>
    <row r="718">
      <c r="A718" s="9"/>
      <c r="E718" s="9"/>
      <c r="I718" s="9"/>
      <c r="J718" s="121"/>
      <c r="M718" s="9"/>
      <c r="N718" s="9"/>
      <c r="O718" s="9"/>
    </row>
    <row r="719">
      <c r="A719" s="9"/>
      <c r="E719" s="9"/>
      <c r="I719" s="9"/>
      <c r="J719" s="121"/>
      <c r="M719" s="9"/>
      <c r="N719" s="9"/>
      <c r="O719" s="9"/>
    </row>
    <row r="720">
      <c r="A720" s="9"/>
      <c r="E720" s="9"/>
      <c r="I720" s="9"/>
      <c r="J720" s="121"/>
      <c r="M720" s="9"/>
      <c r="N720" s="9"/>
      <c r="O720" s="9"/>
    </row>
    <row r="721">
      <c r="A721" s="9"/>
      <c r="E721" s="9"/>
      <c r="I721" s="9"/>
      <c r="J721" s="121"/>
      <c r="M721" s="9"/>
      <c r="N721" s="9"/>
      <c r="O721" s="9"/>
    </row>
    <row r="722">
      <c r="A722" s="9"/>
      <c r="E722" s="9"/>
      <c r="I722" s="9"/>
      <c r="J722" s="121"/>
      <c r="M722" s="9"/>
      <c r="N722" s="9"/>
      <c r="O722" s="9"/>
    </row>
    <row r="723">
      <c r="A723" s="9"/>
      <c r="E723" s="9"/>
      <c r="I723" s="9"/>
      <c r="J723" s="121"/>
      <c r="M723" s="9"/>
      <c r="N723" s="9"/>
      <c r="O723" s="9"/>
    </row>
    <row r="724">
      <c r="A724" s="9"/>
      <c r="E724" s="9"/>
      <c r="I724" s="9"/>
      <c r="J724" s="121"/>
      <c r="M724" s="9"/>
      <c r="N724" s="9"/>
      <c r="O724" s="9"/>
    </row>
    <row r="725">
      <c r="A725" s="9"/>
      <c r="E725" s="9"/>
      <c r="I725" s="9"/>
      <c r="J725" s="121"/>
      <c r="M725" s="9"/>
      <c r="N725" s="9"/>
      <c r="O725" s="9"/>
    </row>
    <row r="726">
      <c r="A726" s="9"/>
      <c r="E726" s="9"/>
      <c r="I726" s="9"/>
      <c r="J726" s="121"/>
      <c r="M726" s="9"/>
      <c r="N726" s="9"/>
      <c r="O726" s="9"/>
    </row>
    <row r="727">
      <c r="A727" s="9"/>
      <c r="E727" s="9"/>
      <c r="I727" s="9"/>
      <c r="J727" s="121"/>
      <c r="M727" s="9"/>
      <c r="N727" s="9"/>
      <c r="O727" s="9"/>
    </row>
    <row r="728">
      <c r="A728" s="9"/>
      <c r="E728" s="9"/>
      <c r="I728" s="9"/>
      <c r="J728" s="121"/>
      <c r="M728" s="9"/>
      <c r="N728" s="9"/>
      <c r="O728" s="9"/>
    </row>
    <row r="729">
      <c r="A729" s="9"/>
      <c r="E729" s="9"/>
      <c r="I729" s="9"/>
      <c r="J729" s="121"/>
      <c r="M729" s="9"/>
      <c r="N729" s="9"/>
      <c r="O729" s="9"/>
    </row>
    <row r="730">
      <c r="A730" s="9"/>
      <c r="E730" s="9"/>
      <c r="I730" s="9"/>
      <c r="J730" s="121"/>
      <c r="M730" s="9"/>
      <c r="N730" s="9"/>
      <c r="O730" s="9"/>
    </row>
    <row r="731">
      <c r="A731" s="9"/>
      <c r="E731" s="9"/>
      <c r="I731" s="9"/>
      <c r="J731" s="121"/>
      <c r="M731" s="9"/>
      <c r="N731" s="9"/>
      <c r="O731" s="9"/>
    </row>
    <row r="732">
      <c r="A732" s="9"/>
      <c r="E732" s="9"/>
      <c r="I732" s="9"/>
      <c r="J732" s="121"/>
      <c r="M732" s="9"/>
      <c r="N732" s="9"/>
      <c r="O732" s="9"/>
    </row>
    <row r="733">
      <c r="A733" s="9"/>
      <c r="E733" s="9"/>
      <c r="I733" s="9"/>
      <c r="J733" s="121"/>
      <c r="M733" s="9"/>
      <c r="N733" s="9"/>
      <c r="O733" s="9"/>
    </row>
    <row r="734">
      <c r="A734" s="9"/>
      <c r="E734" s="9"/>
      <c r="I734" s="9"/>
      <c r="J734" s="121"/>
      <c r="M734" s="9"/>
      <c r="N734" s="9"/>
      <c r="O734" s="9"/>
    </row>
    <row r="735">
      <c r="A735" s="9"/>
      <c r="E735" s="9"/>
      <c r="I735" s="9"/>
      <c r="J735" s="121"/>
      <c r="M735" s="9"/>
      <c r="N735" s="9"/>
      <c r="O735" s="9"/>
    </row>
    <row r="736">
      <c r="A736" s="9"/>
      <c r="E736" s="9"/>
      <c r="I736" s="9"/>
      <c r="J736" s="121"/>
      <c r="M736" s="9"/>
      <c r="N736" s="9"/>
      <c r="O736" s="9"/>
    </row>
    <row r="737">
      <c r="A737" s="9"/>
      <c r="E737" s="9"/>
      <c r="I737" s="9"/>
      <c r="J737" s="121"/>
      <c r="M737" s="9"/>
      <c r="N737" s="9"/>
      <c r="O737" s="9"/>
    </row>
    <row r="738">
      <c r="A738" s="9"/>
      <c r="E738" s="9"/>
      <c r="I738" s="9"/>
      <c r="J738" s="121"/>
      <c r="M738" s="9"/>
      <c r="N738" s="9"/>
      <c r="O738" s="9"/>
    </row>
    <row r="739">
      <c r="A739" s="9"/>
      <c r="E739" s="9"/>
      <c r="I739" s="9"/>
      <c r="J739" s="121"/>
      <c r="M739" s="9"/>
      <c r="N739" s="9"/>
      <c r="O739" s="9"/>
    </row>
    <row r="740">
      <c r="A740" s="9"/>
      <c r="E740" s="9"/>
      <c r="I740" s="9"/>
      <c r="J740" s="121"/>
      <c r="M740" s="9"/>
      <c r="N740" s="9"/>
      <c r="O740" s="9"/>
    </row>
    <row r="741">
      <c r="A741" s="9"/>
      <c r="E741" s="9"/>
      <c r="I741" s="9"/>
      <c r="J741" s="121"/>
      <c r="M741" s="9"/>
      <c r="N741" s="9"/>
      <c r="O741" s="9"/>
    </row>
    <row r="742">
      <c r="A742" s="9"/>
      <c r="E742" s="9"/>
      <c r="I742" s="9"/>
      <c r="J742" s="121"/>
      <c r="M742" s="9"/>
      <c r="N742" s="9"/>
      <c r="O742" s="9"/>
    </row>
    <row r="743">
      <c r="A743" s="9"/>
      <c r="E743" s="9"/>
      <c r="I743" s="9"/>
      <c r="J743" s="121"/>
      <c r="M743" s="9"/>
      <c r="N743" s="9"/>
      <c r="O743" s="9"/>
    </row>
    <row r="744">
      <c r="A744" s="9"/>
      <c r="E744" s="9"/>
      <c r="I744" s="9"/>
      <c r="J744" s="121"/>
      <c r="M744" s="9"/>
      <c r="N744" s="9"/>
      <c r="O744" s="9"/>
    </row>
    <row r="745">
      <c r="A745" s="9"/>
      <c r="E745" s="9"/>
      <c r="I745" s="9"/>
      <c r="J745" s="121"/>
      <c r="M745" s="9"/>
      <c r="N745" s="9"/>
      <c r="O745" s="9"/>
    </row>
    <row r="746">
      <c r="A746" s="9"/>
      <c r="E746" s="9"/>
      <c r="I746" s="9"/>
      <c r="J746" s="121"/>
      <c r="M746" s="9"/>
      <c r="N746" s="9"/>
      <c r="O746" s="9"/>
    </row>
    <row r="747">
      <c r="A747" s="9"/>
      <c r="E747" s="9"/>
      <c r="I747" s="9"/>
      <c r="J747" s="121"/>
      <c r="M747" s="9"/>
      <c r="N747" s="9"/>
      <c r="O747" s="9"/>
    </row>
    <row r="748">
      <c r="A748" s="9"/>
      <c r="E748" s="9"/>
      <c r="I748" s="9"/>
      <c r="J748" s="121"/>
      <c r="M748" s="9"/>
      <c r="N748" s="9"/>
      <c r="O748" s="9"/>
    </row>
    <row r="749">
      <c r="A749" s="9"/>
      <c r="E749" s="9"/>
      <c r="I749" s="9"/>
      <c r="J749" s="121"/>
      <c r="M749" s="9"/>
      <c r="N749" s="9"/>
      <c r="O749" s="9"/>
    </row>
    <row r="750">
      <c r="A750" s="9"/>
      <c r="E750" s="9"/>
      <c r="I750" s="9"/>
      <c r="J750" s="121"/>
      <c r="M750" s="9"/>
      <c r="N750" s="9"/>
      <c r="O750" s="9"/>
    </row>
    <row r="751">
      <c r="A751" s="9"/>
      <c r="E751" s="9"/>
      <c r="I751" s="9"/>
      <c r="J751" s="121"/>
      <c r="M751" s="9"/>
      <c r="N751" s="9"/>
      <c r="O751" s="9"/>
    </row>
    <row r="752">
      <c r="A752" s="9"/>
      <c r="E752" s="9"/>
      <c r="I752" s="9"/>
      <c r="J752" s="121"/>
      <c r="M752" s="9"/>
      <c r="N752" s="9"/>
      <c r="O752" s="9"/>
    </row>
    <row r="753">
      <c r="A753" s="9"/>
      <c r="E753" s="9"/>
      <c r="I753" s="9"/>
      <c r="J753" s="121"/>
      <c r="M753" s="9"/>
      <c r="N753" s="9"/>
      <c r="O753" s="9"/>
    </row>
    <row r="754">
      <c r="A754" s="9"/>
      <c r="E754" s="9"/>
      <c r="I754" s="9"/>
      <c r="J754" s="121"/>
      <c r="M754" s="9"/>
      <c r="N754" s="9"/>
      <c r="O754" s="9"/>
    </row>
    <row r="755">
      <c r="A755" s="9"/>
      <c r="E755" s="9"/>
      <c r="I755" s="9"/>
      <c r="J755" s="121"/>
      <c r="M755" s="9"/>
      <c r="N755" s="9"/>
      <c r="O755" s="9"/>
    </row>
    <row r="756">
      <c r="A756" s="9"/>
      <c r="E756" s="9"/>
      <c r="I756" s="9"/>
      <c r="J756" s="121"/>
      <c r="M756" s="9"/>
      <c r="N756" s="9"/>
      <c r="O756" s="9"/>
    </row>
    <row r="757">
      <c r="A757" s="9"/>
      <c r="E757" s="9"/>
      <c r="I757" s="9"/>
      <c r="J757" s="121"/>
      <c r="M757" s="9"/>
      <c r="N757" s="9"/>
      <c r="O757" s="9"/>
    </row>
    <row r="758">
      <c r="A758" s="9"/>
      <c r="E758" s="9"/>
      <c r="I758" s="9"/>
      <c r="J758" s="121"/>
      <c r="M758" s="9"/>
      <c r="N758" s="9"/>
      <c r="O758" s="9"/>
    </row>
    <row r="759">
      <c r="A759" s="9"/>
      <c r="E759" s="9"/>
      <c r="I759" s="9"/>
      <c r="J759" s="121"/>
      <c r="M759" s="9"/>
      <c r="N759" s="9"/>
      <c r="O759" s="9"/>
    </row>
    <row r="760">
      <c r="A760" s="9"/>
      <c r="E760" s="9"/>
      <c r="I760" s="9"/>
      <c r="J760" s="121"/>
      <c r="M760" s="9"/>
      <c r="N760" s="9"/>
      <c r="O760" s="9"/>
    </row>
    <row r="761">
      <c r="A761" s="9"/>
      <c r="E761" s="9"/>
      <c r="I761" s="9"/>
      <c r="J761" s="121"/>
      <c r="M761" s="9"/>
      <c r="N761" s="9"/>
      <c r="O761" s="9"/>
    </row>
    <row r="762">
      <c r="A762" s="9"/>
      <c r="E762" s="9"/>
      <c r="I762" s="9"/>
      <c r="J762" s="121"/>
      <c r="M762" s="9"/>
      <c r="N762" s="9"/>
      <c r="O762" s="9"/>
    </row>
    <row r="763">
      <c r="A763" s="9"/>
      <c r="E763" s="9"/>
      <c r="I763" s="9"/>
      <c r="J763" s="121"/>
      <c r="M763" s="9"/>
      <c r="N763" s="9"/>
      <c r="O763" s="9"/>
    </row>
    <row r="764">
      <c r="A764" s="9"/>
      <c r="E764" s="9"/>
      <c r="I764" s="9"/>
      <c r="J764" s="121"/>
      <c r="M764" s="9"/>
      <c r="N764" s="9"/>
      <c r="O764" s="9"/>
    </row>
    <row r="765">
      <c r="A765" s="9"/>
      <c r="E765" s="9"/>
      <c r="I765" s="9"/>
      <c r="J765" s="121"/>
      <c r="M765" s="9"/>
      <c r="N765" s="9"/>
      <c r="O765" s="9"/>
    </row>
    <row r="766">
      <c r="A766" s="9"/>
      <c r="E766" s="9"/>
      <c r="I766" s="9"/>
      <c r="J766" s="121"/>
      <c r="M766" s="9"/>
      <c r="N766" s="9"/>
      <c r="O766" s="9"/>
    </row>
    <row r="767">
      <c r="A767" s="9"/>
      <c r="E767" s="9"/>
      <c r="I767" s="9"/>
      <c r="J767" s="121"/>
      <c r="M767" s="9"/>
      <c r="N767" s="9"/>
      <c r="O767" s="9"/>
    </row>
    <row r="768">
      <c r="A768" s="9"/>
      <c r="E768" s="9"/>
      <c r="I768" s="9"/>
      <c r="J768" s="121"/>
      <c r="M768" s="9"/>
      <c r="N768" s="9"/>
      <c r="O768" s="9"/>
    </row>
    <row r="769">
      <c r="A769" s="9"/>
      <c r="E769" s="9"/>
      <c r="I769" s="9"/>
      <c r="J769" s="121"/>
      <c r="M769" s="9"/>
      <c r="N769" s="9"/>
      <c r="O769" s="9"/>
    </row>
    <row r="770">
      <c r="A770" s="9"/>
      <c r="E770" s="9"/>
      <c r="I770" s="9"/>
      <c r="J770" s="121"/>
      <c r="M770" s="9"/>
      <c r="N770" s="9"/>
      <c r="O770" s="9"/>
    </row>
    <row r="771">
      <c r="A771" s="9"/>
      <c r="E771" s="9"/>
      <c r="I771" s="9"/>
      <c r="J771" s="121"/>
      <c r="M771" s="9"/>
      <c r="N771" s="9"/>
      <c r="O771" s="9"/>
    </row>
    <row r="772">
      <c r="A772" s="9"/>
      <c r="E772" s="9"/>
      <c r="I772" s="9"/>
      <c r="J772" s="121"/>
      <c r="M772" s="9"/>
      <c r="N772" s="9"/>
      <c r="O772" s="9"/>
    </row>
    <row r="773">
      <c r="A773" s="9"/>
      <c r="E773" s="9"/>
      <c r="I773" s="9"/>
      <c r="J773" s="121"/>
      <c r="M773" s="9"/>
      <c r="N773" s="9"/>
      <c r="O773" s="9"/>
    </row>
    <row r="774">
      <c r="A774" s="9"/>
      <c r="E774" s="9"/>
      <c r="I774" s="9"/>
      <c r="J774" s="121"/>
      <c r="M774" s="9"/>
      <c r="N774" s="9"/>
      <c r="O774" s="9"/>
    </row>
    <row r="775">
      <c r="A775" s="9"/>
      <c r="E775" s="9"/>
      <c r="I775" s="9"/>
      <c r="J775" s="121"/>
      <c r="M775" s="9"/>
      <c r="N775" s="9"/>
      <c r="O775" s="9"/>
    </row>
    <row r="776">
      <c r="A776" s="9"/>
      <c r="E776" s="9"/>
      <c r="I776" s="9"/>
      <c r="J776" s="121"/>
      <c r="M776" s="9"/>
      <c r="N776" s="9"/>
      <c r="O776" s="9"/>
    </row>
    <row r="777">
      <c r="A777" s="9"/>
      <c r="E777" s="9"/>
      <c r="I777" s="9"/>
      <c r="J777" s="121"/>
      <c r="M777" s="9"/>
      <c r="N777" s="9"/>
      <c r="O777" s="9"/>
    </row>
    <row r="778">
      <c r="A778" s="9"/>
      <c r="E778" s="9"/>
      <c r="I778" s="9"/>
      <c r="J778" s="121"/>
      <c r="M778" s="9"/>
      <c r="N778" s="9"/>
      <c r="O778" s="9"/>
    </row>
    <row r="779">
      <c r="A779" s="9"/>
      <c r="E779" s="9"/>
      <c r="I779" s="9"/>
      <c r="J779" s="121"/>
      <c r="M779" s="9"/>
      <c r="N779" s="9"/>
      <c r="O779" s="9"/>
    </row>
    <row r="780">
      <c r="A780" s="9"/>
      <c r="E780" s="9"/>
      <c r="I780" s="9"/>
      <c r="J780" s="121"/>
      <c r="M780" s="9"/>
      <c r="N780" s="9"/>
      <c r="O780" s="9"/>
    </row>
    <row r="781">
      <c r="A781" s="9"/>
      <c r="E781" s="9"/>
      <c r="I781" s="9"/>
      <c r="J781" s="121"/>
      <c r="M781" s="9"/>
      <c r="N781" s="9"/>
      <c r="O781" s="9"/>
    </row>
    <row r="782">
      <c r="A782" s="9"/>
      <c r="E782" s="9"/>
      <c r="I782" s="9"/>
      <c r="J782" s="121"/>
      <c r="M782" s="9"/>
      <c r="N782" s="9"/>
      <c r="O782" s="9"/>
    </row>
    <row r="783">
      <c r="A783" s="9"/>
      <c r="E783" s="9"/>
      <c r="I783" s="9"/>
      <c r="J783" s="121"/>
      <c r="M783" s="9"/>
      <c r="N783" s="9"/>
      <c r="O783" s="9"/>
    </row>
    <row r="784">
      <c r="A784" s="9"/>
      <c r="E784" s="9"/>
      <c r="I784" s="9"/>
      <c r="J784" s="121"/>
      <c r="M784" s="9"/>
      <c r="N784" s="9"/>
      <c r="O784" s="9"/>
    </row>
    <row r="785">
      <c r="A785" s="9"/>
      <c r="E785" s="9"/>
      <c r="I785" s="9"/>
      <c r="J785" s="121"/>
      <c r="M785" s="9"/>
      <c r="N785" s="9"/>
      <c r="O785" s="9"/>
    </row>
    <row r="786">
      <c r="A786" s="9"/>
      <c r="E786" s="9"/>
      <c r="I786" s="9"/>
      <c r="J786" s="121"/>
      <c r="M786" s="9"/>
      <c r="N786" s="9"/>
      <c r="O786" s="9"/>
    </row>
    <row r="787">
      <c r="A787" s="9"/>
      <c r="E787" s="9"/>
      <c r="I787" s="9"/>
      <c r="J787" s="121"/>
      <c r="M787" s="9"/>
      <c r="N787" s="9"/>
      <c r="O787" s="9"/>
    </row>
    <row r="788">
      <c r="A788" s="9"/>
      <c r="E788" s="9"/>
      <c r="I788" s="9"/>
      <c r="J788" s="121"/>
      <c r="M788" s="9"/>
      <c r="N788" s="9"/>
      <c r="O788" s="9"/>
    </row>
    <row r="789">
      <c r="A789" s="9"/>
      <c r="E789" s="9"/>
      <c r="I789" s="9"/>
      <c r="J789" s="121"/>
      <c r="M789" s="9"/>
      <c r="N789" s="9"/>
      <c r="O789" s="9"/>
    </row>
    <row r="790">
      <c r="A790" s="9"/>
      <c r="E790" s="9"/>
      <c r="I790" s="9"/>
      <c r="J790" s="121"/>
      <c r="M790" s="9"/>
      <c r="N790" s="9"/>
      <c r="O790" s="9"/>
    </row>
    <row r="791">
      <c r="A791" s="9"/>
      <c r="E791" s="9"/>
      <c r="I791" s="9"/>
      <c r="J791" s="121"/>
      <c r="M791" s="9"/>
      <c r="N791" s="9"/>
      <c r="O791" s="9"/>
    </row>
    <row r="792">
      <c r="A792" s="9"/>
      <c r="E792" s="9"/>
      <c r="I792" s="9"/>
      <c r="J792" s="121"/>
      <c r="M792" s="9"/>
      <c r="N792" s="9"/>
      <c r="O792" s="9"/>
    </row>
    <row r="793">
      <c r="A793" s="9"/>
      <c r="E793" s="9"/>
      <c r="I793" s="9"/>
      <c r="J793" s="121"/>
      <c r="M793" s="9"/>
      <c r="N793" s="9"/>
      <c r="O793" s="9"/>
    </row>
    <row r="794">
      <c r="A794" s="9"/>
      <c r="E794" s="9"/>
      <c r="I794" s="9"/>
      <c r="J794" s="121"/>
      <c r="M794" s="9"/>
      <c r="N794" s="9"/>
      <c r="O794" s="9"/>
    </row>
    <row r="795">
      <c r="A795" s="9"/>
      <c r="E795" s="9"/>
      <c r="I795" s="9"/>
      <c r="J795" s="121"/>
      <c r="M795" s="9"/>
      <c r="N795" s="9"/>
      <c r="O795" s="9"/>
    </row>
    <row r="796">
      <c r="A796" s="9"/>
      <c r="E796" s="9"/>
      <c r="I796" s="9"/>
      <c r="J796" s="121"/>
      <c r="M796" s="9"/>
      <c r="N796" s="9"/>
      <c r="O796" s="9"/>
    </row>
    <row r="797">
      <c r="A797" s="9"/>
      <c r="E797" s="9"/>
      <c r="I797" s="9"/>
      <c r="J797" s="121"/>
      <c r="M797" s="9"/>
      <c r="N797" s="9"/>
      <c r="O797" s="9"/>
    </row>
    <row r="798">
      <c r="A798" s="9"/>
      <c r="E798" s="9"/>
      <c r="I798" s="9"/>
      <c r="J798" s="121"/>
      <c r="M798" s="9"/>
      <c r="N798" s="9"/>
      <c r="O798" s="9"/>
    </row>
    <row r="799">
      <c r="A799" s="9"/>
      <c r="E799" s="9"/>
      <c r="I799" s="9"/>
      <c r="J799" s="121"/>
      <c r="M799" s="9"/>
      <c r="N799" s="9"/>
      <c r="O799" s="9"/>
    </row>
    <row r="800">
      <c r="A800" s="9"/>
      <c r="E800" s="9"/>
      <c r="I800" s="9"/>
      <c r="J800" s="121"/>
      <c r="M800" s="9"/>
      <c r="N800" s="9"/>
      <c r="O800" s="9"/>
    </row>
    <row r="801">
      <c r="A801" s="9"/>
      <c r="E801" s="9"/>
      <c r="I801" s="9"/>
      <c r="J801" s="121"/>
      <c r="M801" s="9"/>
      <c r="N801" s="9"/>
      <c r="O801" s="9"/>
    </row>
    <row r="802">
      <c r="A802" s="9"/>
      <c r="E802" s="9"/>
      <c r="I802" s="9"/>
      <c r="J802" s="121"/>
      <c r="M802" s="9"/>
      <c r="N802" s="9"/>
      <c r="O802" s="9"/>
    </row>
    <row r="803">
      <c r="A803" s="9"/>
      <c r="E803" s="9"/>
      <c r="I803" s="9"/>
      <c r="J803" s="121"/>
      <c r="M803" s="9"/>
      <c r="N803" s="9"/>
      <c r="O803" s="9"/>
    </row>
    <row r="804">
      <c r="A804" s="9"/>
      <c r="E804" s="9"/>
      <c r="I804" s="9"/>
      <c r="J804" s="121"/>
      <c r="M804" s="9"/>
      <c r="N804" s="9"/>
      <c r="O804" s="9"/>
    </row>
    <row r="805">
      <c r="A805" s="9"/>
      <c r="E805" s="9"/>
      <c r="I805" s="9"/>
      <c r="J805" s="121"/>
      <c r="M805" s="9"/>
      <c r="N805" s="9"/>
      <c r="O805" s="9"/>
    </row>
    <row r="806">
      <c r="A806" s="9"/>
      <c r="E806" s="9"/>
      <c r="I806" s="9"/>
      <c r="J806" s="121"/>
      <c r="M806" s="9"/>
      <c r="N806" s="9"/>
      <c r="O806" s="9"/>
    </row>
    <row r="807">
      <c r="A807" s="9"/>
      <c r="E807" s="9"/>
      <c r="I807" s="9"/>
      <c r="J807" s="121"/>
      <c r="M807" s="9"/>
      <c r="N807" s="9"/>
      <c r="O807" s="9"/>
    </row>
    <row r="808">
      <c r="A808" s="9"/>
      <c r="E808" s="9"/>
      <c r="I808" s="9"/>
      <c r="J808" s="121"/>
      <c r="M808" s="9"/>
      <c r="N808" s="9"/>
      <c r="O808" s="9"/>
    </row>
    <row r="809">
      <c r="A809" s="9"/>
      <c r="E809" s="9"/>
      <c r="I809" s="9"/>
      <c r="J809" s="121"/>
      <c r="M809" s="9"/>
      <c r="N809" s="9"/>
      <c r="O809" s="9"/>
    </row>
    <row r="810">
      <c r="A810" s="9"/>
      <c r="E810" s="9"/>
      <c r="I810" s="9"/>
      <c r="J810" s="121"/>
      <c r="M810" s="9"/>
      <c r="N810" s="9"/>
      <c r="O810" s="9"/>
    </row>
    <row r="811">
      <c r="A811" s="9"/>
      <c r="E811" s="9"/>
      <c r="I811" s="9"/>
      <c r="J811" s="121"/>
      <c r="M811" s="9"/>
      <c r="N811" s="9"/>
      <c r="O811" s="9"/>
    </row>
    <row r="812">
      <c r="A812" s="9"/>
      <c r="E812" s="9"/>
      <c r="I812" s="9"/>
      <c r="J812" s="121"/>
      <c r="M812" s="9"/>
      <c r="N812" s="9"/>
      <c r="O812" s="9"/>
    </row>
    <row r="813">
      <c r="A813" s="9"/>
      <c r="E813" s="9"/>
      <c r="I813" s="9"/>
      <c r="J813" s="121"/>
      <c r="M813" s="9"/>
      <c r="N813" s="9"/>
      <c r="O813" s="9"/>
    </row>
    <row r="814">
      <c r="A814" s="9"/>
      <c r="E814" s="9"/>
      <c r="I814" s="9"/>
      <c r="J814" s="121"/>
      <c r="M814" s="9"/>
      <c r="N814" s="9"/>
      <c r="O814" s="9"/>
    </row>
    <row r="815">
      <c r="A815" s="9"/>
      <c r="E815" s="9"/>
      <c r="I815" s="9"/>
      <c r="J815" s="121"/>
      <c r="M815" s="9"/>
      <c r="N815" s="9"/>
      <c r="O815" s="9"/>
    </row>
    <row r="816">
      <c r="A816" s="9"/>
      <c r="E816" s="9"/>
      <c r="I816" s="9"/>
      <c r="J816" s="121"/>
      <c r="M816" s="9"/>
      <c r="N816" s="9"/>
      <c r="O816" s="9"/>
    </row>
    <row r="817">
      <c r="A817" s="9"/>
      <c r="E817" s="9"/>
      <c r="I817" s="9"/>
      <c r="J817" s="121"/>
      <c r="M817" s="9"/>
      <c r="N817" s="9"/>
      <c r="O817" s="9"/>
    </row>
    <row r="818">
      <c r="A818" s="9"/>
      <c r="E818" s="9"/>
      <c r="I818" s="9"/>
      <c r="J818" s="121"/>
      <c r="M818" s="9"/>
      <c r="N818" s="9"/>
      <c r="O818" s="9"/>
    </row>
    <row r="819">
      <c r="A819" s="9"/>
      <c r="E819" s="9"/>
      <c r="I819" s="9"/>
      <c r="J819" s="121"/>
      <c r="M819" s="9"/>
      <c r="N819" s="9"/>
      <c r="O819" s="9"/>
    </row>
    <row r="820">
      <c r="A820" s="9"/>
      <c r="E820" s="9"/>
      <c r="I820" s="9"/>
      <c r="J820" s="121"/>
      <c r="M820" s="9"/>
      <c r="N820" s="9"/>
      <c r="O820" s="9"/>
    </row>
    <row r="821">
      <c r="A821" s="9"/>
      <c r="E821" s="9"/>
      <c r="I821" s="9"/>
      <c r="J821" s="121"/>
      <c r="M821" s="9"/>
      <c r="N821" s="9"/>
      <c r="O821" s="9"/>
    </row>
    <row r="822">
      <c r="A822" s="9"/>
      <c r="E822" s="9"/>
      <c r="I822" s="9"/>
      <c r="J822" s="121"/>
      <c r="M822" s="9"/>
      <c r="N822" s="9"/>
      <c r="O822" s="9"/>
    </row>
    <row r="823">
      <c r="A823" s="9"/>
      <c r="E823" s="9"/>
      <c r="I823" s="9"/>
      <c r="J823" s="121"/>
      <c r="M823" s="9"/>
      <c r="N823" s="9"/>
      <c r="O823" s="9"/>
    </row>
    <row r="824">
      <c r="A824" s="9"/>
      <c r="E824" s="9"/>
      <c r="I824" s="9"/>
      <c r="J824" s="121"/>
      <c r="M824" s="9"/>
      <c r="N824" s="9"/>
      <c r="O824" s="9"/>
    </row>
    <row r="825">
      <c r="A825" s="9"/>
      <c r="E825" s="9"/>
      <c r="I825" s="9"/>
      <c r="J825" s="121"/>
      <c r="M825" s="9"/>
      <c r="N825" s="9"/>
      <c r="O825" s="9"/>
    </row>
    <row r="826">
      <c r="A826" s="9"/>
      <c r="E826" s="9"/>
      <c r="I826" s="9"/>
      <c r="J826" s="121"/>
      <c r="M826" s="9"/>
      <c r="N826" s="9"/>
      <c r="O826" s="9"/>
    </row>
    <row r="827">
      <c r="A827" s="9"/>
      <c r="E827" s="9"/>
      <c r="I827" s="9"/>
      <c r="J827" s="121"/>
      <c r="M827" s="9"/>
      <c r="N827" s="9"/>
      <c r="O827" s="9"/>
    </row>
    <row r="828">
      <c r="A828" s="9"/>
      <c r="E828" s="9"/>
      <c r="I828" s="9"/>
      <c r="J828" s="121"/>
      <c r="M828" s="9"/>
      <c r="N828" s="9"/>
      <c r="O828" s="9"/>
    </row>
    <row r="829">
      <c r="A829" s="9"/>
      <c r="E829" s="9"/>
      <c r="I829" s="9"/>
      <c r="J829" s="121"/>
      <c r="M829" s="9"/>
      <c r="N829" s="9"/>
      <c r="O829" s="9"/>
    </row>
    <row r="830">
      <c r="A830" s="9"/>
      <c r="E830" s="9"/>
      <c r="I830" s="9"/>
      <c r="J830" s="121"/>
      <c r="M830" s="9"/>
      <c r="N830" s="9"/>
      <c r="O830" s="9"/>
    </row>
    <row r="831">
      <c r="A831" s="9"/>
      <c r="E831" s="9"/>
      <c r="I831" s="9"/>
      <c r="J831" s="121"/>
      <c r="M831" s="9"/>
      <c r="N831" s="9"/>
      <c r="O831" s="9"/>
    </row>
    <row r="832">
      <c r="A832" s="9"/>
      <c r="E832" s="9"/>
      <c r="I832" s="9"/>
      <c r="J832" s="121"/>
      <c r="M832" s="9"/>
      <c r="N832" s="9"/>
      <c r="O832" s="9"/>
    </row>
    <row r="833">
      <c r="A833" s="9"/>
      <c r="E833" s="9"/>
      <c r="I833" s="9"/>
      <c r="J833" s="121"/>
      <c r="M833" s="9"/>
      <c r="N833" s="9"/>
      <c r="O833" s="9"/>
    </row>
    <row r="834">
      <c r="A834" s="9"/>
      <c r="E834" s="9"/>
      <c r="I834" s="9"/>
      <c r="J834" s="121"/>
      <c r="M834" s="9"/>
      <c r="N834" s="9"/>
      <c r="O834" s="9"/>
    </row>
    <row r="835">
      <c r="A835" s="9"/>
      <c r="E835" s="9"/>
      <c r="I835" s="9"/>
      <c r="J835" s="121"/>
      <c r="M835" s="9"/>
      <c r="N835" s="9"/>
      <c r="O835" s="9"/>
    </row>
    <row r="836">
      <c r="A836" s="9"/>
      <c r="E836" s="9"/>
      <c r="I836" s="9"/>
      <c r="J836" s="121"/>
      <c r="M836" s="9"/>
      <c r="N836" s="9"/>
      <c r="O836" s="9"/>
    </row>
    <row r="837">
      <c r="A837" s="9"/>
      <c r="E837" s="9"/>
      <c r="I837" s="9"/>
      <c r="J837" s="121"/>
      <c r="M837" s="9"/>
      <c r="N837" s="9"/>
      <c r="O837" s="9"/>
    </row>
    <row r="838">
      <c r="A838" s="9"/>
      <c r="E838" s="9"/>
      <c r="I838" s="9"/>
      <c r="J838" s="121"/>
      <c r="M838" s="9"/>
      <c r="N838" s="9"/>
      <c r="O838" s="9"/>
    </row>
    <row r="839">
      <c r="A839" s="9"/>
      <c r="E839" s="9"/>
      <c r="I839" s="9"/>
      <c r="J839" s="121"/>
      <c r="M839" s="9"/>
      <c r="N839" s="9"/>
      <c r="O839" s="9"/>
    </row>
    <row r="840">
      <c r="A840" s="9"/>
      <c r="E840" s="9"/>
      <c r="I840" s="9"/>
      <c r="J840" s="121"/>
      <c r="M840" s="9"/>
      <c r="N840" s="9"/>
      <c r="O840" s="9"/>
    </row>
    <row r="841">
      <c r="A841" s="9"/>
      <c r="E841" s="9"/>
      <c r="I841" s="9"/>
      <c r="J841" s="121"/>
      <c r="M841" s="9"/>
      <c r="N841" s="9"/>
      <c r="O841" s="9"/>
    </row>
    <row r="842">
      <c r="A842" s="9"/>
      <c r="E842" s="9"/>
      <c r="I842" s="9"/>
      <c r="J842" s="121"/>
      <c r="M842" s="9"/>
      <c r="N842" s="9"/>
      <c r="O842" s="9"/>
    </row>
    <row r="843">
      <c r="A843" s="9"/>
      <c r="E843" s="9"/>
      <c r="I843" s="9"/>
      <c r="J843" s="121"/>
      <c r="M843" s="9"/>
      <c r="N843" s="9"/>
      <c r="O843" s="9"/>
    </row>
    <row r="844">
      <c r="A844" s="9"/>
      <c r="E844" s="9"/>
      <c r="I844" s="9"/>
      <c r="J844" s="121"/>
      <c r="M844" s="9"/>
      <c r="N844" s="9"/>
      <c r="O844" s="9"/>
    </row>
    <row r="845">
      <c r="A845" s="9"/>
      <c r="E845" s="9"/>
      <c r="I845" s="9"/>
      <c r="J845" s="121"/>
      <c r="M845" s="9"/>
      <c r="N845" s="9"/>
      <c r="O845" s="9"/>
    </row>
    <row r="846">
      <c r="A846" s="9"/>
      <c r="E846" s="9"/>
      <c r="I846" s="9"/>
      <c r="J846" s="121"/>
      <c r="M846" s="9"/>
      <c r="N846" s="9"/>
      <c r="O846" s="9"/>
    </row>
    <row r="847">
      <c r="A847" s="9"/>
      <c r="E847" s="9"/>
      <c r="I847" s="9"/>
      <c r="J847" s="121"/>
      <c r="M847" s="9"/>
      <c r="N847" s="9"/>
      <c r="O847" s="9"/>
    </row>
    <row r="848">
      <c r="A848" s="9"/>
      <c r="E848" s="9"/>
      <c r="I848" s="9"/>
      <c r="J848" s="121"/>
      <c r="M848" s="9"/>
      <c r="N848" s="9"/>
      <c r="O848" s="9"/>
    </row>
    <row r="849">
      <c r="A849" s="9"/>
      <c r="E849" s="9"/>
      <c r="I849" s="9"/>
      <c r="J849" s="121"/>
      <c r="M849" s="9"/>
      <c r="N849" s="9"/>
      <c r="O849" s="9"/>
    </row>
    <row r="850">
      <c r="A850" s="9"/>
      <c r="E850" s="9"/>
      <c r="I850" s="9"/>
      <c r="J850" s="121"/>
      <c r="M850" s="9"/>
      <c r="N850" s="9"/>
      <c r="O850" s="9"/>
    </row>
    <row r="851">
      <c r="A851" s="9"/>
      <c r="E851" s="9"/>
      <c r="I851" s="9"/>
      <c r="J851" s="121"/>
      <c r="M851" s="9"/>
      <c r="N851" s="9"/>
      <c r="O851" s="9"/>
    </row>
    <row r="852">
      <c r="A852" s="9"/>
      <c r="E852" s="9"/>
      <c r="I852" s="9"/>
      <c r="J852" s="121"/>
      <c r="M852" s="9"/>
      <c r="N852" s="9"/>
      <c r="O852" s="9"/>
    </row>
    <row r="853">
      <c r="A853" s="9"/>
      <c r="E853" s="9"/>
      <c r="I853" s="9"/>
      <c r="J853" s="121"/>
      <c r="M853" s="9"/>
      <c r="N853" s="9"/>
      <c r="O853" s="9"/>
    </row>
    <row r="854">
      <c r="A854" s="9"/>
      <c r="E854" s="9"/>
      <c r="I854" s="9"/>
      <c r="J854" s="121"/>
      <c r="M854" s="9"/>
      <c r="N854" s="9"/>
      <c r="O854" s="9"/>
    </row>
    <row r="855">
      <c r="A855" s="9"/>
      <c r="E855" s="9"/>
      <c r="I855" s="9"/>
      <c r="J855" s="121"/>
      <c r="M855" s="9"/>
      <c r="N855" s="9"/>
      <c r="O855" s="9"/>
    </row>
    <row r="856">
      <c r="A856" s="9"/>
      <c r="E856" s="9"/>
      <c r="I856" s="9"/>
      <c r="J856" s="121"/>
      <c r="M856" s="9"/>
      <c r="N856" s="9"/>
      <c r="O856" s="9"/>
    </row>
    <row r="857">
      <c r="A857" s="9"/>
      <c r="E857" s="9"/>
      <c r="I857" s="9"/>
      <c r="J857" s="121"/>
      <c r="M857" s="9"/>
      <c r="N857" s="9"/>
      <c r="O857" s="9"/>
    </row>
    <row r="858">
      <c r="A858" s="9"/>
      <c r="E858" s="9"/>
      <c r="I858" s="9"/>
      <c r="J858" s="121"/>
      <c r="M858" s="9"/>
      <c r="N858" s="9"/>
      <c r="O858" s="9"/>
    </row>
    <row r="859">
      <c r="A859" s="9"/>
      <c r="E859" s="9"/>
      <c r="I859" s="9"/>
      <c r="J859" s="121"/>
      <c r="M859" s="9"/>
      <c r="N859" s="9"/>
      <c r="O859" s="9"/>
    </row>
    <row r="860">
      <c r="A860" s="9"/>
      <c r="E860" s="9"/>
      <c r="I860" s="9"/>
      <c r="J860" s="121"/>
      <c r="M860" s="9"/>
      <c r="N860" s="9"/>
      <c r="O860" s="9"/>
    </row>
    <row r="861">
      <c r="A861" s="9"/>
      <c r="E861" s="9"/>
      <c r="I861" s="9"/>
      <c r="J861" s="121"/>
      <c r="M861" s="9"/>
      <c r="N861" s="9"/>
      <c r="O861" s="9"/>
    </row>
    <row r="862">
      <c r="A862" s="9"/>
      <c r="E862" s="9"/>
      <c r="I862" s="9"/>
      <c r="J862" s="121"/>
      <c r="M862" s="9"/>
      <c r="N862" s="9"/>
      <c r="O862" s="9"/>
    </row>
    <row r="863">
      <c r="A863" s="9"/>
      <c r="E863" s="9"/>
      <c r="I863" s="9"/>
      <c r="J863" s="121"/>
      <c r="M863" s="9"/>
      <c r="N863" s="9"/>
      <c r="O863" s="9"/>
    </row>
    <row r="864">
      <c r="A864" s="9"/>
      <c r="E864" s="9"/>
      <c r="I864" s="9"/>
      <c r="J864" s="121"/>
      <c r="M864" s="9"/>
      <c r="N864" s="9"/>
      <c r="O864" s="9"/>
    </row>
    <row r="865">
      <c r="A865" s="9"/>
      <c r="E865" s="9"/>
      <c r="I865" s="9"/>
      <c r="J865" s="121"/>
      <c r="M865" s="9"/>
      <c r="N865" s="9"/>
      <c r="O865" s="9"/>
    </row>
    <row r="866">
      <c r="A866" s="9"/>
      <c r="E866" s="9"/>
      <c r="I866" s="9"/>
      <c r="J866" s="121"/>
      <c r="M866" s="9"/>
      <c r="N866" s="9"/>
      <c r="O866" s="9"/>
    </row>
    <row r="867">
      <c r="A867" s="9"/>
      <c r="E867" s="9"/>
      <c r="I867" s="9"/>
      <c r="J867" s="121"/>
      <c r="M867" s="9"/>
      <c r="N867" s="9"/>
      <c r="O867" s="9"/>
    </row>
    <row r="868">
      <c r="A868" s="9"/>
      <c r="E868" s="9"/>
      <c r="I868" s="9"/>
      <c r="J868" s="121"/>
      <c r="M868" s="9"/>
      <c r="N868" s="9"/>
      <c r="O868" s="9"/>
    </row>
    <row r="869">
      <c r="A869" s="9"/>
      <c r="E869" s="9"/>
      <c r="I869" s="9"/>
      <c r="J869" s="121"/>
      <c r="M869" s="9"/>
      <c r="N869" s="9"/>
      <c r="O869" s="9"/>
    </row>
    <row r="870">
      <c r="A870" s="9"/>
      <c r="E870" s="9"/>
      <c r="I870" s="9"/>
      <c r="J870" s="121"/>
      <c r="M870" s="9"/>
      <c r="N870" s="9"/>
      <c r="O870" s="9"/>
    </row>
    <row r="871">
      <c r="A871" s="9"/>
      <c r="E871" s="9"/>
      <c r="I871" s="9"/>
      <c r="J871" s="121"/>
      <c r="M871" s="9"/>
      <c r="N871" s="9"/>
      <c r="O871" s="9"/>
    </row>
    <row r="872">
      <c r="A872" s="9"/>
      <c r="E872" s="9"/>
      <c r="I872" s="9"/>
      <c r="J872" s="121"/>
      <c r="M872" s="9"/>
      <c r="N872" s="9"/>
      <c r="O872" s="9"/>
    </row>
    <row r="873">
      <c r="A873" s="9"/>
      <c r="E873" s="9"/>
      <c r="I873" s="9"/>
      <c r="J873" s="121"/>
      <c r="M873" s="9"/>
      <c r="N873" s="9"/>
      <c r="O873" s="9"/>
    </row>
    <row r="874">
      <c r="A874" s="9"/>
      <c r="E874" s="9"/>
      <c r="I874" s="9"/>
      <c r="J874" s="121"/>
      <c r="M874" s="9"/>
      <c r="N874" s="9"/>
      <c r="O874" s="9"/>
    </row>
    <row r="875">
      <c r="A875" s="9"/>
      <c r="E875" s="9"/>
      <c r="I875" s="9"/>
      <c r="J875" s="121"/>
      <c r="M875" s="9"/>
      <c r="N875" s="9"/>
      <c r="O875" s="9"/>
    </row>
    <row r="876">
      <c r="A876" s="9"/>
      <c r="E876" s="9"/>
      <c r="I876" s="9"/>
      <c r="J876" s="121"/>
      <c r="M876" s="9"/>
      <c r="N876" s="9"/>
      <c r="O876" s="9"/>
    </row>
    <row r="877">
      <c r="A877" s="9"/>
      <c r="E877" s="9"/>
      <c r="I877" s="9"/>
      <c r="J877" s="121"/>
      <c r="M877" s="9"/>
      <c r="N877" s="9"/>
      <c r="O877" s="9"/>
    </row>
    <row r="878">
      <c r="A878" s="9"/>
      <c r="E878" s="9"/>
      <c r="I878" s="9"/>
      <c r="J878" s="121"/>
      <c r="M878" s="9"/>
      <c r="N878" s="9"/>
      <c r="O878" s="9"/>
    </row>
    <row r="879">
      <c r="A879" s="9"/>
      <c r="E879" s="9"/>
      <c r="I879" s="9"/>
      <c r="J879" s="121"/>
      <c r="M879" s="9"/>
      <c r="N879" s="9"/>
      <c r="O879" s="9"/>
    </row>
    <row r="880">
      <c r="A880" s="9"/>
      <c r="E880" s="9"/>
      <c r="I880" s="9"/>
      <c r="J880" s="121"/>
      <c r="M880" s="9"/>
      <c r="N880" s="9"/>
      <c r="O880" s="9"/>
    </row>
    <row r="881">
      <c r="A881" s="9"/>
      <c r="E881" s="9"/>
      <c r="I881" s="9"/>
      <c r="J881" s="121"/>
      <c r="M881" s="9"/>
      <c r="N881" s="9"/>
      <c r="O881" s="9"/>
    </row>
    <row r="882">
      <c r="A882" s="9"/>
      <c r="E882" s="9"/>
      <c r="I882" s="9"/>
      <c r="J882" s="121"/>
      <c r="M882" s="9"/>
      <c r="N882" s="9"/>
      <c r="O882" s="9"/>
    </row>
    <row r="883">
      <c r="A883" s="9"/>
      <c r="E883" s="9"/>
      <c r="I883" s="9"/>
      <c r="J883" s="121"/>
      <c r="M883" s="9"/>
      <c r="N883" s="9"/>
      <c r="O883" s="9"/>
    </row>
    <row r="884">
      <c r="A884" s="9"/>
      <c r="E884" s="9"/>
      <c r="I884" s="9"/>
      <c r="J884" s="121"/>
      <c r="M884" s="9"/>
      <c r="N884" s="9"/>
      <c r="O884" s="9"/>
    </row>
    <row r="885">
      <c r="A885" s="9"/>
      <c r="E885" s="9"/>
      <c r="I885" s="9"/>
      <c r="J885" s="121"/>
      <c r="M885" s="9"/>
      <c r="N885" s="9"/>
      <c r="O885" s="9"/>
    </row>
    <row r="886">
      <c r="A886" s="9"/>
      <c r="E886" s="9"/>
      <c r="I886" s="9"/>
      <c r="J886" s="121"/>
      <c r="M886" s="9"/>
      <c r="N886" s="9"/>
      <c r="O886" s="9"/>
    </row>
    <row r="887">
      <c r="A887" s="9"/>
      <c r="E887" s="9"/>
      <c r="I887" s="9"/>
      <c r="J887" s="121"/>
      <c r="M887" s="9"/>
      <c r="N887" s="9"/>
      <c r="O887" s="9"/>
    </row>
    <row r="888">
      <c r="A888" s="9"/>
      <c r="E888" s="9"/>
      <c r="I888" s="9"/>
      <c r="J888" s="121"/>
      <c r="M888" s="9"/>
      <c r="N888" s="9"/>
      <c r="O888" s="9"/>
    </row>
    <row r="889">
      <c r="A889" s="9"/>
      <c r="E889" s="9"/>
      <c r="I889" s="9"/>
      <c r="J889" s="121"/>
      <c r="M889" s="9"/>
      <c r="N889" s="9"/>
      <c r="O889" s="9"/>
    </row>
    <row r="890">
      <c r="A890" s="9"/>
      <c r="E890" s="9"/>
      <c r="I890" s="9"/>
      <c r="J890" s="121"/>
      <c r="M890" s="9"/>
      <c r="N890" s="9"/>
      <c r="O890" s="9"/>
    </row>
    <row r="891">
      <c r="A891" s="9"/>
      <c r="E891" s="9"/>
      <c r="I891" s="9"/>
      <c r="J891" s="121"/>
      <c r="M891" s="9"/>
      <c r="N891" s="9"/>
      <c r="O891" s="9"/>
    </row>
    <row r="892">
      <c r="A892" s="9"/>
      <c r="E892" s="9"/>
      <c r="I892" s="9"/>
      <c r="J892" s="121"/>
      <c r="M892" s="9"/>
      <c r="N892" s="9"/>
      <c r="O892" s="9"/>
    </row>
    <row r="893">
      <c r="A893" s="9"/>
      <c r="E893" s="9"/>
      <c r="I893" s="9"/>
      <c r="J893" s="121"/>
      <c r="M893" s="9"/>
      <c r="N893" s="9"/>
      <c r="O893" s="9"/>
    </row>
    <row r="894">
      <c r="A894" s="9"/>
      <c r="E894" s="9"/>
      <c r="I894" s="9"/>
      <c r="J894" s="121"/>
      <c r="M894" s="9"/>
      <c r="N894" s="9"/>
      <c r="O894" s="9"/>
    </row>
    <row r="895">
      <c r="A895" s="9"/>
      <c r="E895" s="9"/>
      <c r="I895" s="9"/>
      <c r="J895" s="121"/>
      <c r="M895" s="9"/>
      <c r="N895" s="9"/>
      <c r="O895" s="9"/>
    </row>
    <row r="896">
      <c r="A896" s="9"/>
      <c r="E896" s="9"/>
      <c r="I896" s="9"/>
      <c r="J896" s="121"/>
      <c r="M896" s="9"/>
      <c r="N896" s="9"/>
      <c r="O896" s="9"/>
    </row>
    <row r="897">
      <c r="A897" s="9"/>
      <c r="E897" s="9"/>
      <c r="I897" s="9"/>
      <c r="J897" s="121"/>
      <c r="M897" s="9"/>
      <c r="N897" s="9"/>
      <c r="O897" s="9"/>
    </row>
    <row r="898">
      <c r="A898" s="9"/>
      <c r="E898" s="9"/>
      <c r="I898" s="9"/>
      <c r="J898" s="121"/>
      <c r="M898" s="9"/>
      <c r="N898" s="9"/>
      <c r="O898" s="9"/>
    </row>
    <row r="899">
      <c r="A899" s="9"/>
      <c r="E899" s="9"/>
      <c r="I899" s="9"/>
      <c r="J899" s="121"/>
      <c r="M899" s="9"/>
      <c r="N899" s="9"/>
      <c r="O899" s="9"/>
    </row>
    <row r="900">
      <c r="A900" s="9"/>
      <c r="E900" s="9"/>
      <c r="I900" s="9"/>
      <c r="J900" s="121"/>
      <c r="M900" s="9"/>
      <c r="N900" s="9"/>
      <c r="O900" s="9"/>
    </row>
    <row r="901">
      <c r="A901" s="9"/>
      <c r="E901" s="9"/>
      <c r="I901" s="9"/>
      <c r="J901" s="121"/>
      <c r="M901" s="9"/>
      <c r="N901" s="9"/>
      <c r="O901" s="9"/>
    </row>
    <row r="902">
      <c r="A902" s="9"/>
      <c r="E902" s="9"/>
      <c r="I902" s="9"/>
      <c r="J902" s="121"/>
      <c r="M902" s="9"/>
      <c r="N902" s="9"/>
      <c r="O902" s="9"/>
    </row>
    <row r="903">
      <c r="A903" s="9"/>
      <c r="E903" s="9"/>
      <c r="I903" s="9"/>
      <c r="J903" s="121"/>
      <c r="M903" s="9"/>
      <c r="N903" s="9"/>
      <c r="O903" s="9"/>
    </row>
    <row r="904">
      <c r="A904" s="9"/>
      <c r="E904" s="9"/>
      <c r="I904" s="9"/>
      <c r="J904" s="121"/>
      <c r="M904" s="9"/>
      <c r="N904" s="9"/>
      <c r="O904" s="9"/>
    </row>
    <row r="905">
      <c r="A905" s="9"/>
      <c r="E905" s="9"/>
      <c r="I905" s="9"/>
      <c r="J905" s="121"/>
      <c r="M905" s="9"/>
      <c r="N905" s="9"/>
      <c r="O905" s="9"/>
    </row>
    <row r="906">
      <c r="A906" s="9"/>
      <c r="E906" s="9"/>
      <c r="I906" s="9"/>
      <c r="J906" s="121"/>
      <c r="M906" s="9"/>
      <c r="N906" s="9"/>
      <c r="O906" s="9"/>
    </row>
    <row r="907">
      <c r="A907" s="9"/>
      <c r="E907" s="9"/>
      <c r="I907" s="9"/>
      <c r="J907" s="121"/>
      <c r="M907" s="9"/>
      <c r="N907" s="9"/>
      <c r="O907" s="9"/>
    </row>
    <row r="908">
      <c r="A908" s="9"/>
      <c r="E908" s="9"/>
      <c r="I908" s="9"/>
      <c r="J908" s="121"/>
      <c r="M908" s="9"/>
      <c r="N908" s="9"/>
      <c r="O908" s="9"/>
    </row>
    <row r="909">
      <c r="A909" s="9"/>
      <c r="E909" s="9"/>
      <c r="I909" s="9"/>
      <c r="J909" s="121"/>
      <c r="M909" s="9"/>
      <c r="N909" s="9"/>
      <c r="O909" s="9"/>
    </row>
    <row r="910">
      <c r="A910" s="9"/>
      <c r="E910" s="9"/>
      <c r="I910" s="9"/>
      <c r="J910" s="121"/>
      <c r="M910" s="9"/>
      <c r="N910" s="9"/>
      <c r="O910" s="9"/>
    </row>
    <row r="911">
      <c r="A911" s="9"/>
      <c r="E911" s="9"/>
      <c r="I911" s="9"/>
      <c r="J911" s="121"/>
      <c r="M911" s="9"/>
      <c r="N911" s="9"/>
      <c r="O911" s="9"/>
    </row>
    <row r="912">
      <c r="A912" s="9"/>
      <c r="E912" s="9"/>
      <c r="I912" s="9"/>
      <c r="J912" s="121"/>
      <c r="M912" s="9"/>
      <c r="N912" s="9"/>
      <c r="O912" s="9"/>
    </row>
    <row r="913">
      <c r="A913" s="9"/>
      <c r="E913" s="9"/>
      <c r="I913" s="9"/>
      <c r="J913" s="121"/>
      <c r="M913" s="9"/>
      <c r="N913" s="9"/>
      <c r="O913" s="9"/>
    </row>
    <row r="914">
      <c r="A914" s="9"/>
      <c r="E914" s="9"/>
      <c r="I914" s="9"/>
      <c r="J914" s="121"/>
      <c r="M914" s="9"/>
      <c r="N914" s="9"/>
      <c r="O914" s="9"/>
    </row>
    <row r="915">
      <c r="A915" s="9"/>
      <c r="E915" s="9"/>
      <c r="I915" s="9"/>
      <c r="J915" s="121"/>
      <c r="M915" s="9"/>
      <c r="N915" s="9"/>
      <c r="O915" s="9"/>
    </row>
    <row r="916">
      <c r="A916" s="9"/>
      <c r="E916" s="9"/>
      <c r="I916" s="9"/>
      <c r="J916" s="121"/>
      <c r="M916" s="9"/>
      <c r="N916" s="9"/>
      <c r="O916" s="9"/>
    </row>
    <row r="917">
      <c r="A917" s="9"/>
      <c r="E917" s="9"/>
      <c r="I917" s="9"/>
      <c r="J917" s="121"/>
      <c r="M917" s="9"/>
      <c r="N917" s="9"/>
      <c r="O917" s="9"/>
    </row>
    <row r="918">
      <c r="A918" s="9"/>
      <c r="E918" s="9"/>
      <c r="I918" s="9"/>
      <c r="J918" s="121"/>
      <c r="M918" s="9"/>
      <c r="N918" s="9"/>
      <c r="O918" s="9"/>
    </row>
    <row r="919">
      <c r="A919" s="9"/>
      <c r="E919" s="9"/>
      <c r="I919" s="9"/>
      <c r="J919" s="121"/>
      <c r="M919" s="9"/>
      <c r="N919" s="9"/>
      <c r="O919" s="9"/>
    </row>
    <row r="920">
      <c r="A920" s="9"/>
      <c r="E920" s="9"/>
      <c r="I920" s="9"/>
      <c r="J920" s="121"/>
      <c r="M920" s="9"/>
      <c r="N920" s="9"/>
      <c r="O920" s="9"/>
    </row>
    <row r="921">
      <c r="A921" s="9"/>
      <c r="E921" s="9"/>
      <c r="I921" s="9"/>
      <c r="J921" s="121"/>
      <c r="M921" s="9"/>
      <c r="N921" s="9"/>
      <c r="O921" s="9"/>
    </row>
    <row r="922">
      <c r="A922" s="9"/>
      <c r="E922" s="9"/>
      <c r="I922" s="9"/>
      <c r="J922" s="121"/>
      <c r="M922" s="9"/>
      <c r="N922" s="9"/>
      <c r="O922" s="9"/>
    </row>
    <row r="923">
      <c r="A923" s="9"/>
      <c r="E923" s="9"/>
      <c r="I923" s="9"/>
      <c r="J923" s="121"/>
      <c r="M923" s="9"/>
      <c r="N923" s="9"/>
      <c r="O923" s="9"/>
    </row>
    <row r="924">
      <c r="A924" s="9"/>
      <c r="E924" s="9"/>
      <c r="I924" s="9"/>
      <c r="J924" s="121"/>
      <c r="M924" s="9"/>
      <c r="N924" s="9"/>
      <c r="O924" s="9"/>
    </row>
    <row r="925">
      <c r="A925" s="9"/>
      <c r="E925" s="9"/>
      <c r="I925" s="9"/>
      <c r="J925" s="121"/>
      <c r="M925" s="9"/>
      <c r="N925" s="9"/>
      <c r="O925" s="9"/>
    </row>
    <row r="926">
      <c r="A926" s="9"/>
      <c r="E926" s="9"/>
      <c r="I926" s="9"/>
      <c r="J926" s="121"/>
      <c r="M926" s="9"/>
      <c r="N926" s="9"/>
      <c r="O926" s="9"/>
    </row>
    <row r="927">
      <c r="A927" s="9"/>
      <c r="E927" s="9"/>
      <c r="I927" s="9"/>
      <c r="J927" s="121"/>
      <c r="M927" s="9"/>
      <c r="N927" s="9"/>
      <c r="O927" s="9"/>
    </row>
    <row r="928">
      <c r="A928" s="9"/>
      <c r="E928" s="9"/>
      <c r="I928" s="9"/>
      <c r="J928" s="121"/>
      <c r="M928" s="9"/>
      <c r="N928" s="9"/>
      <c r="O928" s="9"/>
    </row>
    <row r="929">
      <c r="A929" s="9"/>
      <c r="E929" s="9"/>
      <c r="I929" s="9"/>
      <c r="J929" s="121"/>
      <c r="M929" s="9"/>
      <c r="N929" s="9"/>
      <c r="O929" s="9"/>
    </row>
    <row r="930">
      <c r="A930" s="9"/>
      <c r="E930" s="9"/>
      <c r="I930" s="9"/>
      <c r="J930" s="121"/>
      <c r="M930" s="9"/>
      <c r="N930" s="9"/>
      <c r="O930" s="9"/>
    </row>
    <row r="931">
      <c r="A931" s="9"/>
      <c r="E931" s="9"/>
      <c r="I931" s="9"/>
      <c r="J931" s="121"/>
      <c r="M931" s="9"/>
      <c r="N931" s="9"/>
      <c r="O931" s="9"/>
    </row>
    <row r="932">
      <c r="A932" s="9"/>
      <c r="E932" s="9"/>
      <c r="I932" s="9"/>
      <c r="J932" s="121"/>
      <c r="M932" s="9"/>
      <c r="N932" s="9"/>
      <c r="O932" s="9"/>
    </row>
    <row r="933">
      <c r="A933" s="9"/>
      <c r="E933" s="9"/>
      <c r="I933" s="9"/>
      <c r="J933" s="121"/>
      <c r="M933" s="9"/>
      <c r="N933" s="9"/>
      <c r="O933" s="9"/>
    </row>
    <row r="934">
      <c r="A934" s="9"/>
      <c r="E934" s="9"/>
      <c r="I934" s="9"/>
      <c r="J934" s="121"/>
      <c r="M934" s="9"/>
      <c r="N934" s="9"/>
      <c r="O934" s="9"/>
    </row>
    <row r="935">
      <c r="A935" s="9"/>
      <c r="E935" s="9"/>
      <c r="I935" s="9"/>
      <c r="J935" s="121"/>
      <c r="M935" s="9"/>
      <c r="N935" s="9"/>
      <c r="O935" s="9"/>
    </row>
    <row r="936">
      <c r="A936" s="9"/>
      <c r="E936" s="9"/>
      <c r="I936" s="9"/>
      <c r="J936" s="121"/>
      <c r="M936" s="9"/>
      <c r="N936" s="9"/>
      <c r="O936" s="9"/>
    </row>
    <row r="937">
      <c r="A937" s="9"/>
      <c r="E937" s="9"/>
      <c r="I937" s="9"/>
      <c r="J937" s="121"/>
      <c r="M937" s="9"/>
      <c r="N937" s="9"/>
      <c r="O937" s="9"/>
    </row>
    <row r="938">
      <c r="A938" s="9"/>
      <c r="E938" s="9"/>
      <c r="I938" s="9"/>
      <c r="J938" s="121"/>
      <c r="M938" s="9"/>
      <c r="N938" s="9"/>
      <c r="O938" s="9"/>
    </row>
    <row r="939">
      <c r="A939" s="9"/>
      <c r="E939" s="9"/>
      <c r="I939" s="9"/>
      <c r="J939" s="121"/>
      <c r="M939" s="9"/>
      <c r="N939" s="9"/>
      <c r="O939" s="9"/>
    </row>
    <row r="940">
      <c r="A940" s="9"/>
      <c r="E940" s="9"/>
      <c r="I940" s="9"/>
      <c r="J940" s="121"/>
      <c r="M940" s="9"/>
      <c r="N940" s="9"/>
      <c r="O940" s="9"/>
    </row>
    <row r="941">
      <c r="A941" s="9"/>
      <c r="E941" s="9"/>
      <c r="I941" s="9"/>
      <c r="J941" s="121"/>
      <c r="M941" s="9"/>
      <c r="N941" s="9"/>
      <c r="O941" s="9"/>
    </row>
    <row r="942">
      <c r="A942" s="9"/>
      <c r="E942" s="9"/>
      <c r="I942" s="9"/>
      <c r="J942" s="121"/>
      <c r="M942" s="9"/>
      <c r="N942" s="9"/>
      <c r="O942" s="9"/>
    </row>
    <row r="943">
      <c r="A943" s="9"/>
      <c r="E943" s="9"/>
      <c r="I943" s="9"/>
      <c r="J943" s="121"/>
      <c r="M943" s="9"/>
      <c r="N943" s="9"/>
      <c r="O943" s="9"/>
    </row>
    <row r="944">
      <c r="A944" s="9"/>
      <c r="E944" s="9"/>
      <c r="I944" s="9"/>
      <c r="J944" s="121"/>
      <c r="M944" s="9"/>
      <c r="N944" s="9"/>
      <c r="O944" s="9"/>
    </row>
    <row r="945">
      <c r="A945" s="9"/>
      <c r="E945" s="9"/>
      <c r="I945" s="9"/>
      <c r="J945" s="121"/>
      <c r="M945" s="9"/>
      <c r="N945" s="9"/>
      <c r="O945" s="9"/>
    </row>
    <row r="946">
      <c r="A946" s="9"/>
      <c r="E946" s="9"/>
      <c r="I946" s="9"/>
      <c r="J946" s="121"/>
      <c r="M946" s="9"/>
      <c r="N946" s="9"/>
      <c r="O946" s="9"/>
    </row>
    <row r="947">
      <c r="A947" s="9"/>
      <c r="E947" s="9"/>
      <c r="I947" s="9"/>
      <c r="J947" s="121"/>
      <c r="M947" s="9"/>
      <c r="N947" s="9"/>
      <c r="O947" s="9"/>
    </row>
    <row r="948">
      <c r="A948" s="9"/>
      <c r="E948" s="9"/>
      <c r="I948" s="9"/>
      <c r="J948" s="121"/>
      <c r="M948" s="9"/>
      <c r="N948" s="9"/>
      <c r="O948" s="9"/>
    </row>
    <row r="949">
      <c r="A949" s="9"/>
      <c r="E949" s="9"/>
      <c r="I949" s="9"/>
      <c r="J949" s="121"/>
      <c r="M949" s="9"/>
      <c r="N949" s="9"/>
      <c r="O949" s="9"/>
    </row>
    <row r="950">
      <c r="A950" s="9"/>
      <c r="E950" s="9"/>
      <c r="I950" s="9"/>
      <c r="J950" s="121"/>
      <c r="M950" s="9"/>
      <c r="N950" s="9"/>
      <c r="O950" s="9"/>
    </row>
    <row r="951">
      <c r="A951" s="9"/>
      <c r="E951" s="9"/>
      <c r="I951" s="9"/>
      <c r="J951" s="121"/>
      <c r="M951" s="9"/>
      <c r="N951" s="9"/>
      <c r="O951" s="9"/>
    </row>
    <row r="952">
      <c r="A952" s="9"/>
      <c r="E952" s="9"/>
      <c r="I952" s="9"/>
      <c r="J952" s="121"/>
      <c r="M952" s="9"/>
      <c r="N952" s="9"/>
      <c r="O952" s="9"/>
    </row>
    <row r="953">
      <c r="A953" s="9"/>
      <c r="E953" s="9"/>
      <c r="I953" s="9"/>
      <c r="J953" s="121"/>
      <c r="M953" s="9"/>
      <c r="N953" s="9"/>
      <c r="O953" s="9"/>
    </row>
    <row r="954">
      <c r="A954" s="9"/>
      <c r="E954" s="9"/>
      <c r="I954" s="9"/>
      <c r="J954" s="121"/>
      <c r="M954" s="9"/>
      <c r="N954" s="9"/>
      <c r="O954" s="9"/>
    </row>
    <row r="955">
      <c r="A955" s="9"/>
      <c r="E955" s="9"/>
      <c r="I955" s="9"/>
      <c r="J955" s="121"/>
      <c r="M955" s="9"/>
      <c r="N955" s="9"/>
      <c r="O955" s="9"/>
    </row>
    <row r="956">
      <c r="A956" s="9"/>
      <c r="E956" s="9"/>
      <c r="I956" s="9"/>
      <c r="J956" s="121"/>
      <c r="M956" s="9"/>
      <c r="N956" s="9"/>
      <c r="O956" s="9"/>
    </row>
    <row r="957">
      <c r="A957" s="9"/>
      <c r="E957" s="9"/>
      <c r="I957" s="9"/>
      <c r="J957" s="121"/>
      <c r="M957" s="9"/>
      <c r="N957" s="9"/>
      <c r="O957" s="9"/>
    </row>
    <row r="958">
      <c r="A958" s="9"/>
      <c r="E958" s="9"/>
      <c r="I958" s="9"/>
      <c r="J958" s="121"/>
      <c r="M958" s="9"/>
      <c r="N958" s="9"/>
      <c r="O958" s="9"/>
    </row>
    <row r="959">
      <c r="A959" s="9"/>
      <c r="E959" s="9"/>
      <c r="I959" s="9"/>
      <c r="J959" s="121"/>
      <c r="M959" s="9"/>
      <c r="N959" s="9"/>
      <c r="O959" s="9"/>
    </row>
    <row r="960">
      <c r="A960" s="9"/>
      <c r="E960" s="9"/>
      <c r="I960" s="9"/>
      <c r="J960" s="121"/>
      <c r="M960" s="9"/>
      <c r="N960" s="9"/>
      <c r="O960" s="9"/>
    </row>
    <row r="961">
      <c r="A961" s="9"/>
      <c r="E961" s="9"/>
      <c r="I961" s="9"/>
      <c r="J961" s="121"/>
      <c r="M961" s="9"/>
      <c r="N961" s="9"/>
      <c r="O961" s="9"/>
    </row>
    <row r="962">
      <c r="A962" s="9"/>
      <c r="E962" s="9"/>
      <c r="I962" s="9"/>
      <c r="J962" s="121"/>
      <c r="M962" s="9"/>
      <c r="N962" s="9"/>
      <c r="O962" s="9"/>
    </row>
    <row r="963">
      <c r="A963" s="9"/>
      <c r="E963" s="9"/>
      <c r="I963" s="9"/>
      <c r="J963" s="121"/>
      <c r="M963" s="9"/>
      <c r="N963" s="9"/>
      <c r="O963" s="9"/>
    </row>
    <row r="964">
      <c r="A964" s="9"/>
      <c r="E964" s="9"/>
      <c r="I964" s="9"/>
      <c r="J964" s="121"/>
      <c r="M964" s="9"/>
      <c r="N964" s="9"/>
      <c r="O964" s="9"/>
    </row>
    <row r="965">
      <c r="A965" s="9"/>
      <c r="E965" s="9"/>
      <c r="I965" s="9"/>
      <c r="J965" s="121"/>
      <c r="M965" s="9"/>
      <c r="N965" s="9"/>
      <c r="O965" s="9"/>
    </row>
    <row r="966">
      <c r="A966" s="9"/>
      <c r="E966" s="9"/>
      <c r="I966" s="9"/>
      <c r="J966" s="121"/>
      <c r="M966" s="9"/>
      <c r="N966" s="9"/>
      <c r="O966" s="9"/>
    </row>
    <row r="967">
      <c r="A967" s="9"/>
      <c r="E967" s="9"/>
      <c r="I967" s="9"/>
      <c r="J967" s="121"/>
      <c r="M967" s="9"/>
      <c r="N967" s="9"/>
      <c r="O967" s="9"/>
    </row>
    <row r="968">
      <c r="A968" s="9"/>
      <c r="E968" s="9"/>
      <c r="I968" s="9"/>
      <c r="J968" s="121"/>
      <c r="M968" s="9"/>
      <c r="N968" s="9"/>
      <c r="O968" s="9"/>
    </row>
    <row r="969">
      <c r="A969" s="9"/>
      <c r="E969" s="9"/>
      <c r="I969" s="9"/>
      <c r="J969" s="121"/>
      <c r="M969" s="9"/>
      <c r="N969" s="9"/>
      <c r="O969" s="9"/>
    </row>
    <row r="970">
      <c r="A970" s="9"/>
      <c r="E970" s="9"/>
      <c r="I970" s="9"/>
      <c r="J970" s="121"/>
      <c r="M970" s="9"/>
      <c r="N970" s="9"/>
      <c r="O970" s="9"/>
    </row>
    <row r="971">
      <c r="A971" s="9"/>
      <c r="E971" s="9"/>
      <c r="I971" s="9"/>
      <c r="J971" s="121"/>
      <c r="M971" s="9"/>
      <c r="N971" s="9"/>
      <c r="O971" s="9"/>
    </row>
    <row r="972">
      <c r="A972" s="9"/>
      <c r="E972" s="9"/>
      <c r="I972" s="9"/>
      <c r="J972" s="121"/>
      <c r="M972" s="9"/>
      <c r="N972" s="9"/>
      <c r="O972" s="9"/>
    </row>
    <row r="973">
      <c r="A973" s="9"/>
      <c r="E973" s="9"/>
      <c r="I973" s="9"/>
      <c r="J973" s="121"/>
      <c r="M973" s="9"/>
      <c r="N973" s="9"/>
      <c r="O973" s="9"/>
    </row>
    <row r="974">
      <c r="A974" s="9"/>
      <c r="E974" s="9"/>
      <c r="I974" s="9"/>
      <c r="J974" s="121"/>
      <c r="M974" s="9"/>
      <c r="N974" s="9"/>
      <c r="O974" s="9"/>
    </row>
    <row r="975">
      <c r="A975" s="9"/>
      <c r="E975" s="9"/>
      <c r="I975" s="9"/>
      <c r="J975" s="121"/>
      <c r="M975" s="9"/>
      <c r="N975" s="9"/>
      <c r="O975" s="9"/>
    </row>
    <row r="976">
      <c r="A976" s="9"/>
      <c r="E976" s="9"/>
      <c r="I976" s="9"/>
      <c r="J976" s="121"/>
      <c r="M976" s="9"/>
      <c r="N976" s="9"/>
      <c r="O976" s="9"/>
    </row>
    <row r="977">
      <c r="A977" s="9"/>
      <c r="E977" s="9"/>
      <c r="I977" s="9"/>
      <c r="J977" s="121"/>
      <c r="M977" s="9"/>
      <c r="N977" s="9"/>
      <c r="O977" s="9"/>
    </row>
    <row r="978">
      <c r="A978" s="9"/>
      <c r="E978" s="9"/>
      <c r="I978" s="9"/>
      <c r="J978" s="121"/>
      <c r="M978" s="9"/>
      <c r="N978" s="9"/>
      <c r="O978" s="9"/>
    </row>
    <row r="979">
      <c r="A979" s="9"/>
      <c r="E979" s="9"/>
      <c r="I979" s="9"/>
      <c r="J979" s="121"/>
      <c r="M979" s="9"/>
      <c r="N979" s="9"/>
      <c r="O979" s="9"/>
    </row>
    <row r="980">
      <c r="A980" s="9"/>
      <c r="E980" s="9"/>
      <c r="I980" s="9"/>
      <c r="J980" s="121"/>
      <c r="M980" s="9"/>
      <c r="N980" s="9"/>
      <c r="O980" s="9"/>
    </row>
    <row r="981">
      <c r="A981" s="9"/>
      <c r="E981" s="9"/>
      <c r="I981" s="9"/>
      <c r="J981" s="121"/>
      <c r="M981" s="9"/>
      <c r="N981" s="9"/>
      <c r="O981" s="9"/>
    </row>
    <row r="982">
      <c r="A982" s="9"/>
      <c r="E982" s="9"/>
      <c r="I982" s="9"/>
      <c r="J982" s="121"/>
      <c r="M982" s="9"/>
      <c r="N982" s="9"/>
      <c r="O982" s="9"/>
    </row>
    <row r="983">
      <c r="A983" s="9"/>
      <c r="E983" s="9"/>
      <c r="I983" s="9"/>
      <c r="J983" s="121"/>
      <c r="M983" s="9"/>
      <c r="N983" s="9"/>
      <c r="O983" s="9"/>
    </row>
    <row r="984">
      <c r="A984" s="9"/>
      <c r="E984" s="9"/>
      <c r="I984" s="9"/>
      <c r="J984" s="121"/>
      <c r="M984" s="9"/>
      <c r="N984" s="9"/>
      <c r="O984" s="9"/>
    </row>
    <row r="985">
      <c r="A985" s="9"/>
      <c r="E985" s="9"/>
      <c r="I985" s="9"/>
      <c r="J985" s="121"/>
      <c r="M985" s="9"/>
      <c r="N985" s="9"/>
      <c r="O985" s="9"/>
    </row>
    <row r="986">
      <c r="A986" s="9"/>
      <c r="E986" s="9"/>
      <c r="I986" s="9"/>
      <c r="J986" s="121"/>
      <c r="M986" s="9"/>
      <c r="N986" s="9"/>
      <c r="O986" s="9"/>
    </row>
    <row r="987">
      <c r="A987" s="9"/>
      <c r="E987" s="9"/>
      <c r="I987" s="9"/>
      <c r="J987" s="121"/>
      <c r="M987" s="9"/>
      <c r="N987" s="9"/>
      <c r="O987" s="9"/>
    </row>
    <row r="988">
      <c r="A988" s="9"/>
      <c r="E988" s="9"/>
      <c r="I988" s="9"/>
      <c r="J988" s="121"/>
      <c r="M988" s="9"/>
      <c r="N988" s="9"/>
      <c r="O988" s="9"/>
    </row>
    <row r="989">
      <c r="A989" s="9"/>
      <c r="E989" s="9"/>
      <c r="I989" s="9"/>
      <c r="J989" s="121"/>
      <c r="M989" s="9"/>
      <c r="N989" s="9"/>
      <c r="O989" s="9"/>
    </row>
    <row r="990">
      <c r="A990" s="9"/>
      <c r="E990" s="9"/>
      <c r="I990" s="9"/>
      <c r="J990" s="121"/>
      <c r="M990" s="9"/>
      <c r="N990" s="9"/>
      <c r="O990" s="9"/>
    </row>
    <row r="991">
      <c r="A991" s="9"/>
      <c r="E991" s="9"/>
      <c r="I991" s="9"/>
      <c r="J991" s="121"/>
      <c r="M991" s="9"/>
      <c r="N991" s="9"/>
      <c r="O991" s="9"/>
    </row>
    <row r="992">
      <c r="A992" s="9"/>
      <c r="E992" s="9"/>
      <c r="I992" s="9"/>
      <c r="J992" s="121"/>
      <c r="M992" s="9"/>
      <c r="N992" s="9"/>
      <c r="O992" s="9"/>
    </row>
    <row r="993">
      <c r="A993" s="9"/>
      <c r="E993" s="9"/>
      <c r="I993" s="9"/>
      <c r="J993" s="121"/>
      <c r="M993" s="9"/>
      <c r="N993" s="9"/>
      <c r="O993" s="9"/>
    </row>
    <row r="994">
      <c r="A994" s="9"/>
      <c r="E994" s="9"/>
      <c r="I994" s="9"/>
      <c r="J994" s="121"/>
      <c r="M994" s="9"/>
      <c r="N994" s="9"/>
      <c r="O994" s="9"/>
    </row>
    <row r="995">
      <c r="A995" s="9"/>
      <c r="E995" s="9"/>
      <c r="I995" s="9"/>
      <c r="J995" s="121"/>
      <c r="M995" s="9"/>
      <c r="N995" s="9"/>
      <c r="O995" s="9"/>
    </row>
  </sheetData>
  <conditionalFormatting sqref="D1">
    <cfRule type="notContainsBlanks" dxfId="0" priority="1">
      <formula>LEN(TRIM(D1))&gt;0</formula>
    </cfRule>
  </conditionalFormatting>
  <printOptions gridLines="1" horizontalCentered="1"/>
  <pageMargins bottom="0.75" footer="0.0" header="0.0" left="0.25" right="0.25" top="0.75"/>
  <pageSetup cellComments="atEnd" orientation="portrait"/>
  <colBreaks count="1" manualBreakCount="1">
    <brk id="7" man="1"/>
  </col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5"/>
    <col customWidth="1" min="2" max="2" width="17.75"/>
    <col customWidth="1" min="3" max="3" width="25.25"/>
    <col customWidth="1" min="4" max="4" width="7.38"/>
    <col customWidth="1" min="5" max="5" width="6.5"/>
    <col customWidth="1" min="6" max="6" width="16.0"/>
    <col customWidth="1" min="7" max="7" width="12.0"/>
    <col customWidth="1" min="8" max="8" width="10.13"/>
    <col customWidth="1" min="9" max="10" width="5.75"/>
    <col customWidth="1" min="11" max="11" width="8.25"/>
    <col customWidth="1" min="12" max="12" width="5.63"/>
    <col customWidth="1" min="13" max="13" width="9.5"/>
    <col customWidth="1" min="14" max="14" width="6.5"/>
    <col customWidth="1" min="15" max="15" width="5.75"/>
    <col customWidth="1" min="16" max="16" width="10.25"/>
    <col customWidth="1" min="17" max="17" width="5.88"/>
    <col customWidth="1" min="18" max="18" width="4.75"/>
    <col customWidth="1" min="19" max="19" width="7.5"/>
    <col customWidth="1" min="20" max="20" width="5.88"/>
    <col customWidth="1" min="21" max="21" width="4.75"/>
    <col customWidth="1" min="22" max="22" width="7.5"/>
    <col customWidth="1" min="23" max="23" width="5.88"/>
    <col customWidth="1" min="24" max="24" width="3.5"/>
    <col customWidth="1" min="25" max="25" width="7.5"/>
    <col customWidth="1" min="26" max="26" width="8.38"/>
  </cols>
  <sheetData>
    <row r="1">
      <c r="A1" s="4" t="s">
        <v>1116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2" t="s">
        <v>8</v>
      </c>
      <c r="B2" s="31" t="s">
        <v>9</v>
      </c>
      <c r="C2" s="31" t="s">
        <v>10</v>
      </c>
      <c r="D2" s="247" t="s">
        <v>1000</v>
      </c>
      <c r="E2" s="247" t="s">
        <v>12</v>
      </c>
      <c r="F2" s="31" t="s">
        <v>13</v>
      </c>
      <c r="G2" s="32" t="s">
        <v>14</v>
      </c>
      <c r="H2" s="31" t="s">
        <v>896</v>
      </c>
      <c r="I2" s="31" t="s">
        <v>16</v>
      </c>
      <c r="J2" s="236" t="s">
        <v>17</v>
      </c>
      <c r="K2" s="31" t="s">
        <v>18</v>
      </c>
      <c r="L2" s="31" t="s">
        <v>19</v>
      </c>
      <c r="M2" s="32" t="s">
        <v>20</v>
      </c>
      <c r="N2" s="32" t="s">
        <v>249</v>
      </c>
      <c r="O2" s="32" t="s">
        <v>250</v>
      </c>
      <c r="P2" s="31" t="s">
        <v>23</v>
      </c>
      <c r="Q2" s="210" t="s">
        <v>251</v>
      </c>
      <c r="R2" s="210" t="s">
        <v>252</v>
      </c>
      <c r="S2" s="210" t="s">
        <v>253</v>
      </c>
      <c r="T2" s="210" t="s">
        <v>251</v>
      </c>
      <c r="U2" s="210" t="s">
        <v>252</v>
      </c>
      <c r="V2" s="210" t="s">
        <v>253</v>
      </c>
      <c r="W2" s="210" t="s">
        <v>251</v>
      </c>
      <c r="X2" s="210" t="s">
        <v>252</v>
      </c>
      <c r="Y2" s="210" t="s">
        <v>253</v>
      </c>
      <c r="Z2" s="210"/>
    </row>
    <row r="3">
      <c r="A3" s="5">
        <v>1.0</v>
      </c>
      <c r="B3" s="6" t="s">
        <v>1117</v>
      </c>
      <c r="C3" s="6" t="s">
        <v>1118</v>
      </c>
      <c r="D3" s="7" t="s">
        <v>2</v>
      </c>
      <c r="E3" s="7">
        <v>1280.0</v>
      </c>
      <c r="F3" s="6" t="s">
        <v>33</v>
      </c>
      <c r="G3" s="5">
        <v>9.799128926E9</v>
      </c>
      <c r="I3" s="6">
        <v>20000.0</v>
      </c>
      <c r="J3" s="238">
        <v>5000.0</v>
      </c>
      <c r="M3" s="9">
        <f t="shared" ref="M3:M70" si="1">(H3+I3+J3+K3-L3)</f>
        <v>25000</v>
      </c>
      <c r="N3" s="9">
        <f t="shared" ref="N3:N70" si="2">SUM(Q3, T3, W3)</f>
        <v>0</v>
      </c>
      <c r="O3" s="9">
        <f t="shared" ref="O3:O70" si="3">(M3-N3)</f>
        <v>25000</v>
      </c>
      <c r="R3" s="6" t="s">
        <v>1119</v>
      </c>
      <c r="T3" s="6" t="s">
        <v>1120</v>
      </c>
    </row>
    <row r="4">
      <c r="A4" s="5">
        <v>2.0</v>
      </c>
      <c r="B4" s="6" t="s">
        <v>1121</v>
      </c>
      <c r="C4" s="6" t="s">
        <v>1122</v>
      </c>
      <c r="D4" s="7" t="s">
        <v>1006</v>
      </c>
      <c r="E4" s="7">
        <v>1364.0</v>
      </c>
      <c r="G4" s="5">
        <v>8.619695888E9</v>
      </c>
      <c r="I4" s="6">
        <v>17000.0</v>
      </c>
      <c r="J4" s="121"/>
      <c r="M4" s="9">
        <f t="shared" si="1"/>
        <v>17000</v>
      </c>
      <c r="N4" s="9">
        <f t="shared" si="2"/>
        <v>2500</v>
      </c>
      <c r="O4" s="9">
        <f t="shared" si="3"/>
        <v>14500</v>
      </c>
      <c r="Q4" s="6">
        <v>2500.0</v>
      </c>
      <c r="R4" s="6">
        <v>4062.0</v>
      </c>
      <c r="S4" s="6" t="s">
        <v>1123</v>
      </c>
    </row>
    <row r="5">
      <c r="A5" s="5">
        <v>4.0</v>
      </c>
      <c r="B5" s="6" t="s">
        <v>1124</v>
      </c>
      <c r="C5" s="6" t="s">
        <v>1125</v>
      </c>
      <c r="D5" s="7" t="s">
        <v>1006</v>
      </c>
      <c r="E5" s="7">
        <v>1546.0</v>
      </c>
      <c r="G5" s="5">
        <v>9.680405984E9</v>
      </c>
      <c r="I5" s="6">
        <v>17000.0</v>
      </c>
      <c r="J5" s="121"/>
      <c r="M5" s="9">
        <f t="shared" si="1"/>
        <v>17000</v>
      </c>
      <c r="N5" s="9">
        <f t="shared" si="2"/>
        <v>10000</v>
      </c>
      <c r="O5" s="9">
        <f t="shared" si="3"/>
        <v>7000</v>
      </c>
      <c r="Q5" s="6">
        <v>10000.0</v>
      </c>
      <c r="R5" s="6">
        <v>3833.0</v>
      </c>
      <c r="S5" s="240">
        <v>45941.0</v>
      </c>
    </row>
    <row r="6">
      <c r="A6" s="5">
        <v>5.0</v>
      </c>
      <c r="B6" s="6" t="s">
        <v>1126</v>
      </c>
      <c r="C6" s="6" t="s">
        <v>504</v>
      </c>
      <c r="D6" s="7" t="s">
        <v>2</v>
      </c>
      <c r="E6" s="7">
        <v>1351.0</v>
      </c>
      <c r="F6" s="6" t="s">
        <v>433</v>
      </c>
      <c r="G6" s="5">
        <v>7.725915544E9</v>
      </c>
      <c r="H6" s="242"/>
      <c r="I6" s="244">
        <v>20000.0</v>
      </c>
      <c r="J6" s="241">
        <v>7000.0</v>
      </c>
      <c r="K6" s="242"/>
      <c r="L6" s="242"/>
      <c r="M6" s="9">
        <f t="shared" si="1"/>
        <v>27000</v>
      </c>
      <c r="N6" s="9">
        <f t="shared" si="2"/>
        <v>10000</v>
      </c>
      <c r="O6" s="9">
        <f t="shared" si="3"/>
        <v>17000</v>
      </c>
      <c r="Q6" s="6">
        <v>5000.0</v>
      </c>
      <c r="R6" s="6">
        <v>3506.0</v>
      </c>
      <c r="S6" s="27">
        <v>45757.0</v>
      </c>
      <c r="T6" s="6">
        <v>5000.0</v>
      </c>
      <c r="U6" s="6">
        <v>3925.0</v>
      </c>
      <c r="V6" s="6" t="s">
        <v>349</v>
      </c>
    </row>
    <row r="7">
      <c r="A7" s="5">
        <v>6.0</v>
      </c>
      <c r="B7" s="6" t="s">
        <v>1127</v>
      </c>
      <c r="C7" s="6" t="s">
        <v>1128</v>
      </c>
      <c r="D7" s="7" t="s">
        <v>1006</v>
      </c>
      <c r="E7" s="7">
        <v>1859.0</v>
      </c>
      <c r="F7" s="10" t="s">
        <v>1129</v>
      </c>
      <c r="G7" s="15">
        <v>9.950063964E9</v>
      </c>
      <c r="H7" s="15">
        <v>1000.0</v>
      </c>
      <c r="I7" s="6">
        <v>17000.0</v>
      </c>
      <c r="J7" s="16">
        <v>9000.0</v>
      </c>
      <c r="K7" s="10"/>
      <c r="L7" s="15">
        <v>5000.0</v>
      </c>
      <c r="M7" s="9">
        <f t="shared" si="1"/>
        <v>22000</v>
      </c>
      <c r="N7" s="9">
        <f t="shared" si="2"/>
        <v>9000</v>
      </c>
      <c r="O7" s="9">
        <f t="shared" si="3"/>
        <v>13000</v>
      </c>
      <c r="P7" s="10" t="s">
        <v>44</v>
      </c>
      <c r="Q7" s="16">
        <v>5000.0</v>
      </c>
      <c r="R7" s="16">
        <v>2979.0</v>
      </c>
      <c r="S7" s="17">
        <v>45968.0</v>
      </c>
      <c r="T7" s="6">
        <v>4000.0</v>
      </c>
      <c r="U7" s="6">
        <v>3585.0</v>
      </c>
      <c r="V7" s="248" t="s">
        <v>635</v>
      </c>
    </row>
    <row r="8">
      <c r="A8" s="5">
        <v>7.0</v>
      </c>
      <c r="B8" s="6" t="s">
        <v>1130</v>
      </c>
      <c r="C8" s="6" t="s">
        <v>1131</v>
      </c>
      <c r="D8" s="7" t="s">
        <v>1132</v>
      </c>
      <c r="E8" s="9"/>
      <c r="F8" s="6" t="s">
        <v>169</v>
      </c>
      <c r="G8" s="5">
        <v>9.799530479E9</v>
      </c>
      <c r="H8" s="6">
        <v>1000.0</v>
      </c>
      <c r="I8" s="6">
        <v>17000.0</v>
      </c>
      <c r="J8" s="238">
        <v>7000.0</v>
      </c>
      <c r="L8" s="6">
        <v>4000.0</v>
      </c>
      <c r="M8" s="9">
        <f t="shared" si="1"/>
        <v>21000</v>
      </c>
      <c r="N8" s="9">
        <f t="shared" si="2"/>
        <v>0</v>
      </c>
      <c r="O8" s="9">
        <f t="shared" si="3"/>
        <v>21000</v>
      </c>
    </row>
    <row r="9">
      <c r="A9" s="5">
        <v>9.0</v>
      </c>
      <c r="B9" s="6" t="s">
        <v>1133</v>
      </c>
      <c r="C9" s="6" t="s">
        <v>307</v>
      </c>
      <c r="D9" s="7" t="s">
        <v>1006</v>
      </c>
      <c r="E9" s="7">
        <v>1353.0</v>
      </c>
      <c r="G9" s="5">
        <v>9.950575004E9</v>
      </c>
      <c r="I9" s="6">
        <v>17000.0</v>
      </c>
      <c r="J9" s="121"/>
      <c r="M9" s="9">
        <f t="shared" si="1"/>
        <v>17000</v>
      </c>
      <c r="N9" s="9">
        <f t="shared" si="2"/>
        <v>0</v>
      </c>
      <c r="O9" s="9">
        <f t="shared" si="3"/>
        <v>17000</v>
      </c>
    </row>
    <row r="10">
      <c r="A10" s="5">
        <v>10.0</v>
      </c>
      <c r="B10" s="6" t="s">
        <v>1134</v>
      </c>
      <c r="C10" s="6" t="s">
        <v>641</v>
      </c>
      <c r="D10" s="7" t="s">
        <v>1006</v>
      </c>
      <c r="E10" s="7">
        <v>1279.0</v>
      </c>
      <c r="G10" s="5">
        <v>8.000420581E9</v>
      </c>
      <c r="I10" s="6">
        <v>17000.0</v>
      </c>
      <c r="J10" s="121"/>
      <c r="M10" s="9">
        <f t="shared" si="1"/>
        <v>17000</v>
      </c>
      <c r="N10" s="9">
        <f t="shared" si="2"/>
        <v>0</v>
      </c>
      <c r="O10" s="9">
        <f t="shared" si="3"/>
        <v>17000</v>
      </c>
    </row>
    <row r="11">
      <c r="A11" s="5">
        <v>11.0</v>
      </c>
      <c r="B11" s="6" t="s">
        <v>1135</v>
      </c>
      <c r="C11" s="6" t="s">
        <v>1136</v>
      </c>
      <c r="D11" s="7" t="s">
        <v>1006</v>
      </c>
      <c r="E11" s="7">
        <v>1678.0</v>
      </c>
      <c r="F11" s="6" t="s">
        <v>130</v>
      </c>
      <c r="G11" s="5">
        <v>9.001066805E9</v>
      </c>
      <c r="I11" s="6">
        <v>17000.0</v>
      </c>
      <c r="J11" s="238">
        <v>5000.0</v>
      </c>
      <c r="L11" s="6">
        <v>4000.0</v>
      </c>
      <c r="M11" s="9">
        <f t="shared" si="1"/>
        <v>18000</v>
      </c>
      <c r="N11" s="9">
        <f t="shared" si="2"/>
        <v>8000</v>
      </c>
      <c r="O11" s="9">
        <f t="shared" si="3"/>
        <v>10000</v>
      </c>
      <c r="Q11" s="6">
        <v>8000.0</v>
      </c>
      <c r="R11" s="6">
        <v>3807.0</v>
      </c>
      <c r="S11" s="27">
        <v>45880.0</v>
      </c>
    </row>
    <row r="12">
      <c r="A12" s="5">
        <v>12.0</v>
      </c>
      <c r="B12" s="6" t="s">
        <v>1137</v>
      </c>
      <c r="C12" s="6" t="s">
        <v>197</v>
      </c>
      <c r="D12" s="7" t="s">
        <v>2</v>
      </c>
      <c r="E12" s="7">
        <v>1876.0</v>
      </c>
      <c r="F12" s="10" t="s">
        <v>1138</v>
      </c>
      <c r="G12" s="15">
        <v>9.636154515E9</v>
      </c>
      <c r="H12" s="15">
        <v>1000.0</v>
      </c>
      <c r="I12" s="6">
        <v>20000.0</v>
      </c>
      <c r="J12" s="16">
        <v>6500.0</v>
      </c>
      <c r="K12" s="10"/>
      <c r="L12" s="15">
        <v>2500.0</v>
      </c>
      <c r="M12" s="9">
        <f t="shared" si="1"/>
        <v>25000</v>
      </c>
      <c r="N12" s="9">
        <f t="shared" si="2"/>
        <v>15000</v>
      </c>
      <c r="O12" s="9">
        <f t="shared" si="3"/>
        <v>10000</v>
      </c>
      <c r="P12" s="10" t="s">
        <v>177</v>
      </c>
      <c r="Q12" s="16">
        <v>15000.0</v>
      </c>
      <c r="R12" s="16">
        <v>2862.0</v>
      </c>
      <c r="S12" s="17">
        <v>45664.0</v>
      </c>
    </row>
    <row r="13">
      <c r="A13" s="5">
        <v>13.0</v>
      </c>
      <c r="B13" s="6" t="s">
        <v>1139</v>
      </c>
      <c r="C13" s="6" t="s">
        <v>1140</v>
      </c>
      <c r="D13" s="7" t="s">
        <v>1006</v>
      </c>
      <c r="E13" s="7">
        <v>1361.0</v>
      </c>
      <c r="F13" s="6" t="s">
        <v>3</v>
      </c>
      <c r="G13" s="5">
        <v>9.929094984E9</v>
      </c>
      <c r="I13" s="6">
        <v>17000.0</v>
      </c>
      <c r="J13" s="238">
        <v>6500.0</v>
      </c>
      <c r="M13" s="9">
        <f t="shared" si="1"/>
        <v>23500</v>
      </c>
      <c r="N13" s="9">
        <f t="shared" si="2"/>
        <v>0</v>
      </c>
      <c r="O13" s="9">
        <f t="shared" si="3"/>
        <v>23500</v>
      </c>
    </row>
    <row r="14">
      <c r="A14" s="5">
        <v>14.0</v>
      </c>
      <c r="B14" s="6" t="s">
        <v>1141</v>
      </c>
      <c r="C14" s="6" t="s">
        <v>1142</v>
      </c>
      <c r="D14" s="7" t="s">
        <v>1006</v>
      </c>
      <c r="E14" s="7">
        <v>1981.0</v>
      </c>
      <c r="F14" s="10" t="s">
        <v>652</v>
      </c>
      <c r="G14" s="15">
        <v>9.001585099E9</v>
      </c>
      <c r="H14" s="15">
        <v>1000.0</v>
      </c>
      <c r="I14" s="6">
        <v>17000.0</v>
      </c>
      <c r="J14" s="16">
        <v>8000.0</v>
      </c>
      <c r="K14" s="10"/>
      <c r="L14" s="15">
        <v>3000.0</v>
      </c>
      <c r="M14" s="9">
        <f t="shared" si="1"/>
        <v>23000</v>
      </c>
      <c r="N14" s="9">
        <f t="shared" si="2"/>
        <v>17000</v>
      </c>
      <c r="O14" s="9">
        <f t="shared" si="3"/>
        <v>6000</v>
      </c>
      <c r="P14" s="10" t="s">
        <v>131</v>
      </c>
      <c r="Q14" s="16">
        <v>10000.0</v>
      </c>
      <c r="R14" s="16">
        <v>3006.0</v>
      </c>
      <c r="S14" s="10" t="s">
        <v>191</v>
      </c>
      <c r="T14" s="6">
        <v>7000.0</v>
      </c>
      <c r="U14" s="6">
        <v>3930.0</v>
      </c>
      <c r="V14" s="6" t="s">
        <v>132</v>
      </c>
    </row>
    <row r="15">
      <c r="A15" s="5">
        <v>15.0</v>
      </c>
      <c r="B15" s="6" t="s">
        <v>1143</v>
      </c>
      <c r="C15" s="6" t="s">
        <v>1144</v>
      </c>
      <c r="D15" s="7" t="s">
        <v>1006</v>
      </c>
      <c r="E15" s="7">
        <v>1696.0</v>
      </c>
      <c r="G15" s="5">
        <v>9.351084038E9</v>
      </c>
      <c r="I15" s="6">
        <v>17000.0</v>
      </c>
      <c r="J15" s="121"/>
      <c r="M15" s="9">
        <f t="shared" si="1"/>
        <v>17000</v>
      </c>
      <c r="N15" s="9">
        <f t="shared" si="2"/>
        <v>0</v>
      </c>
      <c r="O15" s="9">
        <f t="shared" si="3"/>
        <v>17000</v>
      </c>
    </row>
    <row r="16">
      <c r="A16" s="5">
        <v>16.0</v>
      </c>
      <c r="B16" s="6" t="s">
        <v>1145</v>
      </c>
      <c r="C16" s="6" t="s">
        <v>1146</v>
      </c>
      <c r="D16" s="7" t="s">
        <v>1006</v>
      </c>
      <c r="E16" s="7">
        <v>1612.0</v>
      </c>
      <c r="G16" s="5">
        <v>8.000248034E9</v>
      </c>
      <c r="I16" s="6">
        <v>17000.0</v>
      </c>
      <c r="J16" s="121"/>
      <c r="M16" s="9">
        <f t="shared" si="1"/>
        <v>17000</v>
      </c>
      <c r="N16" s="9">
        <f t="shared" si="2"/>
        <v>0</v>
      </c>
      <c r="O16" s="9">
        <f t="shared" si="3"/>
        <v>17000</v>
      </c>
    </row>
    <row r="17">
      <c r="A17" s="5">
        <v>17.0</v>
      </c>
      <c r="B17" s="6" t="s">
        <v>237</v>
      </c>
      <c r="C17" s="6" t="s">
        <v>1147</v>
      </c>
      <c r="D17" s="7" t="s">
        <v>1006</v>
      </c>
      <c r="E17" s="7">
        <v>1291.0</v>
      </c>
      <c r="G17" s="5">
        <v>8.875564698E9</v>
      </c>
      <c r="I17" s="6">
        <v>17000.0</v>
      </c>
      <c r="J17" s="121"/>
      <c r="M17" s="9">
        <f t="shared" si="1"/>
        <v>17000</v>
      </c>
      <c r="N17" s="9">
        <f t="shared" si="2"/>
        <v>5000</v>
      </c>
      <c r="O17" s="9">
        <f t="shared" si="3"/>
        <v>12000</v>
      </c>
      <c r="Q17" s="6">
        <v>5000.0</v>
      </c>
      <c r="R17" s="6">
        <v>4032.0</v>
      </c>
      <c r="S17" s="6" t="s">
        <v>261</v>
      </c>
    </row>
    <row r="18">
      <c r="A18" s="5">
        <v>18.0</v>
      </c>
      <c r="B18" s="6" t="s">
        <v>1148</v>
      </c>
      <c r="C18" s="6" t="s">
        <v>1149</v>
      </c>
      <c r="D18" s="7" t="s">
        <v>2</v>
      </c>
      <c r="E18" s="7">
        <v>1653.0</v>
      </c>
      <c r="F18" s="6" t="s">
        <v>364</v>
      </c>
      <c r="G18" s="5">
        <v>7.425986541E9</v>
      </c>
      <c r="I18" s="244">
        <v>20000.0</v>
      </c>
      <c r="J18" s="241">
        <v>7000.0</v>
      </c>
      <c r="K18" s="242"/>
      <c r="L18" s="242"/>
      <c r="M18" s="9">
        <f t="shared" si="1"/>
        <v>27000</v>
      </c>
      <c r="N18" s="9">
        <f t="shared" si="2"/>
        <v>5000</v>
      </c>
      <c r="O18" s="9">
        <f t="shared" si="3"/>
        <v>22000</v>
      </c>
      <c r="Q18" s="6">
        <v>5000.0</v>
      </c>
      <c r="R18" s="6">
        <v>3426.0</v>
      </c>
      <c r="S18" s="6" t="s">
        <v>136</v>
      </c>
    </row>
    <row r="19">
      <c r="A19" s="5">
        <v>19.0</v>
      </c>
      <c r="B19" s="6" t="s">
        <v>1150</v>
      </c>
      <c r="C19" s="6" t="s">
        <v>328</v>
      </c>
      <c r="D19" s="7" t="s">
        <v>1006</v>
      </c>
      <c r="E19" s="7">
        <v>1303.0</v>
      </c>
      <c r="F19" s="10" t="s">
        <v>145</v>
      </c>
      <c r="G19" s="15">
        <v>9.571843608E9</v>
      </c>
      <c r="H19" s="10"/>
      <c r="I19" s="6">
        <v>17000.0</v>
      </c>
      <c r="J19" s="228">
        <v>0.0</v>
      </c>
      <c r="K19" s="10"/>
      <c r="L19" s="10"/>
      <c r="M19" s="9">
        <f t="shared" si="1"/>
        <v>17000</v>
      </c>
      <c r="N19" s="9">
        <f t="shared" si="2"/>
        <v>8000</v>
      </c>
      <c r="O19" s="9">
        <f t="shared" si="3"/>
        <v>9000</v>
      </c>
      <c r="P19" s="10"/>
      <c r="Q19" s="16">
        <v>4000.0</v>
      </c>
      <c r="R19" s="16">
        <v>3120.0</v>
      </c>
      <c r="S19" s="17">
        <v>45665.0</v>
      </c>
      <c r="T19" s="6">
        <v>2000.0</v>
      </c>
      <c r="U19" s="6">
        <v>4011.0</v>
      </c>
      <c r="V19" s="6" t="s">
        <v>312</v>
      </c>
      <c r="W19" s="6">
        <v>2000.0</v>
      </c>
      <c r="X19" s="6">
        <v>4053.0</v>
      </c>
      <c r="Y19" s="6" t="s">
        <v>1020</v>
      </c>
    </row>
    <row r="20">
      <c r="A20" s="5">
        <v>21.0</v>
      </c>
      <c r="B20" s="6" t="s">
        <v>1151</v>
      </c>
      <c r="C20" s="6" t="s">
        <v>1152</v>
      </c>
      <c r="D20" s="7" t="s">
        <v>1006</v>
      </c>
      <c r="E20" s="7">
        <v>1357.0</v>
      </c>
      <c r="G20" s="5">
        <v>9.636150074E9</v>
      </c>
      <c r="I20" s="6">
        <v>17000.0</v>
      </c>
      <c r="J20" s="121"/>
      <c r="M20" s="9">
        <f t="shared" si="1"/>
        <v>17000</v>
      </c>
      <c r="N20" s="9">
        <f t="shared" si="2"/>
        <v>3500</v>
      </c>
      <c r="O20" s="9">
        <f t="shared" si="3"/>
        <v>13500</v>
      </c>
      <c r="Q20" s="6">
        <v>3500.0</v>
      </c>
      <c r="R20" s="6">
        <v>4064.0</v>
      </c>
      <c r="S20" s="27">
        <v>45669.0</v>
      </c>
    </row>
    <row r="21">
      <c r="A21" s="5">
        <v>22.0</v>
      </c>
      <c r="B21" s="6" t="s">
        <v>1153</v>
      </c>
      <c r="C21" s="6" t="s">
        <v>1154</v>
      </c>
      <c r="D21" s="7" t="s">
        <v>2</v>
      </c>
      <c r="E21" s="7">
        <v>1213.0</v>
      </c>
      <c r="F21" s="10" t="s">
        <v>126</v>
      </c>
      <c r="G21" s="26">
        <v>8.875138965E9</v>
      </c>
      <c r="H21" s="15">
        <v>0.0</v>
      </c>
      <c r="I21" s="6">
        <v>20000.0</v>
      </c>
      <c r="J21" s="16">
        <v>5000.0</v>
      </c>
      <c r="K21" s="10"/>
      <c r="L21" s="15">
        <v>4000.0</v>
      </c>
      <c r="M21" s="9">
        <f t="shared" si="1"/>
        <v>21000</v>
      </c>
      <c r="N21" s="9">
        <f t="shared" si="2"/>
        <v>15000</v>
      </c>
      <c r="O21" s="9">
        <f t="shared" si="3"/>
        <v>6000</v>
      </c>
      <c r="P21" s="10" t="s">
        <v>131</v>
      </c>
      <c r="Q21" s="6">
        <v>9000.0</v>
      </c>
      <c r="R21" s="6">
        <v>3257.0</v>
      </c>
      <c r="S21" s="6" t="s">
        <v>727</v>
      </c>
      <c r="T21" s="6">
        <v>6000.0</v>
      </c>
      <c r="U21" s="6">
        <v>3855.0</v>
      </c>
      <c r="V21" s="240">
        <v>45941.0</v>
      </c>
    </row>
    <row r="22">
      <c r="A22" s="5">
        <v>23.0</v>
      </c>
      <c r="B22" s="6" t="s">
        <v>1155</v>
      </c>
      <c r="C22" s="6" t="s">
        <v>1156</v>
      </c>
      <c r="D22" s="7" t="s">
        <v>1006</v>
      </c>
      <c r="E22" s="7">
        <v>1097.0</v>
      </c>
      <c r="F22" s="6" t="s">
        <v>126</v>
      </c>
      <c r="G22" s="5">
        <v>6.375172113E9</v>
      </c>
      <c r="I22" s="6">
        <v>17000.0</v>
      </c>
      <c r="J22" s="238">
        <v>5000.0</v>
      </c>
      <c r="L22" s="6">
        <v>4000.0</v>
      </c>
      <c r="M22" s="9">
        <f t="shared" si="1"/>
        <v>18000</v>
      </c>
      <c r="N22" s="9">
        <f t="shared" si="2"/>
        <v>8000</v>
      </c>
      <c r="O22" s="9">
        <f t="shared" si="3"/>
        <v>10000</v>
      </c>
      <c r="P22" s="6" t="s">
        <v>131</v>
      </c>
      <c r="Q22" s="6">
        <v>8000.0</v>
      </c>
      <c r="R22" s="6">
        <v>3856.0</v>
      </c>
      <c r="S22" s="240">
        <v>45941.0</v>
      </c>
    </row>
    <row r="23">
      <c r="A23" s="5">
        <v>24.0</v>
      </c>
      <c r="B23" s="6" t="s">
        <v>636</v>
      </c>
      <c r="C23" s="6" t="s">
        <v>1157</v>
      </c>
      <c r="D23" s="7" t="s">
        <v>1132</v>
      </c>
      <c r="E23" s="5">
        <v>2028.0</v>
      </c>
      <c r="F23" s="6" t="s">
        <v>662</v>
      </c>
      <c r="G23" s="5">
        <v>7.728870672E9</v>
      </c>
      <c r="H23" s="6">
        <v>1000.0</v>
      </c>
      <c r="I23" s="6">
        <v>17000.0</v>
      </c>
      <c r="J23" s="238">
        <v>6500.0</v>
      </c>
      <c r="L23" s="6">
        <v>2500.0</v>
      </c>
      <c r="M23" s="9">
        <f t="shared" si="1"/>
        <v>22000</v>
      </c>
      <c r="N23" s="9">
        <f t="shared" si="2"/>
        <v>11000</v>
      </c>
      <c r="O23" s="9">
        <f t="shared" si="3"/>
        <v>11000</v>
      </c>
      <c r="Q23" s="6">
        <v>1000.0</v>
      </c>
      <c r="R23" s="6">
        <v>3306.0</v>
      </c>
      <c r="S23" s="6" t="s">
        <v>962</v>
      </c>
      <c r="T23" s="6">
        <v>5000.0</v>
      </c>
      <c r="U23" s="6">
        <v>3333.0</v>
      </c>
      <c r="V23" s="6" t="s">
        <v>241</v>
      </c>
      <c r="W23" s="6">
        <v>5000.0</v>
      </c>
      <c r="X23" s="6">
        <v>3738.0</v>
      </c>
      <c r="Y23" s="6" t="s">
        <v>291</v>
      </c>
    </row>
    <row r="24">
      <c r="A24" s="5">
        <v>25.0</v>
      </c>
      <c r="B24" s="6" t="s">
        <v>1158</v>
      </c>
      <c r="C24" s="6" t="s">
        <v>1159</v>
      </c>
      <c r="D24" s="7" t="s">
        <v>2</v>
      </c>
      <c r="E24" s="7">
        <v>1933.0</v>
      </c>
      <c r="F24" s="10" t="s">
        <v>1013</v>
      </c>
      <c r="G24" s="15">
        <v>9.414677708E9</v>
      </c>
      <c r="H24" s="15">
        <v>1000.0</v>
      </c>
      <c r="I24" s="6">
        <v>20000.0</v>
      </c>
      <c r="J24" s="16">
        <v>0.0</v>
      </c>
      <c r="K24" s="10"/>
      <c r="L24" s="15">
        <v>21000.0</v>
      </c>
      <c r="M24" s="9">
        <f t="shared" si="1"/>
        <v>0</v>
      </c>
      <c r="N24" s="9">
        <f t="shared" si="2"/>
        <v>0</v>
      </c>
      <c r="O24" s="9">
        <f t="shared" si="3"/>
        <v>0</v>
      </c>
      <c r="P24" s="10" t="s">
        <v>34</v>
      </c>
    </row>
    <row r="25">
      <c r="A25" s="5">
        <v>26.0</v>
      </c>
      <c r="B25" s="6" t="s">
        <v>176</v>
      </c>
      <c r="C25" s="6" t="s">
        <v>1160</v>
      </c>
      <c r="D25" s="7" t="s">
        <v>1071</v>
      </c>
      <c r="E25" s="7">
        <v>1668.0</v>
      </c>
      <c r="I25" s="6">
        <v>17000.0</v>
      </c>
      <c r="J25" s="121"/>
      <c r="M25" s="9">
        <f t="shared" si="1"/>
        <v>17000</v>
      </c>
      <c r="N25" s="9">
        <f t="shared" si="2"/>
        <v>0</v>
      </c>
      <c r="O25" s="9">
        <f t="shared" si="3"/>
        <v>17000</v>
      </c>
    </row>
    <row r="26">
      <c r="A26" s="5">
        <v>27.0</v>
      </c>
      <c r="B26" s="6" t="s">
        <v>1161</v>
      </c>
      <c r="C26" s="6" t="s">
        <v>1162</v>
      </c>
      <c r="D26" s="7" t="s">
        <v>2</v>
      </c>
      <c r="E26" s="9"/>
      <c r="G26" s="5">
        <v>9.993502441E9</v>
      </c>
      <c r="I26" s="6">
        <v>20000.0</v>
      </c>
      <c r="J26" s="121"/>
      <c r="M26" s="9">
        <f t="shared" si="1"/>
        <v>20000</v>
      </c>
      <c r="N26" s="9">
        <f t="shared" si="2"/>
        <v>0</v>
      </c>
      <c r="O26" s="9">
        <f t="shared" si="3"/>
        <v>20000</v>
      </c>
    </row>
    <row r="27">
      <c r="A27" s="5">
        <v>28.0</v>
      </c>
      <c r="B27" s="6" t="s">
        <v>642</v>
      </c>
      <c r="C27" s="6" t="s">
        <v>1163</v>
      </c>
      <c r="D27" s="7" t="s">
        <v>1006</v>
      </c>
      <c r="E27" s="7">
        <v>1356.0</v>
      </c>
      <c r="F27" s="10" t="s">
        <v>188</v>
      </c>
      <c r="G27" s="15">
        <v>8.107083355E9</v>
      </c>
      <c r="H27" s="15">
        <v>0.0</v>
      </c>
      <c r="I27" s="6">
        <v>17000.0</v>
      </c>
      <c r="J27" s="16">
        <v>5000.0</v>
      </c>
      <c r="K27" s="10"/>
      <c r="L27" s="15">
        <v>4000.0</v>
      </c>
      <c r="M27" s="9">
        <f t="shared" si="1"/>
        <v>18000</v>
      </c>
      <c r="N27" s="9">
        <f t="shared" si="2"/>
        <v>6000</v>
      </c>
      <c r="O27" s="9">
        <f t="shared" si="3"/>
        <v>12000</v>
      </c>
      <c r="P27" s="10" t="s">
        <v>34</v>
      </c>
      <c r="Q27" s="6">
        <v>6000.0</v>
      </c>
      <c r="R27" s="6">
        <v>3470.0</v>
      </c>
      <c r="S27" s="27">
        <v>45726.0</v>
      </c>
    </row>
    <row r="28">
      <c r="A28" s="5">
        <v>29.0</v>
      </c>
      <c r="B28" s="6" t="s">
        <v>1037</v>
      </c>
      <c r="C28" s="6" t="s">
        <v>1164</v>
      </c>
      <c r="D28" s="7" t="s">
        <v>2</v>
      </c>
      <c r="E28" s="7">
        <v>1424.0</v>
      </c>
      <c r="F28" s="10" t="s">
        <v>286</v>
      </c>
      <c r="G28" s="15">
        <v>7.357151211E9</v>
      </c>
      <c r="H28" s="15">
        <v>0.0</v>
      </c>
      <c r="I28" s="6">
        <v>20000.0</v>
      </c>
      <c r="J28" s="16">
        <v>0.0</v>
      </c>
      <c r="K28" s="10"/>
      <c r="L28" s="15">
        <v>3000.0</v>
      </c>
      <c r="M28" s="9">
        <f t="shared" si="1"/>
        <v>17000</v>
      </c>
      <c r="N28" s="9">
        <f t="shared" si="2"/>
        <v>11000</v>
      </c>
      <c r="O28" s="9">
        <f t="shared" si="3"/>
        <v>6000</v>
      </c>
      <c r="P28" s="10" t="s">
        <v>177</v>
      </c>
      <c r="Q28" s="16">
        <v>1000.0</v>
      </c>
      <c r="R28" s="16">
        <v>2938.0</v>
      </c>
      <c r="S28" s="17">
        <v>45876.0</v>
      </c>
      <c r="T28" s="6">
        <v>10000.0</v>
      </c>
      <c r="U28" s="6">
        <v>3983.0</v>
      </c>
      <c r="V28" s="6" t="s">
        <v>312</v>
      </c>
    </row>
    <row r="29">
      <c r="A29" s="5">
        <v>30.0</v>
      </c>
      <c r="B29" s="6" t="s">
        <v>660</v>
      </c>
      <c r="C29" s="6" t="s">
        <v>1165</v>
      </c>
      <c r="D29" s="7" t="s">
        <v>1006</v>
      </c>
      <c r="E29" s="7">
        <v>1288.0</v>
      </c>
      <c r="F29" s="6" t="s">
        <v>474</v>
      </c>
      <c r="G29" s="5">
        <v>9.799834512E9</v>
      </c>
      <c r="I29" s="6">
        <v>17000.0</v>
      </c>
      <c r="J29" s="238">
        <v>5000.0</v>
      </c>
      <c r="L29" s="6">
        <v>2000.0</v>
      </c>
      <c r="M29" s="9">
        <f t="shared" si="1"/>
        <v>20000</v>
      </c>
      <c r="N29" s="9">
        <f t="shared" si="2"/>
        <v>9000</v>
      </c>
      <c r="O29" s="9">
        <f t="shared" si="3"/>
        <v>11000</v>
      </c>
      <c r="Q29" s="6">
        <v>5000.0</v>
      </c>
      <c r="R29" s="6">
        <v>3250.0</v>
      </c>
      <c r="S29" s="6" t="s">
        <v>727</v>
      </c>
      <c r="T29" s="6">
        <v>4000.0</v>
      </c>
      <c r="U29" s="6">
        <v>3625.0</v>
      </c>
      <c r="V29" s="27">
        <v>45879.0</v>
      </c>
    </row>
    <row r="30">
      <c r="A30" s="5">
        <v>31.0</v>
      </c>
      <c r="B30" s="6" t="s">
        <v>1166</v>
      </c>
      <c r="C30" s="6" t="s">
        <v>1167</v>
      </c>
      <c r="D30" s="7" t="s">
        <v>1006</v>
      </c>
      <c r="E30" s="7">
        <v>1301.0</v>
      </c>
      <c r="F30" s="10" t="s">
        <v>474</v>
      </c>
      <c r="G30" s="15">
        <v>9.829905575E9</v>
      </c>
      <c r="H30" s="10"/>
      <c r="I30" s="6">
        <v>17000.0</v>
      </c>
      <c r="J30" s="228">
        <v>5000.0</v>
      </c>
      <c r="K30" s="10"/>
      <c r="L30" s="10"/>
      <c r="M30" s="9">
        <f t="shared" si="1"/>
        <v>22000</v>
      </c>
      <c r="N30" s="9">
        <f t="shared" si="2"/>
        <v>7000</v>
      </c>
      <c r="O30" s="9">
        <f t="shared" si="3"/>
        <v>15000</v>
      </c>
      <c r="P30" s="10"/>
      <c r="Q30" s="16">
        <v>4000.0</v>
      </c>
      <c r="R30" s="16">
        <v>3222.0</v>
      </c>
      <c r="S30" s="10" t="s">
        <v>562</v>
      </c>
      <c r="T30" s="6">
        <v>3000.0</v>
      </c>
      <c r="U30" s="6">
        <v>3752.0</v>
      </c>
      <c r="V30" s="6" t="s">
        <v>600</v>
      </c>
    </row>
    <row r="31">
      <c r="A31" s="5">
        <v>32.0</v>
      </c>
      <c r="B31" s="6" t="s">
        <v>1168</v>
      </c>
      <c r="C31" s="6" t="s">
        <v>1169</v>
      </c>
      <c r="D31" s="7" t="s">
        <v>1006</v>
      </c>
      <c r="E31" s="7">
        <v>1961.0</v>
      </c>
      <c r="F31" s="10" t="s">
        <v>1109</v>
      </c>
      <c r="G31" s="15">
        <v>9.521104527E9</v>
      </c>
      <c r="H31" s="15">
        <v>1000.0</v>
      </c>
      <c r="I31" s="15">
        <v>17000.0</v>
      </c>
      <c r="J31" s="16">
        <v>5000.0</v>
      </c>
      <c r="K31" s="10"/>
      <c r="L31" s="15">
        <v>5000.0</v>
      </c>
      <c r="M31" s="9">
        <f t="shared" si="1"/>
        <v>18000</v>
      </c>
      <c r="N31" s="9">
        <f t="shared" si="2"/>
        <v>17000</v>
      </c>
      <c r="O31" s="9">
        <f t="shared" si="3"/>
        <v>1000</v>
      </c>
      <c r="P31" s="10" t="s">
        <v>131</v>
      </c>
      <c r="Q31" s="16">
        <v>10000.0</v>
      </c>
      <c r="R31" s="16">
        <v>3098.0</v>
      </c>
      <c r="S31" s="10" t="s">
        <v>496</v>
      </c>
      <c r="T31" s="6">
        <v>7000.0</v>
      </c>
      <c r="U31" s="6">
        <v>4070.0</v>
      </c>
      <c r="V31" s="27">
        <v>45700.0</v>
      </c>
    </row>
    <row r="32">
      <c r="A32" s="5">
        <v>33.0</v>
      </c>
      <c r="B32" s="6" t="s">
        <v>373</v>
      </c>
      <c r="C32" s="6" t="s">
        <v>1170</v>
      </c>
      <c r="D32" s="7" t="s">
        <v>1006</v>
      </c>
      <c r="E32" s="7">
        <v>1930.0</v>
      </c>
      <c r="F32" s="10" t="s">
        <v>48</v>
      </c>
      <c r="G32" s="15">
        <v>9.079041975E9</v>
      </c>
      <c r="H32" s="15">
        <v>1000.0</v>
      </c>
      <c r="I32" s="15">
        <v>18000.0</v>
      </c>
      <c r="J32" s="16">
        <v>9500.0</v>
      </c>
      <c r="K32" s="10"/>
      <c r="L32" s="15">
        <v>4500.0</v>
      </c>
      <c r="M32" s="9">
        <f t="shared" si="1"/>
        <v>24000</v>
      </c>
      <c r="N32" s="9">
        <f t="shared" si="2"/>
        <v>5000</v>
      </c>
      <c r="O32" s="9">
        <f t="shared" si="3"/>
        <v>19000</v>
      </c>
      <c r="P32" s="10" t="s">
        <v>131</v>
      </c>
      <c r="Q32" s="16">
        <v>5000.0</v>
      </c>
      <c r="R32" s="16">
        <v>3065.0</v>
      </c>
      <c r="S32" s="10" t="s">
        <v>170</v>
      </c>
    </row>
    <row r="33">
      <c r="A33" s="5">
        <v>34.0</v>
      </c>
      <c r="B33" s="6" t="s">
        <v>1171</v>
      </c>
      <c r="C33" s="6" t="s">
        <v>1172</v>
      </c>
      <c r="D33" s="7" t="s">
        <v>2</v>
      </c>
      <c r="E33" s="7">
        <v>1355.0</v>
      </c>
      <c r="F33" s="6" t="s">
        <v>1173</v>
      </c>
      <c r="G33" s="5">
        <v>9.784053059E9</v>
      </c>
      <c r="I33" s="6">
        <v>20000.0</v>
      </c>
      <c r="J33" s="238">
        <v>6000.0</v>
      </c>
      <c r="L33" s="6">
        <v>6250.0</v>
      </c>
      <c r="M33" s="9">
        <f t="shared" si="1"/>
        <v>19750</v>
      </c>
      <c r="N33" s="9">
        <f t="shared" si="2"/>
        <v>5000</v>
      </c>
      <c r="O33" s="9">
        <f t="shared" si="3"/>
        <v>14750</v>
      </c>
      <c r="Q33" s="6">
        <v>5000.0</v>
      </c>
      <c r="R33" s="6">
        <v>3672.0</v>
      </c>
      <c r="S33" s="27">
        <v>45910.0</v>
      </c>
    </row>
    <row r="34">
      <c r="A34" s="5">
        <v>35.0</v>
      </c>
      <c r="B34" s="6" t="s">
        <v>1174</v>
      </c>
      <c r="C34" s="6" t="s">
        <v>1175</v>
      </c>
      <c r="D34" s="7" t="s">
        <v>2</v>
      </c>
      <c r="E34" s="7">
        <v>1284.0</v>
      </c>
      <c r="F34" s="6" t="s">
        <v>165</v>
      </c>
      <c r="G34" s="5">
        <v>9.952169099E9</v>
      </c>
      <c r="I34" s="6">
        <v>20000.0</v>
      </c>
      <c r="J34" s="238">
        <v>7000.0</v>
      </c>
      <c r="M34" s="9">
        <f t="shared" si="1"/>
        <v>27000</v>
      </c>
      <c r="N34" s="9">
        <f t="shared" si="2"/>
        <v>0</v>
      </c>
      <c r="O34" s="9">
        <f t="shared" si="3"/>
        <v>27000</v>
      </c>
    </row>
    <row r="35">
      <c r="A35" s="5">
        <v>36.0</v>
      </c>
      <c r="B35" s="6" t="s">
        <v>1176</v>
      </c>
      <c r="C35" s="6" t="s">
        <v>819</v>
      </c>
      <c r="D35" s="7" t="s">
        <v>1006</v>
      </c>
      <c r="E35" s="7">
        <v>1713.0</v>
      </c>
      <c r="F35" s="6" t="s">
        <v>298</v>
      </c>
      <c r="G35" s="5">
        <v>8.239928394E9</v>
      </c>
      <c r="H35" s="6">
        <v>0.0</v>
      </c>
      <c r="I35" s="6">
        <v>17000.0</v>
      </c>
      <c r="J35" s="238">
        <v>7000.0</v>
      </c>
      <c r="L35" s="6">
        <v>2000.0</v>
      </c>
      <c r="M35" s="9">
        <f t="shared" si="1"/>
        <v>22000</v>
      </c>
      <c r="N35" s="9">
        <f t="shared" si="2"/>
        <v>5000</v>
      </c>
      <c r="O35" s="9">
        <f t="shared" si="3"/>
        <v>17000</v>
      </c>
      <c r="P35" s="6" t="s">
        <v>148</v>
      </c>
      <c r="Q35" s="6">
        <v>5000.0</v>
      </c>
      <c r="R35" s="6">
        <v>3560.0</v>
      </c>
      <c r="S35" s="27">
        <v>45848.0</v>
      </c>
    </row>
    <row r="36">
      <c r="A36" s="5">
        <v>37.0</v>
      </c>
      <c r="B36" s="6" t="s">
        <v>1177</v>
      </c>
      <c r="C36" s="6" t="s">
        <v>1178</v>
      </c>
      <c r="D36" s="7" t="s">
        <v>1006</v>
      </c>
      <c r="E36" s="7">
        <v>1302.0</v>
      </c>
      <c r="F36" s="26" t="s">
        <v>48</v>
      </c>
      <c r="G36" s="15">
        <v>8.824579027E9</v>
      </c>
      <c r="H36" s="10"/>
      <c r="I36" s="6">
        <v>17000.0</v>
      </c>
      <c r="J36" s="228">
        <v>9500.0</v>
      </c>
      <c r="K36" s="10"/>
      <c r="L36" s="10"/>
      <c r="M36" s="9">
        <f t="shared" si="1"/>
        <v>26500</v>
      </c>
      <c r="N36" s="9">
        <f t="shared" si="2"/>
        <v>7500</v>
      </c>
      <c r="O36" s="9">
        <f t="shared" si="3"/>
        <v>19000</v>
      </c>
      <c r="P36" s="10"/>
      <c r="Q36" s="16">
        <v>5000.0</v>
      </c>
      <c r="R36" s="16">
        <v>2906.0</v>
      </c>
      <c r="S36" s="17">
        <v>45845.0</v>
      </c>
      <c r="T36" s="6">
        <v>2500.0</v>
      </c>
      <c r="U36" s="6">
        <v>3990.0</v>
      </c>
      <c r="V36" s="6" t="s">
        <v>312</v>
      </c>
      <c r="Z36" s="68"/>
    </row>
    <row r="37">
      <c r="A37" s="5">
        <v>38.0</v>
      </c>
      <c r="B37" s="6" t="s">
        <v>1179</v>
      </c>
      <c r="C37" s="6" t="s">
        <v>1180</v>
      </c>
      <c r="D37" s="7" t="s">
        <v>1006</v>
      </c>
      <c r="E37" s="7">
        <v>1693.0</v>
      </c>
      <c r="F37" s="6" t="s">
        <v>270</v>
      </c>
      <c r="G37" s="5">
        <v>8.949089053E9</v>
      </c>
      <c r="H37" s="6">
        <v>0.0</v>
      </c>
      <c r="I37" s="6">
        <v>17000.0</v>
      </c>
      <c r="J37" s="238">
        <v>7000.0</v>
      </c>
      <c r="L37" s="6">
        <v>4000.0</v>
      </c>
      <c r="M37" s="9">
        <f t="shared" si="1"/>
        <v>20000</v>
      </c>
      <c r="N37" s="9">
        <f t="shared" si="2"/>
        <v>15000</v>
      </c>
      <c r="O37" s="9">
        <f t="shared" si="3"/>
        <v>5000</v>
      </c>
      <c r="P37" s="6" t="s">
        <v>34</v>
      </c>
      <c r="Q37" s="6">
        <v>10000.0</v>
      </c>
      <c r="R37" s="6">
        <v>3336.0</v>
      </c>
      <c r="S37" s="6" t="s">
        <v>241</v>
      </c>
      <c r="T37" s="6">
        <v>5000.0</v>
      </c>
      <c r="U37" s="6">
        <v>4012.0</v>
      </c>
      <c r="V37" s="6" t="s">
        <v>312</v>
      </c>
    </row>
    <row r="38">
      <c r="A38" s="5">
        <v>39.0</v>
      </c>
      <c r="B38" s="6" t="s">
        <v>1181</v>
      </c>
      <c r="C38" s="6" t="s">
        <v>1182</v>
      </c>
      <c r="D38" s="7" t="s">
        <v>2</v>
      </c>
      <c r="E38" s="7">
        <v>1404.0</v>
      </c>
      <c r="F38" s="6" t="s">
        <v>126</v>
      </c>
      <c r="G38" s="5">
        <v>7.878113064E9</v>
      </c>
      <c r="I38" s="6">
        <v>20000.0</v>
      </c>
      <c r="J38" s="16">
        <v>5000.0</v>
      </c>
      <c r="M38" s="9">
        <f t="shared" si="1"/>
        <v>25000</v>
      </c>
      <c r="N38" s="9">
        <f t="shared" si="2"/>
        <v>0</v>
      </c>
      <c r="O38" s="9">
        <f t="shared" si="3"/>
        <v>25000</v>
      </c>
    </row>
    <row r="39">
      <c r="A39" s="5">
        <v>41.0</v>
      </c>
      <c r="B39" s="6" t="s">
        <v>1183</v>
      </c>
      <c r="C39" s="6" t="s">
        <v>1184</v>
      </c>
      <c r="D39" s="7" t="s">
        <v>2</v>
      </c>
      <c r="E39" s="7">
        <v>1289.0</v>
      </c>
      <c r="F39" s="10" t="s">
        <v>188</v>
      </c>
      <c r="G39" s="15">
        <v>8.955972633E9</v>
      </c>
      <c r="H39" s="15">
        <v>0.0</v>
      </c>
      <c r="I39" s="6">
        <v>20000.0</v>
      </c>
      <c r="J39" s="16">
        <v>5000.0</v>
      </c>
      <c r="K39" s="10"/>
      <c r="L39" s="26">
        <v>5000.0</v>
      </c>
      <c r="M39" s="9">
        <f t="shared" si="1"/>
        <v>20000</v>
      </c>
      <c r="N39" s="9">
        <f t="shared" si="2"/>
        <v>5000</v>
      </c>
      <c r="O39" s="9">
        <f t="shared" si="3"/>
        <v>15000</v>
      </c>
      <c r="P39" s="10" t="s">
        <v>44</v>
      </c>
      <c r="Q39" s="6">
        <v>5000.0</v>
      </c>
      <c r="R39" s="6">
        <v>3569.0</v>
      </c>
      <c r="S39" s="27">
        <v>45848.0</v>
      </c>
    </row>
    <row r="40">
      <c r="A40" s="5">
        <v>42.0</v>
      </c>
      <c r="B40" s="6" t="s">
        <v>1185</v>
      </c>
      <c r="C40" s="6" t="s">
        <v>1186</v>
      </c>
      <c r="D40" s="7" t="s">
        <v>1006</v>
      </c>
      <c r="E40" s="7">
        <v>1297.0</v>
      </c>
      <c r="F40" s="6" t="s">
        <v>474</v>
      </c>
      <c r="G40" s="5">
        <v>9.636026886E9</v>
      </c>
      <c r="I40" s="6">
        <v>17000.0</v>
      </c>
      <c r="J40" s="238">
        <v>5000.0</v>
      </c>
      <c r="M40" s="9">
        <f t="shared" si="1"/>
        <v>22000</v>
      </c>
      <c r="N40" s="9">
        <f t="shared" si="2"/>
        <v>10000</v>
      </c>
      <c r="O40" s="9">
        <f t="shared" si="3"/>
        <v>12000</v>
      </c>
      <c r="Q40" s="6">
        <v>5000.0</v>
      </c>
      <c r="R40" s="6">
        <v>3300.0</v>
      </c>
      <c r="S40" s="6" t="s">
        <v>962</v>
      </c>
      <c r="T40" s="6">
        <v>5000.0</v>
      </c>
      <c r="U40" s="6">
        <v>3538.0</v>
      </c>
      <c r="V40" s="27">
        <v>45818.0</v>
      </c>
    </row>
    <row r="41">
      <c r="A41" s="5">
        <v>43.0</v>
      </c>
      <c r="B41" s="6" t="s">
        <v>1187</v>
      </c>
      <c r="C41" s="6" t="s">
        <v>894</v>
      </c>
      <c r="D41" s="7" t="s">
        <v>2</v>
      </c>
      <c r="E41" s="7">
        <v>1342.0</v>
      </c>
      <c r="F41" s="10" t="s">
        <v>361</v>
      </c>
      <c r="G41" s="15">
        <v>9.92842934E9</v>
      </c>
      <c r="H41" s="15">
        <v>0.0</v>
      </c>
      <c r="I41" s="6">
        <v>20000.0</v>
      </c>
      <c r="J41" s="16">
        <v>5000.0</v>
      </c>
      <c r="K41" s="10"/>
      <c r="L41" s="15">
        <v>4500.0</v>
      </c>
      <c r="M41" s="9">
        <f t="shared" si="1"/>
        <v>20500</v>
      </c>
      <c r="N41" s="9">
        <f t="shared" si="2"/>
        <v>13000</v>
      </c>
      <c r="O41" s="9">
        <f t="shared" si="3"/>
        <v>7500</v>
      </c>
      <c r="P41" s="10" t="s">
        <v>131</v>
      </c>
      <c r="Q41" s="16">
        <v>4000.0</v>
      </c>
      <c r="R41" s="16">
        <v>2942.0</v>
      </c>
      <c r="S41" s="17">
        <v>45876.0</v>
      </c>
      <c r="T41" s="16">
        <v>4000.0</v>
      </c>
      <c r="U41" s="16">
        <v>3179.0</v>
      </c>
      <c r="V41" s="17">
        <v>45877.0</v>
      </c>
      <c r="W41" s="6">
        <v>5000.0</v>
      </c>
      <c r="X41" s="6">
        <v>3494.0</v>
      </c>
      <c r="Y41" s="27">
        <v>45757.0</v>
      </c>
    </row>
    <row r="42" ht="15.0" customHeight="1">
      <c r="A42" s="5">
        <v>44.0</v>
      </c>
      <c r="B42" s="6" t="s">
        <v>1188</v>
      </c>
      <c r="C42" s="6" t="s">
        <v>1035</v>
      </c>
      <c r="D42" s="7" t="s">
        <v>2</v>
      </c>
      <c r="E42" s="7">
        <v>1337.0</v>
      </c>
      <c r="F42" s="6" t="s">
        <v>3</v>
      </c>
      <c r="G42" s="5">
        <v>9.799862538E9</v>
      </c>
      <c r="I42" s="6">
        <v>20000.0</v>
      </c>
      <c r="J42" s="238">
        <v>6500.0</v>
      </c>
      <c r="M42" s="9">
        <f t="shared" si="1"/>
        <v>26500</v>
      </c>
      <c r="N42" s="9">
        <f t="shared" si="2"/>
        <v>7000</v>
      </c>
      <c r="O42" s="9">
        <f t="shared" si="3"/>
        <v>19500</v>
      </c>
      <c r="Q42" s="6">
        <v>5000.0</v>
      </c>
      <c r="R42" s="6">
        <v>3301.0</v>
      </c>
      <c r="S42" s="6" t="s">
        <v>962</v>
      </c>
      <c r="T42" s="6">
        <v>2000.0</v>
      </c>
      <c r="U42" s="6">
        <v>3516.0</v>
      </c>
      <c r="V42" s="27">
        <v>45818.0</v>
      </c>
    </row>
    <row r="43">
      <c r="A43" s="5">
        <v>45.0</v>
      </c>
      <c r="B43" s="6" t="s">
        <v>0</v>
      </c>
      <c r="C43" s="6" t="s">
        <v>1</v>
      </c>
      <c r="D43" s="7" t="s">
        <v>2</v>
      </c>
      <c r="E43" s="7">
        <v>1452.0</v>
      </c>
      <c r="F43" s="6" t="s">
        <v>3</v>
      </c>
      <c r="G43" s="5">
        <v>8.696158989E9</v>
      </c>
      <c r="I43" s="6">
        <v>20000.0</v>
      </c>
      <c r="J43" s="238">
        <v>6500.0</v>
      </c>
      <c r="M43" s="9">
        <f t="shared" si="1"/>
        <v>26500</v>
      </c>
      <c r="N43" s="9">
        <f t="shared" si="2"/>
        <v>0</v>
      </c>
      <c r="O43" s="9">
        <f t="shared" si="3"/>
        <v>26500</v>
      </c>
    </row>
    <row r="44">
      <c r="A44" s="5">
        <v>46.0</v>
      </c>
      <c r="B44" s="6" t="s">
        <v>1189</v>
      </c>
      <c r="C44" s="6" t="s">
        <v>1190</v>
      </c>
      <c r="D44" s="7" t="s">
        <v>2</v>
      </c>
      <c r="E44" s="7">
        <v>1962.0</v>
      </c>
      <c r="F44" s="6" t="s">
        <v>1191</v>
      </c>
      <c r="G44" s="5">
        <v>7.878934758E9</v>
      </c>
      <c r="I44" s="6">
        <v>20000.0</v>
      </c>
      <c r="J44" s="238">
        <v>8000.0</v>
      </c>
      <c r="M44" s="9">
        <f t="shared" si="1"/>
        <v>28000</v>
      </c>
      <c r="N44" s="9">
        <f t="shared" si="2"/>
        <v>13000</v>
      </c>
      <c r="O44" s="9">
        <f t="shared" si="3"/>
        <v>15000</v>
      </c>
      <c r="Q44" s="6">
        <v>13000.0</v>
      </c>
      <c r="R44" s="6">
        <v>3372.0</v>
      </c>
      <c r="S44" s="27">
        <v>45817.0</v>
      </c>
    </row>
    <row r="45">
      <c r="A45" s="5">
        <v>47.0</v>
      </c>
      <c r="B45" s="6" t="s">
        <v>1192</v>
      </c>
      <c r="C45" s="6" t="s">
        <v>1193</v>
      </c>
      <c r="D45" s="7" t="s">
        <v>1006</v>
      </c>
      <c r="E45" s="7">
        <v>1630.0</v>
      </c>
      <c r="G45" s="5">
        <v>9.649047952E9</v>
      </c>
      <c r="I45" s="6">
        <v>17000.0</v>
      </c>
      <c r="J45" s="238">
        <v>7000.0</v>
      </c>
      <c r="M45" s="9">
        <f t="shared" si="1"/>
        <v>24000</v>
      </c>
      <c r="N45" s="9">
        <f t="shared" si="2"/>
        <v>20000</v>
      </c>
      <c r="O45" s="9">
        <f t="shared" si="3"/>
        <v>4000</v>
      </c>
      <c r="Q45" s="6">
        <v>20000.0</v>
      </c>
      <c r="R45" s="6">
        <v>3322.0</v>
      </c>
      <c r="S45" s="6" t="s">
        <v>321</v>
      </c>
    </row>
    <row r="46">
      <c r="A46" s="5">
        <v>48.0</v>
      </c>
      <c r="B46" s="6" t="s">
        <v>1194</v>
      </c>
      <c r="C46" s="6" t="s">
        <v>1195</v>
      </c>
      <c r="D46" s="7" t="s">
        <v>2</v>
      </c>
      <c r="E46" s="7">
        <v>1286.0</v>
      </c>
      <c r="F46" s="6" t="s">
        <v>474</v>
      </c>
      <c r="G46" s="5">
        <v>8.739880677E9</v>
      </c>
      <c r="I46" s="6">
        <v>20000.0</v>
      </c>
      <c r="J46" s="238">
        <v>5000.0</v>
      </c>
      <c r="M46" s="9">
        <f t="shared" si="1"/>
        <v>25000</v>
      </c>
      <c r="N46" s="9">
        <f t="shared" si="2"/>
        <v>0</v>
      </c>
      <c r="O46" s="9">
        <f t="shared" si="3"/>
        <v>25000</v>
      </c>
    </row>
    <row r="47">
      <c r="A47" s="5">
        <v>49.0</v>
      </c>
      <c r="B47" s="6" t="s">
        <v>1196</v>
      </c>
      <c r="C47" s="6" t="s">
        <v>1197</v>
      </c>
      <c r="D47" s="7" t="s">
        <v>1006</v>
      </c>
      <c r="E47" s="7">
        <v>1787.0</v>
      </c>
      <c r="G47" s="5">
        <v>9.928142115E9</v>
      </c>
      <c r="I47" s="6">
        <v>17000.0</v>
      </c>
      <c r="J47" s="238">
        <v>9000.0</v>
      </c>
      <c r="M47" s="9">
        <f t="shared" si="1"/>
        <v>26000</v>
      </c>
      <c r="N47" s="9">
        <f t="shared" si="2"/>
        <v>12000</v>
      </c>
      <c r="O47" s="9">
        <f t="shared" si="3"/>
        <v>14000</v>
      </c>
      <c r="Q47" s="6">
        <v>12000.0</v>
      </c>
      <c r="R47" s="6">
        <v>3271.0</v>
      </c>
      <c r="S47" s="6" t="s">
        <v>727</v>
      </c>
    </row>
    <row r="48">
      <c r="A48" s="5">
        <v>50.0</v>
      </c>
      <c r="B48" s="6" t="s">
        <v>1198</v>
      </c>
      <c r="C48" s="6" t="s">
        <v>1199</v>
      </c>
      <c r="D48" s="7" t="s">
        <v>1006</v>
      </c>
      <c r="E48" s="7">
        <v>1502.0</v>
      </c>
      <c r="G48" s="5">
        <v>6.376163747E9</v>
      </c>
      <c r="I48" s="6">
        <v>17000.0</v>
      </c>
      <c r="J48" s="121"/>
      <c r="M48" s="9">
        <f t="shared" si="1"/>
        <v>17000</v>
      </c>
      <c r="N48" s="9">
        <f t="shared" si="2"/>
        <v>11000</v>
      </c>
      <c r="O48" s="9">
        <f t="shared" si="3"/>
        <v>6000</v>
      </c>
      <c r="Q48" s="6">
        <v>11000.0</v>
      </c>
      <c r="R48" s="6">
        <v>3513.0</v>
      </c>
      <c r="S48" s="27">
        <v>45757.0</v>
      </c>
    </row>
    <row r="49">
      <c r="A49" s="5">
        <v>52.0</v>
      </c>
      <c r="B49" s="6" t="s">
        <v>1200</v>
      </c>
      <c r="C49" s="6" t="s">
        <v>1201</v>
      </c>
      <c r="D49" s="7" t="s">
        <v>1006</v>
      </c>
      <c r="E49" s="7">
        <v>1697.0</v>
      </c>
      <c r="F49" s="6" t="s">
        <v>301</v>
      </c>
      <c r="G49" s="5">
        <v>9.66418526E9</v>
      </c>
      <c r="I49" s="15">
        <v>17000.0</v>
      </c>
      <c r="J49" s="238">
        <v>5000.0</v>
      </c>
      <c r="L49" s="6">
        <v>4000.0</v>
      </c>
      <c r="M49" s="9">
        <f t="shared" si="1"/>
        <v>18000</v>
      </c>
      <c r="N49" s="9">
        <f t="shared" si="2"/>
        <v>10000</v>
      </c>
      <c r="O49" s="9">
        <f t="shared" si="3"/>
        <v>8000</v>
      </c>
      <c r="P49" s="6" t="s">
        <v>44</v>
      </c>
      <c r="Q49" s="6">
        <v>7000.0</v>
      </c>
      <c r="R49" s="6">
        <v>3420.0</v>
      </c>
      <c r="S49" s="6" t="s">
        <v>331</v>
      </c>
      <c r="T49" s="6">
        <v>3000.0</v>
      </c>
      <c r="U49" s="6">
        <v>3994.0</v>
      </c>
      <c r="V49" s="6" t="s">
        <v>312</v>
      </c>
    </row>
    <row r="50">
      <c r="A50" s="5">
        <v>53.0</v>
      </c>
      <c r="B50" s="6" t="s">
        <v>1202</v>
      </c>
      <c r="C50" s="6" t="s">
        <v>1203</v>
      </c>
      <c r="D50" s="7" t="s">
        <v>2</v>
      </c>
      <c r="E50" s="7">
        <v>1282.0</v>
      </c>
      <c r="F50" s="6" t="s">
        <v>1204</v>
      </c>
      <c r="G50" s="5">
        <v>9.828529759E9</v>
      </c>
      <c r="I50" s="6">
        <v>20000.0</v>
      </c>
      <c r="J50" s="238">
        <v>8000.0</v>
      </c>
      <c r="M50" s="9">
        <f t="shared" si="1"/>
        <v>28000</v>
      </c>
      <c r="N50" s="9">
        <f t="shared" si="2"/>
        <v>20000</v>
      </c>
      <c r="O50" s="9">
        <f t="shared" si="3"/>
        <v>8000</v>
      </c>
      <c r="Q50" s="6">
        <v>20000.0</v>
      </c>
      <c r="R50" s="6">
        <v>3242.0</v>
      </c>
      <c r="S50" s="6" t="s">
        <v>220</v>
      </c>
    </row>
    <row r="51">
      <c r="A51" s="5">
        <v>54.0</v>
      </c>
      <c r="B51" s="6" t="s">
        <v>1205</v>
      </c>
      <c r="C51" s="6" t="s">
        <v>1206</v>
      </c>
      <c r="D51" s="7" t="s">
        <v>1006</v>
      </c>
      <c r="E51" s="7">
        <v>1523.0</v>
      </c>
      <c r="G51" s="5">
        <v>7.727911455E9</v>
      </c>
      <c r="I51" s="15">
        <v>17000.0</v>
      </c>
      <c r="J51" s="121"/>
      <c r="M51" s="9">
        <f t="shared" si="1"/>
        <v>17000</v>
      </c>
      <c r="N51" s="9">
        <f t="shared" si="2"/>
        <v>0</v>
      </c>
      <c r="O51" s="9">
        <f t="shared" si="3"/>
        <v>17000</v>
      </c>
    </row>
    <row r="52">
      <c r="A52" s="5">
        <v>55.0</v>
      </c>
      <c r="B52" s="6" t="s">
        <v>1207</v>
      </c>
      <c r="C52" s="6" t="s">
        <v>1053</v>
      </c>
      <c r="D52" s="7" t="s">
        <v>1006</v>
      </c>
      <c r="E52" s="7">
        <v>1600.0</v>
      </c>
      <c r="G52" s="5">
        <v>7.023135349E9</v>
      </c>
      <c r="I52" s="15">
        <v>17000.0</v>
      </c>
      <c r="J52" s="121"/>
      <c r="M52" s="9">
        <f t="shared" si="1"/>
        <v>17000</v>
      </c>
      <c r="N52" s="9">
        <f t="shared" si="2"/>
        <v>10000</v>
      </c>
      <c r="O52" s="9">
        <f t="shared" si="3"/>
        <v>7000</v>
      </c>
      <c r="Q52" s="6">
        <v>10000.0</v>
      </c>
      <c r="R52" s="6">
        <v>3536.0</v>
      </c>
      <c r="S52" s="27">
        <v>45818.0</v>
      </c>
    </row>
    <row r="53">
      <c r="A53" s="5">
        <v>56.0</v>
      </c>
      <c r="B53" s="6" t="s">
        <v>1208</v>
      </c>
      <c r="C53" s="6" t="s">
        <v>1209</v>
      </c>
      <c r="D53" s="7" t="s">
        <v>2</v>
      </c>
      <c r="E53" s="7">
        <v>1285.0</v>
      </c>
      <c r="F53" s="6" t="s">
        <v>474</v>
      </c>
      <c r="G53" s="5">
        <v>8.29047708E9</v>
      </c>
      <c r="I53" s="6">
        <v>20000.0</v>
      </c>
      <c r="J53" s="241">
        <v>5000.0</v>
      </c>
      <c r="K53" s="242"/>
      <c r="L53" s="242"/>
      <c r="M53" s="9">
        <f t="shared" si="1"/>
        <v>25000</v>
      </c>
      <c r="N53" s="9">
        <f t="shared" si="2"/>
        <v>12000</v>
      </c>
      <c r="O53" s="9">
        <f t="shared" si="3"/>
        <v>13000</v>
      </c>
      <c r="P53" s="242"/>
      <c r="Q53" s="244">
        <v>6000.0</v>
      </c>
      <c r="R53" s="6">
        <v>3390.0</v>
      </c>
      <c r="S53" s="27">
        <v>45909.0</v>
      </c>
      <c r="T53" s="6">
        <v>6000.0</v>
      </c>
      <c r="U53" s="6">
        <v>3743.0</v>
      </c>
      <c r="V53" s="6" t="s">
        <v>291</v>
      </c>
    </row>
    <row r="54">
      <c r="A54" s="5">
        <v>57.0</v>
      </c>
      <c r="B54" s="6" t="s">
        <v>1210</v>
      </c>
      <c r="C54" s="6" t="s">
        <v>1211</v>
      </c>
      <c r="D54" s="7" t="s">
        <v>1006</v>
      </c>
      <c r="E54" s="7">
        <v>1363.0</v>
      </c>
      <c r="G54" s="5">
        <v>7.877525194E9</v>
      </c>
      <c r="I54" s="15">
        <v>17000.0</v>
      </c>
      <c r="J54" s="121"/>
      <c r="M54" s="9">
        <f t="shared" si="1"/>
        <v>17000</v>
      </c>
      <c r="N54" s="9">
        <f t="shared" si="2"/>
        <v>0</v>
      </c>
      <c r="O54" s="9">
        <f t="shared" si="3"/>
        <v>17000</v>
      </c>
    </row>
    <row r="55">
      <c r="A55" s="5">
        <v>58.0</v>
      </c>
      <c r="B55" s="6" t="s">
        <v>1212</v>
      </c>
      <c r="C55" s="6" t="s">
        <v>1213</v>
      </c>
      <c r="D55" s="7" t="s">
        <v>1006</v>
      </c>
      <c r="E55" s="7">
        <v>1899.0</v>
      </c>
      <c r="G55" s="5">
        <v>9.950359273E9</v>
      </c>
      <c r="I55" s="15">
        <v>17000.0</v>
      </c>
      <c r="J55" s="238">
        <v>5000.0</v>
      </c>
      <c r="L55" s="6">
        <v>3500.0</v>
      </c>
      <c r="M55" s="9">
        <f t="shared" si="1"/>
        <v>18500</v>
      </c>
      <c r="N55" s="9">
        <f t="shared" si="2"/>
        <v>15000</v>
      </c>
      <c r="O55" s="9">
        <f t="shared" si="3"/>
        <v>3500</v>
      </c>
      <c r="Q55" s="6">
        <v>5000.0</v>
      </c>
      <c r="S55" s="6" t="s">
        <v>191</v>
      </c>
      <c r="T55" s="6">
        <v>5000.0</v>
      </c>
      <c r="U55" s="6">
        <v>3921.0</v>
      </c>
      <c r="V55" s="6" t="s">
        <v>349</v>
      </c>
      <c r="W55" s="6">
        <v>5000.0</v>
      </c>
      <c r="X55" s="6">
        <v>3921.0</v>
      </c>
      <c r="Y55" s="6" t="s">
        <v>349</v>
      </c>
    </row>
    <row r="56">
      <c r="A56" s="5">
        <v>59.0</v>
      </c>
      <c r="B56" s="6" t="s">
        <v>1214</v>
      </c>
      <c r="C56" s="6" t="s">
        <v>1215</v>
      </c>
      <c r="D56" s="7" t="s">
        <v>1006</v>
      </c>
      <c r="E56" s="7">
        <v>1695.0</v>
      </c>
      <c r="F56" s="6" t="s">
        <v>1216</v>
      </c>
      <c r="G56" s="5">
        <v>8.302474685E9</v>
      </c>
      <c r="I56" s="15">
        <v>17000.0</v>
      </c>
      <c r="J56" s="121"/>
      <c r="M56" s="9">
        <f t="shared" si="1"/>
        <v>17000</v>
      </c>
      <c r="N56" s="9">
        <f t="shared" si="2"/>
        <v>15000</v>
      </c>
      <c r="O56" s="9">
        <f t="shared" si="3"/>
        <v>2000</v>
      </c>
      <c r="Q56" s="6">
        <v>15000.0</v>
      </c>
      <c r="R56" s="6">
        <v>4033.0</v>
      </c>
      <c r="S56" s="6" t="s">
        <v>261</v>
      </c>
    </row>
    <row r="57">
      <c r="A57" s="5">
        <v>60.0</v>
      </c>
      <c r="B57" s="6" t="s">
        <v>1217</v>
      </c>
      <c r="C57" s="6" t="s">
        <v>1218</v>
      </c>
      <c r="D57" s="7" t="s">
        <v>1006</v>
      </c>
      <c r="E57" s="7">
        <v>1797.0</v>
      </c>
      <c r="F57" s="6" t="s">
        <v>1052</v>
      </c>
      <c r="G57" s="5">
        <v>9.001123993E9</v>
      </c>
      <c r="I57" s="15">
        <v>17000.0</v>
      </c>
      <c r="J57" s="121"/>
      <c r="M57" s="9">
        <f t="shared" si="1"/>
        <v>17000</v>
      </c>
      <c r="N57" s="9">
        <f t="shared" si="2"/>
        <v>10000</v>
      </c>
      <c r="O57" s="9">
        <f t="shared" si="3"/>
        <v>7000</v>
      </c>
      <c r="Q57" s="6">
        <v>10000.0</v>
      </c>
      <c r="R57" s="6">
        <v>3599.0</v>
      </c>
      <c r="S57" s="27">
        <v>45848.0</v>
      </c>
    </row>
    <row r="58">
      <c r="A58" s="5">
        <v>61.0</v>
      </c>
      <c r="B58" s="6" t="s">
        <v>1219</v>
      </c>
      <c r="C58" s="6" t="s">
        <v>1220</v>
      </c>
      <c r="D58" s="7" t="s">
        <v>1006</v>
      </c>
      <c r="E58" s="7">
        <v>1358.0</v>
      </c>
      <c r="F58" s="10" t="s">
        <v>145</v>
      </c>
      <c r="G58" s="26">
        <v>6.367547709E9</v>
      </c>
      <c r="H58" s="10"/>
      <c r="I58" s="15">
        <v>17000.0</v>
      </c>
      <c r="J58" s="228">
        <v>0.0</v>
      </c>
      <c r="K58" s="10"/>
      <c r="L58" s="10"/>
      <c r="M58" s="9">
        <f t="shared" si="1"/>
        <v>17000</v>
      </c>
      <c r="N58" s="9">
        <f t="shared" si="2"/>
        <v>5000</v>
      </c>
      <c r="O58" s="9">
        <f t="shared" si="3"/>
        <v>12000</v>
      </c>
      <c r="P58" s="10"/>
      <c r="Q58" s="16">
        <v>5000.0</v>
      </c>
      <c r="R58" s="16">
        <v>3055.0</v>
      </c>
      <c r="S58" s="10" t="s">
        <v>275</v>
      </c>
    </row>
    <row r="59">
      <c r="A59" s="5">
        <v>63.0</v>
      </c>
      <c r="B59" s="6" t="s">
        <v>1221</v>
      </c>
      <c r="C59" s="6" t="s">
        <v>1193</v>
      </c>
      <c r="D59" s="7" t="s">
        <v>1006</v>
      </c>
      <c r="E59" s="7">
        <v>1631.0</v>
      </c>
      <c r="G59" s="5">
        <v>9.649047952E9</v>
      </c>
      <c r="I59" s="15">
        <v>17000.0</v>
      </c>
      <c r="J59" s="241">
        <v>7000.0</v>
      </c>
      <c r="K59" s="242"/>
      <c r="L59" s="242"/>
      <c r="M59" s="9">
        <f t="shared" si="1"/>
        <v>24000</v>
      </c>
      <c r="N59" s="9">
        <f t="shared" si="2"/>
        <v>20000</v>
      </c>
      <c r="O59" s="9">
        <f t="shared" si="3"/>
        <v>4000</v>
      </c>
      <c r="P59" s="242"/>
      <c r="Q59" s="244">
        <v>20000.0</v>
      </c>
      <c r="R59" s="244">
        <v>3321.0</v>
      </c>
      <c r="S59" s="244" t="s">
        <v>321</v>
      </c>
    </row>
    <row r="60">
      <c r="A60" s="5">
        <v>64.0</v>
      </c>
      <c r="B60" s="6" t="s">
        <v>1222</v>
      </c>
      <c r="C60" s="6" t="s">
        <v>1223</v>
      </c>
      <c r="D60" s="7" t="s">
        <v>2</v>
      </c>
      <c r="E60" s="7">
        <v>1703.0</v>
      </c>
      <c r="F60" s="10" t="s">
        <v>3</v>
      </c>
      <c r="G60" s="15">
        <v>8.769144129E9</v>
      </c>
      <c r="H60" s="10"/>
      <c r="I60" s="6">
        <v>20000.0</v>
      </c>
      <c r="J60" s="228">
        <v>6500.0</v>
      </c>
      <c r="K60" s="10"/>
      <c r="L60" s="10"/>
      <c r="M60" s="9">
        <f t="shared" si="1"/>
        <v>26500</v>
      </c>
      <c r="N60" s="9">
        <f t="shared" si="2"/>
        <v>10000</v>
      </c>
      <c r="O60" s="9">
        <f t="shared" si="3"/>
        <v>16500</v>
      </c>
      <c r="P60" s="10"/>
      <c r="Q60" s="16">
        <v>5000.0</v>
      </c>
      <c r="R60" s="16">
        <v>3004.0</v>
      </c>
      <c r="S60" s="10" t="s">
        <v>191</v>
      </c>
      <c r="T60" s="6">
        <v>5000.0</v>
      </c>
      <c r="U60" s="6">
        <v>3858.0</v>
      </c>
      <c r="V60" s="240">
        <v>45941.0</v>
      </c>
    </row>
    <row r="61">
      <c r="A61" s="5">
        <v>65.0</v>
      </c>
      <c r="B61" s="6" t="s">
        <v>1224</v>
      </c>
      <c r="C61" s="6" t="s">
        <v>1225</v>
      </c>
      <c r="D61" s="7" t="s">
        <v>2</v>
      </c>
      <c r="E61" s="7">
        <v>1796.0</v>
      </c>
      <c r="I61" s="15">
        <v>17000.0</v>
      </c>
      <c r="J61" s="121"/>
      <c r="M61" s="9">
        <f t="shared" si="1"/>
        <v>17000</v>
      </c>
      <c r="N61" s="9">
        <f t="shared" si="2"/>
        <v>0</v>
      </c>
      <c r="O61" s="9">
        <f t="shared" si="3"/>
        <v>17000</v>
      </c>
    </row>
    <row r="62">
      <c r="A62" s="5">
        <v>66.0</v>
      </c>
      <c r="B62" s="6" t="s">
        <v>1226</v>
      </c>
      <c r="C62" s="6" t="s">
        <v>1227</v>
      </c>
      <c r="D62" s="7" t="s">
        <v>1006</v>
      </c>
      <c r="E62" s="7">
        <v>1529.0</v>
      </c>
      <c r="F62" s="10" t="s">
        <v>298</v>
      </c>
      <c r="G62" s="15">
        <v>9.079830224E9</v>
      </c>
      <c r="H62" s="15">
        <v>0.0</v>
      </c>
      <c r="I62" s="15">
        <v>17000.0</v>
      </c>
      <c r="J62" s="16">
        <v>7000.0</v>
      </c>
      <c r="K62" s="10"/>
      <c r="L62" s="15">
        <v>3000.0</v>
      </c>
      <c r="M62" s="9">
        <f t="shared" si="1"/>
        <v>21000</v>
      </c>
      <c r="N62" s="9">
        <f t="shared" si="2"/>
        <v>10000</v>
      </c>
      <c r="O62" s="9">
        <f t="shared" si="3"/>
        <v>11000</v>
      </c>
      <c r="P62" s="10" t="s">
        <v>44</v>
      </c>
      <c r="Q62" s="16">
        <v>6000.0</v>
      </c>
      <c r="R62" s="16">
        <v>3097.0</v>
      </c>
      <c r="S62" s="17">
        <v>45754.0</v>
      </c>
      <c r="T62" s="6">
        <v>4000.0</v>
      </c>
      <c r="U62" s="6">
        <v>3592.0</v>
      </c>
      <c r="V62" s="27">
        <v>45848.0</v>
      </c>
    </row>
    <row r="63">
      <c r="A63" s="5">
        <v>67.0</v>
      </c>
      <c r="B63" s="6" t="s">
        <v>4</v>
      </c>
      <c r="C63" s="6" t="s">
        <v>5</v>
      </c>
      <c r="D63" s="7" t="s">
        <v>2</v>
      </c>
      <c r="E63" s="7">
        <v>1281.0</v>
      </c>
      <c r="G63" s="5">
        <v>9.001530238E9</v>
      </c>
      <c r="I63" s="6">
        <v>20000.0</v>
      </c>
      <c r="J63" s="121"/>
      <c r="M63" s="9">
        <f t="shared" si="1"/>
        <v>20000</v>
      </c>
      <c r="N63" s="9">
        <f t="shared" si="2"/>
        <v>10000</v>
      </c>
      <c r="O63" s="9">
        <f t="shared" si="3"/>
        <v>10000</v>
      </c>
      <c r="Q63" s="6">
        <v>10000.0</v>
      </c>
      <c r="R63" s="6">
        <v>4047.0</v>
      </c>
      <c r="S63" s="6" t="s">
        <v>207</v>
      </c>
    </row>
    <row r="64">
      <c r="A64" s="5">
        <v>68.0</v>
      </c>
      <c r="B64" s="6" t="s">
        <v>1228</v>
      </c>
      <c r="C64" s="6" t="s">
        <v>1229</v>
      </c>
      <c r="D64" s="7" t="s">
        <v>2</v>
      </c>
      <c r="E64" s="7">
        <v>1440.0</v>
      </c>
      <c r="F64" s="10" t="s">
        <v>474</v>
      </c>
      <c r="G64" s="15">
        <v>9.982929942E9</v>
      </c>
      <c r="H64" s="15">
        <v>0.0</v>
      </c>
      <c r="I64" s="6">
        <v>20000.0</v>
      </c>
      <c r="J64" s="16">
        <v>5000.0</v>
      </c>
      <c r="K64" s="10"/>
      <c r="L64" s="15">
        <v>4000.0</v>
      </c>
      <c r="M64" s="9">
        <f t="shared" si="1"/>
        <v>21000</v>
      </c>
      <c r="N64" s="9">
        <f t="shared" si="2"/>
        <v>11000</v>
      </c>
      <c r="O64" s="9">
        <f t="shared" si="3"/>
        <v>10000</v>
      </c>
      <c r="P64" s="10" t="s">
        <v>44</v>
      </c>
      <c r="Q64" s="16">
        <v>6000.0</v>
      </c>
      <c r="R64" s="16">
        <v>2999.0</v>
      </c>
      <c r="S64" s="10" t="s">
        <v>191</v>
      </c>
      <c r="T64" s="6">
        <v>5000.0</v>
      </c>
      <c r="U64" s="6">
        <v>3788.0</v>
      </c>
      <c r="V64" s="27">
        <v>45880.0</v>
      </c>
    </row>
    <row r="65">
      <c r="A65" s="5">
        <v>70.0</v>
      </c>
      <c r="B65" s="6" t="s">
        <v>1230</v>
      </c>
      <c r="C65" s="6" t="s">
        <v>1231</v>
      </c>
      <c r="D65" s="7" t="s">
        <v>1006</v>
      </c>
      <c r="E65" s="7">
        <v>1605.0</v>
      </c>
      <c r="G65" s="5">
        <v>9.649530801E9</v>
      </c>
      <c r="I65" s="15">
        <v>17000.0</v>
      </c>
      <c r="J65" s="121"/>
      <c r="M65" s="9">
        <f t="shared" si="1"/>
        <v>17000</v>
      </c>
      <c r="N65" s="9">
        <f t="shared" si="2"/>
        <v>0</v>
      </c>
      <c r="O65" s="9">
        <f t="shared" si="3"/>
        <v>17000</v>
      </c>
    </row>
    <row r="66">
      <c r="A66" s="5">
        <v>71.0</v>
      </c>
      <c r="B66" s="6" t="s">
        <v>1232</v>
      </c>
      <c r="C66" s="6" t="s">
        <v>1233</v>
      </c>
      <c r="D66" s="7" t="s">
        <v>1132</v>
      </c>
      <c r="E66" s="5">
        <v>2025.0</v>
      </c>
      <c r="F66" s="6" t="s">
        <v>474</v>
      </c>
      <c r="G66" s="5">
        <v>9.784117093E9</v>
      </c>
      <c r="I66" s="6">
        <v>17000.0</v>
      </c>
      <c r="J66" s="238">
        <v>5000.0</v>
      </c>
      <c r="L66" s="6">
        <v>2000.0</v>
      </c>
      <c r="M66" s="9">
        <f t="shared" si="1"/>
        <v>20000</v>
      </c>
      <c r="N66" s="9">
        <f t="shared" si="2"/>
        <v>0</v>
      </c>
      <c r="O66" s="9">
        <f t="shared" si="3"/>
        <v>20000</v>
      </c>
      <c r="P66" s="6" t="s">
        <v>44</v>
      </c>
      <c r="Z66" s="10"/>
    </row>
    <row r="67">
      <c r="A67" s="5">
        <v>72.0</v>
      </c>
      <c r="B67" s="6" t="s">
        <v>1234</v>
      </c>
      <c r="C67" s="6" t="s">
        <v>1235</v>
      </c>
      <c r="D67" s="7" t="s">
        <v>2</v>
      </c>
      <c r="E67" s="7">
        <v>2008.0</v>
      </c>
      <c r="F67" s="6" t="s">
        <v>1236</v>
      </c>
      <c r="G67" s="6">
        <v>9.799939092E9</v>
      </c>
      <c r="H67" s="6">
        <v>1000.0</v>
      </c>
      <c r="I67" s="26">
        <v>20000.0</v>
      </c>
      <c r="J67" s="238">
        <v>8000.0</v>
      </c>
      <c r="L67" s="6">
        <v>3000.0</v>
      </c>
      <c r="M67" s="9">
        <f t="shared" si="1"/>
        <v>26000</v>
      </c>
      <c r="N67" s="9">
        <f t="shared" si="2"/>
        <v>10000</v>
      </c>
      <c r="O67" s="9">
        <f t="shared" si="3"/>
        <v>16000</v>
      </c>
      <c r="Q67" s="6">
        <v>10000.0</v>
      </c>
      <c r="R67" s="6">
        <v>3760.0</v>
      </c>
      <c r="S67" s="6" t="s">
        <v>600</v>
      </c>
    </row>
    <row r="68">
      <c r="A68" s="5">
        <v>73.0</v>
      </c>
      <c r="B68" s="6" t="s">
        <v>1237</v>
      </c>
      <c r="C68" s="6" t="s">
        <v>1238</v>
      </c>
      <c r="D68" s="7" t="s">
        <v>1006</v>
      </c>
      <c r="E68" s="7">
        <v>1366.0</v>
      </c>
      <c r="G68" s="5">
        <v>7.726021114E9</v>
      </c>
      <c r="I68" s="15">
        <v>17000.0</v>
      </c>
      <c r="J68" s="121"/>
      <c r="M68" s="9">
        <f t="shared" si="1"/>
        <v>17000</v>
      </c>
      <c r="N68" s="9">
        <f t="shared" si="2"/>
        <v>3500</v>
      </c>
      <c r="O68" s="9">
        <f t="shared" si="3"/>
        <v>13500</v>
      </c>
      <c r="Q68" s="6">
        <v>3500.0</v>
      </c>
      <c r="R68" s="6">
        <v>4063.0</v>
      </c>
      <c r="S68" s="27">
        <v>45669.0</v>
      </c>
    </row>
    <row r="69">
      <c r="A69" s="5">
        <v>74.0</v>
      </c>
      <c r="B69" s="6" t="s">
        <v>1239</v>
      </c>
      <c r="C69" s="6" t="s">
        <v>1240</v>
      </c>
      <c r="D69" s="7" t="s">
        <v>1006</v>
      </c>
      <c r="E69" s="7">
        <v>1298.0</v>
      </c>
      <c r="F69" s="6" t="s">
        <v>298</v>
      </c>
      <c r="G69" s="5">
        <v>9.672480237E9</v>
      </c>
      <c r="H69" s="6">
        <v>0.0</v>
      </c>
      <c r="I69" s="15">
        <v>17000.0</v>
      </c>
      <c r="J69" s="238">
        <v>7000.0</v>
      </c>
      <c r="L69" s="6">
        <v>4000.0</v>
      </c>
      <c r="M69" s="9">
        <f t="shared" si="1"/>
        <v>20000</v>
      </c>
      <c r="N69" s="9">
        <f t="shared" si="2"/>
        <v>10000</v>
      </c>
      <c r="O69" s="9">
        <f t="shared" si="3"/>
        <v>10000</v>
      </c>
      <c r="P69" s="6" t="s">
        <v>131</v>
      </c>
      <c r="Q69" s="6">
        <v>1000.0</v>
      </c>
      <c r="R69" s="6">
        <v>3304.0</v>
      </c>
      <c r="S69" s="6" t="s">
        <v>962</v>
      </c>
      <c r="T69" s="6">
        <v>9000.0</v>
      </c>
      <c r="U69" s="6">
        <v>3849.0</v>
      </c>
      <c r="V69" s="240">
        <v>45941.0</v>
      </c>
    </row>
    <row r="70">
      <c r="A70" s="5">
        <v>75.0</v>
      </c>
      <c r="B70" s="6" t="s">
        <v>1241</v>
      </c>
      <c r="C70" s="6" t="s">
        <v>110</v>
      </c>
      <c r="D70" s="7" t="s">
        <v>2</v>
      </c>
      <c r="E70" s="7">
        <v>1290.0</v>
      </c>
      <c r="F70" s="6" t="s">
        <v>48</v>
      </c>
      <c r="G70" s="5">
        <v>7.34022155E9</v>
      </c>
      <c r="I70" s="6">
        <v>20000.0</v>
      </c>
      <c r="J70" s="238">
        <v>9000.0</v>
      </c>
      <c r="M70" s="9">
        <f t="shared" si="1"/>
        <v>29000</v>
      </c>
      <c r="N70" s="9">
        <f t="shared" si="2"/>
        <v>15000</v>
      </c>
      <c r="O70" s="9">
        <f t="shared" si="3"/>
        <v>14000</v>
      </c>
      <c r="Q70" s="6">
        <v>15000.0</v>
      </c>
      <c r="R70" s="6">
        <v>3843.0</v>
      </c>
      <c r="S70" s="240">
        <v>45941.0</v>
      </c>
    </row>
    <row r="71">
      <c r="A71" s="9"/>
      <c r="D71" s="13"/>
      <c r="E71" s="9"/>
      <c r="G71" s="5"/>
      <c r="J71" s="121"/>
      <c r="M71" s="9"/>
      <c r="N71" s="9"/>
      <c r="O71" s="9"/>
    </row>
    <row r="72">
      <c r="A72" s="9"/>
      <c r="D72" s="13"/>
      <c r="E72" s="9"/>
      <c r="G72" s="9"/>
      <c r="J72" s="121"/>
      <c r="M72" s="9"/>
      <c r="N72" s="9"/>
      <c r="O72" s="9"/>
    </row>
    <row r="73">
      <c r="A73" s="9"/>
      <c r="D73" s="13"/>
      <c r="E73" s="13"/>
      <c r="G73" s="9"/>
      <c r="J73" s="121"/>
      <c r="M73" s="9"/>
      <c r="N73" s="9"/>
      <c r="O73" s="9"/>
    </row>
    <row r="74">
      <c r="A74" s="9"/>
      <c r="D74" s="13"/>
      <c r="E74" s="13"/>
      <c r="G74" s="9"/>
      <c r="J74" s="121"/>
      <c r="M74" s="9"/>
      <c r="N74" s="9"/>
      <c r="O74" s="9"/>
    </row>
    <row r="75">
      <c r="A75" s="9"/>
      <c r="D75" s="13"/>
      <c r="E75" s="13"/>
      <c r="G75" s="9"/>
      <c r="J75" s="121"/>
      <c r="M75" s="9"/>
      <c r="N75" s="9"/>
      <c r="O75" s="9"/>
    </row>
    <row r="76">
      <c r="A76" s="9"/>
      <c r="D76" s="13"/>
      <c r="E76" s="13"/>
      <c r="G76" s="9"/>
      <c r="J76" s="121"/>
      <c r="M76" s="9"/>
      <c r="N76" s="9"/>
      <c r="O76" s="9"/>
    </row>
    <row r="77">
      <c r="A77" s="9"/>
      <c r="D77" s="13"/>
      <c r="E77" s="13"/>
      <c r="G77" s="9"/>
      <c r="J77" s="121"/>
      <c r="M77" s="9"/>
      <c r="N77" s="9"/>
      <c r="O77" s="9"/>
    </row>
    <row r="78">
      <c r="A78" s="9"/>
      <c r="D78" s="13"/>
      <c r="E78" s="13"/>
      <c r="G78" s="9"/>
      <c r="J78" s="121"/>
      <c r="M78" s="9"/>
      <c r="N78" s="9"/>
      <c r="O78" s="9"/>
    </row>
    <row r="79">
      <c r="A79" s="9"/>
      <c r="D79" s="13"/>
      <c r="E79" s="13"/>
      <c r="G79" s="9"/>
      <c r="J79" s="121"/>
      <c r="M79" s="9"/>
      <c r="N79" s="9"/>
      <c r="O79" s="9"/>
    </row>
    <row r="80">
      <c r="A80" s="9"/>
      <c r="D80" s="13"/>
      <c r="E80" s="13"/>
      <c r="G80" s="9"/>
      <c r="J80" s="121"/>
      <c r="M80" s="9"/>
      <c r="N80" s="9"/>
      <c r="O80" s="9"/>
    </row>
    <row r="81">
      <c r="A81" s="9"/>
      <c r="D81" s="13"/>
      <c r="E81" s="13"/>
      <c r="G81" s="9"/>
      <c r="J81" s="121"/>
      <c r="M81" s="9"/>
      <c r="N81" s="9"/>
      <c r="O81" s="9"/>
    </row>
    <row r="82">
      <c r="A82" s="9"/>
      <c r="D82" s="13"/>
      <c r="E82" s="13"/>
      <c r="G82" s="9"/>
      <c r="J82" s="121"/>
      <c r="M82" s="9"/>
      <c r="N82" s="9"/>
      <c r="O82" s="9"/>
    </row>
    <row r="83">
      <c r="A83" s="9"/>
      <c r="D83" s="13"/>
      <c r="E83" s="13"/>
      <c r="G83" s="9"/>
      <c r="J83" s="121"/>
      <c r="M83" s="9"/>
      <c r="N83" s="9"/>
      <c r="O83" s="9"/>
    </row>
    <row r="84">
      <c r="A84" s="9"/>
      <c r="D84" s="13"/>
      <c r="E84" s="13"/>
      <c r="G84" s="9"/>
      <c r="J84" s="121"/>
      <c r="M84" s="9"/>
      <c r="N84" s="9"/>
      <c r="O84" s="9"/>
    </row>
    <row r="85">
      <c r="A85" s="9"/>
      <c r="D85" s="13"/>
      <c r="E85" s="13"/>
      <c r="G85" s="9"/>
      <c r="J85" s="121"/>
      <c r="M85" s="9"/>
      <c r="N85" s="9"/>
      <c r="O85" s="9"/>
    </row>
    <row r="86">
      <c r="A86" s="9"/>
      <c r="D86" s="13"/>
      <c r="E86" s="13"/>
      <c r="G86" s="9"/>
      <c r="J86" s="121"/>
      <c r="M86" s="9"/>
      <c r="N86" s="9"/>
      <c r="O86" s="9"/>
    </row>
    <row r="87">
      <c r="A87" s="9"/>
      <c r="D87" s="13"/>
      <c r="E87" s="13"/>
      <c r="G87" s="9"/>
      <c r="J87" s="121"/>
      <c r="M87" s="9"/>
      <c r="N87" s="9"/>
      <c r="O87" s="9"/>
    </row>
    <row r="88">
      <c r="A88" s="9"/>
      <c r="D88" s="13"/>
      <c r="E88" s="13"/>
      <c r="G88" s="9"/>
      <c r="J88" s="121"/>
      <c r="M88" s="9"/>
      <c r="N88" s="9"/>
      <c r="O88" s="9"/>
    </row>
    <row r="89">
      <c r="A89" s="9"/>
      <c r="D89" s="13"/>
      <c r="E89" s="13"/>
      <c r="G89" s="9"/>
      <c r="J89" s="121"/>
      <c r="M89" s="9"/>
      <c r="N89" s="9"/>
      <c r="O89" s="9"/>
    </row>
    <row r="90">
      <c r="A90" s="9"/>
      <c r="D90" s="13"/>
      <c r="E90" s="13"/>
      <c r="G90" s="9"/>
      <c r="J90" s="121"/>
      <c r="M90" s="9"/>
      <c r="N90" s="9"/>
      <c r="O90" s="9"/>
    </row>
    <row r="91">
      <c r="A91" s="9"/>
      <c r="D91" s="13"/>
      <c r="E91" s="13"/>
      <c r="G91" s="9"/>
      <c r="J91" s="121"/>
      <c r="M91" s="9"/>
      <c r="N91" s="9"/>
      <c r="O91" s="9"/>
    </row>
    <row r="92">
      <c r="A92" s="9"/>
      <c r="D92" s="13"/>
      <c r="E92" s="13"/>
      <c r="G92" s="9"/>
      <c r="J92" s="121"/>
      <c r="M92" s="9"/>
      <c r="N92" s="9"/>
      <c r="O92" s="9"/>
    </row>
    <row r="93">
      <c r="A93" s="9"/>
      <c r="D93" s="13"/>
      <c r="E93" s="13"/>
      <c r="G93" s="9"/>
      <c r="J93" s="121"/>
      <c r="M93" s="9"/>
      <c r="N93" s="9"/>
      <c r="O93" s="9"/>
    </row>
    <row r="94">
      <c r="A94" s="9"/>
      <c r="D94" s="13"/>
      <c r="E94" s="13"/>
      <c r="G94" s="9"/>
      <c r="J94" s="121"/>
      <c r="M94" s="9"/>
      <c r="N94" s="9"/>
      <c r="O94" s="9"/>
    </row>
    <row r="95">
      <c r="A95" s="9"/>
      <c r="D95" s="13"/>
      <c r="E95" s="13"/>
      <c r="G95" s="9"/>
      <c r="J95" s="121"/>
      <c r="M95" s="9"/>
      <c r="N95" s="9"/>
      <c r="O95" s="9"/>
    </row>
    <row r="96">
      <c r="A96" s="9"/>
      <c r="D96" s="13"/>
      <c r="E96" s="13"/>
      <c r="G96" s="9"/>
      <c r="J96" s="121"/>
      <c r="M96" s="9"/>
      <c r="N96" s="9"/>
      <c r="O96" s="9"/>
    </row>
    <row r="97">
      <c r="A97" s="9"/>
      <c r="D97" s="13"/>
      <c r="E97" s="13"/>
      <c r="G97" s="9"/>
      <c r="J97" s="121"/>
      <c r="M97" s="9"/>
      <c r="N97" s="9"/>
      <c r="O97" s="9"/>
    </row>
    <row r="98">
      <c r="A98" s="9"/>
      <c r="D98" s="13"/>
      <c r="E98" s="13"/>
      <c r="G98" s="9"/>
      <c r="J98" s="121"/>
      <c r="M98" s="9"/>
      <c r="N98" s="9"/>
      <c r="O98" s="9"/>
    </row>
    <row r="99">
      <c r="A99" s="9"/>
      <c r="D99" s="13"/>
      <c r="E99" s="13"/>
      <c r="G99" s="9"/>
      <c r="J99" s="121"/>
      <c r="M99" s="9"/>
      <c r="N99" s="9"/>
      <c r="O99" s="9"/>
    </row>
    <row r="100">
      <c r="A100" s="9"/>
      <c r="D100" s="13"/>
      <c r="E100" s="13"/>
      <c r="G100" s="9"/>
      <c r="J100" s="121"/>
      <c r="M100" s="9"/>
      <c r="N100" s="9"/>
      <c r="O100" s="9"/>
    </row>
    <row r="101">
      <c r="A101" s="9"/>
      <c r="D101" s="13"/>
      <c r="E101" s="13"/>
      <c r="G101" s="9"/>
      <c r="J101" s="121"/>
      <c r="M101" s="9"/>
      <c r="N101" s="9"/>
      <c r="O101" s="9"/>
    </row>
    <row r="102">
      <c r="A102" s="9"/>
      <c r="D102" s="13"/>
      <c r="E102" s="13"/>
      <c r="G102" s="9"/>
      <c r="J102" s="121"/>
      <c r="M102" s="9"/>
      <c r="N102" s="9"/>
      <c r="O102" s="9"/>
    </row>
    <row r="103">
      <c r="A103" s="9"/>
      <c r="D103" s="13"/>
      <c r="E103" s="13"/>
      <c r="G103" s="9"/>
      <c r="J103" s="121"/>
      <c r="M103" s="9"/>
      <c r="N103" s="9"/>
      <c r="O103" s="9"/>
    </row>
    <row r="104">
      <c r="A104" s="9"/>
      <c r="D104" s="13"/>
      <c r="E104" s="13"/>
      <c r="G104" s="9"/>
      <c r="J104" s="121"/>
      <c r="M104" s="9"/>
      <c r="N104" s="9"/>
      <c r="O104" s="9"/>
    </row>
    <row r="105">
      <c r="A105" s="9"/>
      <c r="D105" s="13"/>
      <c r="E105" s="13"/>
      <c r="G105" s="9"/>
      <c r="J105" s="121"/>
      <c r="M105" s="9"/>
      <c r="N105" s="9"/>
      <c r="O105" s="9"/>
    </row>
    <row r="106">
      <c r="A106" s="9"/>
      <c r="D106" s="13"/>
      <c r="E106" s="13"/>
      <c r="G106" s="9"/>
      <c r="J106" s="121"/>
      <c r="M106" s="9"/>
      <c r="N106" s="9"/>
      <c r="O106" s="9"/>
    </row>
    <row r="107">
      <c r="A107" s="9"/>
      <c r="D107" s="13"/>
      <c r="E107" s="13"/>
      <c r="G107" s="9"/>
      <c r="J107" s="121"/>
      <c r="M107" s="9"/>
      <c r="N107" s="9"/>
      <c r="O107" s="9"/>
    </row>
    <row r="108">
      <c r="A108" s="9"/>
      <c r="D108" s="13"/>
      <c r="E108" s="13"/>
      <c r="G108" s="9"/>
      <c r="J108" s="121"/>
      <c r="M108" s="9"/>
      <c r="N108" s="9"/>
      <c r="O108" s="9"/>
    </row>
    <row r="109">
      <c r="A109" s="9"/>
      <c r="D109" s="13"/>
      <c r="E109" s="13"/>
      <c r="G109" s="9"/>
      <c r="J109" s="121"/>
      <c r="M109" s="9"/>
      <c r="N109" s="9"/>
      <c r="O109" s="9"/>
    </row>
    <row r="110">
      <c r="A110" s="9"/>
      <c r="D110" s="13"/>
      <c r="E110" s="13"/>
      <c r="G110" s="9"/>
      <c r="J110" s="121"/>
      <c r="M110" s="9"/>
      <c r="N110" s="9"/>
      <c r="O110" s="9"/>
    </row>
    <row r="111">
      <c r="A111" s="9"/>
      <c r="D111" s="13"/>
      <c r="E111" s="13"/>
      <c r="G111" s="9"/>
      <c r="J111" s="121"/>
      <c r="M111" s="9"/>
      <c r="N111" s="9"/>
      <c r="O111" s="9"/>
    </row>
    <row r="112">
      <c r="A112" s="9"/>
      <c r="D112" s="13"/>
      <c r="E112" s="13"/>
      <c r="G112" s="9"/>
      <c r="J112" s="121"/>
      <c r="M112" s="9"/>
      <c r="N112" s="9"/>
      <c r="O112" s="9"/>
    </row>
    <row r="113">
      <c r="A113" s="9"/>
      <c r="D113" s="13"/>
      <c r="E113" s="13"/>
      <c r="G113" s="9"/>
      <c r="J113" s="121"/>
      <c r="M113" s="9"/>
      <c r="N113" s="9"/>
      <c r="O113" s="9"/>
    </row>
    <row r="114">
      <c r="A114" s="9"/>
      <c r="D114" s="13"/>
      <c r="E114" s="13"/>
      <c r="G114" s="9"/>
      <c r="J114" s="121"/>
      <c r="M114" s="9"/>
      <c r="N114" s="9"/>
      <c r="O114" s="9"/>
    </row>
    <row r="115">
      <c r="A115" s="9"/>
      <c r="D115" s="13"/>
      <c r="E115" s="13"/>
      <c r="G115" s="9"/>
      <c r="J115" s="121"/>
      <c r="M115" s="9"/>
      <c r="N115" s="9"/>
      <c r="O115" s="9"/>
    </row>
    <row r="116">
      <c r="A116" s="9"/>
      <c r="D116" s="13"/>
      <c r="E116" s="13"/>
      <c r="G116" s="9"/>
      <c r="J116" s="121"/>
      <c r="M116" s="9"/>
      <c r="N116" s="9"/>
      <c r="O116" s="9"/>
    </row>
    <row r="117">
      <c r="A117" s="9"/>
      <c r="D117" s="13"/>
      <c r="E117" s="13"/>
      <c r="G117" s="9"/>
      <c r="J117" s="121"/>
      <c r="M117" s="9"/>
      <c r="N117" s="9"/>
      <c r="O117" s="9"/>
    </row>
    <row r="118">
      <c r="A118" s="9"/>
      <c r="D118" s="13"/>
      <c r="E118" s="13"/>
      <c r="G118" s="9"/>
      <c r="J118" s="121"/>
      <c r="M118" s="9"/>
      <c r="N118" s="9"/>
      <c r="O118" s="9"/>
    </row>
    <row r="119">
      <c r="A119" s="9"/>
      <c r="D119" s="13"/>
      <c r="E119" s="13"/>
      <c r="G119" s="9"/>
      <c r="J119" s="121"/>
      <c r="M119" s="9"/>
      <c r="N119" s="9"/>
      <c r="O119" s="9"/>
    </row>
    <row r="120">
      <c r="A120" s="9"/>
      <c r="D120" s="13"/>
      <c r="E120" s="13"/>
      <c r="G120" s="9"/>
      <c r="J120" s="121"/>
      <c r="M120" s="9"/>
      <c r="N120" s="9"/>
      <c r="O120" s="9"/>
    </row>
    <row r="121">
      <c r="A121" s="9"/>
      <c r="D121" s="13"/>
      <c r="E121" s="13"/>
      <c r="G121" s="9"/>
      <c r="J121" s="121"/>
      <c r="M121" s="9"/>
      <c r="N121" s="9"/>
      <c r="O121" s="9"/>
    </row>
    <row r="122">
      <c r="A122" s="9"/>
      <c r="D122" s="13"/>
      <c r="E122" s="13"/>
      <c r="G122" s="9"/>
      <c r="J122" s="121"/>
      <c r="M122" s="9"/>
      <c r="N122" s="9"/>
      <c r="O122" s="9"/>
    </row>
    <row r="123">
      <c r="A123" s="9"/>
      <c r="D123" s="13"/>
      <c r="E123" s="13"/>
      <c r="G123" s="9"/>
      <c r="J123" s="121"/>
      <c r="M123" s="9"/>
      <c r="N123" s="9"/>
      <c r="O123" s="9"/>
    </row>
    <row r="124">
      <c r="A124" s="9"/>
      <c r="D124" s="13"/>
      <c r="E124" s="13"/>
      <c r="G124" s="9"/>
      <c r="J124" s="121"/>
      <c r="M124" s="9"/>
      <c r="N124" s="9"/>
      <c r="O124" s="9"/>
    </row>
    <row r="125">
      <c r="A125" s="9"/>
      <c r="D125" s="13"/>
      <c r="E125" s="13"/>
      <c r="G125" s="9"/>
      <c r="J125" s="121"/>
      <c r="M125" s="9"/>
      <c r="N125" s="9"/>
      <c r="O125" s="9"/>
    </row>
    <row r="126">
      <c r="A126" s="9"/>
      <c r="D126" s="13"/>
      <c r="E126" s="13"/>
      <c r="G126" s="9"/>
      <c r="J126" s="121"/>
      <c r="M126" s="9"/>
      <c r="N126" s="9"/>
      <c r="O126" s="9"/>
    </row>
    <row r="127">
      <c r="A127" s="9"/>
      <c r="D127" s="13"/>
      <c r="E127" s="13"/>
      <c r="G127" s="9"/>
      <c r="J127" s="121"/>
      <c r="M127" s="9"/>
      <c r="N127" s="9"/>
      <c r="O127" s="9"/>
    </row>
    <row r="128">
      <c r="A128" s="9"/>
      <c r="D128" s="13"/>
      <c r="E128" s="13"/>
      <c r="G128" s="9"/>
      <c r="J128" s="121"/>
      <c r="M128" s="9"/>
      <c r="N128" s="9"/>
      <c r="O128" s="9"/>
    </row>
    <row r="129">
      <c r="A129" s="9"/>
      <c r="D129" s="13"/>
      <c r="E129" s="13"/>
      <c r="G129" s="9"/>
      <c r="J129" s="121"/>
      <c r="M129" s="9"/>
      <c r="N129" s="9"/>
      <c r="O129" s="9"/>
    </row>
    <row r="130">
      <c r="A130" s="9"/>
      <c r="D130" s="13"/>
      <c r="E130" s="13"/>
      <c r="G130" s="9"/>
      <c r="J130" s="121"/>
      <c r="M130" s="9"/>
      <c r="N130" s="9"/>
      <c r="O130" s="9"/>
    </row>
    <row r="131">
      <c r="A131" s="9"/>
      <c r="D131" s="13"/>
      <c r="E131" s="13"/>
      <c r="G131" s="9"/>
      <c r="J131" s="121"/>
      <c r="M131" s="9"/>
      <c r="N131" s="9"/>
      <c r="O131" s="9"/>
    </row>
    <row r="132">
      <c r="A132" s="9"/>
      <c r="D132" s="13"/>
      <c r="E132" s="13"/>
      <c r="G132" s="9"/>
      <c r="J132" s="121"/>
      <c r="M132" s="9"/>
      <c r="N132" s="9"/>
      <c r="O132" s="9"/>
    </row>
    <row r="133">
      <c r="A133" s="9"/>
      <c r="D133" s="13"/>
      <c r="E133" s="13"/>
      <c r="G133" s="9"/>
      <c r="J133" s="121"/>
      <c r="M133" s="9"/>
      <c r="N133" s="9"/>
      <c r="O133" s="9"/>
    </row>
    <row r="134">
      <c r="A134" s="9"/>
      <c r="D134" s="13"/>
      <c r="E134" s="13"/>
      <c r="G134" s="9"/>
      <c r="J134" s="121"/>
      <c r="M134" s="9"/>
      <c r="N134" s="9"/>
      <c r="O134" s="9"/>
    </row>
    <row r="135">
      <c r="A135" s="9"/>
      <c r="D135" s="13"/>
      <c r="E135" s="13"/>
      <c r="G135" s="9"/>
      <c r="J135" s="121"/>
      <c r="M135" s="9"/>
      <c r="N135" s="9"/>
      <c r="O135" s="9"/>
    </row>
    <row r="136">
      <c r="A136" s="9"/>
      <c r="D136" s="13"/>
      <c r="E136" s="13"/>
      <c r="G136" s="9"/>
      <c r="J136" s="121"/>
      <c r="M136" s="9"/>
      <c r="N136" s="9"/>
      <c r="O136" s="9"/>
    </row>
    <row r="137">
      <c r="A137" s="9"/>
      <c r="D137" s="13"/>
      <c r="E137" s="13"/>
      <c r="G137" s="9"/>
      <c r="J137" s="121"/>
      <c r="M137" s="9"/>
      <c r="N137" s="9"/>
      <c r="O137" s="9"/>
    </row>
    <row r="138">
      <c r="A138" s="9"/>
      <c r="D138" s="13"/>
      <c r="E138" s="13"/>
      <c r="G138" s="9"/>
      <c r="J138" s="121"/>
      <c r="M138" s="9"/>
      <c r="N138" s="9"/>
      <c r="O138" s="9"/>
    </row>
    <row r="139">
      <c r="A139" s="9"/>
      <c r="D139" s="13"/>
      <c r="E139" s="13"/>
      <c r="G139" s="9"/>
      <c r="J139" s="121"/>
      <c r="M139" s="9"/>
      <c r="N139" s="9"/>
      <c r="O139" s="9"/>
    </row>
    <row r="140">
      <c r="A140" s="9"/>
      <c r="D140" s="13"/>
      <c r="E140" s="13"/>
      <c r="G140" s="9"/>
      <c r="J140" s="121"/>
      <c r="M140" s="9"/>
      <c r="N140" s="9"/>
      <c r="O140" s="9"/>
    </row>
    <row r="141">
      <c r="A141" s="9"/>
      <c r="D141" s="13"/>
      <c r="E141" s="13"/>
      <c r="G141" s="9"/>
      <c r="J141" s="121"/>
      <c r="M141" s="9"/>
      <c r="N141" s="9"/>
      <c r="O141" s="9"/>
    </row>
    <row r="142">
      <c r="A142" s="9"/>
      <c r="D142" s="13"/>
      <c r="E142" s="13"/>
      <c r="G142" s="9"/>
      <c r="J142" s="121"/>
      <c r="M142" s="9"/>
      <c r="N142" s="9"/>
      <c r="O142" s="9"/>
    </row>
    <row r="143">
      <c r="A143" s="9"/>
      <c r="D143" s="13"/>
      <c r="E143" s="13"/>
      <c r="G143" s="9"/>
      <c r="J143" s="121"/>
      <c r="M143" s="9"/>
      <c r="N143" s="9"/>
      <c r="O143" s="9"/>
    </row>
    <row r="144">
      <c r="A144" s="9"/>
      <c r="D144" s="13"/>
      <c r="E144" s="13"/>
      <c r="G144" s="9"/>
      <c r="J144" s="121"/>
      <c r="M144" s="9"/>
      <c r="N144" s="9"/>
      <c r="O144" s="9"/>
    </row>
    <row r="145">
      <c r="A145" s="9"/>
      <c r="D145" s="13"/>
      <c r="E145" s="13"/>
      <c r="G145" s="9"/>
      <c r="J145" s="121"/>
      <c r="M145" s="9"/>
      <c r="N145" s="9"/>
      <c r="O145" s="9"/>
    </row>
    <row r="146">
      <c r="A146" s="9"/>
      <c r="D146" s="13"/>
      <c r="E146" s="13"/>
      <c r="G146" s="9"/>
      <c r="J146" s="121"/>
      <c r="M146" s="9"/>
      <c r="N146" s="9"/>
      <c r="O146" s="9"/>
    </row>
    <row r="147">
      <c r="A147" s="9"/>
      <c r="D147" s="13"/>
      <c r="E147" s="13"/>
      <c r="G147" s="9"/>
      <c r="J147" s="121"/>
      <c r="M147" s="9"/>
      <c r="N147" s="9"/>
      <c r="O147" s="9"/>
    </row>
    <row r="148">
      <c r="A148" s="9"/>
      <c r="D148" s="13"/>
      <c r="E148" s="13"/>
      <c r="G148" s="9"/>
      <c r="J148" s="121"/>
      <c r="M148" s="9"/>
      <c r="N148" s="9"/>
      <c r="O148" s="9"/>
    </row>
    <row r="149">
      <c r="A149" s="9"/>
      <c r="D149" s="13"/>
      <c r="E149" s="13"/>
      <c r="G149" s="9"/>
      <c r="J149" s="121"/>
      <c r="M149" s="9"/>
      <c r="N149" s="9"/>
      <c r="O149" s="9"/>
    </row>
    <row r="150">
      <c r="A150" s="9"/>
      <c r="D150" s="13"/>
      <c r="E150" s="13"/>
      <c r="G150" s="9"/>
      <c r="J150" s="121"/>
      <c r="M150" s="9"/>
      <c r="N150" s="9"/>
      <c r="O150" s="9"/>
    </row>
    <row r="151">
      <c r="A151" s="9"/>
      <c r="D151" s="13"/>
      <c r="E151" s="13"/>
      <c r="G151" s="9"/>
      <c r="J151" s="121"/>
      <c r="M151" s="9"/>
      <c r="N151" s="9"/>
      <c r="O151" s="9"/>
    </row>
    <row r="152">
      <c r="A152" s="9"/>
      <c r="D152" s="13"/>
      <c r="E152" s="13"/>
      <c r="G152" s="9"/>
      <c r="J152" s="121"/>
      <c r="M152" s="9"/>
      <c r="N152" s="9"/>
      <c r="O152" s="9"/>
    </row>
    <row r="153">
      <c r="A153" s="9"/>
      <c r="D153" s="13"/>
      <c r="E153" s="13"/>
      <c r="G153" s="9"/>
      <c r="J153" s="121"/>
      <c r="M153" s="9"/>
      <c r="N153" s="9"/>
      <c r="O153" s="9"/>
    </row>
    <row r="154">
      <c r="A154" s="9"/>
      <c r="D154" s="13"/>
      <c r="E154" s="13"/>
      <c r="G154" s="9"/>
      <c r="J154" s="121"/>
      <c r="M154" s="9"/>
      <c r="N154" s="9"/>
      <c r="O154" s="9"/>
    </row>
    <row r="155">
      <c r="A155" s="9"/>
      <c r="D155" s="13"/>
      <c r="E155" s="13"/>
      <c r="G155" s="9"/>
      <c r="J155" s="121"/>
      <c r="M155" s="9"/>
      <c r="N155" s="9"/>
      <c r="O155" s="9"/>
    </row>
    <row r="156">
      <c r="A156" s="9"/>
      <c r="D156" s="13"/>
      <c r="E156" s="13"/>
      <c r="G156" s="9"/>
      <c r="J156" s="121"/>
      <c r="M156" s="9"/>
      <c r="N156" s="9"/>
      <c r="O156" s="9"/>
    </row>
    <row r="157">
      <c r="A157" s="9"/>
      <c r="D157" s="13"/>
      <c r="E157" s="13"/>
      <c r="G157" s="9"/>
      <c r="J157" s="121"/>
      <c r="M157" s="9"/>
      <c r="N157" s="9"/>
      <c r="O157" s="9"/>
    </row>
    <row r="158">
      <c r="A158" s="9"/>
      <c r="D158" s="13"/>
      <c r="E158" s="13"/>
      <c r="G158" s="9"/>
      <c r="J158" s="121"/>
      <c r="M158" s="9"/>
      <c r="N158" s="9"/>
      <c r="O158" s="9"/>
    </row>
    <row r="159">
      <c r="A159" s="9"/>
      <c r="D159" s="13"/>
      <c r="E159" s="13"/>
      <c r="G159" s="9"/>
      <c r="J159" s="121"/>
      <c r="M159" s="9"/>
      <c r="N159" s="9"/>
      <c r="O159" s="9"/>
    </row>
    <row r="160">
      <c r="A160" s="9"/>
      <c r="D160" s="13"/>
      <c r="E160" s="13"/>
      <c r="G160" s="9"/>
      <c r="J160" s="121"/>
      <c r="M160" s="9"/>
      <c r="N160" s="9"/>
      <c r="O160" s="9"/>
    </row>
    <row r="161">
      <c r="A161" s="9"/>
      <c r="D161" s="13"/>
      <c r="E161" s="13"/>
      <c r="G161" s="9"/>
      <c r="J161" s="121"/>
      <c r="M161" s="9"/>
      <c r="N161" s="9"/>
      <c r="O161" s="9"/>
    </row>
    <row r="162">
      <c r="A162" s="9"/>
      <c r="D162" s="13"/>
      <c r="E162" s="13"/>
      <c r="G162" s="9"/>
      <c r="J162" s="121"/>
      <c r="M162" s="9"/>
      <c r="N162" s="9"/>
      <c r="O162" s="9"/>
    </row>
    <row r="163">
      <c r="A163" s="9"/>
      <c r="D163" s="13"/>
      <c r="E163" s="13"/>
      <c r="G163" s="9"/>
      <c r="J163" s="121"/>
      <c r="M163" s="9"/>
      <c r="N163" s="9"/>
      <c r="O163" s="9"/>
    </row>
    <row r="164">
      <c r="A164" s="9"/>
      <c r="D164" s="13"/>
      <c r="E164" s="13"/>
      <c r="G164" s="9"/>
      <c r="J164" s="121"/>
      <c r="M164" s="9"/>
      <c r="N164" s="9"/>
      <c r="O164" s="9"/>
    </row>
    <row r="165">
      <c r="A165" s="9"/>
      <c r="D165" s="13"/>
      <c r="E165" s="13"/>
      <c r="G165" s="9"/>
      <c r="J165" s="121"/>
      <c r="M165" s="9"/>
      <c r="N165" s="9"/>
      <c r="O165" s="9"/>
    </row>
    <row r="166">
      <c r="A166" s="9"/>
      <c r="D166" s="13"/>
      <c r="E166" s="13"/>
      <c r="G166" s="9"/>
      <c r="J166" s="121"/>
      <c r="M166" s="9"/>
      <c r="N166" s="9"/>
      <c r="O166" s="9"/>
    </row>
    <row r="167">
      <c r="A167" s="9"/>
      <c r="D167" s="13"/>
      <c r="E167" s="13"/>
      <c r="G167" s="9"/>
      <c r="J167" s="121"/>
      <c r="M167" s="9"/>
      <c r="N167" s="9"/>
      <c r="O167" s="9"/>
    </row>
    <row r="168">
      <c r="A168" s="9"/>
      <c r="D168" s="13"/>
      <c r="E168" s="13"/>
      <c r="G168" s="9"/>
      <c r="J168" s="121"/>
      <c r="M168" s="9"/>
      <c r="N168" s="9"/>
      <c r="O168" s="9"/>
    </row>
    <row r="169">
      <c r="A169" s="9"/>
      <c r="D169" s="13"/>
      <c r="E169" s="13"/>
      <c r="G169" s="9"/>
      <c r="J169" s="121"/>
      <c r="M169" s="9"/>
      <c r="N169" s="9"/>
      <c r="O169" s="9"/>
    </row>
    <row r="170">
      <c r="A170" s="9"/>
      <c r="D170" s="13"/>
      <c r="E170" s="13"/>
      <c r="G170" s="9"/>
      <c r="J170" s="121"/>
      <c r="M170" s="9"/>
      <c r="N170" s="9"/>
      <c r="O170" s="9"/>
    </row>
    <row r="171">
      <c r="A171" s="9"/>
      <c r="D171" s="13"/>
      <c r="E171" s="13"/>
      <c r="G171" s="9"/>
      <c r="J171" s="121"/>
      <c r="M171" s="9"/>
      <c r="N171" s="9"/>
      <c r="O171" s="9"/>
    </row>
    <row r="172">
      <c r="A172" s="9"/>
      <c r="D172" s="13"/>
      <c r="E172" s="13"/>
      <c r="G172" s="9"/>
      <c r="J172" s="121"/>
      <c r="M172" s="9"/>
      <c r="N172" s="9"/>
      <c r="O172" s="9"/>
    </row>
    <row r="173">
      <c r="A173" s="9"/>
      <c r="D173" s="13"/>
      <c r="E173" s="13"/>
      <c r="G173" s="9"/>
      <c r="J173" s="121"/>
      <c r="M173" s="9"/>
      <c r="N173" s="9"/>
      <c r="O173" s="9"/>
    </row>
    <row r="174">
      <c r="A174" s="9"/>
      <c r="D174" s="13"/>
      <c r="E174" s="13"/>
      <c r="G174" s="9"/>
      <c r="J174" s="121"/>
      <c r="M174" s="9"/>
      <c r="N174" s="9"/>
      <c r="O174" s="9"/>
    </row>
    <row r="175">
      <c r="A175" s="9"/>
      <c r="D175" s="13"/>
      <c r="E175" s="13"/>
      <c r="G175" s="9"/>
      <c r="J175" s="121"/>
      <c r="M175" s="9"/>
      <c r="N175" s="9"/>
      <c r="O175" s="9"/>
    </row>
    <row r="176">
      <c r="A176" s="9"/>
      <c r="D176" s="13"/>
      <c r="E176" s="13"/>
      <c r="G176" s="9"/>
      <c r="J176" s="121"/>
      <c r="M176" s="9"/>
      <c r="N176" s="9"/>
      <c r="O176" s="9"/>
    </row>
    <row r="177">
      <c r="A177" s="9"/>
      <c r="D177" s="13"/>
      <c r="E177" s="13"/>
      <c r="G177" s="9"/>
      <c r="J177" s="121"/>
      <c r="M177" s="9"/>
      <c r="N177" s="9"/>
      <c r="O177" s="9"/>
    </row>
    <row r="178">
      <c r="A178" s="9"/>
      <c r="D178" s="13"/>
      <c r="E178" s="13"/>
      <c r="G178" s="9"/>
      <c r="J178" s="121"/>
      <c r="M178" s="9"/>
      <c r="N178" s="9"/>
      <c r="O178" s="9"/>
    </row>
    <row r="179">
      <c r="A179" s="9"/>
      <c r="D179" s="13"/>
      <c r="E179" s="13"/>
      <c r="G179" s="9"/>
      <c r="J179" s="121"/>
      <c r="M179" s="9"/>
      <c r="N179" s="9"/>
      <c r="O179" s="9"/>
    </row>
    <row r="180">
      <c r="A180" s="9"/>
      <c r="D180" s="13"/>
      <c r="E180" s="13"/>
      <c r="G180" s="9"/>
      <c r="J180" s="121"/>
      <c r="M180" s="9"/>
      <c r="N180" s="9"/>
      <c r="O180" s="9"/>
    </row>
    <row r="181">
      <c r="A181" s="9"/>
      <c r="D181" s="13"/>
      <c r="E181" s="13"/>
      <c r="G181" s="9"/>
      <c r="J181" s="121"/>
      <c r="M181" s="9"/>
      <c r="N181" s="9"/>
      <c r="O181" s="9"/>
    </row>
    <row r="182">
      <c r="A182" s="9"/>
      <c r="D182" s="13"/>
      <c r="E182" s="13"/>
      <c r="G182" s="9"/>
      <c r="J182" s="121"/>
      <c r="M182" s="9"/>
      <c r="N182" s="9"/>
      <c r="O182" s="9"/>
    </row>
    <row r="183">
      <c r="A183" s="9"/>
      <c r="D183" s="13"/>
      <c r="E183" s="13"/>
      <c r="G183" s="9"/>
      <c r="J183" s="121"/>
      <c r="M183" s="9"/>
      <c r="N183" s="9"/>
      <c r="O183" s="9"/>
    </row>
    <row r="184">
      <c r="A184" s="9"/>
      <c r="D184" s="13"/>
      <c r="E184" s="13"/>
      <c r="G184" s="9"/>
      <c r="J184" s="121"/>
      <c r="M184" s="9"/>
      <c r="N184" s="9"/>
      <c r="O184" s="9"/>
    </row>
    <row r="185">
      <c r="A185" s="9"/>
      <c r="D185" s="13"/>
      <c r="E185" s="13"/>
      <c r="G185" s="9"/>
      <c r="J185" s="121"/>
      <c r="M185" s="9"/>
      <c r="N185" s="9"/>
      <c r="O185" s="9"/>
    </row>
    <row r="186">
      <c r="A186" s="9"/>
      <c r="D186" s="13"/>
      <c r="E186" s="13"/>
      <c r="G186" s="9"/>
      <c r="J186" s="121"/>
      <c r="M186" s="9"/>
      <c r="N186" s="9"/>
      <c r="O186" s="9"/>
    </row>
    <row r="187">
      <c r="A187" s="9"/>
      <c r="D187" s="13"/>
      <c r="E187" s="13"/>
      <c r="G187" s="9"/>
      <c r="J187" s="121"/>
      <c r="M187" s="9"/>
      <c r="N187" s="9"/>
      <c r="O187" s="9"/>
    </row>
    <row r="188">
      <c r="A188" s="9"/>
      <c r="D188" s="13"/>
      <c r="E188" s="13"/>
      <c r="G188" s="9"/>
      <c r="J188" s="121"/>
      <c r="M188" s="9"/>
      <c r="N188" s="9"/>
      <c r="O188" s="9"/>
    </row>
    <row r="189">
      <c r="A189" s="9"/>
      <c r="D189" s="13"/>
      <c r="E189" s="13"/>
      <c r="G189" s="9"/>
      <c r="J189" s="121"/>
      <c r="M189" s="9"/>
      <c r="N189" s="9"/>
      <c r="O189" s="9"/>
    </row>
    <row r="190">
      <c r="A190" s="9"/>
      <c r="D190" s="13"/>
      <c r="E190" s="13"/>
      <c r="G190" s="9"/>
      <c r="J190" s="121"/>
      <c r="M190" s="9"/>
      <c r="N190" s="9"/>
      <c r="O190" s="9"/>
    </row>
    <row r="191">
      <c r="A191" s="9"/>
      <c r="D191" s="13"/>
      <c r="E191" s="13"/>
      <c r="G191" s="9"/>
      <c r="J191" s="121"/>
      <c r="M191" s="9"/>
      <c r="N191" s="9"/>
      <c r="O191" s="9"/>
    </row>
    <row r="192">
      <c r="A192" s="9"/>
      <c r="D192" s="13"/>
      <c r="E192" s="13"/>
      <c r="G192" s="9"/>
      <c r="J192" s="121"/>
      <c r="M192" s="9"/>
      <c r="N192" s="9"/>
      <c r="O192" s="9"/>
    </row>
    <row r="193">
      <c r="A193" s="9"/>
      <c r="D193" s="13"/>
      <c r="E193" s="13"/>
      <c r="G193" s="9"/>
      <c r="J193" s="121"/>
      <c r="M193" s="9"/>
      <c r="N193" s="9"/>
      <c r="O193" s="9"/>
    </row>
    <row r="194">
      <c r="A194" s="9"/>
      <c r="D194" s="13"/>
      <c r="E194" s="13"/>
      <c r="G194" s="9"/>
      <c r="J194" s="121"/>
      <c r="M194" s="9"/>
      <c r="N194" s="9"/>
      <c r="O194" s="9"/>
    </row>
    <row r="195">
      <c r="A195" s="9"/>
      <c r="D195" s="13"/>
      <c r="E195" s="13"/>
      <c r="G195" s="9"/>
      <c r="J195" s="121"/>
      <c r="M195" s="9"/>
      <c r="N195" s="9"/>
      <c r="O195" s="9"/>
    </row>
    <row r="196">
      <c r="A196" s="9"/>
      <c r="D196" s="13"/>
      <c r="E196" s="13"/>
      <c r="G196" s="9"/>
      <c r="J196" s="121"/>
      <c r="M196" s="9"/>
      <c r="N196" s="9"/>
      <c r="O196" s="9"/>
    </row>
    <row r="197">
      <c r="A197" s="9"/>
      <c r="D197" s="13"/>
      <c r="E197" s="13"/>
      <c r="G197" s="9"/>
      <c r="J197" s="121"/>
      <c r="M197" s="9"/>
      <c r="N197" s="9"/>
      <c r="O197" s="9"/>
    </row>
    <row r="198">
      <c r="A198" s="9"/>
      <c r="D198" s="13"/>
      <c r="E198" s="13"/>
      <c r="G198" s="9"/>
      <c r="J198" s="121"/>
      <c r="M198" s="9"/>
      <c r="N198" s="9"/>
      <c r="O198" s="9"/>
    </row>
    <row r="199">
      <c r="A199" s="9"/>
      <c r="D199" s="13"/>
      <c r="E199" s="13"/>
      <c r="G199" s="9"/>
      <c r="J199" s="121"/>
      <c r="M199" s="9"/>
      <c r="N199" s="9"/>
      <c r="O199" s="9"/>
    </row>
    <row r="200">
      <c r="A200" s="9"/>
      <c r="D200" s="13"/>
      <c r="E200" s="13"/>
      <c r="G200" s="9"/>
      <c r="J200" s="121"/>
      <c r="M200" s="9"/>
      <c r="N200" s="9"/>
      <c r="O200" s="9"/>
    </row>
    <row r="201">
      <c r="A201" s="9"/>
      <c r="D201" s="13"/>
      <c r="E201" s="13"/>
      <c r="G201" s="9"/>
      <c r="J201" s="121"/>
      <c r="M201" s="9"/>
      <c r="N201" s="9"/>
      <c r="O201" s="9"/>
    </row>
    <row r="202">
      <c r="A202" s="9"/>
      <c r="D202" s="13"/>
      <c r="E202" s="13"/>
      <c r="G202" s="9"/>
      <c r="J202" s="121"/>
      <c r="M202" s="9"/>
      <c r="N202" s="9"/>
      <c r="O202" s="9"/>
    </row>
    <row r="203">
      <c r="A203" s="9"/>
      <c r="D203" s="13"/>
      <c r="E203" s="13"/>
      <c r="G203" s="9"/>
      <c r="J203" s="121"/>
      <c r="M203" s="9"/>
      <c r="N203" s="9"/>
      <c r="O203" s="9"/>
    </row>
    <row r="204">
      <c r="A204" s="9"/>
      <c r="D204" s="13"/>
      <c r="E204" s="13"/>
      <c r="G204" s="9"/>
      <c r="J204" s="121"/>
      <c r="M204" s="9"/>
      <c r="N204" s="9"/>
      <c r="O204" s="9"/>
    </row>
    <row r="205">
      <c r="A205" s="9"/>
      <c r="D205" s="13"/>
      <c r="E205" s="13"/>
      <c r="G205" s="9"/>
      <c r="J205" s="121"/>
      <c r="M205" s="9"/>
      <c r="N205" s="9"/>
      <c r="O205" s="9"/>
    </row>
    <row r="206">
      <c r="A206" s="9"/>
      <c r="D206" s="13"/>
      <c r="E206" s="13"/>
      <c r="G206" s="9"/>
      <c r="J206" s="121"/>
      <c r="M206" s="9"/>
      <c r="N206" s="9"/>
      <c r="O206" s="9"/>
    </row>
    <row r="207">
      <c r="A207" s="9"/>
      <c r="D207" s="13"/>
      <c r="E207" s="13"/>
      <c r="G207" s="9"/>
      <c r="J207" s="121"/>
      <c r="M207" s="9"/>
      <c r="N207" s="9"/>
      <c r="O207" s="9"/>
    </row>
    <row r="208">
      <c r="A208" s="9"/>
      <c r="D208" s="13"/>
      <c r="E208" s="13"/>
      <c r="G208" s="9"/>
      <c r="J208" s="121"/>
      <c r="M208" s="9"/>
      <c r="N208" s="9"/>
      <c r="O208" s="9"/>
    </row>
    <row r="209">
      <c r="A209" s="9"/>
      <c r="D209" s="13"/>
      <c r="E209" s="13"/>
      <c r="G209" s="9"/>
      <c r="J209" s="121"/>
      <c r="M209" s="9"/>
      <c r="N209" s="9"/>
      <c r="O209" s="9"/>
    </row>
    <row r="210">
      <c r="A210" s="9"/>
      <c r="D210" s="13"/>
      <c r="E210" s="13"/>
      <c r="G210" s="9"/>
      <c r="J210" s="121"/>
      <c r="M210" s="9"/>
      <c r="N210" s="9"/>
      <c r="O210" s="9"/>
    </row>
    <row r="211">
      <c r="A211" s="9"/>
      <c r="D211" s="13"/>
      <c r="E211" s="13"/>
      <c r="G211" s="9"/>
      <c r="J211" s="121"/>
      <c r="M211" s="9"/>
      <c r="N211" s="9"/>
      <c r="O211" s="9"/>
    </row>
    <row r="212">
      <c r="A212" s="9"/>
      <c r="D212" s="13"/>
      <c r="E212" s="13"/>
      <c r="G212" s="9"/>
      <c r="J212" s="121"/>
      <c r="M212" s="9"/>
      <c r="N212" s="9"/>
      <c r="O212" s="9"/>
    </row>
    <row r="213">
      <c r="A213" s="9"/>
      <c r="D213" s="13"/>
      <c r="E213" s="13"/>
      <c r="G213" s="9"/>
      <c r="J213" s="121"/>
      <c r="M213" s="9"/>
      <c r="N213" s="9"/>
      <c r="O213" s="9"/>
    </row>
    <row r="214">
      <c r="A214" s="9"/>
      <c r="D214" s="13"/>
      <c r="E214" s="13"/>
      <c r="G214" s="9"/>
      <c r="J214" s="121"/>
      <c r="M214" s="9"/>
      <c r="N214" s="9"/>
      <c r="O214" s="9"/>
    </row>
    <row r="215">
      <c r="A215" s="9"/>
      <c r="D215" s="13"/>
      <c r="E215" s="13"/>
      <c r="G215" s="9"/>
      <c r="J215" s="121"/>
      <c r="M215" s="9"/>
      <c r="N215" s="9"/>
      <c r="O215" s="9"/>
    </row>
    <row r="216">
      <c r="A216" s="9"/>
      <c r="D216" s="13"/>
      <c r="E216" s="13"/>
      <c r="G216" s="9"/>
      <c r="J216" s="121"/>
      <c r="M216" s="9"/>
      <c r="N216" s="9"/>
      <c r="O216" s="9"/>
    </row>
    <row r="217">
      <c r="A217" s="9"/>
      <c r="D217" s="13"/>
      <c r="E217" s="13"/>
      <c r="G217" s="9"/>
      <c r="J217" s="121"/>
      <c r="M217" s="9"/>
      <c r="N217" s="9"/>
      <c r="O217" s="9"/>
    </row>
    <row r="218">
      <c r="A218" s="9"/>
      <c r="D218" s="13"/>
      <c r="E218" s="13"/>
      <c r="G218" s="9"/>
      <c r="J218" s="121"/>
      <c r="M218" s="9"/>
      <c r="N218" s="9"/>
      <c r="O218" s="9"/>
    </row>
    <row r="219">
      <c r="A219" s="9"/>
      <c r="D219" s="13"/>
      <c r="E219" s="13"/>
      <c r="G219" s="9"/>
      <c r="J219" s="121"/>
      <c r="M219" s="9"/>
      <c r="N219" s="9"/>
      <c r="O219" s="9"/>
    </row>
    <row r="220">
      <c r="A220" s="9"/>
      <c r="D220" s="13"/>
      <c r="E220" s="13"/>
      <c r="G220" s="9"/>
      <c r="J220" s="121"/>
      <c r="M220" s="9"/>
      <c r="N220" s="9"/>
      <c r="O220" s="9"/>
    </row>
    <row r="221">
      <c r="A221" s="9"/>
      <c r="D221" s="13"/>
      <c r="E221" s="13"/>
      <c r="G221" s="9"/>
      <c r="J221" s="121"/>
      <c r="M221" s="9"/>
      <c r="N221" s="9"/>
      <c r="O221" s="9"/>
    </row>
    <row r="222">
      <c r="A222" s="9"/>
      <c r="D222" s="13"/>
      <c r="E222" s="13"/>
      <c r="G222" s="9"/>
      <c r="J222" s="121"/>
      <c r="M222" s="9"/>
      <c r="N222" s="9"/>
      <c r="O222" s="9"/>
    </row>
    <row r="223">
      <c r="A223" s="9"/>
      <c r="D223" s="13"/>
      <c r="E223" s="13"/>
      <c r="G223" s="9"/>
      <c r="J223" s="121"/>
      <c r="M223" s="9"/>
      <c r="N223" s="9"/>
      <c r="O223" s="9"/>
    </row>
    <row r="224">
      <c r="A224" s="9"/>
      <c r="D224" s="13"/>
      <c r="E224" s="13"/>
      <c r="G224" s="9"/>
      <c r="J224" s="121"/>
      <c r="M224" s="9"/>
      <c r="N224" s="9"/>
      <c r="O224" s="9"/>
    </row>
    <row r="225">
      <c r="A225" s="9"/>
      <c r="D225" s="13"/>
      <c r="E225" s="13"/>
      <c r="G225" s="9"/>
      <c r="J225" s="121"/>
      <c r="M225" s="9"/>
      <c r="N225" s="9"/>
      <c r="O225" s="9"/>
    </row>
    <row r="226">
      <c r="A226" s="9"/>
      <c r="D226" s="13"/>
      <c r="E226" s="13"/>
      <c r="G226" s="9"/>
      <c r="J226" s="121"/>
      <c r="M226" s="9"/>
      <c r="N226" s="9"/>
      <c r="O226" s="9"/>
    </row>
    <row r="227">
      <c r="A227" s="9"/>
      <c r="D227" s="13"/>
      <c r="E227" s="13"/>
      <c r="G227" s="9"/>
      <c r="J227" s="121"/>
      <c r="M227" s="9"/>
      <c r="N227" s="9"/>
      <c r="O227" s="9"/>
    </row>
    <row r="228">
      <c r="A228" s="9"/>
      <c r="D228" s="13"/>
      <c r="E228" s="13"/>
      <c r="G228" s="9"/>
      <c r="J228" s="121"/>
      <c r="M228" s="9"/>
      <c r="N228" s="9"/>
      <c r="O228" s="9"/>
    </row>
    <row r="229">
      <c r="A229" s="9"/>
      <c r="D229" s="13"/>
      <c r="E229" s="13"/>
      <c r="G229" s="9"/>
      <c r="J229" s="121"/>
      <c r="M229" s="9"/>
      <c r="N229" s="9"/>
      <c r="O229" s="9"/>
    </row>
    <row r="230">
      <c r="A230" s="9"/>
      <c r="D230" s="13"/>
      <c r="E230" s="13"/>
      <c r="G230" s="9"/>
      <c r="J230" s="121"/>
      <c r="M230" s="9"/>
      <c r="N230" s="9"/>
      <c r="O230" s="9"/>
    </row>
    <row r="231">
      <c r="A231" s="9"/>
      <c r="D231" s="13"/>
      <c r="E231" s="13"/>
      <c r="G231" s="9"/>
      <c r="J231" s="121"/>
      <c r="M231" s="9"/>
      <c r="N231" s="9"/>
      <c r="O231" s="9"/>
    </row>
    <row r="232">
      <c r="A232" s="9"/>
      <c r="D232" s="13"/>
      <c r="E232" s="13"/>
      <c r="G232" s="9"/>
      <c r="J232" s="121"/>
      <c r="M232" s="9"/>
      <c r="N232" s="9"/>
      <c r="O232" s="9"/>
    </row>
    <row r="233">
      <c r="A233" s="9"/>
      <c r="D233" s="13"/>
      <c r="E233" s="13"/>
      <c r="G233" s="9"/>
      <c r="J233" s="121"/>
      <c r="M233" s="9"/>
      <c r="N233" s="9"/>
      <c r="O233" s="9"/>
    </row>
    <row r="234">
      <c r="A234" s="9"/>
      <c r="D234" s="13"/>
      <c r="E234" s="13"/>
      <c r="G234" s="9"/>
      <c r="J234" s="121"/>
      <c r="M234" s="9"/>
      <c r="N234" s="9"/>
      <c r="O234" s="9"/>
    </row>
    <row r="235">
      <c r="A235" s="9"/>
      <c r="D235" s="13"/>
      <c r="E235" s="13"/>
      <c r="G235" s="9"/>
      <c r="J235" s="121"/>
      <c r="M235" s="9"/>
      <c r="N235" s="9"/>
      <c r="O235" s="9"/>
    </row>
    <row r="236">
      <c r="A236" s="9"/>
      <c r="D236" s="13"/>
      <c r="E236" s="13"/>
      <c r="G236" s="9"/>
      <c r="J236" s="121"/>
      <c r="M236" s="9"/>
      <c r="N236" s="9"/>
      <c r="O236" s="9"/>
    </row>
    <row r="237">
      <c r="A237" s="9"/>
      <c r="D237" s="13"/>
      <c r="E237" s="13"/>
      <c r="G237" s="9"/>
      <c r="J237" s="121"/>
      <c r="M237" s="9"/>
      <c r="N237" s="9"/>
      <c r="O237" s="9"/>
    </row>
    <row r="238">
      <c r="A238" s="9"/>
      <c r="D238" s="13"/>
      <c r="E238" s="13"/>
      <c r="G238" s="9"/>
      <c r="J238" s="121"/>
      <c r="M238" s="9"/>
      <c r="N238" s="9"/>
      <c r="O238" s="9"/>
    </row>
    <row r="239">
      <c r="A239" s="9"/>
      <c r="D239" s="13"/>
      <c r="E239" s="13"/>
      <c r="G239" s="9"/>
      <c r="J239" s="121"/>
      <c r="M239" s="9"/>
      <c r="N239" s="9"/>
      <c r="O239" s="9"/>
    </row>
    <row r="240">
      <c r="A240" s="9"/>
      <c r="D240" s="13"/>
      <c r="E240" s="13"/>
      <c r="G240" s="9"/>
      <c r="J240" s="121"/>
      <c r="M240" s="9"/>
      <c r="N240" s="9"/>
      <c r="O240" s="9"/>
    </row>
    <row r="241">
      <c r="A241" s="9"/>
      <c r="D241" s="13"/>
      <c r="E241" s="13"/>
      <c r="G241" s="9"/>
      <c r="J241" s="121"/>
      <c r="M241" s="9"/>
      <c r="N241" s="9"/>
      <c r="O241" s="9"/>
    </row>
    <row r="242">
      <c r="A242" s="9"/>
      <c r="D242" s="13"/>
      <c r="E242" s="13"/>
      <c r="G242" s="9"/>
      <c r="J242" s="121"/>
      <c r="M242" s="9"/>
      <c r="N242" s="9"/>
      <c r="O242" s="9"/>
    </row>
    <row r="243">
      <c r="A243" s="9"/>
      <c r="D243" s="13"/>
      <c r="E243" s="13"/>
      <c r="G243" s="9"/>
      <c r="J243" s="121"/>
      <c r="M243" s="9"/>
      <c r="N243" s="9"/>
      <c r="O243" s="9"/>
    </row>
    <row r="244">
      <c r="A244" s="9"/>
      <c r="D244" s="13"/>
      <c r="E244" s="13"/>
      <c r="G244" s="9"/>
      <c r="J244" s="121"/>
      <c r="M244" s="9"/>
      <c r="N244" s="9"/>
      <c r="O244" s="9"/>
    </row>
    <row r="245">
      <c r="A245" s="9"/>
      <c r="D245" s="13"/>
      <c r="E245" s="13"/>
      <c r="G245" s="9"/>
      <c r="J245" s="121"/>
      <c r="M245" s="9"/>
      <c r="N245" s="9"/>
      <c r="O245" s="9"/>
    </row>
    <row r="246">
      <c r="A246" s="9"/>
      <c r="D246" s="13"/>
      <c r="E246" s="13"/>
      <c r="G246" s="9"/>
      <c r="J246" s="121"/>
      <c r="M246" s="9"/>
      <c r="N246" s="9"/>
      <c r="O246" s="9"/>
    </row>
    <row r="247">
      <c r="A247" s="9"/>
      <c r="D247" s="13"/>
      <c r="E247" s="13"/>
      <c r="G247" s="9"/>
      <c r="J247" s="121"/>
      <c r="M247" s="9"/>
      <c r="N247" s="9"/>
      <c r="O247" s="9"/>
    </row>
    <row r="248">
      <c r="A248" s="9"/>
      <c r="D248" s="13"/>
      <c r="E248" s="13"/>
      <c r="G248" s="9"/>
      <c r="J248" s="121"/>
      <c r="M248" s="9"/>
      <c r="N248" s="9"/>
      <c r="O248" s="9"/>
    </row>
    <row r="249">
      <c r="A249" s="9"/>
      <c r="D249" s="13"/>
      <c r="E249" s="13"/>
      <c r="G249" s="9"/>
      <c r="J249" s="121"/>
      <c r="M249" s="9"/>
      <c r="N249" s="9"/>
      <c r="O249" s="9"/>
    </row>
    <row r="250">
      <c r="A250" s="9"/>
      <c r="D250" s="13"/>
      <c r="E250" s="13"/>
      <c r="G250" s="9"/>
      <c r="J250" s="121"/>
      <c r="M250" s="9"/>
      <c r="N250" s="9"/>
      <c r="O250" s="9"/>
    </row>
    <row r="251">
      <c r="A251" s="9"/>
      <c r="D251" s="13"/>
      <c r="E251" s="13"/>
      <c r="G251" s="9"/>
      <c r="J251" s="121"/>
      <c r="M251" s="9"/>
      <c r="N251" s="9"/>
      <c r="O251" s="9"/>
    </row>
    <row r="252">
      <c r="A252" s="9"/>
      <c r="D252" s="13"/>
      <c r="E252" s="13"/>
      <c r="G252" s="9"/>
      <c r="J252" s="121"/>
      <c r="M252" s="9"/>
      <c r="N252" s="9"/>
      <c r="O252" s="9"/>
    </row>
    <row r="253">
      <c r="A253" s="9"/>
      <c r="D253" s="13"/>
      <c r="E253" s="13"/>
      <c r="G253" s="9"/>
      <c r="J253" s="121"/>
      <c r="M253" s="9"/>
      <c r="N253" s="9"/>
      <c r="O253" s="9"/>
    </row>
    <row r="254">
      <c r="A254" s="9"/>
      <c r="D254" s="13"/>
      <c r="E254" s="13"/>
      <c r="G254" s="9"/>
      <c r="J254" s="121"/>
      <c r="M254" s="9"/>
      <c r="N254" s="9"/>
      <c r="O254" s="9"/>
    </row>
    <row r="255">
      <c r="A255" s="9"/>
      <c r="D255" s="13"/>
      <c r="E255" s="13"/>
      <c r="G255" s="9"/>
      <c r="J255" s="121"/>
      <c r="M255" s="9"/>
      <c r="N255" s="9"/>
      <c r="O255" s="9"/>
    </row>
    <row r="256">
      <c r="A256" s="9"/>
      <c r="D256" s="13"/>
      <c r="E256" s="13"/>
      <c r="G256" s="9"/>
      <c r="J256" s="121"/>
      <c r="M256" s="9"/>
      <c r="N256" s="9"/>
      <c r="O256" s="9"/>
    </row>
    <row r="257">
      <c r="A257" s="9"/>
      <c r="D257" s="13"/>
      <c r="E257" s="13"/>
      <c r="G257" s="9"/>
      <c r="J257" s="121"/>
      <c r="M257" s="9"/>
      <c r="N257" s="9"/>
      <c r="O257" s="9"/>
    </row>
    <row r="258">
      <c r="A258" s="9"/>
      <c r="D258" s="13"/>
      <c r="E258" s="13"/>
      <c r="G258" s="9"/>
      <c r="J258" s="121"/>
      <c r="M258" s="9"/>
      <c r="N258" s="9"/>
      <c r="O258" s="9"/>
    </row>
    <row r="259">
      <c r="A259" s="9"/>
      <c r="D259" s="13"/>
      <c r="E259" s="13"/>
      <c r="G259" s="9"/>
      <c r="J259" s="121"/>
      <c r="M259" s="9"/>
      <c r="N259" s="9"/>
      <c r="O259" s="9"/>
    </row>
    <row r="260">
      <c r="A260" s="9"/>
      <c r="D260" s="13"/>
      <c r="E260" s="13"/>
      <c r="G260" s="9"/>
      <c r="J260" s="121"/>
      <c r="M260" s="9"/>
      <c r="N260" s="9"/>
      <c r="O260" s="9"/>
    </row>
    <row r="261">
      <c r="A261" s="9"/>
      <c r="D261" s="13"/>
      <c r="E261" s="13"/>
      <c r="G261" s="9"/>
      <c r="J261" s="121"/>
      <c r="M261" s="9"/>
      <c r="N261" s="9"/>
      <c r="O261" s="9"/>
    </row>
    <row r="262">
      <c r="A262" s="9"/>
      <c r="D262" s="13"/>
      <c r="E262" s="13"/>
      <c r="G262" s="9"/>
      <c r="J262" s="121"/>
      <c r="M262" s="9"/>
      <c r="N262" s="9"/>
      <c r="O262" s="9"/>
    </row>
    <row r="263">
      <c r="A263" s="9"/>
      <c r="D263" s="13"/>
      <c r="E263" s="13"/>
      <c r="G263" s="9"/>
      <c r="J263" s="121"/>
      <c r="M263" s="9"/>
      <c r="N263" s="9"/>
      <c r="O263" s="9"/>
    </row>
    <row r="264">
      <c r="A264" s="9"/>
      <c r="D264" s="13"/>
      <c r="E264" s="13"/>
      <c r="G264" s="9"/>
      <c r="J264" s="121"/>
      <c r="M264" s="9"/>
      <c r="N264" s="9"/>
      <c r="O264" s="9"/>
    </row>
    <row r="265">
      <c r="A265" s="9"/>
      <c r="D265" s="13"/>
      <c r="E265" s="13"/>
      <c r="G265" s="9"/>
      <c r="J265" s="121"/>
      <c r="M265" s="9"/>
      <c r="N265" s="9"/>
      <c r="O265" s="9"/>
    </row>
    <row r="266">
      <c r="A266" s="9"/>
      <c r="D266" s="13"/>
      <c r="E266" s="13"/>
      <c r="G266" s="9"/>
      <c r="J266" s="121"/>
      <c r="M266" s="9"/>
      <c r="N266" s="9"/>
      <c r="O266" s="9"/>
    </row>
    <row r="267">
      <c r="A267" s="9"/>
      <c r="D267" s="13"/>
      <c r="E267" s="13"/>
      <c r="G267" s="9"/>
      <c r="J267" s="121"/>
      <c r="M267" s="9"/>
      <c r="N267" s="9"/>
      <c r="O267" s="9"/>
    </row>
    <row r="268">
      <c r="A268" s="9"/>
      <c r="D268" s="13"/>
      <c r="E268" s="13"/>
      <c r="G268" s="9"/>
      <c r="J268" s="121"/>
      <c r="M268" s="9"/>
      <c r="N268" s="9"/>
      <c r="O268" s="9"/>
    </row>
    <row r="269">
      <c r="A269" s="9"/>
      <c r="D269" s="13"/>
      <c r="E269" s="13"/>
      <c r="G269" s="9"/>
      <c r="J269" s="121"/>
      <c r="M269" s="9"/>
      <c r="N269" s="9"/>
      <c r="O269" s="9"/>
    </row>
    <row r="270">
      <c r="A270" s="9"/>
      <c r="D270" s="13"/>
      <c r="E270" s="13"/>
      <c r="G270" s="9"/>
      <c r="J270" s="121"/>
      <c r="M270" s="9"/>
      <c r="N270" s="9"/>
      <c r="O270" s="9"/>
    </row>
    <row r="271">
      <c r="A271" s="9"/>
      <c r="D271" s="13"/>
      <c r="E271" s="13"/>
      <c r="G271" s="9"/>
      <c r="J271" s="121"/>
      <c r="M271" s="9"/>
      <c r="N271" s="9"/>
      <c r="O271" s="9"/>
    </row>
    <row r="272">
      <c r="A272" s="9"/>
      <c r="D272" s="13"/>
      <c r="E272" s="13"/>
      <c r="G272" s="9"/>
      <c r="J272" s="121"/>
      <c r="M272" s="9"/>
      <c r="N272" s="9"/>
      <c r="O272" s="9"/>
    </row>
    <row r="273">
      <c r="A273" s="9"/>
      <c r="D273" s="13"/>
      <c r="E273" s="13"/>
      <c r="G273" s="9"/>
      <c r="J273" s="121"/>
      <c r="M273" s="9"/>
      <c r="N273" s="9"/>
      <c r="O273" s="9"/>
    </row>
    <row r="274">
      <c r="A274" s="9"/>
      <c r="D274" s="13"/>
      <c r="E274" s="13"/>
      <c r="G274" s="9"/>
      <c r="J274" s="121"/>
      <c r="M274" s="9"/>
      <c r="N274" s="9"/>
      <c r="O274" s="9"/>
    </row>
    <row r="275">
      <c r="A275" s="9"/>
      <c r="D275" s="13"/>
      <c r="E275" s="13"/>
      <c r="G275" s="9"/>
      <c r="J275" s="121"/>
      <c r="M275" s="9"/>
      <c r="N275" s="9"/>
      <c r="O275" s="9"/>
    </row>
    <row r="276">
      <c r="A276" s="9"/>
      <c r="D276" s="13"/>
      <c r="E276" s="13"/>
      <c r="G276" s="9"/>
      <c r="J276" s="121"/>
      <c r="M276" s="9"/>
      <c r="N276" s="9"/>
      <c r="O276" s="9"/>
    </row>
    <row r="277">
      <c r="A277" s="9"/>
      <c r="D277" s="13"/>
      <c r="E277" s="13"/>
      <c r="G277" s="9"/>
      <c r="J277" s="121"/>
      <c r="M277" s="9"/>
      <c r="N277" s="9"/>
      <c r="O277" s="9"/>
    </row>
    <row r="278">
      <c r="A278" s="9"/>
      <c r="D278" s="13"/>
      <c r="E278" s="13"/>
      <c r="G278" s="9"/>
      <c r="J278" s="121"/>
      <c r="M278" s="9"/>
      <c r="N278" s="9"/>
      <c r="O278" s="9"/>
    </row>
    <row r="279">
      <c r="A279" s="9"/>
      <c r="D279" s="13"/>
      <c r="E279" s="13"/>
      <c r="G279" s="9"/>
      <c r="J279" s="121"/>
      <c r="M279" s="9"/>
      <c r="N279" s="9"/>
      <c r="O279" s="9"/>
    </row>
    <row r="280">
      <c r="A280" s="9"/>
      <c r="D280" s="13"/>
      <c r="E280" s="13"/>
      <c r="G280" s="9"/>
      <c r="J280" s="121"/>
      <c r="M280" s="9"/>
      <c r="N280" s="9"/>
      <c r="O280" s="9"/>
    </row>
    <row r="281">
      <c r="A281" s="9"/>
      <c r="D281" s="13"/>
      <c r="E281" s="13"/>
      <c r="G281" s="9"/>
      <c r="J281" s="121"/>
      <c r="M281" s="9"/>
      <c r="N281" s="9"/>
      <c r="O281" s="9"/>
    </row>
    <row r="282">
      <c r="A282" s="9"/>
      <c r="D282" s="13"/>
      <c r="E282" s="13"/>
      <c r="G282" s="9"/>
      <c r="J282" s="121"/>
      <c r="M282" s="9"/>
      <c r="N282" s="9"/>
      <c r="O282" s="9"/>
    </row>
    <row r="283">
      <c r="A283" s="9"/>
      <c r="D283" s="13"/>
      <c r="E283" s="13"/>
      <c r="G283" s="9"/>
      <c r="J283" s="121"/>
      <c r="M283" s="9"/>
      <c r="N283" s="9"/>
      <c r="O283" s="9"/>
    </row>
    <row r="284">
      <c r="A284" s="9"/>
      <c r="D284" s="13"/>
      <c r="E284" s="13"/>
      <c r="G284" s="9"/>
      <c r="J284" s="121"/>
      <c r="M284" s="9"/>
      <c r="N284" s="9"/>
      <c r="O284" s="9"/>
    </row>
    <row r="285">
      <c r="A285" s="9"/>
      <c r="D285" s="13"/>
      <c r="E285" s="13"/>
      <c r="G285" s="9"/>
      <c r="J285" s="121"/>
      <c r="M285" s="9"/>
      <c r="N285" s="9"/>
      <c r="O285" s="9"/>
    </row>
    <row r="286">
      <c r="A286" s="9"/>
      <c r="D286" s="13"/>
      <c r="E286" s="13"/>
      <c r="G286" s="9"/>
      <c r="J286" s="121"/>
      <c r="M286" s="9"/>
      <c r="N286" s="9"/>
      <c r="O286" s="9"/>
    </row>
    <row r="287">
      <c r="A287" s="9"/>
      <c r="D287" s="13"/>
      <c r="E287" s="13"/>
      <c r="G287" s="9"/>
      <c r="J287" s="121"/>
      <c r="M287" s="9"/>
      <c r="N287" s="9"/>
      <c r="O287" s="9"/>
    </row>
    <row r="288">
      <c r="A288" s="9"/>
      <c r="D288" s="13"/>
      <c r="E288" s="13"/>
      <c r="G288" s="9"/>
      <c r="J288" s="121"/>
      <c r="M288" s="9"/>
      <c r="N288" s="9"/>
      <c r="O288" s="9"/>
    </row>
    <row r="289">
      <c r="A289" s="9"/>
      <c r="D289" s="13"/>
      <c r="E289" s="13"/>
      <c r="G289" s="9"/>
      <c r="J289" s="121"/>
      <c r="M289" s="9"/>
      <c r="N289" s="9"/>
      <c r="O289" s="9"/>
    </row>
    <row r="290">
      <c r="A290" s="9"/>
      <c r="D290" s="13"/>
      <c r="E290" s="13"/>
      <c r="G290" s="9"/>
      <c r="J290" s="121"/>
      <c r="M290" s="9"/>
      <c r="N290" s="9"/>
      <c r="O290" s="9"/>
    </row>
    <row r="291">
      <c r="A291" s="9"/>
      <c r="D291" s="13"/>
      <c r="E291" s="13"/>
      <c r="G291" s="9"/>
      <c r="J291" s="121"/>
      <c r="M291" s="9"/>
      <c r="N291" s="9"/>
      <c r="O291" s="9"/>
    </row>
    <row r="292">
      <c r="A292" s="9"/>
      <c r="D292" s="13"/>
      <c r="E292" s="13"/>
      <c r="G292" s="9"/>
      <c r="J292" s="121"/>
      <c r="M292" s="9"/>
      <c r="N292" s="9"/>
      <c r="O292" s="9"/>
    </row>
    <row r="293">
      <c r="A293" s="9"/>
      <c r="D293" s="13"/>
      <c r="E293" s="13"/>
      <c r="G293" s="9"/>
      <c r="J293" s="121"/>
      <c r="M293" s="9"/>
      <c r="N293" s="9"/>
      <c r="O293" s="9"/>
    </row>
    <row r="294">
      <c r="A294" s="9"/>
      <c r="D294" s="13"/>
      <c r="E294" s="13"/>
      <c r="G294" s="9"/>
      <c r="J294" s="121"/>
      <c r="M294" s="9"/>
      <c r="N294" s="9"/>
      <c r="O294" s="9"/>
    </row>
    <row r="295">
      <c r="A295" s="9"/>
      <c r="D295" s="13"/>
      <c r="E295" s="13"/>
      <c r="G295" s="9"/>
      <c r="J295" s="121"/>
      <c r="M295" s="9"/>
      <c r="N295" s="9"/>
      <c r="O295" s="9"/>
    </row>
    <row r="296">
      <c r="A296" s="9"/>
      <c r="D296" s="13"/>
      <c r="E296" s="13"/>
      <c r="G296" s="9"/>
      <c r="J296" s="121"/>
      <c r="M296" s="9"/>
      <c r="N296" s="9"/>
      <c r="O296" s="9"/>
    </row>
    <row r="297">
      <c r="A297" s="9"/>
      <c r="D297" s="13"/>
      <c r="E297" s="13"/>
      <c r="G297" s="9"/>
      <c r="J297" s="121"/>
      <c r="M297" s="9"/>
      <c r="N297" s="9"/>
      <c r="O297" s="9"/>
    </row>
    <row r="298">
      <c r="A298" s="9"/>
      <c r="D298" s="13"/>
      <c r="E298" s="13"/>
      <c r="G298" s="9"/>
      <c r="J298" s="121"/>
      <c r="M298" s="9"/>
      <c r="N298" s="9"/>
      <c r="O298" s="9"/>
    </row>
    <row r="299">
      <c r="A299" s="9"/>
      <c r="D299" s="13"/>
      <c r="E299" s="13"/>
      <c r="G299" s="9"/>
      <c r="J299" s="121"/>
      <c r="M299" s="9"/>
      <c r="N299" s="9"/>
      <c r="O299" s="9"/>
    </row>
    <row r="300">
      <c r="A300" s="9"/>
      <c r="D300" s="13"/>
      <c r="E300" s="13"/>
      <c r="G300" s="9"/>
      <c r="J300" s="121"/>
      <c r="M300" s="9"/>
      <c r="N300" s="9"/>
      <c r="O300" s="9"/>
    </row>
    <row r="301">
      <c r="A301" s="9"/>
      <c r="D301" s="13"/>
      <c r="E301" s="13"/>
      <c r="G301" s="9"/>
      <c r="J301" s="121"/>
      <c r="M301" s="9"/>
      <c r="N301" s="9"/>
      <c r="O301" s="9"/>
    </row>
    <row r="302">
      <c r="A302" s="9"/>
      <c r="D302" s="13"/>
      <c r="E302" s="13"/>
      <c r="G302" s="9"/>
      <c r="J302" s="121"/>
      <c r="M302" s="9"/>
      <c r="N302" s="9"/>
      <c r="O302" s="9"/>
    </row>
    <row r="303">
      <c r="A303" s="9"/>
      <c r="D303" s="13"/>
      <c r="E303" s="13"/>
      <c r="G303" s="9"/>
      <c r="J303" s="121"/>
      <c r="M303" s="9"/>
      <c r="N303" s="9"/>
      <c r="O303" s="9"/>
    </row>
    <row r="304">
      <c r="A304" s="9"/>
      <c r="D304" s="13"/>
      <c r="E304" s="13"/>
      <c r="G304" s="9"/>
      <c r="J304" s="121"/>
      <c r="M304" s="9"/>
      <c r="N304" s="9"/>
      <c r="O304" s="9"/>
    </row>
    <row r="305">
      <c r="A305" s="9"/>
      <c r="D305" s="13"/>
      <c r="E305" s="13"/>
      <c r="G305" s="9"/>
      <c r="J305" s="121"/>
      <c r="M305" s="9"/>
      <c r="N305" s="9"/>
      <c r="O305" s="9"/>
    </row>
    <row r="306">
      <c r="A306" s="9"/>
      <c r="D306" s="13"/>
      <c r="E306" s="13"/>
      <c r="G306" s="9"/>
      <c r="J306" s="121"/>
      <c r="M306" s="9"/>
      <c r="N306" s="9"/>
      <c r="O306" s="9"/>
    </row>
    <row r="307">
      <c r="A307" s="9"/>
      <c r="D307" s="13"/>
      <c r="E307" s="13"/>
      <c r="G307" s="9"/>
      <c r="J307" s="121"/>
      <c r="M307" s="9"/>
      <c r="N307" s="9"/>
      <c r="O307" s="9"/>
    </row>
    <row r="308">
      <c r="A308" s="9"/>
      <c r="D308" s="13"/>
      <c r="E308" s="13"/>
      <c r="G308" s="9"/>
      <c r="J308" s="121"/>
      <c r="M308" s="9"/>
      <c r="N308" s="9"/>
      <c r="O308" s="9"/>
    </row>
    <row r="309">
      <c r="A309" s="9"/>
      <c r="D309" s="13"/>
      <c r="E309" s="13"/>
      <c r="G309" s="9"/>
      <c r="J309" s="121"/>
      <c r="M309" s="9"/>
      <c r="N309" s="9"/>
      <c r="O309" s="9"/>
    </row>
    <row r="310">
      <c r="A310" s="9"/>
      <c r="D310" s="13"/>
      <c r="E310" s="13"/>
      <c r="G310" s="9"/>
      <c r="J310" s="121"/>
      <c r="M310" s="9"/>
      <c r="N310" s="9"/>
      <c r="O310" s="9"/>
    </row>
    <row r="311">
      <c r="A311" s="9"/>
      <c r="D311" s="13"/>
      <c r="E311" s="13"/>
      <c r="G311" s="9"/>
      <c r="J311" s="121"/>
      <c r="M311" s="9"/>
      <c r="N311" s="9"/>
      <c r="O311" s="9"/>
    </row>
    <row r="312">
      <c r="A312" s="9"/>
      <c r="D312" s="13"/>
      <c r="E312" s="13"/>
      <c r="G312" s="9"/>
      <c r="J312" s="121"/>
      <c r="M312" s="9"/>
      <c r="N312" s="9"/>
      <c r="O312" s="9"/>
    </row>
    <row r="313">
      <c r="A313" s="9"/>
      <c r="D313" s="13"/>
      <c r="E313" s="13"/>
      <c r="G313" s="9"/>
      <c r="J313" s="121"/>
      <c r="M313" s="9"/>
      <c r="N313" s="9"/>
      <c r="O313" s="9"/>
    </row>
    <row r="314">
      <c r="A314" s="9"/>
      <c r="D314" s="13"/>
      <c r="E314" s="13"/>
      <c r="G314" s="9"/>
      <c r="J314" s="121"/>
      <c r="M314" s="9"/>
      <c r="N314" s="9"/>
      <c r="O314" s="9"/>
    </row>
    <row r="315">
      <c r="A315" s="9"/>
      <c r="D315" s="13"/>
      <c r="E315" s="13"/>
      <c r="G315" s="9"/>
      <c r="J315" s="121"/>
      <c r="M315" s="9"/>
      <c r="N315" s="9"/>
      <c r="O315" s="9"/>
    </row>
    <row r="316">
      <c r="A316" s="9"/>
      <c r="D316" s="13"/>
      <c r="E316" s="13"/>
      <c r="G316" s="9"/>
      <c r="J316" s="121"/>
      <c r="M316" s="9"/>
      <c r="N316" s="9"/>
      <c r="O316" s="9"/>
    </row>
    <row r="317">
      <c r="A317" s="9"/>
      <c r="D317" s="13"/>
      <c r="E317" s="13"/>
      <c r="G317" s="9"/>
      <c r="J317" s="121"/>
      <c r="M317" s="9"/>
      <c r="N317" s="9"/>
      <c r="O317" s="9"/>
    </row>
    <row r="318">
      <c r="A318" s="9"/>
      <c r="D318" s="13"/>
      <c r="E318" s="13"/>
      <c r="G318" s="9"/>
      <c r="J318" s="121"/>
      <c r="M318" s="9"/>
      <c r="N318" s="9"/>
      <c r="O318" s="9"/>
    </row>
    <row r="319">
      <c r="A319" s="9"/>
      <c r="D319" s="13"/>
      <c r="E319" s="13"/>
      <c r="G319" s="9"/>
      <c r="J319" s="121"/>
      <c r="M319" s="9"/>
      <c r="N319" s="9"/>
      <c r="O319" s="9"/>
    </row>
    <row r="320">
      <c r="A320" s="9"/>
      <c r="D320" s="13"/>
      <c r="E320" s="13"/>
      <c r="G320" s="9"/>
      <c r="J320" s="121"/>
      <c r="M320" s="9"/>
      <c r="N320" s="9"/>
      <c r="O320" s="9"/>
    </row>
    <row r="321">
      <c r="A321" s="9"/>
      <c r="D321" s="13"/>
      <c r="E321" s="13"/>
      <c r="G321" s="9"/>
      <c r="J321" s="121"/>
      <c r="M321" s="9"/>
      <c r="N321" s="9"/>
      <c r="O321" s="9"/>
    </row>
    <row r="322">
      <c r="A322" s="9"/>
      <c r="D322" s="13"/>
      <c r="E322" s="13"/>
      <c r="G322" s="9"/>
      <c r="J322" s="121"/>
      <c r="M322" s="9"/>
      <c r="N322" s="9"/>
      <c r="O322" s="9"/>
    </row>
    <row r="323">
      <c r="A323" s="9"/>
      <c r="D323" s="13"/>
      <c r="E323" s="13"/>
      <c r="G323" s="9"/>
      <c r="J323" s="121"/>
      <c r="M323" s="9"/>
      <c r="N323" s="9"/>
      <c r="O323" s="9"/>
    </row>
    <row r="324">
      <c r="A324" s="9"/>
      <c r="D324" s="13"/>
      <c r="E324" s="13"/>
      <c r="G324" s="9"/>
      <c r="J324" s="121"/>
      <c r="M324" s="9"/>
      <c r="N324" s="9"/>
      <c r="O324" s="9"/>
    </row>
    <row r="325">
      <c r="A325" s="9"/>
      <c r="D325" s="13"/>
      <c r="E325" s="13"/>
      <c r="G325" s="9"/>
      <c r="J325" s="121"/>
      <c r="M325" s="9"/>
      <c r="N325" s="9"/>
      <c r="O325" s="9"/>
    </row>
    <row r="326">
      <c r="A326" s="9"/>
      <c r="D326" s="13"/>
      <c r="E326" s="13"/>
      <c r="G326" s="9"/>
      <c r="J326" s="121"/>
      <c r="M326" s="9"/>
      <c r="N326" s="9"/>
      <c r="O326" s="9"/>
    </row>
    <row r="327">
      <c r="A327" s="9"/>
      <c r="D327" s="13"/>
      <c r="E327" s="13"/>
      <c r="G327" s="9"/>
      <c r="J327" s="121"/>
      <c r="M327" s="9"/>
      <c r="N327" s="9"/>
      <c r="O327" s="9"/>
    </row>
    <row r="328">
      <c r="A328" s="9"/>
      <c r="D328" s="13"/>
      <c r="E328" s="13"/>
      <c r="G328" s="9"/>
      <c r="J328" s="121"/>
      <c r="M328" s="9"/>
      <c r="N328" s="9"/>
      <c r="O328" s="9"/>
    </row>
    <row r="329">
      <c r="A329" s="9"/>
      <c r="D329" s="13"/>
      <c r="E329" s="13"/>
      <c r="G329" s="9"/>
      <c r="J329" s="121"/>
      <c r="M329" s="9"/>
      <c r="N329" s="9"/>
      <c r="O329" s="9"/>
    </row>
    <row r="330">
      <c r="A330" s="9"/>
      <c r="D330" s="13"/>
      <c r="E330" s="13"/>
      <c r="G330" s="9"/>
      <c r="J330" s="121"/>
      <c r="M330" s="9"/>
      <c r="N330" s="9"/>
      <c r="O330" s="9"/>
    </row>
    <row r="331">
      <c r="A331" s="9"/>
      <c r="D331" s="13"/>
      <c r="E331" s="13"/>
      <c r="G331" s="9"/>
      <c r="J331" s="121"/>
      <c r="M331" s="9"/>
      <c r="N331" s="9"/>
      <c r="O331" s="9"/>
    </row>
    <row r="332">
      <c r="A332" s="9"/>
      <c r="D332" s="13"/>
      <c r="E332" s="13"/>
      <c r="G332" s="9"/>
      <c r="J332" s="121"/>
      <c r="M332" s="9"/>
      <c r="N332" s="9"/>
      <c r="O332" s="9"/>
    </row>
    <row r="333">
      <c r="A333" s="9"/>
      <c r="D333" s="13"/>
      <c r="E333" s="13"/>
      <c r="G333" s="9"/>
      <c r="J333" s="121"/>
      <c r="M333" s="9"/>
      <c r="N333" s="9"/>
      <c r="O333" s="9"/>
    </row>
    <row r="334">
      <c r="A334" s="9"/>
      <c r="D334" s="13"/>
      <c r="E334" s="13"/>
      <c r="G334" s="9"/>
      <c r="J334" s="121"/>
      <c r="M334" s="9"/>
      <c r="N334" s="9"/>
      <c r="O334" s="9"/>
    </row>
    <row r="335">
      <c r="A335" s="9"/>
      <c r="D335" s="13"/>
      <c r="E335" s="13"/>
      <c r="G335" s="9"/>
      <c r="J335" s="121"/>
      <c r="M335" s="9"/>
      <c r="N335" s="9"/>
      <c r="O335" s="9"/>
    </row>
    <row r="336">
      <c r="A336" s="9"/>
      <c r="D336" s="13"/>
      <c r="E336" s="13"/>
      <c r="G336" s="9"/>
      <c r="J336" s="121"/>
      <c r="M336" s="9"/>
      <c r="N336" s="9"/>
      <c r="O336" s="9"/>
    </row>
    <row r="337">
      <c r="A337" s="9"/>
      <c r="D337" s="13"/>
      <c r="E337" s="13"/>
      <c r="G337" s="9"/>
      <c r="J337" s="121"/>
      <c r="M337" s="9"/>
      <c r="N337" s="9"/>
      <c r="O337" s="9"/>
    </row>
    <row r="338">
      <c r="A338" s="9"/>
      <c r="D338" s="13"/>
      <c r="E338" s="13"/>
      <c r="G338" s="9"/>
      <c r="J338" s="121"/>
      <c r="M338" s="9"/>
      <c r="N338" s="9"/>
      <c r="O338" s="9"/>
    </row>
    <row r="339">
      <c r="A339" s="9"/>
      <c r="D339" s="13"/>
      <c r="E339" s="13"/>
      <c r="G339" s="9"/>
      <c r="J339" s="121"/>
      <c r="M339" s="9"/>
      <c r="N339" s="9"/>
      <c r="O339" s="9"/>
    </row>
    <row r="340">
      <c r="A340" s="9"/>
      <c r="D340" s="13"/>
      <c r="E340" s="13"/>
      <c r="G340" s="9"/>
      <c r="J340" s="121"/>
      <c r="M340" s="9"/>
      <c r="N340" s="9"/>
      <c r="O340" s="9"/>
    </row>
    <row r="341">
      <c r="A341" s="9"/>
      <c r="D341" s="13"/>
      <c r="E341" s="13"/>
      <c r="G341" s="9"/>
      <c r="J341" s="121"/>
      <c r="M341" s="9"/>
      <c r="N341" s="9"/>
      <c r="O341" s="9"/>
    </row>
    <row r="342">
      <c r="A342" s="9"/>
      <c r="D342" s="13"/>
      <c r="E342" s="13"/>
      <c r="G342" s="9"/>
      <c r="J342" s="121"/>
      <c r="M342" s="9"/>
      <c r="N342" s="9"/>
      <c r="O342" s="9"/>
    </row>
    <row r="343">
      <c r="A343" s="9"/>
      <c r="D343" s="13"/>
      <c r="E343" s="13"/>
      <c r="G343" s="9"/>
      <c r="J343" s="121"/>
      <c r="M343" s="9"/>
      <c r="N343" s="9"/>
      <c r="O343" s="9"/>
    </row>
    <row r="344">
      <c r="A344" s="9"/>
      <c r="D344" s="13"/>
      <c r="E344" s="13"/>
      <c r="G344" s="9"/>
      <c r="J344" s="121"/>
      <c r="M344" s="9"/>
      <c r="N344" s="9"/>
      <c r="O344" s="9"/>
    </row>
    <row r="345">
      <c r="A345" s="9"/>
      <c r="D345" s="13"/>
      <c r="E345" s="13"/>
      <c r="G345" s="9"/>
      <c r="J345" s="121"/>
      <c r="M345" s="9"/>
      <c r="N345" s="9"/>
      <c r="O345" s="9"/>
    </row>
    <row r="346">
      <c r="A346" s="9"/>
      <c r="D346" s="13"/>
      <c r="E346" s="13"/>
      <c r="G346" s="9"/>
      <c r="J346" s="121"/>
      <c r="M346" s="9"/>
      <c r="N346" s="9"/>
      <c r="O346" s="9"/>
    </row>
    <row r="347">
      <c r="A347" s="9"/>
      <c r="D347" s="13"/>
      <c r="E347" s="13"/>
      <c r="G347" s="9"/>
      <c r="J347" s="121"/>
      <c r="M347" s="9"/>
      <c r="N347" s="9"/>
      <c r="O347" s="9"/>
    </row>
    <row r="348">
      <c r="A348" s="9"/>
      <c r="D348" s="13"/>
      <c r="E348" s="13"/>
      <c r="G348" s="9"/>
      <c r="J348" s="121"/>
      <c r="M348" s="9"/>
      <c r="N348" s="9"/>
      <c r="O348" s="9"/>
    </row>
    <row r="349">
      <c r="A349" s="9"/>
      <c r="D349" s="13"/>
      <c r="E349" s="13"/>
      <c r="G349" s="9"/>
      <c r="J349" s="121"/>
      <c r="M349" s="9"/>
      <c r="N349" s="9"/>
      <c r="O349" s="9"/>
    </row>
    <row r="350">
      <c r="A350" s="9"/>
      <c r="D350" s="13"/>
      <c r="E350" s="13"/>
      <c r="G350" s="9"/>
      <c r="J350" s="121"/>
      <c r="M350" s="9"/>
      <c r="N350" s="9"/>
      <c r="O350" s="9"/>
    </row>
    <row r="351">
      <c r="A351" s="9"/>
      <c r="D351" s="13"/>
      <c r="E351" s="13"/>
      <c r="G351" s="9"/>
      <c r="J351" s="121"/>
      <c r="M351" s="9"/>
      <c r="N351" s="9"/>
      <c r="O351" s="9"/>
    </row>
    <row r="352">
      <c r="A352" s="9"/>
      <c r="D352" s="13"/>
      <c r="E352" s="13"/>
      <c r="G352" s="9"/>
      <c r="J352" s="121"/>
      <c r="M352" s="9"/>
      <c r="N352" s="9"/>
      <c r="O352" s="9"/>
    </row>
    <row r="353">
      <c r="A353" s="9"/>
      <c r="D353" s="13"/>
      <c r="E353" s="13"/>
      <c r="G353" s="9"/>
      <c r="J353" s="121"/>
      <c r="M353" s="9"/>
      <c r="N353" s="9"/>
      <c r="O353" s="9"/>
    </row>
    <row r="354">
      <c r="A354" s="9"/>
      <c r="D354" s="13"/>
      <c r="E354" s="13"/>
      <c r="G354" s="9"/>
      <c r="J354" s="121"/>
      <c r="M354" s="9"/>
      <c r="N354" s="9"/>
      <c r="O354" s="9"/>
    </row>
    <row r="355">
      <c r="A355" s="9"/>
      <c r="D355" s="13"/>
      <c r="E355" s="13"/>
      <c r="G355" s="9"/>
      <c r="J355" s="121"/>
      <c r="M355" s="9"/>
      <c r="N355" s="9"/>
      <c r="O355" s="9"/>
    </row>
    <row r="356">
      <c r="A356" s="9"/>
      <c r="D356" s="13"/>
      <c r="E356" s="13"/>
      <c r="G356" s="9"/>
      <c r="J356" s="121"/>
      <c r="M356" s="9"/>
      <c r="N356" s="9"/>
      <c r="O356" s="9"/>
    </row>
    <row r="357">
      <c r="A357" s="9"/>
      <c r="D357" s="13"/>
      <c r="E357" s="13"/>
      <c r="G357" s="9"/>
      <c r="J357" s="121"/>
      <c r="M357" s="9"/>
      <c r="N357" s="9"/>
      <c r="O357" s="9"/>
    </row>
    <row r="358">
      <c r="A358" s="9"/>
      <c r="D358" s="13"/>
      <c r="E358" s="13"/>
      <c r="G358" s="9"/>
      <c r="J358" s="121"/>
      <c r="M358" s="9"/>
      <c r="N358" s="9"/>
      <c r="O358" s="9"/>
    </row>
    <row r="359">
      <c r="A359" s="9"/>
      <c r="D359" s="13"/>
      <c r="E359" s="13"/>
      <c r="G359" s="9"/>
      <c r="J359" s="121"/>
      <c r="M359" s="9"/>
      <c r="N359" s="9"/>
      <c r="O359" s="9"/>
    </row>
    <row r="360">
      <c r="A360" s="9"/>
      <c r="D360" s="13"/>
      <c r="E360" s="13"/>
      <c r="G360" s="9"/>
      <c r="J360" s="121"/>
      <c r="M360" s="9"/>
      <c r="N360" s="9"/>
      <c r="O360" s="9"/>
    </row>
    <row r="361">
      <c r="A361" s="9"/>
      <c r="D361" s="13"/>
      <c r="E361" s="13"/>
      <c r="G361" s="9"/>
      <c r="J361" s="121"/>
      <c r="M361" s="9"/>
      <c r="N361" s="9"/>
      <c r="O361" s="9"/>
    </row>
    <row r="362">
      <c r="A362" s="9"/>
      <c r="D362" s="13"/>
      <c r="E362" s="13"/>
      <c r="G362" s="9"/>
      <c r="J362" s="121"/>
      <c r="M362" s="9"/>
      <c r="N362" s="9"/>
      <c r="O362" s="9"/>
    </row>
    <row r="363">
      <c r="A363" s="9"/>
      <c r="D363" s="13"/>
      <c r="E363" s="13"/>
      <c r="G363" s="9"/>
      <c r="J363" s="121"/>
      <c r="M363" s="9"/>
      <c r="N363" s="9"/>
      <c r="O363" s="9"/>
    </row>
    <row r="364">
      <c r="A364" s="9"/>
      <c r="D364" s="13"/>
      <c r="E364" s="13"/>
      <c r="G364" s="9"/>
      <c r="J364" s="121"/>
      <c r="M364" s="9"/>
      <c r="N364" s="9"/>
      <c r="O364" s="9"/>
    </row>
    <row r="365">
      <c r="A365" s="9"/>
      <c r="D365" s="13"/>
      <c r="E365" s="13"/>
      <c r="G365" s="9"/>
      <c r="J365" s="121"/>
      <c r="M365" s="9"/>
      <c r="N365" s="9"/>
      <c r="O365" s="9"/>
    </row>
    <row r="366">
      <c r="A366" s="9"/>
      <c r="D366" s="13"/>
      <c r="E366" s="13"/>
      <c r="G366" s="9"/>
      <c r="J366" s="121"/>
      <c r="M366" s="9"/>
      <c r="N366" s="9"/>
      <c r="O366" s="9"/>
    </row>
    <row r="367">
      <c r="A367" s="9"/>
      <c r="D367" s="13"/>
      <c r="E367" s="13"/>
      <c r="G367" s="9"/>
      <c r="J367" s="121"/>
      <c r="M367" s="9"/>
      <c r="N367" s="9"/>
      <c r="O367" s="9"/>
    </row>
    <row r="368">
      <c r="A368" s="9"/>
      <c r="D368" s="13"/>
      <c r="E368" s="13"/>
      <c r="G368" s="9"/>
      <c r="J368" s="121"/>
      <c r="M368" s="9"/>
      <c r="N368" s="9"/>
      <c r="O368" s="9"/>
    </row>
    <row r="369">
      <c r="A369" s="9"/>
      <c r="D369" s="13"/>
      <c r="E369" s="13"/>
      <c r="G369" s="9"/>
      <c r="J369" s="121"/>
      <c r="M369" s="9"/>
      <c r="N369" s="9"/>
      <c r="O369" s="9"/>
    </row>
    <row r="370">
      <c r="A370" s="9"/>
      <c r="D370" s="13"/>
      <c r="E370" s="13"/>
      <c r="G370" s="9"/>
      <c r="J370" s="121"/>
      <c r="M370" s="9"/>
      <c r="N370" s="9"/>
      <c r="O370" s="9"/>
    </row>
    <row r="371">
      <c r="A371" s="9"/>
      <c r="D371" s="13"/>
      <c r="E371" s="13"/>
      <c r="G371" s="9"/>
      <c r="J371" s="121"/>
      <c r="M371" s="9"/>
      <c r="N371" s="9"/>
      <c r="O371" s="9"/>
    </row>
    <row r="372">
      <c r="A372" s="9"/>
      <c r="D372" s="13"/>
      <c r="E372" s="13"/>
      <c r="G372" s="9"/>
      <c r="J372" s="121"/>
      <c r="M372" s="9"/>
      <c r="N372" s="9"/>
      <c r="O372" s="9"/>
    </row>
    <row r="373">
      <c r="A373" s="9"/>
      <c r="D373" s="13"/>
      <c r="E373" s="13"/>
      <c r="G373" s="9"/>
      <c r="J373" s="121"/>
      <c r="M373" s="9"/>
      <c r="N373" s="9"/>
      <c r="O373" s="9"/>
    </row>
    <row r="374">
      <c r="A374" s="9"/>
      <c r="D374" s="13"/>
      <c r="E374" s="13"/>
      <c r="G374" s="9"/>
      <c r="J374" s="121"/>
      <c r="M374" s="9"/>
      <c r="N374" s="9"/>
      <c r="O374" s="9"/>
    </row>
    <row r="375">
      <c r="A375" s="9"/>
      <c r="D375" s="13"/>
      <c r="E375" s="13"/>
      <c r="G375" s="9"/>
      <c r="J375" s="121"/>
      <c r="M375" s="9"/>
      <c r="N375" s="9"/>
      <c r="O375" s="9"/>
    </row>
    <row r="376">
      <c r="A376" s="9"/>
      <c r="D376" s="13"/>
      <c r="E376" s="13"/>
      <c r="G376" s="9"/>
      <c r="J376" s="121"/>
      <c r="M376" s="9"/>
      <c r="N376" s="9"/>
      <c r="O376" s="9"/>
    </row>
    <row r="377">
      <c r="A377" s="9"/>
      <c r="D377" s="13"/>
      <c r="E377" s="13"/>
      <c r="G377" s="9"/>
      <c r="J377" s="121"/>
      <c r="M377" s="9"/>
      <c r="N377" s="9"/>
      <c r="O377" s="9"/>
    </row>
    <row r="378">
      <c r="A378" s="9"/>
      <c r="D378" s="13"/>
      <c r="E378" s="13"/>
      <c r="G378" s="9"/>
      <c r="J378" s="121"/>
      <c r="M378" s="9"/>
      <c r="N378" s="9"/>
      <c r="O378" s="9"/>
    </row>
    <row r="379">
      <c r="A379" s="9"/>
      <c r="D379" s="13"/>
      <c r="E379" s="13"/>
      <c r="G379" s="9"/>
      <c r="J379" s="121"/>
      <c r="M379" s="9"/>
      <c r="N379" s="9"/>
      <c r="O379" s="9"/>
    </row>
    <row r="380">
      <c r="A380" s="9"/>
      <c r="D380" s="13"/>
      <c r="E380" s="13"/>
      <c r="G380" s="9"/>
      <c r="J380" s="121"/>
      <c r="M380" s="9"/>
      <c r="N380" s="9"/>
      <c r="O380" s="9"/>
    </row>
    <row r="381">
      <c r="A381" s="9"/>
      <c r="D381" s="13"/>
      <c r="E381" s="13"/>
      <c r="G381" s="9"/>
      <c r="J381" s="121"/>
      <c r="M381" s="9"/>
      <c r="N381" s="9"/>
      <c r="O381" s="9"/>
    </row>
    <row r="382">
      <c r="A382" s="9"/>
      <c r="D382" s="13"/>
      <c r="E382" s="13"/>
      <c r="G382" s="9"/>
      <c r="J382" s="121"/>
      <c r="M382" s="9"/>
      <c r="N382" s="9"/>
      <c r="O382" s="9"/>
    </row>
    <row r="383">
      <c r="A383" s="9"/>
      <c r="D383" s="13"/>
      <c r="E383" s="13"/>
      <c r="G383" s="9"/>
      <c r="J383" s="121"/>
      <c r="M383" s="9"/>
      <c r="N383" s="9"/>
      <c r="O383" s="9"/>
    </row>
    <row r="384">
      <c r="A384" s="9"/>
      <c r="D384" s="13"/>
      <c r="E384" s="13"/>
      <c r="G384" s="9"/>
      <c r="J384" s="121"/>
      <c r="M384" s="9"/>
      <c r="N384" s="9"/>
      <c r="O384" s="9"/>
    </row>
    <row r="385">
      <c r="A385" s="9"/>
      <c r="D385" s="13"/>
      <c r="E385" s="13"/>
      <c r="G385" s="9"/>
      <c r="J385" s="121"/>
      <c r="M385" s="9"/>
      <c r="N385" s="9"/>
      <c r="O385" s="9"/>
    </row>
    <row r="386">
      <c r="A386" s="9"/>
      <c r="D386" s="13"/>
      <c r="E386" s="13"/>
      <c r="G386" s="9"/>
      <c r="J386" s="121"/>
      <c r="M386" s="9"/>
      <c r="N386" s="9"/>
      <c r="O386" s="9"/>
    </row>
    <row r="387">
      <c r="A387" s="9"/>
      <c r="D387" s="13"/>
      <c r="E387" s="13"/>
      <c r="G387" s="9"/>
      <c r="J387" s="121"/>
      <c r="M387" s="9"/>
      <c r="N387" s="9"/>
      <c r="O387" s="9"/>
    </row>
    <row r="388">
      <c r="A388" s="9"/>
      <c r="D388" s="13"/>
      <c r="E388" s="13"/>
      <c r="G388" s="9"/>
      <c r="J388" s="121"/>
      <c r="M388" s="9"/>
      <c r="N388" s="9"/>
      <c r="O388" s="9"/>
    </row>
    <row r="389">
      <c r="A389" s="9"/>
      <c r="D389" s="13"/>
      <c r="E389" s="13"/>
      <c r="G389" s="9"/>
      <c r="J389" s="121"/>
      <c r="M389" s="9"/>
      <c r="N389" s="9"/>
      <c r="O389" s="9"/>
    </row>
    <row r="390">
      <c r="A390" s="9"/>
      <c r="D390" s="13"/>
      <c r="E390" s="13"/>
      <c r="G390" s="9"/>
      <c r="J390" s="121"/>
      <c r="M390" s="9"/>
      <c r="N390" s="9"/>
      <c r="O390" s="9"/>
    </row>
    <row r="391">
      <c r="A391" s="9"/>
      <c r="D391" s="13"/>
      <c r="E391" s="13"/>
      <c r="G391" s="9"/>
      <c r="J391" s="121"/>
      <c r="M391" s="9"/>
      <c r="N391" s="9"/>
      <c r="O391" s="9"/>
    </row>
    <row r="392">
      <c r="A392" s="9"/>
      <c r="D392" s="13"/>
      <c r="E392" s="13"/>
      <c r="G392" s="9"/>
      <c r="J392" s="121"/>
      <c r="M392" s="9"/>
      <c r="N392" s="9"/>
      <c r="O392" s="9"/>
    </row>
    <row r="393">
      <c r="A393" s="9"/>
      <c r="D393" s="13"/>
      <c r="E393" s="13"/>
      <c r="G393" s="9"/>
      <c r="J393" s="121"/>
      <c r="M393" s="9"/>
      <c r="N393" s="9"/>
      <c r="O393" s="9"/>
    </row>
    <row r="394">
      <c r="A394" s="9"/>
      <c r="D394" s="13"/>
      <c r="E394" s="13"/>
      <c r="G394" s="9"/>
      <c r="J394" s="121"/>
      <c r="M394" s="9"/>
      <c r="N394" s="9"/>
      <c r="O394" s="9"/>
    </row>
    <row r="395">
      <c r="A395" s="9"/>
      <c r="D395" s="13"/>
      <c r="E395" s="13"/>
      <c r="G395" s="9"/>
      <c r="J395" s="121"/>
      <c r="M395" s="9"/>
      <c r="N395" s="9"/>
      <c r="O395" s="9"/>
    </row>
    <row r="396">
      <c r="A396" s="9"/>
      <c r="D396" s="13"/>
      <c r="E396" s="13"/>
      <c r="G396" s="9"/>
      <c r="J396" s="121"/>
      <c r="M396" s="9"/>
      <c r="N396" s="9"/>
      <c r="O396" s="9"/>
    </row>
    <row r="397">
      <c r="A397" s="9"/>
      <c r="D397" s="13"/>
      <c r="E397" s="13"/>
      <c r="G397" s="9"/>
      <c r="J397" s="121"/>
      <c r="M397" s="9"/>
      <c r="N397" s="9"/>
      <c r="O397" s="9"/>
    </row>
    <row r="398">
      <c r="A398" s="9"/>
      <c r="D398" s="13"/>
      <c r="E398" s="13"/>
      <c r="G398" s="9"/>
      <c r="J398" s="121"/>
      <c r="M398" s="9"/>
      <c r="N398" s="9"/>
      <c r="O398" s="9"/>
    </row>
    <row r="399">
      <c r="A399" s="9"/>
      <c r="D399" s="13"/>
      <c r="E399" s="13"/>
      <c r="G399" s="9"/>
      <c r="J399" s="121"/>
      <c r="M399" s="9"/>
      <c r="N399" s="9"/>
      <c r="O399" s="9"/>
    </row>
    <row r="400">
      <c r="A400" s="9"/>
      <c r="D400" s="13"/>
      <c r="E400" s="13"/>
      <c r="G400" s="9"/>
      <c r="J400" s="121"/>
      <c r="M400" s="9"/>
      <c r="N400" s="9"/>
      <c r="O400" s="9"/>
    </row>
    <row r="401">
      <c r="A401" s="9"/>
      <c r="D401" s="13"/>
      <c r="E401" s="13"/>
      <c r="G401" s="9"/>
      <c r="J401" s="121"/>
      <c r="M401" s="9"/>
      <c r="N401" s="9"/>
      <c r="O401" s="9"/>
    </row>
    <row r="402">
      <c r="A402" s="9"/>
      <c r="D402" s="13"/>
      <c r="E402" s="13"/>
      <c r="G402" s="9"/>
      <c r="J402" s="121"/>
      <c r="M402" s="9"/>
      <c r="N402" s="9"/>
      <c r="O402" s="9"/>
    </row>
    <row r="403">
      <c r="A403" s="9"/>
      <c r="D403" s="13"/>
      <c r="E403" s="13"/>
      <c r="G403" s="9"/>
      <c r="J403" s="121"/>
      <c r="M403" s="9"/>
      <c r="N403" s="9"/>
      <c r="O403" s="9"/>
    </row>
    <row r="404">
      <c r="A404" s="9"/>
      <c r="D404" s="13"/>
      <c r="E404" s="13"/>
      <c r="G404" s="9"/>
      <c r="J404" s="121"/>
      <c r="M404" s="9"/>
      <c r="N404" s="9"/>
      <c r="O404" s="9"/>
    </row>
    <row r="405">
      <c r="A405" s="9"/>
      <c r="D405" s="13"/>
      <c r="E405" s="13"/>
      <c r="G405" s="9"/>
      <c r="J405" s="121"/>
      <c r="M405" s="9"/>
      <c r="N405" s="9"/>
      <c r="O405" s="9"/>
    </row>
    <row r="406">
      <c r="A406" s="9"/>
      <c r="D406" s="13"/>
      <c r="E406" s="13"/>
      <c r="G406" s="9"/>
      <c r="J406" s="121"/>
      <c r="M406" s="9"/>
      <c r="N406" s="9"/>
      <c r="O406" s="9"/>
    </row>
    <row r="407">
      <c r="A407" s="9"/>
      <c r="D407" s="13"/>
      <c r="E407" s="13"/>
      <c r="G407" s="9"/>
      <c r="J407" s="121"/>
      <c r="M407" s="9"/>
      <c r="N407" s="9"/>
      <c r="O407" s="9"/>
    </row>
    <row r="408">
      <c r="A408" s="9"/>
      <c r="D408" s="13"/>
      <c r="E408" s="13"/>
      <c r="G408" s="9"/>
      <c r="J408" s="121"/>
      <c r="M408" s="9"/>
      <c r="N408" s="9"/>
      <c r="O408" s="9"/>
    </row>
    <row r="409">
      <c r="A409" s="9"/>
      <c r="D409" s="13"/>
      <c r="E409" s="13"/>
      <c r="G409" s="9"/>
      <c r="J409" s="121"/>
      <c r="M409" s="9"/>
      <c r="N409" s="9"/>
      <c r="O409" s="9"/>
    </row>
    <row r="410">
      <c r="A410" s="9"/>
      <c r="D410" s="13"/>
      <c r="E410" s="13"/>
      <c r="G410" s="9"/>
      <c r="J410" s="121"/>
      <c r="M410" s="9"/>
      <c r="N410" s="9"/>
      <c r="O410" s="9"/>
    </row>
    <row r="411">
      <c r="A411" s="9"/>
      <c r="D411" s="13"/>
      <c r="E411" s="13"/>
      <c r="G411" s="9"/>
      <c r="J411" s="121"/>
      <c r="M411" s="9"/>
      <c r="N411" s="9"/>
      <c r="O411" s="9"/>
    </row>
    <row r="412">
      <c r="A412" s="9"/>
      <c r="D412" s="13"/>
      <c r="E412" s="13"/>
      <c r="G412" s="9"/>
      <c r="J412" s="121"/>
      <c r="M412" s="9"/>
      <c r="N412" s="9"/>
      <c r="O412" s="9"/>
    </row>
    <row r="413">
      <c r="A413" s="9"/>
      <c r="D413" s="13"/>
      <c r="E413" s="13"/>
      <c r="G413" s="9"/>
      <c r="J413" s="121"/>
      <c r="M413" s="9"/>
      <c r="N413" s="9"/>
      <c r="O413" s="9"/>
    </row>
    <row r="414">
      <c r="A414" s="9"/>
      <c r="D414" s="13"/>
      <c r="E414" s="13"/>
      <c r="G414" s="9"/>
      <c r="J414" s="121"/>
      <c r="M414" s="9"/>
      <c r="N414" s="9"/>
      <c r="O414" s="9"/>
    </row>
    <row r="415">
      <c r="A415" s="9"/>
      <c r="D415" s="13"/>
      <c r="E415" s="13"/>
      <c r="G415" s="9"/>
      <c r="J415" s="121"/>
      <c r="M415" s="9"/>
      <c r="N415" s="9"/>
      <c r="O415" s="9"/>
    </row>
    <row r="416">
      <c r="A416" s="9"/>
      <c r="D416" s="13"/>
      <c r="E416" s="13"/>
      <c r="G416" s="9"/>
      <c r="J416" s="121"/>
      <c r="M416" s="9"/>
      <c r="N416" s="9"/>
      <c r="O416" s="9"/>
    </row>
    <row r="417">
      <c r="A417" s="9"/>
      <c r="D417" s="13"/>
      <c r="E417" s="13"/>
      <c r="G417" s="9"/>
      <c r="J417" s="121"/>
      <c r="M417" s="9"/>
      <c r="N417" s="9"/>
      <c r="O417" s="9"/>
    </row>
    <row r="418">
      <c r="A418" s="9"/>
      <c r="D418" s="13"/>
      <c r="E418" s="13"/>
      <c r="G418" s="9"/>
      <c r="J418" s="121"/>
      <c r="M418" s="9"/>
      <c r="N418" s="9"/>
      <c r="O418" s="9"/>
    </row>
    <row r="419">
      <c r="A419" s="9"/>
      <c r="D419" s="13"/>
      <c r="E419" s="13"/>
      <c r="G419" s="9"/>
      <c r="J419" s="121"/>
      <c r="M419" s="9"/>
      <c r="N419" s="9"/>
      <c r="O419" s="9"/>
    </row>
    <row r="420">
      <c r="A420" s="9"/>
      <c r="D420" s="13"/>
      <c r="E420" s="13"/>
      <c r="G420" s="9"/>
      <c r="J420" s="121"/>
      <c r="M420" s="9"/>
      <c r="N420" s="9"/>
      <c r="O420" s="9"/>
    </row>
    <row r="421">
      <c r="A421" s="9"/>
      <c r="D421" s="13"/>
      <c r="E421" s="13"/>
      <c r="G421" s="9"/>
      <c r="J421" s="121"/>
      <c r="M421" s="9"/>
      <c r="N421" s="9"/>
      <c r="O421" s="9"/>
    </row>
    <row r="422">
      <c r="A422" s="9"/>
      <c r="D422" s="13"/>
      <c r="E422" s="13"/>
      <c r="G422" s="9"/>
      <c r="J422" s="121"/>
      <c r="M422" s="9"/>
      <c r="N422" s="9"/>
      <c r="O422" s="9"/>
    </row>
    <row r="423">
      <c r="A423" s="9"/>
      <c r="D423" s="13"/>
      <c r="E423" s="13"/>
      <c r="G423" s="9"/>
      <c r="J423" s="121"/>
      <c r="M423" s="9"/>
      <c r="N423" s="9"/>
      <c r="O423" s="9"/>
    </row>
    <row r="424">
      <c r="A424" s="9"/>
      <c r="D424" s="13"/>
      <c r="E424" s="13"/>
      <c r="G424" s="9"/>
      <c r="J424" s="121"/>
      <c r="M424" s="9"/>
      <c r="N424" s="9"/>
      <c r="O424" s="9"/>
    </row>
    <row r="425">
      <c r="A425" s="9"/>
      <c r="D425" s="13"/>
      <c r="E425" s="13"/>
      <c r="G425" s="9"/>
      <c r="J425" s="121"/>
      <c r="M425" s="9"/>
      <c r="N425" s="9"/>
      <c r="O425" s="9"/>
    </row>
    <row r="426">
      <c r="A426" s="9"/>
      <c r="D426" s="13"/>
      <c r="E426" s="13"/>
      <c r="G426" s="9"/>
      <c r="J426" s="121"/>
      <c r="M426" s="9"/>
      <c r="N426" s="9"/>
      <c r="O426" s="9"/>
    </row>
    <row r="427">
      <c r="A427" s="9"/>
      <c r="D427" s="13"/>
      <c r="E427" s="13"/>
      <c r="G427" s="9"/>
      <c r="J427" s="121"/>
      <c r="M427" s="9"/>
      <c r="N427" s="9"/>
      <c r="O427" s="9"/>
    </row>
    <row r="428">
      <c r="A428" s="9"/>
      <c r="D428" s="13"/>
      <c r="E428" s="13"/>
      <c r="G428" s="9"/>
      <c r="J428" s="121"/>
      <c r="M428" s="9"/>
      <c r="N428" s="9"/>
      <c r="O428" s="9"/>
    </row>
    <row r="429">
      <c r="A429" s="9"/>
      <c r="D429" s="13"/>
      <c r="E429" s="13"/>
      <c r="G429" s="9"/>
      <c r="J429" s="121"/>
      <c r="M429" s="9"/>
      <c r="N429" s="9"/>
      <c r="O429" s="9"/>
    </row>
    <row r="430">
      <c r="A430" s="9"/>
      <c r="D430" s="13"/>
      <c r="E430" s="13"/>
      <c r="G430" s="9"/>
      <c r="J430" s="121"/>
      <c r="M430" s="9"/>
      <c r="N430" s="9"/>
      <c r="O430" s="9"/>
    </row>
    <row r="431">
      <c r="A431" s="9"/>
      <c r="D431" s="13"/>
      <c r="E431" s="13"/>
      <c r="G431" s="9"/>
      <c r="J431" s="121"/>
      <c r="M431" s="9"/>
      <c r="N431" s="9"/>
      <c r="O431" s="9"/>
    </row>
    <row r="432">
      <c r="A432" s="9"/>
      <c r="D432" s="13"/>
      <c r="E432" s="13"/>
      <c r="G432" s="9"/>
      <c r="J432" s="121"/>
      <c r="M432" s="9"/>
      <c r="N432" s="9"/>
      <c r="O432" s="9"/>
    </row>
    <row r="433">
      <c r="A433" s="9"/>
      <c r="D433" s="13"/>
      <c r="E433" s="13"/>
      <c r="G433" s="9"/>
      <c r="J433" s="121"/>
      <c r="M433" s="9"/>
      <c r="N433" s="9"/>
      <c r="O433" s="9"/>
    </row>
    <row r="434">
      <c r="A434" s="9"/>
      <c r="D434" s="13"/>
      <c r="E434" s="13"/>
      <c r="G434" s="9"/>
      <c r="J434" s="121"/>
      <c r="M434" s="9"/>
      <c r="N434" s="9"/>
      <c r="O434" s="9"/>
    </row>
    <row r="435">
      <c r="A435" s="9"/>
      <c r="D435" s="13"/>
      <c r="E435" s="13"/>
      <c r="G435" s="9"/>
      <c r="J435" s="121"/>
      <c r="M435" s="9"/>
      <c r="N435" s="9"/>
      <c r="O435" s="9"/>
    </row>
    <row r="436">
      <c r="A436" s="9"/>
      <c r="D436" s="13"/>
      <c r="E436" s="13"/>
      <c r="G436" s="9"/>
      <c r="J436" s="121"/>
      <c r="M436" s="9"/>
      <c r="N436" s="9"/>
      <c r="O436" s="9"/>
    </row>
    <row r="437">
      <c r="A437" s="9"/>
      <c r="D437" s="13"/>
      <c r="E437" s="13"/>
      <c r="G437" s="9"/>
      <c r="J437" s="121"/>
      <c r="M437" s="9"/>
      <c r="N437" s="9"/>
      <c r="O437" s="9"/>
    </row>
    <row r="438">
      <c r="A438" s="9"/>
      <c r="D438" s="13"/>
      <c r="E438" s="13"/>
      <c r="G438" s="9"/>
      <c r="J438" s="121"/>
      <c r="M438" s="9"/>
      <c r="N438" s="9"/>
      <c r="O438" s="9"/>
    </row>
    <row r="439">
      <c r="A439" s="9"/>
      <c r="D439" s="13"/>
      <c r="E439" s="13"/>
      <c r="G439" s="9"/>
      <c r="J439" s="121"/>
      <c r="M439" s="9"/>
      <c r="N439" s="9"/>
      <c r="O439" s="9"/>
    </row>
    <row r="440">
      <c r="A440" s="9"/>
      <c r="D440" s="13"/>
      <c r="E440" s="13"/>
      <c r="G440" s="9"/>
      <c r="J440" s="121"/>
      <c r="M440" s="9"/>
      <c r="N440" s="9"/>
      <c r="O440" s="9"/>
    </row>
    <row r="441">
      <c r="A441" s="9"/>
      <c r="D441" s="13"/>
      <c r="E441" s="13"/>
      <c r="G441" s="9"/>
      <c r="J441" s="121"/>
      <c r="M441" s="9"/>
      <c r="N441" s="9"/>
      <c r="O441" s="9"/>
    </row>
    <row r="442">
      <c r="A442" s="9"/>
      <c r="D442" s="13"/>
      <c r="E442" s="13"/>
      <c r="G442" s="9"/>
      <c r="J442" s="121"/>
      <c r="M442" s="9"/>
      <c r="N442" s="9"/>
      <c r="O442" s="9"/>
    </row>
    <row r="443">
      <c r="A443" s="9"/>
      <c r="D443" s="13"/>
      <c r="E443" s="13"/>
      <c r="G443" s="9"/>
      <c r="J443" s="121"/>
      <c r="M443" s="9"/>
      <c r="N443" s="9"/>
      <c r="O443" s="9"/>
    </row>
    <row r="444">
      <c r="A444" s="9"/>
      <c r="D444" s="13"/>
      <c r="E444" s="13"/>
      <c r="G444" s="9"/>
      <c r="J444" s="121"/>
      <c r="M444" s="9"/>
      <c r="N444" s="9"/>
      <c r="O444" s="9"/>
    </row>
    <row r="445">
      <c r="A445" s="9"/>
      <c r="D445" s="13"/>
      <c r="E445" s="13"/>
      <c r="G445" s="9"/>
      <c r="J445" s="121"/>
      <c r="M445" s="9"/>
      <c r="N445" s="9"/>
      <c r="O445" s="9"/>
    </row>
    <row r="446">
      <c r="A446" s="9"/>
      <c r="D446" s="13"/>
      <c r="E446" s="13"/>
      <c r="G446" s="9"/>
      <c r="J446" s="121"/>
      <c r="M446" s="9"/>
      <c r="N446" s="9"/>
      <c r="O446" s="9"/>
    </row>
    <row r="447">
      <c r="A447" s="9"/>
      <c r="D447" s="13"/>
      <c r="E447" s="13"/>
      <c r="G447" s="9"/>
      <c r="J447" s="121"/>
      <c r="M447" s="9"/>
      <c r="N447" s="9"/>
      <c r="O447" s="9"/>
    </row>
    <row r="448">
      <c r="A448" s="9"/>
      <c r="D448" s="13"/>
      <c r="E448" s="13"/>
      <c r="G448" s="9"/>
      <c r="J448" s="121"/>
      <c r="M448" s="9"/>
      <c r="N448" s="9"/>
      <c r="O448" s="9"/>
    </row>
    <row r="449">
      <c r="A449" s="9"/>
      <c r="D449" s="13"/>
      <c r="E449" s="13"/>
      <c r="G449" s="9"/>
      <c r="J449" s="121"/>
      <c r="M449" s="9"/>
      <c r="N449" s="9"/>
      <c r="O449" s="9"/>
    </row>
    <row r="450">
      <c r="A450" s="9"/>
      <c r="D450" s="13"/>
      <c r="E450" s="13"/>
      <c r="G450" s="9"/>
      <c r="J450" s="121"/>
      <c r="M450" s="9"/>
      <c r="N450" s="9"/>
      <c r="O450" s="9"/>
    </row>
    <row r="451">
      <c r="A451" s="9"/>
      <c r="D451" s="13"/>
      <c r="E451" s="13"/>
      <c r="G451" s="9"/>
      <c r="J451" s="121"/>
      <c r="M451" s="9"/>
      <c r="N451" s="9"/>
      <c r="O451" s="9"/>
    </row>
    <row r="452">
      <c r="A452" s="9"/>
      <c r="D452" s="13"/>
      <c r="E452" s="13"/>
      <c r="G452" s="9"/>
      <c r="J452" s="121"/>
      <c r="M452" s="9"/>
      <c r="N452" s="9"/>
      <c r="O452" s="9"/>
    </row>
    <row r="453">
      <c r="A453" s="9"/>
      <c r="D453" s="13"/>
      <c r="E453" s="13"/>
      <c r="G453" s="9"/>
      <c r="J453" s="121"/>
      <c r="M453" s="9"/>
      <c r="N453" s="9"/>
      <c r="O453" s="9"/>
    </row>
    <row r="454">
      <c r="A454" s="9"/>
      <c r="D454" s="13"/>
      <c r="E454" s="13"/>
      <c r="G454" s="9"/>
      <c r="J454" s="121"/>
      <c r="M454" s="9"/>
      <c r="N454" s="9"/>
      <c r="O454" s="9"/>
    </row>
    <row r="455">
      <c r="A455" s="9"/>
      <c r="D455" s="13"/>
      <c r="E455" s="13"/>
      <c r="G455" s="9"/>
      <c r="J455" s="121"/>
      <c r="M455" s="9"/>
      <c r="N455" s="9"/>
      <c r="O455" s="9"/>
    </row>
    <row r="456">
      <c r="A456" s="9"/>
      <c r="D456" s="13"/>
      <c r="E456" s="13"/>
      <c r="G456" s="9"/>
      <c r="J456" s="121"/>
      <c r="M456" s="9"/>
      <c r="N456" s="9"/>
      <c r="O456" s="9"/>
    </row>
    <row r="457">
      <c r="A457" s="9"/>
      <c r="D457" s="13"/>
      <c r="E457" s="13"/>
      <c r="G457" s="9"/>
      <c r="J457" s="121"/>
      <c r="M457" s="9"/>
      <c r="N457" s="9"/>
      <c r="O457" s="9"/>
    </row>
    <row r="458">
      <c r="A458" s="9"/>
      <c r="D458" s="13"/>
      <c r="E458" s="13"/>
      <c r="G458" s="9"/>
      <c r="J458" s="121"/>
      <c r="M458" s="9"/>
      <c r="N458" s="9"/>
      <c r="O458" s="9"/>
    </row>
    <row r="459">
      <c r="A459" s="9"/>
      <c r="D459" s="13"/>
      <c r="E459" s="13"/>
      <c r="G459" s="9"/>
      <c r="J459" s="121"/>
      <c r="M459" s="9"/>
      <c r="N459" s="9"/>
      <c r="O459" s="9"/>
    </row>
    <row r="460">
      <c r="A460" s="9"/>
      <c r="D460" s="13"/>
      <c r="E460" s="13"/>
      <c r="G460" s="9"/>
      <c r="J460" s="121"/>
      <c r="M460" s="9"/>
      <c r="N460" s="9"/>
      <c r="O460" s="9"/>
    </row>
    <row r="461">
      <c r="A461" s="9"/>
      <c r="D461" s="13"/>
      <c r="E461" s="13"/>
      <c r="G461" s="9"/>
      <c r="J461" s="121"/>
      <c r="M461" s="9"/>
      <c r="N461" s="9"/>
      <c r="O461" s="9"/>
    </row>
    <row r="462">
      <c r="A462" s="9"/>
      <c r="D462" s="13"/>
      <c r="E462" s="13"/>
      <c r="G462" s="9"/>
      <c r="J462" s="121"/>
      <c r="M462" s="9"/>
      <c r="N462" s="9"/>
      <c r="O462" s="9"/>
    </row>
    <row r="463">
      <c r="A463" s="9"/>
      <c r="D463" s="13"/>
      <c r="E463" s="13"/>
      <c r="G463" s="9"/>
      <c r="J463" s="121"/>
      <c r="M463" s="9"/>
      <c r="N463" s="9"/>
      <c r="O463" s="9"/>
    </row>
    <row r="464">
      <c r="A464" s="9"/>
      <c r="D464" s="13"/>
      <c r="E464" s="13"/>
      <c r="G464" s="9"/>
      <c r="J464" s="121"/>
      <c r="M464" s="9"/>
      <c r="N464" s="9"/>
      <c r="O464" s="9"/>
    </row>
    <row r="465">
      <c r="A465" s="9"/>
      <c r="D465" s="13"/>
      <c r="E465" s="13"/>
      <c r="G465" s="9"/>
      <c r="J465" s="121"/>
      <c r="M465" s="9"/>
      <c r="N465" s="9"/>
      <c r="O465" s="9"/>
    </row>
    <row r="466">
      <c r="A466" s="9"/>
      <c r="D466" s="13"/>
      <c r="E466" s="13"/>
      <c r="G466" s="9"/>
      <c r="J466" s="121"/>
      <c r="M466" s="9"/>
      <c r="N466" s="9"/>
      <c r="O466" s="9"/>
    </row>
    <row r="467">
      <c r="A467" s="9"/>
      <c r="D467" s="13"/>
      <c r="E467" s="13"/>
      <c r="G467" s="9"/>
      <c r="J467" s="121"/>
      <c r="M467" s="9"/>
      <c r="N467" s="9"/>
      <c r="O467" s="9"/>
    </row>
    <row r="468">
      <c r="A468" s="9"/>
      <c r="D468" s="13"/>
      <c r="E468" s="13"/>
      <c r="G468" s="9"/>
      <c r="J468" s="121"/>
      <c r="M468" s="9"/>
      <c r="N468" s="9"/>
      <c r="O468" s="9"/>
    </row>
    <row r="469">
      <c r="A469" s="9"/>
      <c r="D469" s="13"/>
      <c r="E469" s="13"/>
      <c r="G469" s="9"/>
      <c r="J469" s="121"/>
      <c r="M469" s="9"/>
      <c r="N469" s="9"/>
      <c r="O469" s="9"/>
    </row>
    <row r="470">
      <c r="A470" s="9"/>
      <c r="D470" s="13"/>
      <c r="E470" s="13"/>
      <c r="G470" s="9"/>
      <c r="J470" s="121"/>
      <c r="M470" s="9"/>
      <c r="N470" s="9"/>
      <c r="O470" s="9"/>
    </row>
    <row r="471">
      <c r="A471" s="9"/>
      <c r="D471" s="13"/>
      <c r="E471" s="13"/>
      <c r="G471" s="9"/>
      <c r="J471" s="121"/>
      <c r="M471" s="9"/>
      <c r="N471" s="9"/>
      <c r="O471" s="9"/>
    </row>
    <row r="472">
      <c r="A472" s="9"/>
      <c r="D472" s="13"/>
      <c r="E472" s="13"/>
      <c r="G472" s="9"/>
      <c r="J472" s="121"/>
      <c r="M472" s="9"/>
      <c r="N472" s="9"/>
      <c r="O472" s="9"/>
    </row>
    <row r="473">
      <c r="A473" s="9"/>
      <c r="D473" s="13"/>
      <c r="E473" s="13"/>
      <c r="G473" s="9"/>
      <c r="J473" s="121"/>
      <c r="M473" s="9"/>
      <c r="N473" s="9"/>
      <c r="O473" s="9"/>
    </row>
    <row r="474">
      <c r="A474" s="9"/>
      <c r="D474" s="13"/>
      <c r="E474" s="13"/>
      <c r="G474" s="9"/>
      <c r="J474" s="121"/>
      <c r="M474" s="9"/>
      <c r="N474" s="9"/>
      <c r="O474" s="9"/>
    </row>
    <row r="475">
      <c r="A475" s="9"/>
      <c r="D475" s="13"/>
      <c r="E475" s="13"/>
      <c r="G475" s="9"/>
      <c r="J475" s="121"/>
      <c r="M475" s="9"/>
      <c r="N475" s="9"/>
      <c r="O475" s="9"/>
    </row>
    <row r="476">
      <c r="A476" s="9"/>
      <c r="D476" s="13"/>
      <c r="E476" s="13"/>
      <c r="G476" s="9"/>
      <c r="J476" s="121"/>
      <c r="M476" s="9"/>
      <c r="N476" s="9"/>
      <c r="O476" s="9"/>
    </row>
    <row r="477">
      <c r="A477" s="9"/>
      <c r="D477" s="13"/>
      <c r="E477" s="13"/>
      <c r="G477" s="9"/>
      <c r="J477" s="121"/>
      <c r="M477" s="9"/>
      <c r="N477" s="9"/>
      <c r="O477" s="9"/>
    </row>
    <row r="478">
      <c r="A478" s="9"/>
      <c r="D478" s="13"/>
      <c r="E478" s="13"/>
      <c r="G478" s="9"/>
      <c r="J478" s="121"/>
      <c r="M478" s="9"/>
      <c r="N478" s="9"/>
      <c r="O478" s="9"/>
    </row>
    <row r="479">
      <c r="A479" s="9"/>
      <c r="D479" s="13"/>
      <c r="E479" s="13"/>
      <c r="G479" s="9"/>
      <c r="J479" s="121"/>
      <c r="M479" s="9"/>
      <c r="N479" s="9"/>
      <c r="O479" s="9"/>
    </row>
    <row r="480">
      <c r="A480" s="9"/>
      <c r="D480" s="13"/>
      <c r="E480" s="13"/>
      <c r="G480" s="9"/>
      <c r="J480" s="121"/>
      <c r="M480" s="9"/>
      <c r="N480" s="9"/>
      <c r="O480" s="9"/>
    </row>
    <row r="481">
      <c r="A481" s="9"/>
      <c r="D481" s="13"/>
      <c r="E481" s="13"/>
      <c r="G481" s="9"/>
      <c r="J481" s="121"/>
      <c r="M481" s="9"/>
      <c r="N481" s="9"/>
      <c r="O481" s="9"/>
    </row>
    <row r="482">
      <c r="A482" s="9"/>
      <c r="D482" s="13"/>
      <c r="E482" s="13"/>
      <c r="G482" s="9"/>
      <c r="J482" s="121"/>
      <c r="M482" s="9"/>
      <c r="N482" s="9"/>
      <c r="O482" s="9"/>
    </row>
    <row r="483">
      <c r="A483" s="9"/>
      <c r="D483" s="13"/>
      <c r="E483" s="13"/>
      <c r="G483" s="9"/>
      <c r="J483" s="121"/>
      <c r="M483" s="9"/>
      <c r="N483" s="9"/>
      <c r="O483" s="9"/>
    </row>
    <row r="484">
      <c r="A484" s="9"/>
      <c r="D484" s="13"/>
      <c r="E484" s="13"/>
      <c r="G484" s="9"/>
      <c r="J484" s="121"/>
      <c r="M484" s="9"/>
      <c r="N484" s="9"/>
      <c r="O484" s="9"/>
    </row>
    <row r="485">
      <c r="A485" s="9"/>
      <c r="D485" s="13"/>
      <c r="E485" s="13"/>
      <c r="G485" s="9"/>
      <c r="J485" s="121"/>
      <c r="M485" s="9"/>
      <c r="N485" s="9"/>
      <c r="O485" s="9"/>
    </row>
    <row r="486">
      <c r="A486" s="9"/>
      <c r="D486" s="13"/>
      <c r="E486" s="13"/>
      <c r="G486" s="9"/>
      <c r="J486" s="121"/>
      <c r="M486" s="9"/>
      <c r="N486" s="9"/>
      <c r="O486" s="9"/>
    </row>
    <row r="487">
      <c r="A487" s="9"/>
      <c r="D487" s="13"/>
      <c r="E487" s="13"/>
      <c r="G487" s="9"/>
      <c r="J487" s="121"/>
      <c r="M487" s="9"/>
      <c r="N487" s="9"/>
      <c r="O487" s="9"/>
    </row>
    <row r="488">
      <c r="A488" s="9"/>
      <c r="D488" s="13"/>
      <c r="E488" s="13"/>
      <c r="G488" s="9"/>
      <c r="J488" s="121"/>
      <c r="M488" s="9"/>
      <c r="N488" s="9"/>
      <c r="O488" s="9"/>
    </row>
    <row r="489">
      <c r="A489" s="9"/>
      <c r="D489" s="13"/>
      <c r="E489" s="13"/>
      <c r="G489" s="9"/>
      <c r="J489" s="121"/>
      <c r="M489" s="9"/>
      <c r="N489" s="9"/>
      <c r="O489" s="9"/>
    </row>
    <row r="490">
      <c r="A490" s="9"/>
      <c r="D490" s="13"/>
      <c r="E490" s="13"/>
      <c r="G490" s="9"/>
      <c r="J490" s="121"/>
      <c r="M490" s="9"/>
      <c r="N490" s="9"/>
      <c r="O490" s="9"/>
    </row>
    <row r="491">
      <c r="A491" s="9"/>
      <c r="D491" s="13"/>
      <c r="E491" s="13"/>
      <c r="G491" s="9"/>
      <c r="J491" s="121"/>
      <c r="M491" s="9"/>
      <c r="N491" s="9"/>
      <c r="O491" s="9"/>
    </row>
    <row r="492">
      <c r="A492" s="9"/>
      <c r="D492" s="13"/>
      <c r="E492" s="13"/>
      <c r="G492" s="9"/>
      <c r="J492" s="121"/>
      <c r="M492" s="9"/>
      <c r="N492" s="9"/>
      <c r="O492" s="9"/>
    </row>
    <row r="493">
      <c r="A493" s="9"/>
      <c r="D493" s="13"/>
      <c r="E493" s="13"/>
      <c r="G493" s="9"/>
      <c r="J493" s="121"/>
      <c r="M493" s="9"/>
      <c r="N493" s="9"/>
      <c r="O493" s="9"/>
    </row>
    <row r="494">
      <c r="A494" s="9"/>
      <c r="D494" s="13"/>
      <c r="E494" s="13"/>
      <c r="G494" s="9"/>
      <c r="J494" s="121"/>
      <c r="M494" s="9"/>
      <c r="N494" s="9"/>
      <c r="O494" s="9"/>
    </row>
    <row r="495">
      <c r="A495" s="9"/>
      <c r="D495" s="13"/>
      <c r="E495" s="13"/>
      <c r="G495" s="9"/>
      <c r="J495" s="121"/>
      <c r="M495" s="9"/>
      <c r="N495" s="9"/>
      <c r="O495" s="9"/>
    </row>
    <row r="496">
      <c r="A496" s="9"/>
      <c r="D496" s="13"/>
      <c r="E496" s="13"/>
      <c r="G496" s="9"/>
      <c r="J496" s="121"/>
      <c r="M496" s="9"/>
      <c r="N496" s="9"/>
      <c r="O496" s="9"/>
    </row>
    <row r="497">
      <c r="A497" s="9"/>
      <c r="D497" s="13"/>
      <c r="E497" s="13"/>
      <c r="G497" s="9"/>
      <c r="J497" s="121"/>
      <c r="M497" s="9"/>
      <c r="N497" s="9"/>
      <c r="O497" s="9"/>
    </row>
    <row r="498">
      <c r="A498" s="9"/>
      <c r="D498" s="13"/>
      <c r="E498" s="13"/>
      <c r="G498" s="9"/>
      <c r="J498" s="121"/>
      <c r="M498" s="9"/>
      <c r="N498" s="9"/>
      <c r="O498" s="9"/>
    </row>
    <row r="499">
      <c r="A499" s="9"/>
      <c r="D499" s="13"/>
      <c r="E499" s="13"/>
      <c r="G499" s="9"/>
      <c r="J499" s="121"/>
      <c r="M499" s="9"/>
      <c r="N499" s="9"/>
      <c r="O499" s="9"/>
    </row>
    <row r="500">
      <c r="A500" s="9"/>
      <c r="D500" s="13"/>
      <c r="E500" s="13"/>
      <c r="G500" s="9"/>
      <c r="J500" s="121"/>
      <c r="M500" s="9"/>
      <c r="N500" s="9"/>
      <c r="O500" s="9"/>
    </row>
    <row r="501">
      <c r="A501" s="9"/>
      <c r="D501" s="13"/>
      <c r="E501" s="13"/>
      <c r="G501" s="9"/>
      <c r="J501" s="121"/>
      <c r="M501" s="9"/>
      <c r="N501" s="9"/>
      <c r="O501" s="9"/>
    </row>
    <row r="502">
      <c r="A502" s="9"/>
      <c r="D502" s="13"/>
      <c r="E502" s="13"/>
      <c r="G502" s="9"/>
      <c r="J502" s="121"/>
      <c r="M502" s="9"/>
      <c r="N502" s="9"/>
      <c r="O502" s="9"/>
    </row>
    <row r="503">
      <c r="A503" s="9"/>
      <c r="D503" s="13"/>
      <c r="E503" s="13"/>
      <c r="G503" s="9"/>
      <c r="J503" s="121"/>
      <c r="M503" s="9"/>
      <c r="N503" s="9"/>
      <c r="O503" s="9"/>
    </row>
    <row r="504">
      <c r="A504" s="9"/>
      <c r="D504" s="13"/>
      <c r="E504" s="13"/>
      <c r="G504" s="9"/>
      <c r="J504" s="121"/>
      <c r="M504" s="9"/>
      <c r="N504" s="9"/>
      <c r="O504" s="9"/>
    </row>
    <row r="505">
      <c r="A505" s="9"/>
      <c r="D505" s="13"/>
      <c r="E505" s="13"/>
      <c r="G505" s="9"/>
      <c r="J505" s="121"/>
      <c r="M505" s="9"/>
      <c r="N505" s="9"/>
      <c r="O505" s="9"/>
    </row>
    <row r="506">
      <c r="A506" s="9"/>
      <c r="D506" s="13"/>
      <c r="E506" s="13"/>
      <c r="G506" s="9"/>
      <c r="J506" s="121"/>
      <c r="M506" s="9"/>
      <c r="N506" s="9"/>
      <c r="O506" s="9"/>
    </row>
    <row r="507">
      <c r="A507" s="9"/>
      <c r="D507" s="13"/>
      <c r="E507" s="13"/>
      <c r="G507" s="9"/>
      <c r="J507" s="121"/>
      <c r="M507" s="9"/>
      <c r="N507" s="9"/>
      <c r="O507" s="9"/>
    </row>
    <row r="508">
      <c r="A508" s="9"/>
      <c r="D508" s="13"/>
      <c r="E508" s="13"/>
      <c r="G508" s="9"/>
      <c r="J508" s="121"/>
      <c r="M508" s="9"/>
      <c r="N508" s="9"/>
      <c r="O508" s="9"/>
    </row>
    <row r="509">
      <c r="A509" s="9"/>
      <c r="D509" s="13"/>
      <c r="E509" s="13"/>
      <c r="G509" s="9"/>
      <c r="J509" s="121"/>
      <c r="M509" s="9"/>
      <c r="N509" s="9"/>
      <c r="O509" s="9"/>
    </row>
    <row r="510">
      <c r="A510" s="9"/>
      <c r="D510" s="13"/>
      <c r="E510" s="13"/>
      <c r="G510" s="9"/>
      <c r="J510" s="121"/>
      <c r="M510" s="9"/>
      <c r="N510" s="9"/>
      <c r="O510" s="9"/>
    </row>
    <row r="511">
      <c r="A511" s="9"/>
      <c r="D511" s="13"/>
      <c r="E511" s="13"/>
      <c r="G511" s="9"/>
      <c r="J511" s="121"/>
      <c r="M511" s="9"/>
      <c r="N511" s="9"/>
      <c r="O511" s="9"/>
    </row>
    <row r="512">
      <c r="A512" s="9"/>
      <c r="D512" s="13"/>
      <c r="E512" s="13"/>
      <c r="G512" s="9"/>
      <c r="J512" s="121"/>
      <c r="M512" s="9"/>
      <c r="N512" s="9"/>
      <c r="O512" s="9"/>
    </row>
    <row r="513">
      <c r="A513" s="9"/>
      <c r="D513" s="13"/>
      <c r="E513" s="13"/>
      <c r="G513" s="9"/>
      <c r="J513" s="121"/>
      <c r="M513" s="9"/>
      <c r="N513" s="9"/>
      <c r="O513" s="9"/>
    </row>
    <row r="514">
      <c r="A514" s="9"/>
      <c r="D514" s="13"/>
      <c r="E514" s="13"/>
      <c r="G514" s="9"/>
      <c r="J514" s="121"/>
      <c r="M514" s="9"/>
      <c r="N514" s="9"/>
      <c r="O514" s="9"/>
    </row>
    <row r="515">
      <c r="A515" s="9"/>
      <c r="D515" s="13"/>
      <c r="E515" s="13"/>
      <c r="G515" s="9"/>
      <c r="J515" s="121"/>
      <c r="M515" s="9"/>
      <c r="N515" s="9"/>
      <c r="O515" s="9"/>
    </row>
    <row r="516">
      <c r="A516" s="9"/>
      <c r="D516" s="13"/>
      <c r="E516" s="13"/>
      <c r="G516" s="9"/>
      <c r="J516" s="121"/>
      <c r="M516" s="9"/>
      <c r="N516" s="9"/>
      <c r="O516" s="9"/>
    </row>
    <row r="517">
      <c r="A517" s="9"/>
      <c r="D517" s="13"/>
      <c r="E517" s="13"/>
      <c r="G517" s="9"/>
      <c r="J517" s="121"/>
      <c r="M517" s="9"/>
      <c r="N517" s="9"/>
      <c r="O517" s="9"/>
    </row>
    <row r="518">
      <c r="A518" s="9"/>
      <c r="D518" s="13"/>
      <c r="E518" s="13"/>
      <c r="G518" s="9"/>
      <c r="J518" s="121"/>
      <c r="M518" s="9"/>
      <c r="N518" s="9"/>
      <c r="O518" s="9"/>
    </row>
    <row r="519">
      <c r="A519" s="9"/>
      <c r="D519" s="13"/>
      <c r="E519" s="13"/>
      <c r="G519" s="9"/>
      <c r="J519" s="121"/>
      <c r="M519" s="9"/>
      <c r="N519" s="9"/>
      <c r="O519" s="9"/>
    </row>
    <row r="520">
      <c r="A520" s="9"/>
      <c r="D520" s="13"/>
      <c r="E520" s="13"/>
      <c r="G520" s="9"/>
      <c r="J520" s="121"/>
      <c r="M520" s="9"/>
      <c r="N520" s="9"/>
      <c r="O520" s="9"/>
    </row>
    <row r="521">
      <c r="A521" s="9"/>
      <c r="D521" s="13"/>
      <c r="E521" s="13"/>
      <c r="G521" s="9"/>
      <c r="J521" s="121"/>
      <c r="M521" s="9"/>
      <c r="N521" s="9"/>
      <c r="O521" s="9"/>
    </row>
    <row r="522">
      <c r="A522" s="9"/>
      <c r="D522" s="13"/>
      <c r="E522" s="13"/>
      <c r="G522" s="9"/>
      <c r="J522" s="121"/>
      <c r="M522" s="9"/>
      <c r="N522" s="9"/>
      <c r="O522" s="9"/>
    </row>
    <row r="523">
      <c r="A523" s="9"/>
      <c r="D523" s="13"/>
      <c r="E523" s="13"/>
      <c r="G523" s="9"/>
      <c r="J523" s="121"/>
      <c r="M523" s="9"/>
      <c r="N523" s="9"/>
      <c r="O523" s="9"/>
    </row>
    <row r="524">
      <c r="A524" s="9"/>
      <c r="D524" s="13"/>
      <c r="E524" s="13"/>
      <c r="G524" s="9"/>
      <c r="J524" s="121"/>
      <c r="M524" s="9"/>
      <c r="N524" s="9"/>
      <c r="O524" s="9"/>
    </row>
    <row r="525">
      <c r="A525" s="9"/>
      <c r="D525" s="13"/>
      <c r="E525" s="13"/>
      <c r="G525" s="9"/>
      <c r="J525" s="121"/>
      <c r="M525" s="9"/>
      <c r="N525" s="9"/>
      <c r="O525" s="9"/>
    </row>
    <row r="526">
      <c r="A526" s="9"/>
      <c r="D526" s="13"/>
      <c r="E526" s="13"/>
      <c r="G526" s="9"/>
      <c r="J526" s="121"/>
      <c r="M526" s="9"/>
      <c r="N526" s="9"/>
      <c r="O526" s="9"/>
    </row>
    <row r="527">
      <c r="A527" s="9"/>
      <c r="D527" s="13"/>
      <c r="E527" s="13"/>
      <c r="G527" s="9"/>
      <c r="J527" s="121"/>
      <c r="M527" s="9"/>
      <c r="N527" s="9"/>
      <c r="O527" s="9"/>
    </row>
    <row r="528">
      <c r="A528" s="9"/>
      <c r="D528" s="13"/>
      <c r="E528" s="13"/>
      <c r="G528" s="9"/>
      <c r="J528" s="121"/>
      <c r="M528" s="9"/>
      <c r="N528" s="9"/>
      <c r="O528" s="9"/>
    </row>
    <row r="529">
      <c r="A529" s="9"/>
      <c r="D529" s="13"/>
      <c r="E529" s="13"/>
      <c r="G529" s="9"/>
      <c r="J529" s="121"/>
      <c r="M529" s="9"/>
      <c r="N529" s="9"/>
      <c r="O529" s="9"/>
    </row>
    <row r="530">
      <c r="A530" s="9"/>
      <c r="D530" s="13"/>
      <c r="E530" s="13"/>
      <c r="G530" s="9"/>
      <c r="J530" s="121"/>
      <c r="M530" s="9"/>
      <c r="N530" s="9"/>
      <c r="O530" s="9"/>
    </row>
    <row r="531">
      <c r="A531" s="9"/>
      <c r="D531" s="13"/>
      <c r="E531" s="13"/>
      <c r="G531" s="9"/>
      <c r="J531" s="121"/>
      <c r="M531" s="9"/>
      <c r="N531" s="9"/>
      <c r="O531" s="9"/>
    </row>
    <row r="532">
      <c r="A532" s="9"/>
      <c r="D532" s="13"/>
      <c r="E532" s="13"/>
      <c r="G532" s="9"/>
      <c r="J532" s="121"/>
      <c r="M532" s="9"/>
      <c r="N532" s="9"/>
      <c r="O532" s="9"/>
    </row>
    <row r="533">
      <c r="A533" s="9"/>
      <c r="D533" s="13"/>
      <c r="E533" s="13"/>
      <c r="G533" s="9"/>
      <c r="J533" s="121"/>
      <c r="M533" s="9"/>
      <c r="N533" s="9"/>
      <c r="O533" s="9"/>
    </row>
    <row r="534">
      <c r="A534" s="9"/>
      <c r="D534" s="13"/>
      <c r="E534" s="13"/>
      <c r="G534" s="9"/>
      <c r="J534" s="121"/>
      <c r="M534" s="9"/>
      <c r="N534" s="9"/>
      <c r="O534" s="9"/>
    </row>
    <row r="535">
      <c r="A535" s="9"/>
      <c r="D535" s="13"/>
      <c r="E535" s="13"/>
      <c r="G535" s="9"/>
      <c r="J535" s="121"/>
      <c r="M535" s="9"/>
      <c r="N535" s="9"/>
      <c r="O535" s="9"/>
    </row>
    <row r="536">
      <c r="A536" s="9"/>
      <c r="D536" s="13"/>
      <c r="E536" s="13"/>
      <c r="G536" s="9"/>
      <c r="J536" s="121"/>
      <c r="M536" s="9"/>
      <c r="N536" s="9"/>
      <c r="O536" s="9"/>
    </row>
    <row r="537">
      <c r="A537" s="9"/>
      <c r="D537" s="13"/>
      <c r="E537" s="13"/>
      <c r="G537" s="9"/>
      <c r="J537" s="121"/>
      <c r="M537" s="9"/>
      <c r="N537" s="9"/>
      <c r="O537" s="9"/>
    </row>
    <row r="538">
      <c r="A538" s="9"/>
      <c r="D538" s="13"/>
      <c r="E538" s="13"/>
      <c r="G538" s="9"/>
      <c r="J538" s="121"/>
      <c r="M538" s="9"/>
      <c r="N538" s="9"/>
      <c r="O538" s="9"/>
    </row>
    <row r="539">
      <c r="A539" s="9"/>
      <c r="D539" s="13"/>
      <c r="E539" s="13"/>
      <c r="G539" s="9"/>
      <c r="J539" s="121"/>
      <c r="M539" s="9"/>
      <c r="N539" s="9"/>
      <c r="O539" s="9"/>
    </row>
    <row r="540">
      <c r="A540" s="9"/>
      <c r="D540" s="13"/>
      <c r="E540" s="13"/>
      <c r="G540" s="9"/>
      <c r="J540" s="121"/>
      <c r="M540" s="9"/>
      <c r="N540" s="9"/>
      <c r="O540" s="9"/>
    </row>
    <row r="541">
      <c r="A541" s="9"/>
      <c r="D541" s="13"/>
      <c r="E541" s="13"/>
      <c r="G541" s="9"/>
      <c r="J541" s="121"/>
      <c r="M541" s="9"/>
      <c r="N541" s="9"/>
      <c r="O541" s="9"/>
    </row>
    <row r="542">
      <c r="A542" s="9"/>
      <c r="D542" s="13"/>
      <c r="E542" s="13"/>
      <c r="G542" s="9"/>
      <c r="J542" s="121"/>
      <c r="M542" s="9"/>
      <c r="N542" s="9"/>
      <c r="O542" s="9"/>
    </row>
    <row r="543">
      <c r="A543" s="9"/>
      <c r="D543" s="13"/>
      <c r="E543" s="13"/>
      <c r="G543" s="9"/>
      <c r="J543" s="121"/>
      <c r="M543" s="9"/>
      <c r="N543" s="9"/>
      <c r="O543" s="9"/>
    </row>
    <row r="544">
      <c r="A544" s="9"/>
      <c r="D544" s="13"/>
      <c r="E544" s="13"/>
      <c r="G544" s="9"/>
      <c r="J544" s="121"/>
      <c r="M544" s="9"/>
      <c r="N544" s="9"/>
      <c r="O544" s="9"/>
    </row>
    <row r="545">
      <c r="A545" s="9"/>
      <c r="D545" s="13"/>
      <c r="E545" s="13"/>
      <c r="G545" s="9"/>
      <c r="J545" s="121"/>
      <c r="M545" s="9"/>
      <c r="N545" s="9"/>
      <c r="O545" s="9"/>
    </row>
    <row r="546">
      <c r="A546" s="9"/>
      <c r="D546" s="13"/>
      <c r="E546" s="13"/>
      <c r="G546" s="9"/>
      <c r="J546" s="121"/>
      <c r="M546" s="9"/>
      <c r="N546" s="9"/>
      <c r="O546" s="9"/>
    </row>
    <row r="547">
      <c r="A547" s="9"/>
      <c r="D547" s="13"/>
      <c r="E547" s="13"/>
      <c r="G547" s="9"/>
      <c r="J547" s="121"/>
      <c r="M547" s="9"/>
      <c r="N547" s="9"/>
      <c r="O547" s="9"/>
    </row>
    <row r="548">
      <c r="A548" s="9"/>
      <c r="D548" s="13"/>
      <c r="E548" s="13"/>
      <c r="G548" s="9"/>
      <c r="J548" s="121"/>
      <c r="M548" s="9"/>
      <c r="N548" s="9"/>
      <c r="O548" s="9"/>
    </row>
    <row r="549">
      <c r="A549" s="9"/>
      <c r="D549" s="13"/>
      <c r="E549" s="13"/>
      <c r="G549" s="9"/>
      <c r="J549" s="121"/>
      <c r="M549" s="9"/>
      <c r="N549" s="9"/>
      <c r="O549" s="9"/>
    </row>
    <row r="550">
      <c r="A550" s="9"/>
      <c r="D550" s="13"/>
      <c r="E550" s="13"/>
      <c r="G550" s="9"/>
      <c r="J550" s="121"/>
      <c r="M550" s="9"/>
      <c r="N550" s="9"/>
      <c r="O550" s="9"/>
    </row>
    <row r="551">
      <c r="A551" s="9"/>
      <c r="D551" s="13"/>
      <c r="E551" s="13"/>
      <c r="G551" s="9"/>
      <c r="J551" s="121"/>
      <c r="M551" s="9"/>
      <c r="N551" s="9"/>
      <c r="O551" s="9"/>
    </row>
    <row r="552">
      <c r="A552" s="9"/>
      <c r="D552" s="13"/>
      <c r="E552" s="13"/>
      <c r="G552" s="9"/>
      <c r="J552" s="121"/>
      <c r="M552" s="9"/>
      <c r="N552" s="9"/>
      <c r="O552" s="9"/>
    </row>
    <row r="553">
      <c r="A553" s="9"/>
      <c r="D553" s="13"/>
      <c r="E553" s="13"/>
      <c r="G553" s="9"/>
      <c r="J553" s="121"/>
      <c r="M553" s="9"/>
      <c r="N553" s="9"/>
      <c r="O553" s="9"/>
    </row>
    <row r="554">
      <c r="A554" s="9"/>
      <c r="D554" s="13"/>
      <c r="E554" s="13"/>
      <c r="G554" s="9"/>
      <c r="J554" s="121"/>
      <c r="M554" s="9"/>
      <c r="N554" s="9"/>
      <c r="O554" s="9"/>
    </row>
    <row r="555">
      <c r="A555" s="9"/>
      <c r="D555" s="13"/>
      <c r="E555" s="13"/>
      <c r="G555" s="9"/>
      <c r="J555" s="121"/>
      <c r="M555" s="9"/>
      <c r="N555" s="9"/>
      <c r="O555" s="9"/>
    </row>
    <row r="556">
      <c r="A556" s="9"/>
      <c r="D556" s="13"/>
      <c r="E556" s="13"/>
      <c r="G556" s="9"/>
      <c r="J556" s="121"/>
      <c r="M556" s="9"/>
      <c r="N556" s="9"/>
      <c r="O556" s="9"/>
    </row>
    <row r="557">
      <c r="A557" s="9"/>
      <c r="D557" s="13"/>
      <c r="E557" s="13"/>
      <c r="G557" s="9"/>
      <c r="J557" s="121"/>
      <c r="M557" s="9"/>
      <c r="N557" s="9"/>
      <c r="O557" s="9"/>
    </row>
    <row r="558">
      <c r="A558" s="9"/>
      <c r="D558" s="13"/>
      <c r="E558" s="13"/>
      <c r="G558" s="9"/>
      <c r="J558" s="121"/>
      <c r="M558" s="9"/>
      <c r="N558" s="9"/>
      <c r="O558" s="9"/>
    </row>
    <row r="559">
      <c r="A559" s="9"/>
      <c r="D559" s="13"/>
      <c r="E559" s="13"/>
      <c r="G559" s="9"/>
      <c r="J559" s="121"/>
      <c r="M559" s="9"/>
      <c r="N559" s="9"/>
      <c r="O559" s="9"/>
    </row>
    <row r="560">
      <c r="A560" s="9"/>
      <c r="D560" s="13"/>
      <c r="E560" s="13"/>
      <c r="G560" s="9"/>
      <c r="J560" s="121"/>
      <c r="M560" s="9"/>
      <c r="N560" s="9"/>
      <c r="O560" s="9"/>
    </row>
    <row r="561">
      <c r="A561" s="9"/>
      <c r="D561" s="13"/>
      <c r="E561" s="13"/>
      <c r="G561" s="9"/>
      <c r="J561" s="121"/>
      <c r="M561" s="9"/>
      <c r="N561" s="9"/>
      <c r="O561" s="9"/>
    </row>
    <row r="562">
      <c r="A562" s="9"/>
      <c r="D562" s="13"/>
      <c r="E562" s="13"/>
      <c r="G562" s="9"/>
      <c r="J562" s="121"/>
      <c r="M562" s="9"/>
      <c r="N562" s="9"/>
      <c r="O562" s="9"/>
    </row>
    <row r="563">
      <c r="A563" s="9"/>
      <c r="D563" s="13"/>
      <c r="E563" s="13"/>
      <c r="G563" s="9"/>
      <c r="J563" s="121"/>
      <c r="M563" s="9"/>
      <c r="N563" s="9"/>
      <c r="O563" s="9"/>
    </row>
    <row r="564">
      <c r="A564" s="9"/>
      <c r="D564" s="13"/>
      <c r="E564" s="13"/>
      <c r="G564" s="9"/>
      <c r="J564" s="121"/>
      <c r="M564" s="9"/>
      <c r="N564" s="9"/>
      <c r="O564" s="9"/>
    </row>
    <row r="565">
      <c r="A565" s="9"/>
      <c r="D565" s="13"/>
      <c r="E565" s="13"/>
      <c r="G565" s="9"/>
      <c r="J565" s="121"/>
      <c r="M565" s="9"/>
      <c r="N565" s="9"/>
      <c r="O565" s="9"/>
    </row>
    <row r="566">
      <c r="A566" s="9"/>
      <c r="D566" s="13"/>
      <c r="E566" s="13"/>
      <c r="G566" s="9"/>
      <c r="J566" s="121"/>
      <c r="M566" s="9"/>
      <c r="N566" s="9"/>
      <c r="O566" s="9"/>
    </row>
    <row r="567">
      <c r="A567" s="9"/>
      <c r="D567" s="13"/>
      <c r="E567" s="13"/>
      <c r="G567" s="9"/>
      <c r="J567" s="121"/>
      <c r="M567" s="9"/>
      <c r="N567" s="9"/>
      <c r="O567" s="9"/>
    </row>
    <row r="568">
      <c r="A568" s="9"/>
      <c r="D568" s="13"/>
      <c r="E568" s="13"/>
      <c r="G568" s="9"/>
      <c r="J568" s="121"/>
      <c r="M568" s="9"/>
      <c r="N568" s="9"/>
      <c r="O568" s="9"/>
    </row>
    <row r="569">
      <c r="A569" s="9"/>
      <c r="D569" s="13"/>
      <c r="E569" s="13"/>
      <c r="G569" s="9"/>
      <c r="J569" s="121"/>
      <c r="M569" s="9"/>
      <c r="N569" s="9"/>
      <c r="O569" s="9"/>
    </row>
    <row r="570">
      <c r="A570" s="9"/>
      <c r="D570" s="13"/>
      <c r="E570" s="13"/>
      <c r="G570" s="9"/>
      <c r="J570" s="121"/>
      <c r="M570" s="9"/>
      <c r="N570" s="9"/>
      <c r="O570" s="9"/>
    </row>
    <row r="571">
      <c r="A571" s="9"/>
      <c r="D571" s="13"/>
      <c r="E571" s="13"/>
      <c r="G571" s="9"/>
      <c r="J571" s="121"/>
      <c r="M571" s="9"/>
      <c r="N571" s="9"/>
      <c r="O571" s="9"/>
    </row>
    <row r="572">
      <c r="A572" s="9"/>
      <c r="D572" s="13"/>
      <c r="E572" s="13"/>
      <c r="G572" s="9"/>
      <c r="J572" s="121"/>
      <c r="M572" s="9"/>
      <c r="N572" s="9"/>
      <c r="O572" s="9"/>
    </row>
    <row r="573">
      <c r="A573" s="9"/>
      <c r="D573" s="13"/>
      <c r="E573" s="13"/>
      <c r="G573" s="9"/>
      <c r="J573" s="121"/>
      <c r="M573" s="9"/>
      <c r="N573" s="9"/>
      <c r="O573" s="9"/>
    </row>
    <row r="574">
      <c r="A574" s="9"/>
      <c r="D574" s="13"/>
      <c r="E574" s="13"/>
      <c r="G574" s="9"/>
      <c r="J574" s="121"/>
      <c r="M574" s="9"/>
      <c r="N574" s="9"/>
      <c r="O574" s="9"/>
    </row>
    <row r="575">
      <c r="A575" s="9"/>
      <c r="D575" s="13"/>
      <c r="E575" s="13"/>
      <c r="G575" s="9"/>
      <c r="J575" s="121"/>
      <c r="M575" s="9"/>
      <c r="N575" s="9"/>
      <c r="O575" s="9"/>
    </row>
    <row r="576">
      <c r="A576" s="9"/>
      <c r="D576" s="13"/>
      <c r="E576" s="13"/>
      <c r="G576" s="9"/>
      <c r="J576" s="121"/>
      <c r="M576" s="9"/>
      <c r="N576" s="9"/>
      <c r="O576" s="9"/>
    </row>
    <row r="577">
      <c r="A577" s="9"/>
      <c r="D577" s="13"/>
      <c r="E577" s="13"/>
      <c r="G577" s="9"/>
      <c r="J577" s="121"/>
      <c r="M577" s="9"/>
      <c r="N577" s="9"/>
      <c r="O577" s="9"/>
    </row>
    <row r="578">
      <c r="A578" s="9"/>
      <c r="D578" s="13"/>
      <c r="E578" s="13"/>
      <c r="G578" s="9"/>
      <c r="J578" s="121"/>
      <c r="M578" s="9"/>
      <c r="N578" s="9"/>
      <c r="O578" s="9"/>
    </row>
    <row r="579">
      <c r="A579" s="9"/>
      <c r="D579" s="13"/>
      <c r="E579" s="13"/>
      <c r="G579" s="9"/>
      <c r="J579" s="121"/>
      <c r="M579" s="9"/>
      <c r="N579" s="9"/>
      <c r="O579" s="9"/>
    </row>
    <row r="580">
      <c r="A580" s="9"/>
      <c r="D580" s="13"/>
      <c r="E580" s="13"/>
      <c r="G580" s="9"/>
      <c r="J580" s="121"/>
      <c r="M580" s="9"/>
      <c r="N580" s="9"/>
      <c r="O580" s="9"/>
    </row>
    <row r="581">
      <c r="A581" s="9"/>
      <c r="D581" s="13"/>
      <c r="E581" s="13"/>
      <c r="G581" s="9"/>
      <c r="J581" s="121"/>
      <c r="M581" s="9"/>
      <c r="N581" s="9"/>
      <c r="O581" s="9"/>
    </row>
    <row r="582">
      <c r="A582" s="9"/>
      <c r="D582" s="13"/>
      <c r="E582" s="13"/>
      <c r="G582" s="9"/>
      <c r="J582" s="121"/>
      <c r="M582" s="9"/>
      <c r="N582" s="9"/>
      <c r="O582" s="9"/>
    </row>
    <row r="583">
      <c r="A583" s="9"/>
      <c r="D583" s="13"/>
      <c r="E583" s="13"/>
      <c r="G583" s="9"/>
      <c r="J583" s="121"/>
      <c r="M583" s="9"/>
      <c r="N583" s="9"/>
      <c r="O583" s="9"/>
    </row>
    <row r="584">
      <c r="A584" s="9"/>
      <c r="D584" s="13"/>
      <c r="E584" s="13"/>
      <c r="G584" s="9"/>
      <c r="J584" s="121"/>
      <c r="M584" s="9"/>
      <c r="N584" s="9"/>
      <c r="O584" s="9"/>
    </row>
    <row r="585">
      <c r="A585" s="9"/>
      <c r="D585" s="13"/>
      <c r="E585" s="13"/>
      <c r="G585" s="9"/>
      <c r="J585" s="121"/>
      <c r="M585" s="9"/>
      <c r="N585" s="9"/>
      <c r="O585" s="9"/>
    </row>
    <row r="586">
      <c r="A586" s="9"/>
      <c r="D586" s="13"/>
      <c r="E586" s="13"/>
      <c r="G586" s="9"/>
      <c r="J586" s="121"/>
      <c r="M586" s="9"/>
      <c r="N586" s="9"/>
      <c r="O586" s="9"/>
    </row>
    <row r="587">
      <c r="A587" s="9"/>
      <c r="D587" s="13"/>
      <c r="E587" s="13"/>
      <c r="G587" s="9"/>
      <c r="J587" s="121"/>
      <c r="M587" s="9"/>
      <c r="N587" s="9"/>
      <c r="O587" s="9"/>
    </row>
    <row r="588">
      <c r="A588" s="9"/>
      <c r="D588" s="13"/>
      <c r="E588" s="13"/>
      <c r="G588" s="9"/>
      <c r="J588" s="121"/>
      <c r="M588" s="9"/>
      <c r="N588" s="9"/>
      <c r="O588" s="9"/>
    </row>
    <row r="589">
      <c r="A589" s="9"/>
      <c r="D589" s="13"/>
      <c r="E589" s="13"/>
      <c r="G589" s="9"/>
      <c r="J589" s="121"/>
      <c r="M589" s="9"/>
      <c r="N589" s="9"/>
      <c r="O589" s="9"/>
    </row>
    <row r="590">
      <c r="A590" s="9"/>
      <c r="D590" s="13"/>
      <c r="E590" s="13"/>
      <c r="G590" s="9"/>
      <c r="J590" s="121"/>
      <c r="M590" s="9"/>
      <c r="N590" s="9"/>
      <c r="O590" s="9"/>
    </row>
    <row r="591">
      <c r="A591" s="9"/>
      <c r="D591" s="13"/>
      <c r="E591" s="13"/>
      <c r="G591" s="9"/>
      <c r="J591" s="121"/>
      <c r="M591" s="9"/>
      <c r="N591" s="9"/>
      <c r="O591" s="9"/>
    </row>
    <row r="592">
      <c r="A592" s="9"/>
      <c r="D592" s="13"/>
      <c r="E592" s="13"/>
      <c r="G592" s="9"/>
      <c r="J592" s="121"/>
      <c r="M592" s="9"/>
      <c r="N592" s="9"/>
      <c r="O592" s="9"/>
    </row>
    <row r="593">
      <c r="A593" s="9"/>
      <c r="D593" s="13"/>
      <c r="E593" s="13"/>
      <c r="G593" s="9"/>
      <c r="J593" s="121"/>
      <c r="M593" s="9"/>
      <c r="N593" s="9"/>
      <c r="O593" s="9"/>
    </row>
    <row r="594">
      <c r="A594" s="9"/>
      <c r="D594" s="13"/>
      <c r="E594" s="13"/>
      <c r="G594" s="9"/>
      <c r="J594" s="121"/>
      <c r="M594" s="9"/>
      <c r="N594" s="9"/>
      <c r="O594" s="9"/>
    </row>
    <row r="595">
      <c r="A595" s="9"/>
      <c r="D595" s="13"/>
      <c r="E595" s="13"/>
      <c r="G595" s="9"/>
      <c r="J595" s="121"/>
      <c r="M595" s="9"/>
      <c r="N595" s="9"/>
      <c r="O595" s="9"/>
    </row>
    <row r="596">
      <c r="A596" s="9"/>
      <c r="D596" s="13"/>
      <c r="E596" s="13"/>
      <c r="G596" s="9"/>
      <c r="J596" s="121"/>
      <c r="M596" s="9"/>
      <c r="N596" s="9"/>
      <c r="O596" s="9"/>
    </row>
    <row r="597">
      <c r="A597" s="9"/>
      <c r="D597" s="13"/>
      <c r="E597" s="13"/>
      <c r="G597" s="9"/>
      <c r="J597" s="121"/>
      <c r="M597" s="9"/>
      <c r="N597" s="9"/>
      <c r="O597" s="9"/>
    </row>
    <row r="598">
      <c r="A598" s="9"/>
      <c r="D598" s="13"/>
      <c r="E598" s="13"/>
      <c r="G598" s="9"/>
      <c r="J598" s="121"/>
      <c r="M598" s="9"/>
      <c r="N598" s="9"/>
      <c r="O598" s="9"/>
    </row>
    <row r="599">
      <c r="A599" s="9"/>
      <c r="D599" s="13"/>
      <c r="E599" s="13"/>
      <c r="G599" s="9"/>
      <c r="J599" s="121"/>
      <c r="M599" s="9"/>
      <c r="N599" s="9"/>
      <c r="O599" s="9"/>
    </row>
    <row r="600">
      <c r="A600" s="9"/>
      <c r="D600" s="13"/>
      <c r="E600" s="13"/>
      <c r="G600" s="9"/>
      <c r="J600" s="121"/>
      <c r="M600" s="9"/>
      <c r="N600" s="9"/>
      <c r="O600" s="9"/>
    </row>
    <row r="601">
      <c r="A601" s="9"/>
      <c r="D601" s="13"/>
      <c r="E601" s="13"/>
      <c r="G601" s="9"/>
      <c r="J601" s="121"/>
      <c r="M601" s="9"/>
      <c r="N601" s="9"/>
      <c r="O601" s="9"/>
    </row>
    <row r="602">
      <c r="A602" s="9"/>
      <c r="D602" s="13"/>
      <c r="E602" s="13"/>
      <c r="G602" s="9"/>
      <c r="J602" s="121"/>
      <c r="M602" s="9"/>
      <c r="N602" s="9"/>
      <c r="O602" s="9"/>
    </row>
    <row r="603">
      <c r="A603" s="9"/>
      <c r="D603" s="13"/>
      <c r="E603" s="13"/>
      <c r="G603" s="9"/>
      <c r="J603" s="121"/>
      <c r="M603" s="9"/>
      <c r="N603" s="9"/>
      <c r="O603" s="9"/>
    </row>
    <row r="604">
      <c r="A604" s="9"/>
      <c r="D604" s="13"/>
      <c r="E604" s="13"/>
      <c r="G604" s="9"/>
      <c r="J604" s="121"/>
      <c r="M604" s="9"/>
      <c r="N604" s="9"/>
      <c r="O604" s="9"/>
    </row>
    <row r="605">
      <c r="A605" s="9"/>
      <c r="D605" s="13"/>
      <c r="E605" s="13"/>
      <c r="G605" s="9"/>
      <c r="J605" s="121"/>
      <c r="M605" s="9"/>
      <c r="N605" s="9"/>
      <c r="O605" s="9"/>
    </row>
    <row r="606">
      <c r="A606" s="9"/>
      <c r="D606" s="13"/>
      <c r="E606" s="13"/>
      <c r="G606" s="9"/>
      <c r="J606" s="121"/>
      <c r="M606" s="9"/>
      <c r="N606" s="9"/>
      <c r="O606" s="9"/>
    </row>
    <row r="607">
      <c r="A607" s="9"/>
      <c r="D607" s="13"/>
      <c r="E607" s="13"/>
      <c r="G607" s="9"/>
      <c r="J607" s="121"/>
      <c r="M607" s="9"/>
      <c r="N607" s="9"/>
      <c r="O607" s="9"/>
    </row>
    <row r="608">
      <c r="A608" s="9"/>
      <c r="D608" s="13"/>
      <c r="E608" s="13"/>
      <c r="G608" s="9"/>
      <c r="J608" s="121"/>
      <c r="M608" s="9"/>
      <c r="N608" s="9"/>
      <c r="O608" s="9"/>
    </row>
    <row r="609">
      <c r="A609" s="9"/>
      <c r="D609" s="13"/>
      <c r="E609" s="13"/>
      <c r="G609" s="9"/>
      <c r="J609" s="121"/>
      <c r="M609" s="9"/>
      <c r="N609" s="9"/>
      <c r="O609" s="9"/>
    </row>
    <row r="610">
      <c r="A610" s="9"/>
      <c r="D610" s="13"/>
      <c r="E610" s="13"/>
      <c r="G610" s="9"/>
      <c r="J610" s="121"/>
      <c r="M610" s="9"/>
      <c r="N610" s="9"/>
      <c r="O610" s="9"/>
    </row>
    <row r="611">
      <c r="A611" s="9"/>
      <c r="D611" s="13"/>
      <c r="E611" s="13"/>
      <c r="G611" s="9"/>
      <c r="J611" s="121"/>
      <c r="M611" s="9"/>
      <c r="N611" s="9"/>
      <c r="O611" s="9"/>
    </row>
    <row r="612">
      <c r="A612" s="9"/>
      <c r="D612" s="13"/>
      <c r="E612" s="13"/>
      <c r="G612" s="9"/>
      <c r="J612" s="121"/>
      <c r="M612" s="9"/>
      <c r="N612" s="9"/>
      <c r="O612" s="9"/>
    </row>
    <row r="613">
      <c r="A613" s="9"/>
      <c r="D613" s="13"/>
      <c r="E613" s="13"/>
      <c r="G613" s="9"/>
      <c r="J613" s="121"/>
      <c r="M613" s="9"/>
      <c r="N613" s="9"/>
      <c r="O613" s="9"/>
    </row>
    <row r="614">
      <c r="A614" s="9"/>
      <c r="D614" s="13"/>
      <c r="E614" s="13"/>
      <c r="G614" s="9"/>
      <c r="J614" s="121"/>
      <c r="M614" s="9"/>
      <c r="N614" s="9"/>
      <c r="O614" s="9"/>
    </row>
    <row r="615">
      <c r="A615" s="9"/>
      <c r="D615" s="13"/>
      <c r="E615" s="13"/>
      <c r="G615" s="9"/>
      <c r="J615" s="121"/>
      <c r="M615" s="9"/>
      <c r="N615" s="9"/>
      <c r="O615" s="9"/>
    </row>
    <row r="616">
      <c r="A616" s="9"/>
      <c r="D616" s="13"/>
      <c r="E616" s="13"/>
      <c r="G616" s="9"/>
      <c r="J616" s="121"/>
      <c r="M616" s="9"/>
      <c r="N616" s="9"/>
      <c r="O616" s="9"/>
    </row>
    <row r="617">
      <c r="A617" s="9"/>
      <c r="D617" s="13"/>
      <c r="E617" s="13"/>
      <c r="G617" s="9"/>
      <c r="J617" s="121"/>
      <c r="M617" s="9"/>
      <c r="N617" s="9"/>
      <c r="O617" s="9"/>
    </row>
    <row r="618">
      <c r="A618" s="9"/>
      <c r="D618" s="13"/>
      <c r="E618" s="13"/>
      <c r="G618" s="9"/>
      <c r="J618" s="121"/>
      <c r="M618" s="9"/>
      <c r="N618" s="9"/>
      <c r="O618" s="9"/>
    </row>
    <row r="619">
      <c r="A619" s="9"/>
      <c r="D619" s="13"/>
      <c r="E619" s="13"/>
      <c r="G619" s="9"/>
      <c r="J619" s="121"/>
      <c r="M619" s="9"/>
      <c r="N619" s="9"/>
      <c r="O619" s="9"/>
    </row>
    <row r="620">
      <c r="A620" s="9"/>
      <c r="D620" s="13"/>
      <c r="E620" s="13"/>
      <c r="G620" s="9"/>
      <c r="J620" s="121"/>
      <c r="M620" s="9"/>
      <c r="N620" s="9"/>
      <c r="O620" s="9"/>
    </row>
    <row r="621">
      <c r="A621" s="9"/>
      <c r="D621" s="13"/>
      <c r="E621" s="13"/>
      <c r="G621" s="9"/>
      <c r="J621" s="121"/>
      <c r="M621" s="9"/>
      <c r="N621" s="9"/>
      <c r="O621" s="9"/>
    </row>
    <row r="622">
      <c r="A622" s="9"/>
      <c r="D622" s="13"/>
      <c r="E622" s="13"/>
      <c r="G622" s="9"/>
      <c r="J622" s="121"/>
      <c r="M622" s="9"/>
      <c r="N622" s="9"/>
      <c r="O622" s="9"/>
    </row>
    <row r="623">
      <c r="A623" s="9"/>
      <c r="D623" s="13"/>
      <c r="E623" s="13"/>
      <c r="G623" s="9"/>
      <c r="J623" s="121"/>
      <c r="M623" s="9"/>
      <c r="N623" s="9"/>
      <c r="O623" s="9"/>
    </row>
    <row r="624">
      <c r="A624" s="9"/>
      <c r="D624" s="13"/>
      <c r="E624" s="13"/>
      <c r="G624" s="9"/>
      <c r="J624" s="121"/>
      <c r="M624" s="9"/>
      <c r="N624" s="9"/>
      <c r="O624" s="9"/>
    </row>
    <row r="625">
      <c r="A625" s="9"/>
      <c r="D625" s="13"/>
      <c r="E625" s="13"/>
      <c r="G625" s="9"/>
      <c r="J625" s="121"/>
      <c r="M625" s="9"/>
      <c r="N625" s="9"/>
      <c r="O625" s="9"/>
    </row>
    <row r="626">
      <c r="A626" s="9"/>
      <c r="D626" s="13"/>
      <c r="E626" s="13"/>
      <c r="G626" s="9"/>
      <c r="J626" s="121"/>
      <c r="M626" s="9"/>
      <c r="N626" s="9"/>
      <c r="O626" s="9"/>
    </row>
    <row r="627">
      <c r="A627" s="9"/>
      <c r="D627" s="13"/>
      <c r="E627" s="13"/>
      <c r="G627" s="9"/>
      <c r="J627" s="121"/>
      <c r="M627" s="9"/>
      <c r="N627" s="9"/>
      <c r="O627" s="9"/>
    </row>
    <row r="628">
      <c r="A628" s="9"/>
      <c r="D628" s="13"/>
      <c r="E628" s="13"/>
      <c r="G628" s="9"/>
      <c r="J628" s="121"/>
      <c r="M628" s="9"/>
      <c r="N628" s="9"/>
      <c r="O628" s="9"/>
    </row>
    <row r="629">
      <c r="A629" s="9"/>
      <c r="D629" s="13"/>
      <c r="E629" s="13"/>
      <c r="G629" s="9"/>
      <c r="J629" s="121"/>
      <c r="M629" s="9"/>
      <c r="N629" s="9"/>
      <c r="O629" s="9"/>
    </row>
    <row r="630">
      <c r="A630" s="9"/>
      <c r="D630" s="13"/>
      <c r="E630" s="13"/>
      <c r="G630" s="9"/>
      <c r="J630" s="121"/>
      <c r="M630" s="9"/>
      <c r="N630" s="9"/>
      <c r="O630" s="9"/>
    </row>
    <row r="631">
      <c r="A631" s="9"/>
      <c r="D631" s="13"/>
      <c r="E631" s="13"/>
      <c r="G631" s="9"/>
      <c r="J631" s="121"/>
      <c r="M631" s="9"/>
      <c r="N631" s="9"/>
      <c r="O631" s="9"/>
    </row>
    <row r="632">
      <c r="A632" s="9"/>
      <c r="D632" s="13"/>
      <c r="E632" s="13"/>
      <c r="G632" s="9"/>
      <c r="J632" s="121"/>
      <c r="M632" s="9"/>
      <c r="N632" s="9"/>
      <c r="O632" s="9"/>
    </row>
    <row r="633">
      <c r="A633" s="9"/>
      <c r="D633" s="13"/>
      <c r="E633" s="13"/>
      <c r="G633" s="9"/>
      <c r="J633" s="121"/>
      <c r="M633" s="9"/>
      <c r="N633" s="9"/>
      <c r="O633" s="9"/>
    </row>
    <row r="634">
      <c r="A634" s="9"/>
      <c r="D634" s="13"/>
      <c r="E634" s="13"/>
      <c r="G634" s="9"/>
      <c r="J634" s="121"/>
      <c r="M634" s="9"/>
      <c r="N634" s="9"/>
      <c r="O634" s="9"/>
    </row>
    <row r="635">
      <c r="A635" s="9"/>
      <c r="D635" s="13"/>
      <c r="E635" s="13"/>
      <c r="G635" s="9"/>
      <c r="J635" s="121"/>
      <c r="M635" s="9"/>
      <c r="N635" s="9"/>
      <c r="O635" s="9"/>
    </row>
    <row r="636">
      <c r="A636" s="9"/>
      <c r="D636" s="13"/>
      <c r="E636" s="13"/>
      <c r="G636" s="9"/>
      <c r="J636" s="121"/>
      <c r="M636" s="9"/>
      <c r="N636" s="9"/>
      <c r="O636" s="9"/>
    </row>
    <row r="637">
      <c r="A637" s="9"/>
      <c r="D637" s="13"/>
      <c r="E637" s="13"/>
      <c r="G637" s="9"/>
      <c r="J637" s="121"/>
      <c r="M637" s="9"/>
      <c r="N637" s="9"/>
      <c r="O637" s="9"/>
    </row>
    <row r="638">
      <c r="A638" s="9"/>
      <c r="D638" s="13"/>
      <c r="E638" s="13"/>
      <c r="G638" s="9"/>
      <c r="J638" s="121"/>
      <c r="M638" s="9"/>
      <c r="N638" s="9"/>
      <c r="O638" s="9"/>
    </row>
    <row r="639">
      <c r="A639" s="9"/>
      <c r="D639" s="13"/>
      <c r="E639" s="13"/>
      <c r="G639" s="9"/>
      <c r="J639" s="121"/>
      <c r="M639" s="9"/>
      <c r="N639" s="9"/>
      <c r="O639" s="9"/>
    </row>
    <row r="640">
      <c r="A640" s="9"/>
      <c r="D640" s="13"/>
      <c r="E640" s="13"/>
      <c r="G640" s="9"/>
      <c r="J640" s="121"/>
      <c r="M640" s="9"/>
      <c r="N640" s="9"/>
      <c r="O640" s="9"/>
    </row>
    <row r="641">
      <c r="A641" s="9"/>
      <c r="D641" s="13"/>
      <c r="E641" s="13"/>
      <c r="G641" s="9"/>
      <c r="J641" s="121"/>
      <c r="M641" s="9"/>
      <c r="N641" s="9"/>
      <c r="O641" s="9"/>
    </row>
    <row r="642">
      <c r="A642" s="9"/>
      <c r="D642" s="13"/>
      <c r="E642" s="13"/>
      <c r="G642" s="9"/>
      <c r="J642" s="121"/>
      <c r="M642" s="9"/>
      <c r="N642" s="9"/>
      <c r="O642" s="9"/>
    </row>
    <row r="643">
      <c r="A643" s="9"/>
      <c r="D643" s="13"/>
      <c r="E643" s="13"/>
      <c r="G643" s="9"/>
      <c r="J643" s="121"/>
      <c r="M643" s="9"/>
      <c r="N643" s="9"/>
      <c r="O643" s="9"/>
    </row>
    <row r="644">
      <c r="A644" s="9"/>
      <c r="D644" s="13"/>
      <c r="E644" s="13"/>
      <c r="G644" s="9"/>
      <c r="J644" s="121"/>
      <c r="M644" s="9"/>
      <c r="N644" s="9"/>
      <c r="O644" s="9"/>
    </row>
    <row r="645">
      <c r="A645" s="9"/>
      <c r="D645" s="13"/>
      <c r="E645" s="13"/>
      <c r="G645" s="9"/>
      <c r="J645" s="121"/>
      <c r="M645" s="9"/>
      <c r="N645" s="9"/>
      <c r="O645" s="9"/>
    </row>
    <row r="646">
      <c r="A646" s="9"/>
      <c r="D646" s="13"/>
      <c r="E646" s="13"/>
      <c r="G646" s="9"/>
      <c r="J646" s="121"/>
      <c r="M646" s="9"/>
      <c r="N646" s="9"/>
      <c r="O646" s="9"/>
    </row>
    <row r="647">
      <c r="A647" s="9"/>
      <c r="D647" s="13"/>
      <c r="E647" s="13"/>
      <c r="G647" s="9"/>
      <c r="J647" s="121"/>
      <c r="M647" s="9"/>
      <c r="N647" s="9"/>
      <c r="O647" s="9"/>
    </row>
    <row r="648">
      <c r="A648" s="9"/>
      <c r="D648" s="13"/>
      <c r="E648" s="13"/>
      <c r="G648" s="9"/>
      <c r="J648" s="121"/>
      <c r="M648" s="9"/>
      <c r="N648" s="9"/>
      <c r="O648" s="9"/>
    </row>
    <row r="649">
      <c r="A649" s="9"/>
      <c r="D649" s="13"/>
      <c r="E649" s="13"/>
      <c r="G649" s="9"/>
      <c r="J649" s="121"/>
      <c r="M649" s="9"/>
      <c r="N649" s="9"/>
      <c r="O649" s="9"/>
    </row>
    <row r="650">
      <c r="A650" s="9"/>
      <c r="D650" s="13"/>
      <c r="E650" s="13"/>
      <c r="G650" s="9"/>
      <c r="J650" s="121"/>
      <c r="M650" s="9"/>
      <c r="N650" s="9"/>
      <c r="O650" s="9"/>
    </row>
    <row r="651">
      <c r="A651" s="9"/>
      <c r="D651" s="13"/>
      <c r="E651" s="13"/>
      <c r="G651" s="9"/>
      <c r="J651" s="121"/>
      <c r="M651" s="9"/>
      <c r="N651" s="9"/>
      <c r="O651" s="9"/>
    </row>
    <row r="652">
      <c r="A652" s="9"/>
      <c r="D652" s="13"/>
      <c r="E652" s="13"/>
      <c r="G652" s="9"/>
      <c r="J652" s="121"/>
      <c r="M652" s="9"/>
      <c r="N652" s="9"/>
      <c r="O652" s="9"/>
    </row>
    <row r="653">
      <c r="A653" s="9"/>
      <c r="D653" s="13"/>
      <c r="E653" s="13"/>
      <c r="G653" s="9"/>
      <c r="J653" s="121"/>
      <c r="M653" s="9"/>
      <c r="N653" s="9"/>
      <c r="O653" s="9"/>
    </row>
    <row r="654">
      <c r="A654" s="9"/>
      <c r="D654" s="13"/>
      <c r="E654" s="13"/>
      <c r="G654" s="9"/>
      <c r="J654" s="121"/>
      <c r="M654" s="9"/>
      <c r="N654" s="9"/>
      <c r="O654" s="9"/>
    </row>
    <row r="655">
      <c r="A655" s="9"/>
      <c r="D655" s="13"/>
      <c r="E655" s="13"/>
      <c r="G655" s="9"/>
      <c r="J655" s="121"/>
      <c r="M655" s="9"/>
      <c r="N655" s="9"/>
      <c r="O655" s="9"/>
    </row>
    <row r="656">
      <c r="A656" s="9"/>
      <c r="D656" s="13"/>
      <c r="E656" s="13"/>
      <c r="G656" s="9"/>
      <c r="J656" s="121"/>
      <c r="M656" s="9"/>
      <c r="N656" s="9"/>
      <c r="O656" s="9"/>
    </row>
    <row r="657">
      <c r="A657" s="9"/>
      <c r="D657" s="13"/>
      <c r="E657" s="13"/>
      <c r="G657" s="9"/>
      <c r="J657" s="121"/>
      <c r="M657" s="9"/>
      <c r="N657" s="9"/>
      <c r="O657" s="9"/>
    </row>
    <row r="658">
      <c r="A658" s="9"/>
      <c r="D658" s="13"/>
      <c r="E658" s="13"/>
      <c r="G658" s="9"/>
      <c r="J658" s="121"/>
      <c r="M658" s="9"/>
      <c r="N658" s="9"/>
      <c r="O658" s="9"/>
    </row>
    <row r="659">
      <c r="A659" s="9"/>
      <c r="D659" s="13"/>
      <c r="E659" s="13"/>
      <c r="G659" s="9"/>
      <c r="J659" s="121"/>
      <c r="M659" s="9"/>
      <c r="N659" s="9"/>
      <c r="O659" s="9"/>
    </row>
    <row r="660">
      <c r="A660" s="9"/>
      <c r="D660" s="13"/>
      <c r="E660" s="13"/>
      <c r="G660" s="9"/>
      <c r="J660" s="121"/>
      <c r="M660" s="9"/>
      <c r="N660" s="9"/>
      <c r="O660" s="9"/>
    </row>
    <row r="661">
      <c r="A661" s="9"/>
      <c r="D661" s="13"/>
      <c r="E661" s="13"/>
      <c r="G661" s="9"/>
      <c r="J661" s="121"/>
      <c r="M661" s="9"/>
      <c r="N661" s="9"/>
      <c r="O661" s="9"/>
    </row>
    <row r="662">
      <c r="A662" s="9"/>
      <c r="D662" s="13"/>
      <c r="E662" s="13"/>
      <c r="G662" s="9"/>
      <c r="J662" s="121"/>
      <c r="M662" s="9"/>
      <c r="N662" s="9"/>
      <c r="O662" s="9"/>
    </row>
    <row r="663">
      <c r="A663" s="9"/>
      <c r="D663" s="13"/>
      <c r="E663" s="13"/>
      <c r="G663" s="9"/>
      <c r="J663" s="121"/>
      <c r="M663" s="9"/>
      <c r="N663" s="9"/>
      <c r="O663" s="9"/>
    </row>
    <row r="664">
      <c r="A664" s="9"/>
      <c r="D664" s="13"/>
      <c r="E664" s="13"/>
      <c r="G664" s="9"/>
      <c r="J664" s="121"/>
      <c r="M664" s="9"/>
      <c r="N664" s="9"/>
      <c r="O664" s="9"/>
    </row>
    <row r="665">
      <c r="A665" s="9"/>
      <c r="D665" s="13"/>
      <c r="E665" s="13"/>
      <c r="G665" s="9"/>
      <c r="J665" s="121"/>
      <c r="M665" s="9"/>
      <c r="N665" s="9"/>
      <c r="O665" s="9"/>
    </row>
    <row r="666">
      <c r="A666" s="9"/>
      <c r="D666" s="13"/>
      <c r="E666" s="13"/>
      <c r="G666" s="9"/>
      <c r="J666" s="121"/>
      <c r="M666" s="9"/>
      <c r="N666" s="9"/>
      <c r="O666" s="9"/>
    </row>
    <row r="667">
      <c r="A667" s="9"/>
      <c r="D667" s="13"/>
      <c r="E667" s="13"/>
      <c r="G667" s="9"/>
      <c r="J667" s="121"/>
      <c r="M667" s="9"/>
      <c r="N667" s="9"/>
      <c r="O667" s="9"/>
    </row>
    <row r="668">
      <c r="A668" s="9"/>
      <c r="D668" s="13"/>
      <c r="E668" s="13"/>
      <c r="G668" s="9"/>
      <c r="J668" s="121"/>
      <c r="M668" s="9"/>
      <c r="N668" s="9"/>
      <c r="O668" s="9"/>
    </row>
    <row r="669">
      <c r="A669" s="9"/>
      <c r="D669" s="13"/>
      <c r="E669" s="13"/>
      <c r="G669" s="9"/>
      <c r="J669" s="121"/>
      <c r="M669" s="9"/>
      <c r="N669" s="9"/>
      <c r="O669" s="9"/>
    </row>
    <row r="670">
      <c r="A670" s="9"/>
      <c r="D670" s="13"/>
      <c r="E670" s="13"/>
      <c r="G670" s="9"/>
      <c r="J670" s="121"/>
      <c r="M670" s="9"/>
      <c r="N670" s="9"/>
      <c r="O670" s="9"/>
    </row>
    <row r="671">
      <c r="A671" s="9"/>
      <c r="D671" s="13"/>
      <c r="E671" s="13"/>
      <c r="G671" s="9"/>
      <c r="J671" s="121"/>
      <c r="M671" s="9"/>
      <c r="N671" s="9"/>
      <c r="O671" s="9"/>
    </row>
    <row r="672">
      <c r="A672" s="9"/>
      <c r="D672" s="13"/>
      <c r="E672" s="13"/>
      <c r="G672" s="9"/>
      <c r="J672" s="121"/>
      <c r="M672" s="9"/>
      <c r="N672" s="9"/>
      <c r="O672" s="9"/>
    </row>
    <row r="673">
      <c r="A673" s="9"/>
      <c r="D673" s="13"/>
      <c r="E673" s="13"/>
      <c r="G673" s="9"/>
      <c r="J673" s="121"/>
      <c r="M673" s="9"/>
      <c r="N673" s="9"/>
      <c r="O673" s="9"/>
    </row>
    <row r="674">
      <c r="A674" s="9"/>
      <c r="D674" s="13"/>
      <c r="E674" s="13"/>
      <c r="G674" s="9"/>
      <c r="J674" s="121"/>
      <c r="M674" s="9"/>
      <c r="N674" s="9"/>
      <c r="O674" s="9"/>
    </row>
    <row r="675">
      <c r="A675" s="9"/>
      <c r="D675" s="13"/>
      <c r="E675" s="13"/>
      <c r="G675" s="9"/>
      <c r="J675" s="121"/>
      <c r="M675" s="9"/>
      <c r="N675" s="9"/>
      <c r="O675" s="9"/>
    </row>
    <row r="676">
      <c r="A676" s="9"/>
      <c r="D676" s="13"/>
      <c r="E676" s="13"/>
      <c r="G676" s="9"/>
      <c r="J676" s="121"/>
      <c r="M676" s="9"/>
      <c r="N676" s="9"/>
      <c r="O676" s="9"/>
    </row>
    <row r="677">
      <c r="A677" s="9"/>
      <c r="D677" s="13"/>
      <c r="E677" s="13"/>
      <c r="G677" s="9"/>
      <c r="J677" s="121"/>
      <c r="M677" s="9"/>
      <c r="N677" s="9"/>
      <c r="O677" s="9"/>
    </row>
    <row r="678">
      <c r="A678" s="9"/>
      <c r="D678" s="13"/>
      <c r="E678" s="13"/>
      <c r="G678" s="9"/>
      <c r="J678" s="121"/>
      <c r="M678" s="9"/>
      <c r="N678" s="9"/>
      <c r="O678" s="9"/>
    </row>
    <row r="679">
      <c r="A679" s="9"/>
      <c r="D679" s="13"/>
      <c r="E679" s="13"/>
      <c r="G679" s="9"/>
      <c r="J679" s="121"/>
      <c r="M679" s="9"/>
      <c r="N679" s="9"/>
      <c r="O679" s="9"/>
    </row>
    <row r="680">
      <c r="A680" s="9"/>
      <c r="D680" s="13"/>
      <c r="E680" s="13"/>
      <c r="G680" s="9"/>
      <c r="J680" s="121"/>
      <c r="M680" s="9"/>
      <c r="N680" s="9"/>
      <c r="O680" s="9"/>
    </row>
    <row r="681">
      <c r="A681" s="9"/>
      <c r="D681" s="13"/>
      <c r="E681" s="13"/>
      <c r="G681" s="9"/>
      <c r="J681" s="121"/>
      <c r="M681" s="9"/>
      <c r="N681" s="9"/>
      <c r="O681" s="9"/>
    </row>
    <row r="682">
      <c r="A682" s="9"/>
      <c r="D682" s="13"/>
      <c r="E682" s="13"/>
      <c r="G682" s="9"/>
      <c r="J682" s="121"/>
      <c r="M682" s="9"/>
      <c r="N682" s="9"/>
      <c r="O682" s="9"/>
    </row>
    <row r="683">
      <c r="A683" s="9"/>
      <c r="D683" s="13"/>
      <c r="E683" s="13"/>
      <c r="G683" s="9"/>
      <c r="J683" s="121"/>
      <c r="M683" s="9"/>
      <c r="N683" s="9"/>
      <c r="O683" s="9"/>
    </row>
    <row r="684">
      <c r="A684" s="9"/>
      <c r="D684" s="13"/>
      <c r="E684" s="13"/>
      <c r="G684" s="9"/>
      <c r="J684" s="121"/>
      <c r="M684" s="9"/>
      <c r="N684" s="9"/>
      <c r="O684" s="9"/>
    </row>
    <row r="685">
      <c r="A685" s="9"/>
      <c r="D685" s="13"/>
      <c r="E685" s="13"/>
      <c r="G685" s="9"/>
      <c r="J685" s="121"/>
      <c r="M685" s="9"/>
      <c r="N685" s="9"/>
      <c r="O685" s="9"/>
    </row>
    <row r="686">
      <c r="A686" s="9"/>
      <c r="D686" s="13"/>
      <c r="E686" s="13"/>
      <c r="G686" s="9"/>
      <c r="J686" s="121"/>
      <c r="M686" s="9"/>
      <c r="N686" s="9"/>
      <c r="O686" s="9"/>
    </row>
    <row r="687">
      <c r="A687" s="9"/>
      <c r="D687" s="13"/>
      <c r="E687" s="13"/>
      <c r="G687" s="9"/>
      <c r="J687" s="121"/>
      <c r="M687" s="9"/>
      <c r="N687" s="9"/>
      <c r="O687" s="9"/>
    </row>
    <row r="688">
      <c r="A688" s="9"/>
      <c r="D688" s="13"/>
      <c r="E688" s="13"/>
      <c r="G688" s="9"/>
      <c r="J688" s="121"/>
      <c r="M688" s="9"/>
      <c r="N688" s="9"/>
      <c r="O688" s="9"/>
    </row>
    <row r="689">
      <c r="A689" s="9"/>
      <c r="D689" s="13"/>
      <c r="E689" s="13"/>
      <c r="G689" s="9"/>
      <c r="J689" s="121"/>
      <c r="M689" s="9"/>
      <c r="N689" s="9"/>
      <c r="O689" s="9"/>
    </row>
    <row r="690">
      <c r="A690" s="9"/>
      <c r="D690" s="13"/>
      <c r="E690" s="13"/>
      <c r="G690" s="9"/>
      <c r="J690" s="121"/>
      <c r="M690" s="9"/>
      <c r="N690" s="9"/>
      <c r="O690" s="9"/>
    </row>
    <row r="691">
      <c r="A691" s="9"/>
      <c r="D691" s="13"/>
      <c r="E691" s="13"/>
      <c r="G691" s="9"/>
      <c r="J691" s="121"/>
      <c r="M691" s="9"/>
      <c r="N691" s="9"/>
      <c r="O691" s="9"/>
    </row>
    <row r="692">
      <c r="A692" s="9"/>
      <c r="D692" s="13"/>
      <c r="E692" s="13"/>
      <c r="G692" s="9"/>
      <c r="J692" s="121"/>
      <c r="M692" s="9"/>
      <c r="N692" s="9"/>
      <c r="O692" s="9"/>
    </row>
    <row r="693">
      <c r="A693" s="9"/>
      <c r="D693" s="13"/>
      <c r="E693" s="13"/>
      <c r="G693" s="9"/>
      <c r="J693" s="121"/>
      <c r="M693" s="9"/>
      <c r="N693" s="9"/>
      <c r="O693" s="9"/>
    </row>
    <row r="694">
      <c r="A694" s="9"/>
      <c r="D694" s="13"/>
      <c r="E694" s="13"/>
      <c r="G694" s="9"/>
      <c r="J694" s="121"/>
      <c r="M694" s="9"/>
      <c r="N694" s="9"/>
      <c r="O694" s="9"/>
    </row>
    <row r="695">
      <c r="A695" s="9"/>
      <c r="D695" s="13"/>
      <c r="E695" s="13"/>
      <c r="G695" s="9"/>
      <c r="J695" s="121"/>
      <c r="M695" s="9"/>
      <c r="N695" s="9"/>
      <c r="O695" s="9"/>
    </row>
    <row r="696">
      <c r="A696" s="9"/>
      <c r="D696" s="13"/>
      <c r="E696" s="13"/>
      <c r="G696" s="9"/>
      <c r="J696" s="121"/>
      <c r="M696" s="9"/>
      <c r="N696" s="9"/>
      <c r="O696" s="9"/>
    </row>
    <row r="697">
      <c r="A697" s="9"/>
      <c r="D697" s="13"/>
      <c r="E697" s="13"/>
      <c r="G697" s="9"/>
      <c r="J697" s="121"/>
      <c r="M697" s="9"/>
      <c r="N697" s="9"/>
      <c r="O697" s="9"/>
    </row>
    <row r="698">
      <c r="A698" s="9"/>
      <c r="D698" s="13"/>
      <c r="E698" s="13"/>
      <c r="G698" s="9"/>
      <c r="J698" s="121"/>
      <c r="M698" s="9"/>
      <c r="N698" s="9"/>
      <c r="O698" s="9"/>
    </row>
    <row r="699">
      <c r="A699" s="9"/>
      <c r="D699" s="13"/>
      <c r="E699" s="13"/>
      <c r="G699" s="9"/>
      <c r="J699" s="121"/>
      <c r="M699" s="9"/>
      <c r="N699" s="9"/>
      <c r="O699" s="9"/>
    </row>
    <row r="700">
      <c r="A700" s="9"/>
      <c r="D700" s="13"/>
      <c r="E700" s="13"/>
      <c r="G700" s="9"/>
      <c r="J700" s="121"/>
      <c r="M700" s="9"/>
      <c r="N700" s="9"/>
      <c r="O700" s="9"/>
    </row>
    <row r="701">
      <c r="A701" s="9"/>
      <c r="D701" s="13"/>
      <c r="E701" s="13"/>
      <c r="G701" s="9"/>
      <c r="J701" s="121"/>
      <c r="M701" s="9"/>
      <c r="N701" s="9"/>
      <c r="O701" s="9"/>
    </row>
    <row r="702">
      <c r="A702" s="9"/>
      <c r="D702" s="13"/>
      <c r="E702" s="13"/>
      <c r="G702" s="9"/>
      <c r="J702" s="121"/>
      <c r="M702" s="9"/>
      <c r="N702" s="9"/>
      <c r="O702" s="9"/>
    </row>
    <row r="703">
      <c r="A703" s="9"/>
      <c r="D703" s="13"/>
      <c r="E703" s="13"/>
      <c r="G703" s="9"/>
      <c r="J703" s="121"/>
      <c r="M703" s="9"/>
      <c r="N703" s="9"/>
      <c r="O703" s="9"/>
    </row>
    <row r="704">
      <c r="A704" s="9"/>
      <c r="D704" s="13"/>
      <c r="E704" s="13"/>
      <c r="G704" s="9"/>
      <c r="J704" s="121"/>
      <c r="M704" s="9"/>
      <c r="N704" s="9"/>
      <c r="O704" s="9"/>
    </row>
    <row r="705">
      <c r="A705" s="9"/>
      <c r="D705" s="13"/>
      <c r="E705" s="13"/>
      <c r="G705" s="9"/>
      <c r="J705" s="121"/>
      <c r="M705" s="9"/>
      <c r="N705" s="9"/>
      <c r="O705" s="9"/>
    </row>
    <row r="706">
      <c r="A706" s="9"/>
      <c r="D706" s="13"/>
      <c r="E706" s="13"/>
      <c r="G706" s="9"/>
      <c r="J706" s="121"/>
      <c r="M706" s="9"/>
      <c r="N706" s="9"/>
      <c r="O706" s="9"/>
    </row>
    <row r="707">
      <c r="A707" s="9"/>
      <c r="D707" s="13"/>
      <c r="E707" s="13"/>
      <c r="G707" s="9"/>
      <c r="J707" s="121"/>
      <c r="M707" s="9"/>
      <c r="N707" s="9"/>
      <c r="O707" s="9"/>
    </row>
    <row r="708">
      <c r="A708" s="9"/>
      <c r="D708" s="13"/>
      <c r="E708" s="13"/>
      <c r="G708" s="9"/>
      <c r="J708" s="121"/>
      <c r="M708" s="9"/>
      <c r="N708" s="9"/>
      <c r="O708" s="9"/>
    </row>
    <row r="709">
      <c r="A709" s="9"/>
      <c r="D709" s="13"/>
      <c r="E709" s="13"/>
      <c r="G709" s="9"/>
      <c r="J709" s="121"/>
      <c r="M709" s="9"/>
      <c r="N709" s="9"/>
      <c r="O709" s="9"/>
    </row>
    <row r="710">
      <c r="A710" s="9"/>
      <c r="D710" s="13"/>
      <c r="E710" s="13"/>
      <c r="G710" s="9"/>
      <c r="J710" s="121"/>
      <c r="M710" s="9"/>
      <c r="N710" s="9"/>
      <c r="O710" s="9"/>
    </row>
    <row r="711">
      <c r="A711" s="9"/>
      <c r="D711" s="13"/>
      <c r="E711" s="13"/>
      <c r="G711" s="9"/>
      <c r="J711" s="121"/>
      <c r="M711" s="9"/>
      <c r="N711" s="9"/>
      <c r="O711" s="9"/>
    </row>
    <row r="712">
      <c r="A712" s="9"/>
      <c r="D712" s="13"/>
      <c r="E712" s="13"/>
      <c r="G712" s="9"/>
      <c r="J712" s="121"/>
      <c r="M712" s="9"/>
      <c r="N712" s="9"/>
      <c r="O712" s="9"/>
    </row>
    <row r="713">
      <c r="A713" s="9"/>
      <c r="D713" s="13"/>
      <c r="E713" s="13"/>
      <c r="G713" s="9"/>
      <c r="J713" s="121"/>
      <c r="M713" s="9"/>
      <c r="N713" s="9"/>
      <c r="O713" s="9"/>
    </row>
    <row r="714">
      <c r="A714" s="9"/>
      <c r="D714" s="13"/>
      <c r="E714" s="13"/>
      <c r="G714" s="9"/>
      <c r="J714" s="121"/>
      <c r="M714" s="9"/>
      <c r="N714" s="9"/>
      <c r="O714" s="9"/>
    </row>
    <row r="715">
      <c r="A715" s="9"/>
      <c r="D715" s="13"/>
      <c r="E715" s="13"/>
      <c r="G715" s="9"/>
      <c r="J715" s="121"/>
      <c r="M715" s="9"/>
      <c r="N715" s="9"/>
      <c r="O715" s="9"/>
    </row>
    <row r="716">
      <c r="A716" s="9"/>
      <c r="D716" s="13"/>
      <c r="E716" s="13"/>
      <c r="G716" s="9"/>
      <c r="J716" s="121"/>
      <c r="M716" s="9"/>
      <c r="N716" s="9"/>
      <c r="O716" s="9"/>
    </row>
    <row r="717">
      <c r="A717" s="9"/>
      <c r="D717" s="13"/>
      <c r="E717" s="13"/>
      <c r="G717" s="9"/>
      <c r="J717" s="121"/>
      <c r="M717" s="9"/>
      <c r="N717" s="9"/>
      <c r="O717" s="9"/>
    </row>
    <row r="718">
      <c r="A718" s="9"/>
      <c r="D718" s="13"/>
      <c r="E718" s="13"/>
      <c r="G718" s="9"/>
      <c r="J718" s="121"/>
      <c r="M718" s="9"/>
      <c r="N718" s="9"/>
      <c r="O718" s="9"/>
    </row>
    <row r="719">
      <c r="A719" s="9"/>
      <c r="D719" s="13"/>
      <c r="E719" s="13"/>
      <c r="G719" s="9"/>
      <c r="J719" s="121"/>
      <c r="M719" s="9"/>
      <c r="N719" s="9"/>
      <c r="O719" s="9"/>
    </row>
    <row r="720">
      <c r="A720" s="9"/>
      <c r="D720" s="13"/>
      <c r="E720" s="13"/>
      <c r="G720" s="9"/>
      <c r="J720" s="121"/>
      <c r="M720" s="9"/>
      <c r="N720" s="9"/>
      <c r="O720" s="9"/>
    </row>
    <row r="721">
      <c r="A721" s="9"/>
      <c r="D721" s="13"/>
      <c r="E721" s="13"/>
      <c r="G721" s="9"/>
      <c r="J721" s="121"/>
      <c r="M721" s="9"/>
      <c r="N721" s="9"/>
      <c r="O721" s="9"/>
    </row>
    <row r="722">
      <c r="A722" s="9"/>
      <c r="D722" s="13"/>
      <c r="E722" s="13"/>
      <c r="G722" s="9"/>
      <c r="J722" s="121"/>
      <c r="M722" s="9"/>
      <c r="N722" s="9"/>
      <c r="O722" s="9"/>
    </row>
    <row r="723">
      <c r="A723" s="9"/>
      <c r="D723" s="13"/>
      <c r="E723" s="13"/>
      <c r="G723" s="9"/>
      <c r="J723" s="121"/>
      <c r="M723" s="9"/>
      <c r="N723" s="9"/>
      <c r="O723" s="9"/>
    </row>
    <row r="724">
      <c r="A724" s="9"/>
      <c r="D724" s="13"/>
      <c r="E724" s="13"/>
      <c r="G724" s="9"/>
      <c r="J724" s="121"/>
      <c r="M724" s="9"/>
      <c r="N724" s="9"/>
      <c r="O724" s="9"/>
    </row>
    <row r="725">
      <c r="A725" s="9"/>
      <c r="D725" s="13"/>
      <c r="E725" s="13"/>
      <c r="G725" s="9"/>
      <c r="J725" s="121"/>
      <c r="M725" s="9"/>
      <c r="N725" s="9"/>
      <c r="O725" s="9"/>
    </row>
    <row r="726">
      <c r="A726" s="9"/>
      <c r="D726" s="13"/>
      <c r="E726" s="13"/>
      <c r="G726" s="9"/>
      <c r="J726" s="121"/>
      <c r="M726" s="9"/>
      <c r="N726" s="9"/>
      <c r="O726" s="9"/>
    </row>
    <row r="727">
      <c r="A727" s="9"/>
      <c r="D727" s="13"/>
      <c r="E727" s="13"/>
      <c r="G727" s="9"/>
      <c r="J727" s="121"/>
      <c r="M727" s="9"/>
      <c r="N727" s="9"/>
      <c r="O727" s="9"/>
    </row>
    <row r="728">
      <c r="A728" s="9"/>
      <c r="D728" s="13"/>
      <c r="E728" s="13"/>
      <c r="G728" s="9"/>
      <c r="J728" s="121"/>
      <c r="M728" s="9"/>
      <c r="N728" s="9"/>
      <c r="O728" s="9"/>
    </row>
    <row r="729">
      <c r="A729" s="9"/>
      <c r="D729" s="13"/>
      <c r="E729" s="13"/>
      <c r="G729" s="9"/>
      <c r="J729" s="121"/>
      <c r="M729" s="9"/>
      <c r="N729" s="9"/>
      <c r="O729" s="9"/>
    </row>
    <row r="730">
      <c r="A730" s="9"/>
      <c r="D730" s="13"/>
      <c r="E730" s="13"/>
      <c r="G730" s="9"/>
      <c r="J730" s="121"/>
      <c r="M730" s="9"/>
      <c r="N730" s="9"/>
      <c r="O730" s="9"/>
    </row>
    <row r="731">
      <c r="A731" s="9"/>
      <c r="D731" s="13"/>
      <c r="E731" s="13"/>
      <c r="G731" s="9"/>
      <c r="J731" s="121"/>
      <c r="M731" s="9"/>
      <c r="N731" s="9"/>
      <c r="O731" s="9"/>
    </row>
    <row r="732">
      <c r="A732" s="9"/>
      <c r="D732" s="13"/>
      <c r="E732" s="13"/>
      <c r="G732" s="9"/>
      <c r="J732" s="121"/>
      <c r="M732" s="9"/>
      <c r="N732" s="9"/>
      <c r="O732" s="9"/>
    </row>
    <row r="733">
      <c r="A733" s="9"/>
      <c r="D733" s="13"/>
      <c r="E733" s="13"/>
      <c r="G733" s="9"/>
      <c r="J733" s="121"/>
      <c r="M733" s="9"/>
      <c r="N733" s="9"/>
      <c r="O733" s="9"/>
    </row>
    <row r="734">
      <c r="A734" s="9"/>
      <c r="D734" s="13"/>
      <c r="E734" s="13"/>
      <c r="G734" s="9"/>
      <c r="J734" s="121"/>
      <c r="M734" s="9"/>
      <c r="N734" s="9"/>
      <c r="O734" s="9"/>
    </row>
    <row r="735">
      <c r="A735" s="9"/>
      <c r="D735" s="13"/>
      <c r="E735" s="13"/>
      <c r="G735" s="9"/>
      <c r="J735" s="121"/>
      <c r="M735" s="9"/>
      <c r="N735" s="9"/>
      <c r="O735" s="9"/>
    </row>
    <row r="736">
      <c r="A736" s="9"/>
      <c r="D736" s="13"/>
      <c r="E736" s="13"/>
      <c r="G736" s="9"/>
      <c r="J736" s="121"/>
      <c r="M736" s="9"/>
      <c r="N736" s="9"/>
      <c r="O736" s="9"/>
    </row>
    <row r="737">
      <c r="A737" s="9"/>
      <c r="D737" s="13"/>
      <c r="E737" s="13"/>
      <c r="G737" s="9"/>
      <c r="J737" s="121"/>
      <c r="M737" s="9"/>
      <c r="N737" s="9"/>
      <c r="O737" s="9"/>
    </row>
    <row r="738">
      <c r="A738" s="9"/>
      <c r="D738" s="13"/>
      <c r="E738" s="13"/>
      <c r="G738" s="9"/>
      <c r="J738" s="121"/>
      <c r="M738" s="9"/>
      <c r="N738" s="9"/>
      <c r="O738" s="9"/>
    </row>
    <row r="739">
      <c r="A739" s="9"/>
      <c r="D739" s="13"/>
      <c r="E739" s="13"/>
      <c r="G739" s="9"/>
      <c r="J739" s="121"/>
      <c r="M739" s="9"/>
      <c r="N739" s="9"/>
      <c r="O739" s="9"/>
    </row>
    <row r="740">
      <c r="A740" s="9"/>
      <c r="D740" s="13"/>
      <c r="E740" s="13"/>
      <c r="G740" s="9"/>
      <c r="J740" s="121"/>
      <c r="M740" s="9"/>
      <c r="N740" s="9"/>
      <c r="O740" s="9"/>
    </row>
    <row r="741">
      <c r="A741" s="9"/>
      <c r="D741" s="13"/>
      <c r="E741" s="13"/>
      <c r="G741" s="9"/>
      <c r="J741" s="121"/>
      <c r="M741" s="9"/>
      <c r="N741" s="9"/>
      <c r="O741" s="9"/>
    </row>
    <row r="742">
      <c r="A742" s="9"/>
      <c r="D742" s="13"/>
      <c r="E742" s="13"/>
      <c r="G742" s="9"/>
      <c r="J742" s="121"/>
      <c r="M742" s="9"/>
      <c r="N742" s="9"/>
      <c r="O742" s="9"/>
    </row>
    <row r="743">
      <c r="A743" s="9"/>
      <c r="D743" s="13"/>
      <c r="E743" s="13"/>
      <c r="G743" s="9"/>
      <c r="J743" s="121"/>
      <c r="M743" s="9"/>
      <c r="N743" s="9"/>
      <c r="O743" s="9"/>
    </row>
    <row r="744">
      <c r="A744" s="9"/>
      <c r="D744" s="13"/>
      <c r="E744" s="13"/>
      <c r="G744" s="9"/>
      <c r="J744" s="121"/>
      <c r="M744" s="9"/>
      <c r="N744" s="9"/>
      <c r="O744" s="9"/>
    </row>
    <row r="745">
      <c r="A745" s="9"/>
      <c r="D745" s="13"/>
      <c r="E745" s="13"/>
      <c r="G745" s="9"/>
      <c r="J745" s="121"/>
      <c r="M745" s="9"/>
      <c r="N745" s="9"/>
      <c r="O745" s="9"/>
    </row>
    <row r="746">
      <c r="A746" s="9"/>
      <c r="D746" s="13"/>
      <c r="E746" s="13"/>
      <c r="G746" s="9"/>
      <c r="J746" s="121"/>
      <c r="M746" s="9"/>
      <c r="N746" s="9"/>
      <c r="O746" s="9"/>
    </row>
    <row r="747">
      <c r="A747" s="9"/>
      <c r="D747" s="13"/>
      <c r="E747" s="13"/>
      <c r="G747" s="9"/>
      <c r="J747" s="121"/>
      <c r="M747" s="9"/>
      <c r="N747" s="9"/>
      <c r="O747" s="9"/>
    </row>
    <row r="748">
      <c r="A748" s="9"/>
      <c r="D748" s="13"/>
      <c r="E748" s="13"/>
      <c r="G748" s="9"/>
      <c r="J748" s="121"/>
      <c r="M748" s="9"/>
      <c r="N748" s="9"/>
      <c r="O748" s="9"/>
    </row>
    <row r="749">
      <c r="A749" s="9"/>
      <c r="D749" s="13"/>
      <c r="E749" s="13"/>
      <c r="G749" s="9"/>
      <c r="J749" s="121"/>
      <c r="M749" s="9"/>
      <c r="N749" s="9"/>
      <c r="O749" s="9"/>
    </row>
    <row r="750">
      <c r="A750" s="9"/>
      <c r="D750" s="13"/>
      <c r="E750" s="13"/>
      <c r="G750" s="9"/>
      <c r="J750" s="121"/>
      <c r="M750" s="9"/>
      <c r="N750" s="9"/>
      <c r="O750" s="9"/>
    </row>
    <row r="751">
      <c r="A751" s="9"/>
      <c r="D751" s="13"/>
      <c r="E751" s="13"/>
      <c r="G751" s="9"/>
      <c r="J751" s="121"/>
      <c r="M751" s="9"/>
      <c r="N751" s="9"/>
      <c r="O751" s="9"/>
    </row>
    <row r="752">
      <c r="A752" s="9"/>
      <c r="D752" s="13"/>
      <c r="E752" s="13"/>
      <c r="G752" s="9"/>
      <c r="J752" s="121"/>
      <c r="M752" s="9"/>
      <c r="N752" s="9"/>
      <c r="O752" s="9"/>
    </row>
    <row r="753">
      <c r="A753" s="9"/>
      <c r="D753" s="13"/>
      <c r="E753" s="13"/>
      <c r="G753" s="9"/>
      <c r="J753" s="121"/>
      <c r="M753" s="9"/>
      <c r="N753" s="9"/>
      <c r="O753" s="9"/>
    </row>
    <row r="754">
      <c r="A754" s="9"/>
      <c r="D754" s="13"/>
      <c r="E754" s="13"/>
      <c r="G754" s="9"/>
      <c r="J754" s="121"/>
      <c r="M754" s="9"/>
      <c r="N754" s="9"/>
      <c r="O754" s="9"/>
    </row>
    <row r="755">
      <c r="A755" s="9"/>
      <c r="D755" s="13"/>
      <c r="E755" s="13"/>
      <c r="G755" s="9"/>
      <c r="J755" s="121"/>
      <c r="M755" s="9"/>
      <c r="N755" s="9"/>
      <c r="O755" s="9"/>
    </row>
    <row r="756">
      <c r="A756" s="9"/>
      <c r="D756" s="13"/>
      <c r="E756" s="13"/>
      <c r="G756" s="9"/>
      <c r="J756" s="121"/>
      <c r="M756" s="9"/>
      <c r="N756" s="9"/>
      <c r="O756" s="9"/>
    </row>
    <row r="757">
      <c r="A757" s="9"/>
      <c r="D757" s="13"/>
      <c r="E757" s="13"/>
      <c r="G757" s="9"/>
      <c r="J757" s="121"/>
      <c r="M757" s="9"/>
      <c r="N757" s="9"/>
      <c r="O757" s="9"/>
    </row>
    <row r="758">
      <c r="A758" s="9"/>
      <c r="D758" s="13"/>
      <c r="E758" s="13"/>
      <c r="G758" s="9"/>
      <c r="J758" s="121"/>
      <c r="M758" s="9"/>
      <c r="N758" s="9"/>
      <c r="O758" s="9"/>
    </row>
    <row r="759">
      <c r="A759" s="9"/>
      <c r="D759" s="13"/>
      <c r="E759" s="13"/>
      <c r="G759" s="9"/>
      <c r="J759" s="121"/>
      <c r="M759" s="9"/>
      <c r="N759" s="9"/>
      <c r="O759" s="9"/>
    </row>
    <row r="760">
      <c r="A760" s="9"/>
      <c r="D760" s="13"/>
      <c r="E760" s="13"/>
      <c r="G760" s="9"/>
      <c r="J760" s="121"/>
      <c r="M760" s="9"/>
      <c r="N760" s="9"/>
      <c r="O760" s="9"/>
    </row>
    <row r="761">
      <c r="A761" s="9"/>
      <c r="D761" s="13"/>
      <c r="E761" s="13"/>
      <c r="G761" s="9"/>
      <c r="J761" s="121"/>
      <c r="M761" s="9"/>
      <c r="N761" s="9"/>
      <c r="O761" s="9"/>
    </row>
    <row r="762">
      <c r="A762" s="9"/>
      <c r="D762" s="13"/>
      <c r="E762" s="13"/>
      <c r="G762" s="9"/>
      <c r="J762" s="121"/>
      <c r="M762" s="9"/>
      <c r="N762" s="9"/>
      <c r="O762" s="9"/>
    </row>
    <row r="763">
      <c r="A763" s="9"/>
      <c r="D763" s="13"/>
      <c r="E763" s="13"/>
      <c r="G763" s="9"/>
      <c r="J763" s="121"/>
      <c r="M763" s="9"/>
      <c r="N763" s="9"/>
      <c r="O763" s="9"/>
    </row>
    <row r="764">
      <c r="A764" s="9"/>
      <c r="D764" s="13"/>
      <c r="E764" s="13"/>
      <c r="G764" s="9"/>
      <c r="J764" s="121"/>
      <c r="M764" s="9"/>
      <c r="N764" s="9"/>
      <c r="O764" s="9"/>
    </row>
    <row r="765">
      <c r="A765" s="9"/>
      <c r="D765" s="13"/>
      <c r="E765" s="13"/>
      <c r="G765" s="9"/>
      <c r="J765" s="121"/>
      <c r="M765" s="9"/>
      <c r="N765" s="9"/>
      <c r="O765" s="9"/>
    </row>
    <row r="766">
      <c r="A766" s="9"/>
      <c r="D766" s="13"/>
      <c r="E766" s="13"/>
      <c r="G766" s="9"/>
      <c r="J766" s="121"/>
      <c r="M766" s="9"/>
      <c r="N766" s="9"/>
      <c r="O766" s="9"/>
    </row>
    <row r="767">
      <c r="A767" s="9"/>
      <c r="D767" s="13"/>
      <c r="E767" s="13"/>
      <c r="G767" s="9"/>
      <c r="J767" s="121"/>
      <c r="M767" s="9"/>
      <c r="N767" s="9"/>
      <c r="O767" s="9"/>
    </row>
    <row r="768">
      <c r="A768" s="9"/>
      <c r="D768" s="13"/>
      <c r="E768" s="13"/>
      <c r="G768" s="9"/>
      <c r="J768" s="121"/>
      <c r="M768" s="9"/>
      <c r="N768" s="9"/>
      <c r="O768" s="9"/>
    </row>
    <row r="769">
      <c r="A769" s="9"/>
      <c r="D769" s="13"/>
      <c r="E769" s="13"/>
      <c r="G769" s="9"/>
      <c r="J769" s="121"/>
      <c r="M769" s="9"/>
      <c r="N769" s="9"/>
      <c r="O769" s="9"/>
    </row>
    <row r="770">
      <c r="A770" s="9"/>
      <c r="D770" s="13"/>
      <c r="E770" s="13"/>
      <c r="G770" s="9"/>
      <c r="J770" s="121"/>
      <c r="M770" s="9"/>
      <c r="N770" s="9"/>
      <c r="O770" s="9"/>
    </row>
    <row r="771">
      <c r="A771" s="9"/>
      <c r="D771" s="13"/>
      <c r="E771" s="13"/>
      <c r="G771" s="9"/>
      <c r="J771" s="121"/>
      <c r="M771" s="9"/>
      <c r="N771" s="9"/>
      <c r="O771" s="9"/>
    </row>
    <row r="772">
      <c r="A772" s="9"/>
      <c r="D772" s="13"/>
      <c r="E772" s="13"/>
      <c r="G772" s="9"/>
      <c r="J772" s="121"/>
      <c r="M772" s="9"/>
      <c r="N772" s="9"/>
      <c r="O772" s="9"/>
    </row>
    <row r="773">
      <c r="A773" s="9"/>
      <c r="D773" s="13"/>
      <c r="E773" s="13"/>
      <c r="G773" s="9"/>
      <c r="J773" s="121"/>
      <c r="M773" s="9"/>
      <c r="N773" s="9"/>
      <c r="O773" s="9"/>
    </row>
    <row r="774">
      <c r="A774" s="9"/>
      <c r="D774" s="13"/>
      <c r="E774" s="13"/>
      <c r="G774" s="9"/>
      <c r="J774" s="121"/>
      <c r="M774" s="9"/>
      <c r="N774" s="9"/>
      <c r="O774" s="9"/>
    </row>
    <row r="775">
      <c r="A775" s="9"/>
      <c r="D775" s="13"/>
      <c r="E775" s="13"/>
      <c r="G775" s="9"/>
      <c r="J775" s="121"/>
      <c r="M775" s="9"/>
      <c r="N775" s="9"/>
      <c r="O775" s="9"/>
    </row>
    <row r="776">
      <c r="A776" s="9"/>
      <c r="D776" s="13"/>
      <c r="E776" s="13"/>
      <c r="G776" s="9"/>
      <c r="J776" s="121"/>
      <c r="M776" s="9"/>
      <c r="N776" s="9"/>
      <c r="O776" s="9"/>
    </row>
    <row r="777">
      <c r="A777" s="9"/>
      <c r="D777" s="13"/>
      <c r="E777" s="13"/>
      <c r="G777" s="9"/>
      <c r="J777" s="121"/>
      <c r="M777" s="9"/>
      <c r="N777" s="9"/>
      <c r="O777" s="9"/>
    </row>
    <row r="778">
      <c r="A778" s="9"/>
      <c r="D778" s="13"/>
      <c r="E778" s="13"/>
      <c r="G778" s="9"/>
      <c r="J778" s="121"/>
      <c r="M778" s="9"/>
      <c r="N778" s="9"/>
      <c r="O778" s="9"/>
    </row>
    <row r="779">
      <c r="A779" s="9"/>
      <c r="D779" s="13"/>
      <c r="E779" s="13"/>
      <c r="G779" s="9"/>
      <c r="J779" s="121"/>
      <c r="M779" s="9"/>
      <c r="N779" s="9"/>
      <c r="O779" s="9"/>
    </row>
    <row r="780">
      <c r="A780" s="9"/>
      <c r="D780" s="13"/>
      <c r="E780" s="13"/>
      <c r="G780" s="9"/>
      <c r="J780" s="121"/>
      <c r="M780" s="9"/>
      <c r="N780" s="9"/>
      <c r="O780" s="9"/>
    </row>
    <row r="781">
      <c r="A781" s="9"/>
      <c r="D781" s="13"/>
      <c r="E781" s="13"/>
      <c r="G781" s="9"/>
      <c r="J781" s="121"/>
      <c r="M781" s="9"/>
      <c r="N781" s="9"/>
      <c r="O781" s="9"/>
    </row>
    <row r="782">
      <c r="A782" s="9"/>
      <c r="D782" s="13"/>
      <c r="E782" s="13"/>
      <c r="G782" s="9"/>
      <c r="J782" s="121"/>
      <c r="M782" s="9"/>
      <c r="N782" s="9"/>
      <c r="O782" s="9"/>
    </row>
    <row r="783">
      <c r="A783" s="9"/>
      <c r="D783" s="13"/>
      <c r="E783" s="13"/>
      <c r="G783" s="9"/>
      <c r="J783" s="121"/>
      <c r="M783" s="9"/>
      <c r="N783" s="9"/>
      <c r="O783" s="9"/>
    </row>
    <row r="784">
      <c r="A784" s="9"/>
      <c r="D784" s="13"/>
      <c r="E784" s="13"/>
      <c r="G784" s="9"/>
      <c r="J784" s="121"/>
      <c r="M784" s="9"/>
      <c r="N784" s="9"/>
      <c r="O784" s="9"/>
    </row>
    <row r="785">
      <c r="A785" s="9"/>
      <c r="D785" s="13"/>
      <c r="E785" s="13"/>
      <c r="G785" s="9"/>
      <c r="J785" s="121"/>
      <c r="M785" s="9"/>
      <c r="N785" s="9"/>
      <c r="O785" s="9"/>
    </row>
    <row r="786">
      <c r="A786" s="9"/>
      <c r="D786" s="13"/>
      <c r="E786" s="13"/>
      <c r="G786" s="9"/>
      <c r="J786" s="121"/>
      <c r="M786" s="9"/>
      <c r="N786" s="9"/>
      <c r="O786" s="9"/>
    </row>
    <row r="787">
      <c r="A787" s="9"/>
      <c r="D787" s="13"/>
      <c r="E787" s="13"/>
      <c r="G787" s="9"/>
      <c r="J787" s="121"/>
      <c r="M787" s="9"/>
      <c r="N787" s="9"/>
      <c r="O787" s="9"/>
    </row>
    <row r="788">
      <c r="A788" s="9"/>
      <c r="D788" s="13"/>
      <c r="E788" s="13"/>
      <c r="G788" s="9"/>
      <c r="J788" s="121"/>
      <c r="M788" s="9"/>
      <c r="N788" s="9"/>
      <c r="O788" s="9"/>
    </row>
    <row r="789">
      <c r="A789" s="9"/>
      <c r="D789" s="13"/>
      <c r="E789" s="13"/>
      <c r="G789" s="9"/>
      <c r="J789" s="121"/>
      <c r="M789" s="9"/>
      <c r="N789" s="9"/>
      <c r="O789" s="9"/>
    </row>
    <row r="790">
      <c r="A790" s="9"/>
      <c r="D790" s="13"/>
      <c r="E790" s="13"/>
      <c r="G790" s="9"/>
      <c r="J790" s="121"/>
      <c r="M790" s="9"/>
      <c r="N790" s="9"/>
      <c r="O790" s="9"/>
    </row>
    <row r="791">
      <c r="A791" s="9"/>
      <c r="D791" s="13"/>
      <c r="E791" s="13"/>
      <c r="G791" s="9"/>
      <c r="J791" s="121"/>
      <c r="M791" s="9"/>
      <c r="N791" s="9"/>
      <c r="O791" s="9"/>
    </row>
    <row r="792">
      <c r="A792" s="9"/>
      <c r="D792" s="13"/>
      <c r="E792" s="13"/>
      <c r="G792" s="9"/>
      <c r="J792" s="121"/>
      <c r="M792" s="9"/>
      <c r="N792" s="9"/>
      <c r="O792" s="9"/>
    </row>
    <row r="793">
      <c r="A793" s="9"/>
      <c r="D793" s="13"/>
      <c r="E793" s="13"/>
      <c r="G793" s="9"/>
      <c r="J793" s="121"/>
      <c r="M793" s="9"/>
      <c r="N793" s="9"/>
      <c r="O793" s="9"/>
    </row>
    <row r="794">
      <c r="A794" s="9"/>
      <c r="D794" s="13"/>
      <c r="E794" s="13"/>
      <c r="G794" s="9"/>
      <c r="J794" s="121"/>
      <c r="M794" s="9"/>
      <c r="N794" s="9"/>
      <c r="O794" s="9"/>
    </row>
    <row r="795">
      <c r="A795" s="9"/>
      <c r="D795" s="13"/>
      <c r="E795" s="13"/>
      <c r="G795" s="9"/>
      <c r="J795" s="121"/>
      <c r="M795" s="9"/>
      <c r="N795" s="9"/>
      <c r="O795" s="9"/>
    </row>
    <row r="796">
      <c r="A796" s="9"/>
      <c r="D796" s="13"/>
      <c r="E796" s="13"/>
      <c r="G796" s="9"/>
      <c r="J796" s="121"/>
      <c r="M796" s="9"/>
      <c r="N796" s="9"/>
      <c r="O796" s="9"/>
    </row>
    <row r="797">
      <c r="A797" s="9"/>
      <c r="D797" s="13"/>
      <c r="E797" s="13"/>
      <c r="G797" s="9"/>
      <c r="J797" s="121"/>
      <c r="M797" s="9"/>
      <c r="N797" s="9"/>
      <c r="O797" s="9"/>
    </row>
    <row r="798">
      <c r="A798" s="9"/>
      <c r="D798" s="13"/>
      <c r="E798" s="13"/>
      <c r="G798" s="9"/>
      <c r="J798" s="121"/>
      <c r="M798" s="9"/>
      <c r="N798" s="9"/>
      <c r="O798" s="9"/>
    </row>
    <row r="799">
      <c r="A799" s="9"/>
      <c r="D799" s="13"/>
      <c r="E799" s="13"/>
      <c r="G799" s="9"/>
      <c r="J799" s="121"/>
      <c r="M799" s="9"/>
      <c r="N799" s="9"/>
      <c r="O799" s="9"/>
    </row>
    <row r="800">
      <c r="A800" s="9"/>
      <c r="D800" s="13"/>
      <c r="E800" s="13"/>
      <c r="G800" s="9"/>
      <c r="J800" s="121"/>
      <c r="M800" s="9"/>
      <c r="N800" s="9"/>
      <c r="O800" s="9"/>
    </row>
    <row r="801">
      <c r="A801" s="9"/>
      <c r="D801" s="13"/>
      <c r="E801" s="13"/>
      <c r="G801" s="9"/>
      <c r="J801" s="121"/>
      <c r="M801" s="9"/>
      <c r="N801" s="9"/>
      <c r="O801" s="9"/>
    </row>
    <row r="802">
      <c r="A802" s="9"/>
      <c r="D802" s="13"/>
      <c r="E802" s="13"/>
      <c r="G802" s="9"/>
      <c r="J802" s="121"/>
      <c r="M802" s="9"/>
      <c r="N802" s="9"/>
      <c r="O802" s="9"/>
    </row>
    <row r="803">
      <c r="A803" s="9"/>
      <c r="D803" s="13"/>
      <c r="E803" s="13"/>
      <c r="G803" s="9"/>
      <c r="J803" s="121"/>
      <c r="M803" s="9"/>
      <c r="N803" s="9"/>
      <c r="O803" s="9"/>
    </row>
    <row r="804">
      <c r="A804" s="9"/>
      <c r="D804" s="13"/>
      <c r="E804" s="13"/>
      <c r="G804" s="9"/>
      <c r="J804" s="121"/>
      <c r="M804" s="9"/>
      <c r="N804" s="9"/>
      <c r="O804" s="9"/>
    </row>
    <row r="805">
      <c r="A805" s="9"/>
      <c r="D805" s="13"/>
      <c r="E805" s="13"/>
      <c r="G805" s="9"/>
      <c r="J805" s="121"/>
      <c r="M805" s="9"/>
      <c r="N805" s="9"/>
      <c r="O805" s="9"/>
    </row>
    <row r="806">
      <c r="A806" s="9"/>
      <c r="D806" s="13"/>
      <c r="E806" s="13"/>
      <c r="G806" s="9"/>
      <c r="J806" s="121"/>
      <c r="M806" s="9"/>
      <c r="N806" s="9"/>
      <c r="O806" s="9"/>
    </row>
    <row r="807">
      <c r="A807" s="9"/>
      <c r="D807" s="13"/>
      <c r="E807" s="13"/>
      <c r="G807" s="9"/>
      <c r="J807" s="121"/>
      <c r="M807" s="9"/>
      <c r="N807" s="9"/>
      <c r="O807" s="9"/>
    </row>
    <row r="808">
      <c r="A808" s="9"/>
      <c r="D808" s="13"/>
      <c r="E808" s="13"/>
      <c r="G808" s="9"/>
      <c r="J808" s="121"/>
      <c r="M808" s="9"/>
      <c r="N808" s="9"/>
      <c r="O808" s="9"/>
    </row>
    <row r="809">
      <c r="A809" s="9"/>
      <c r="D809" s="13"/>
      <c r="E809" s="13"/>
      <c r="G809" s="9"/>
      <c r="J809" s="121"/>
      <c r="M809" s="9"/>
      <c r="N809" s="9"/>
      <c r="O809" s="9"/>
    </row>
    <row r="810">
      <c r="A810" s="9"/>
      <c r="D810" s="13"/>
      <c r="E810" s="13"/>
      <c r="G810" s="9"/>
      <c r="J810" s="121"/>
      <c r="M810" s="9"/>
      <c r="N810" s="9"/>
      <c r="O810" s="9"/>
    </row>
    <row r="811">
      <c r="A811" s="9"/>
      <c r="D811" s="13"/>
      <c r="E811" s="13"/>
      <c r="G811" s="9"/>
      <c r="J811" s="121"/>
      <c r="M811" s="9"/>
      <c r="N811" s="9"/>
      <c r="O811" s="9"/>
    </row>
    <row r="812">
      <c r="A812" s="9"/>
      <c r="D812" s="13"/>
      <c r="E812" s="13"/>
      <c r="G812" s="9"/>
      <c r="J812" s="121"/>
      <c r="M812" s="9"/>
      <c r="N812" s="9"/>
      <c r="O812" s="9"/>
    </row>
    <row r="813">
      <c r="A813" s="9"/>
      <c r="D813" s="13"/>
      <c r="E813" s="13"/>
      <c r="G813" s="9"/>
      <c r="J813" s="121"/>
      <c r="M813" s="9"/>
      <c r="N813" s="9"/>
      <c r="O813" s="9"/>
    </row>
    <row r="814">
      <c r="A814" s="9"/>
      <c r="D814" s="13"/>
      <c r="E814" s="13"/>
      <c r="G814" s="9"/>
      <c r="J814" s="121"/>
      <c r="M814" s="9"/>
      <c r="N814" s="9"/>
      <c r="O814" s="9"/>
    </row>
    <row r="815">
      <c r="A815" s="9"/>
      <c r="D815" s="13"/>
      <c r="E815" s="13"/>
      <c r="G815" s="9"/>
      <c r="J815" s="121"/>
      <c r="M815" s="9"/>
      <c r="N815" s="9"/>
      <c r="O815" s="9"/>
    </row>
    <row r="816">
      <c r="A816" s="9"/>
      <c r="D816" s="13"/>
      <c r="E816" s="13"/>
      <c r="G816" s="9"/>
      <c r="J816" s="121"/>
      <c r="M816" s="9"/>
      <c r="N816" s="9"/>
      <c r="O816" s="9"/>
    </row>
    <row r="817">
      <c r="A817" s="9"/>
      <c r="D817" s="13"/>
      <c r="E817" s="13"/>
      <c r="G817" s="9"/>
      <c r="J817" s="121"/>
      <c r="M817" s="9"/>
      <c r="N817" s="9"/>
      <c r="O817" s="9"/>
    </row>
    <row r="818">
      <c r="A818" s="9"/>
      <c r="D818" s="13"/>
      <c r="E818" s="13"/>
      <c r="G818" s="9"/>
      <c r="J818" s="121"/>
      <c r="M818" s="9"/>
      <c r="N818" s="9"/>
      <c r="O818" s="9"/>
    </row>
    <row r="819">
      <c r="A819" s="9"/>
      <c r="D819" s="13"/>
      <c r="E819" s="13"/>
      <c r="G819" s="9"/>
      <c r="J819" s="121"/>
      <c r="M819" s="9"/>
      <c r="N819" s="9"/>
      <c r="O819" s="9"/>
    </row>
    <row r="820">
      <c r="A820" s="9"/>
      <c r="D820" s="13"/>
      <c r="E820" s="13"/>
      <c r="G820" s="9"/>
      <c r="J820" s="121"/>
      <c r="M820" s="9"/>
      <c r="N820" s="9"/>
      <c r="O820" s="9"/>
    </row>
    <row r="821">
      <c r="A821" s="9"/>
      <c r="D821" s="13"/>
      <c r="E821" s="13"/>
      <c r="G821" s="9"/>
      <c r="J821" s="121"/>
      <c r="M821" s="9"/>
      <c r="N821" s="9"/>
      <c r="O821" s="9"/>
    </row>
    <row r="822">
      <c r="A822" s="9"/>
      <c r="D822" s="13"/>
      <c r="E822" s="13"/>
      <c r="G822" s="9"/>
      <c r="J822" s="121"/>
      <c r="M822" s="9"/>
      <c r="N822" s="9"/>
      <c r="O822" s="9"/>
    </row>
    <row r="823">
      <c r="A823" s="9"/>
      <c r="D823" s="13"/>
      <c r="E823" s="13"/>
      <c r="G823" s="9"/>
      <c r="J823" s="121"/>
      <c r="M823" s="9"/>
      <c r="N823" s="9"/>
      <c r="O823" s="9"/>
    </row>
    <row r="824">
      <c r="A824" s="9"/>
      <c r="D824" s="13"/>
      <c r="E824" s="13"/>
      <c r="G824" s="9"/>
      <c r="J824" s="121"/>
      <c r="M824" s="9"/>
      <c r="N824" s="9"/>
      <c r="O824" s="9"/>
    </row>
    <row r="825">
      <c r="A825" s="9"/>
      <c r="D825" s="13"/>
      <c r="E825" s="13"/>
      <c r="G825" s="9"/>
      <c r="J825" s="121"/>
      <c r="M825" s="9"/>
      <c r="N825" s="9"/>
      <c r="O825" s="9"/>
    </row>
    <row r="826">
      <c r="A826" s="9"/>
      <c r="D826" s="13"/>
      <c r="E826" s="13"/>
      <c r="G826" s="9"/>
      <c r="J826" s="121"/>
      <c r="M826" s="9"/>
      <c r="N826" s="9"/>
      <c r="O826" s="9"/>
    </row>
    <row r="827">
      <c r="A827" s="9"/>
      <c r="D827" s="13"/>
      <c r="E827" s="13"/>
      <c r="G827" s="9"/>
      <c r="J827" s="121"/>
      <c r="M827" s="9"/>
      <c r="N827" s="9"/>
      <c r="O827" s="9"/>
    </row>
    <row r="828">
      <c r="A828" s="9"/>
      <c r="D828" s="13"/>
      <c r="E828" s="13"/>
      <c r="G828" s="9"/>
      <c r="J828" s="121"/>
      <c r="M828" s="9"/>
      <c r="N828" s="9"/>
      <c r="O828" s="9"/>
    </row>
    <row r="829">
      <c r="A829" s="9"/>
      <c r="D829" s="13"/>
      <c r="E829" s="13"/>
      <c r="G829" s="9"/>
      <c r="J829" s="121"/>
      <c r="M829" s="9"/>
      <c r="N829" s="9"/>
      <c r="O829" s="9"/>
    </row>
    <row r="830">
      <c r="A830" s="9"/>
      <c r="D830" s="13"/>
      <c r="E830" s="13"/>
      <c r="G830" s="9"/>
      <c r="J830" s="121"/>
      <c r="M830" s="9"/>
      <c r="N830" s="9"/>
      <c r="O830" s="9"/>
    </row>
    <row r="831">
      <c r="A831" s="9"/>
      <c r="D831" s="13"/>
      <c r="E831" s="13"/>
      <c r="G831" s="9"/>
      <c r="J831" s="121"/>
      <c r="M831" s="9"/>
      <c r="N831" s="9"/>
      <c r="O831" s="9"/>
    </row>
    <row r="832">
      <c r="A832" s="9"/>
      <c r="D832" s="13"/>
      <c r="E832" s="13"/>
      <c r="G832" s="9"/>
      <c r="J832" s="121"/>
      <c r="M832" s="9"/>
      <c r="N832" s="9"/>
      <c r="O832" s="9"/>
    </row>
    <row r="833">
      <c r="A833" s="9"/>
      <c r="D833" s="13"/>
      <c r="E833" s="13"/>
      <c r="G833" s="9"/>
      <c r="J833" s="121"/>
      <c r="M833" s="9"/>
      <c r="N833" s="9"/>
      <c r="O833" s="9"/>
    </row>
    <row r="834">
      <c r="A834" s="9"/>
      <c r="D834" s="13"/>
      <c r="E834" s="13"/>
      <c r="G834" s="9"/>
      <c r="J834" s="121"/>
      <c r="M834" s="9"/>
      <c r="N834" s="9"/>
      <c r="O834" s="9"/>
    </row>
    <row r="835">
      <c r="A835" s="9"/>
      <c r="D835" s="13"/>
      <c r="E835" s="13"/>
      <c r="G835" s="9"/>
      <c r="J835" s="121"/>
      <c r="M835" s="9"/>
      <c r="N835" s="9"/>
      <c r="O835" s="9"/>
    </row>
    <row r="836">
      <c r="A836" s="9"/>
      <c r="D836" s="13"/>
      <c r="E836" s="13"/>
      <c r="G836" s="9"/>
      <c r="J836" s="121"/>
      <c r="M836" s="9"/>
      <c r="N836" s="9"/>
      <c r="O836" s="9"/>
    </row>
    <row r="837">
      <c r="A837" s="9"/>
      <c r="D837" s="13"/>
      <c r="E837" s="13"/>
      <c r="G837" s="9"/>
      <c r="J837" s="121"/>
      <c r="M837" s="9"/>
      <c r="N837" s="9"/>
      <c r="O837" s="9"/>
    </row>
    <row r="838">
      <c r="A838" s="9"/>
      <c r="D838" s="13"/>
      <c r="E838" s="13"/>
      <c r="G838" s="9"/>
      <c r="J838" s="121"/>
      <c r="M838" s="9"/>
      <c r="N838" s="9"/>
      <c r="O838" s="9"/>
    </row>
    <row r="839">
      <c r="A839" s="9"/>
      <c r="D839" s="13"/>
      <c r="E839" s="13"/>
      <c r="G839" s="9"/>
      <c r="J839" s="121"/>
      <c r="M839" s="9"/>
      <c r="N839" s="9"/>
      <c r="O839" s="9"/>
    </row>
    <row r="840">
      <c r="A840" s="9"/>
      <c r="D840" s="13"/>
      <c r="E840" s="13"/>
      <c r="G840" s="9"/>
      <c r="J840" s="121"/>
      <c r="M840" s="9"/>
      <c r="N840" s="9"/>
      <c r="O840" s="9"/>
    </row>
    <row r="841">
      <c r="A841" s="9"/>
      <c r="D841" s="13"/>
      <c r="E841" s="13"/>
      <c r="G841" s="9"/>
      <c r="J841" s="121"/>
      <c r="M841" s="9"/>
      <c r="N841" s="9"/>
      <c r="O841" s="9"/>
    </row>
    <row r="842">
      <c r="A842" s="9"/>
      <c r="D842" s="13"/>
      <c r="E842" s="13"/>
      <c r="G842" s="9"/>
      <c r="J842" s="121"/>
      <c r="M842" s="9"/>
      <c r="N842" s="9"/>
      <c r="O842" s="9"/>
    </row>
    <row r="843">
      <c r="A843" s="9"/>
      <c r="D843" s="13"/>
      <c r="E843" s="13"/>
      <c r="G843" s="9"/>
      <c r="J843" s="121"/>
      <c r="M843" s="9"/>
      <c r="N843" s="9"/>
      <c r="O843" s="9"/>
    </row>
    <row r="844">
      <c r="A844" s="9"/>
      <c r="D844" s="13"/>
      <c r="E844" s="13"/>
      <c r="G844" s="9"/>
      <c r="J844" s="121"/>
      <c r="M844" s="9"/>
      <c r="N844" s="9"/>
      <c r="O844" s="9"/>
    </row>
    <row r="845">
      <c r="A845" s="9"/>
      <c r="D845" s="13"/>
      <c r="E845" s="13"/>
      <c r="G845" s="9"/>
      <c r="J845" s="121"/>
      <c r="M845" s="9"/>
      <c r="N845" s="9"/>
      <c r="O845" s="9"/>
    </row>
    <row r="846">
      <c r="A846" s="9"/>
      <c r="D846" s="13"/>
      <c r="E846" s="13"/>
      <c r="G846" s="9"/>
      <c r="J846" s="121"/>
      <c r="M846" s="9"/>
      <c r="N846" s="9"/>
      <c r="O846" s="9"/>
    </row>
    <row r="847">
      <c r="A847" s="9"/>
      <c r="D847" s="13"/>
      <c r="E847" s="13"/>
      <c r="G847" s="9"/>
      <c r="J847" s="121"/>
      <c r="M847" s="9"/>
      <c r="N847" s="9"/>
      <c r="O847" s="9"/>
    </row>
    <row r="848">
      <c r="A848" s="9"/>
      <c r="D848" s="13"/>
      <c r="E848" s="13"/>
      <c r="G848" s="9"/>
      <c r="J848" s="121"/>
      <c r="M848" s="9"/>
      <c r="N848" s="9"/>
      <c r="O848" s="9"/>
    </row>
    <row r="849">
      <c r="A849" s="9"/>
      <c r="D849" s="13"/>
      <c r="E849" s="13"/>
      <c r="G849" s="9"/>
      <c r="J849" s="121"/>
      <c r="M849" s="9"/>
      <c r="N849" s="9"/>
      <c r="O849" s="9"/>
    </row>
    <row r="850">
      <c r="A850" s="9"/>
      <c r="D850" s="13"/>
      <c r="E850" s="13"/>
      <c r="G850" s="9"/>
      <c r="J850" s="121"/>
      <c r="M850" s="9"/>
      <c r="N850" s="9"/>
      <c r="O850" s="9"/>
    </row>
    <row r="851">
      <c r="A851" s="9"/>
      <c r="D851" s="13"/>
      <c r="E851" s="13"/>
      <c r="G851" s="9"/>
      <c r="J851" s="121"/>
      <c r="M851" s="9"/>
      <c r="N851" s="9"/>
      <c r="O851" s="9"/>
    </row>
    <row r="852">
      <c r="A852" s="9"/>
      <c r="D852" s="13"/>
      <c r="E852" s="13"/>
      <c r="G852" s="9"/>
      <c r="J852" s="121"/>
      <c r="M852" s="9"/>
      <c r="N852" s="9"/>
      <c r="O852" s="9"/>
    </row>
    <row r="853">
      <c r="A853" s="9"/>
      <c r="D853" s="13"/>
      <c r="E853" s="13"/>
      <c r="G853" s="9"/>
      <c r="J853" s="121"/>
      <c r="M853" s="9"/>
      <c r="N853" s="9"/>
      <c r="O853" s="9"/>
    </row>
    <row r="854">
      <c r="A854" s="9"/>
      <c r="D854" s="13"/>
      <c r="E854" s="13"/>
      <c r="G854" s="9"/>
      <c r="J854" s="121"/>
      <c r="M854" s="9"/>
      <c r="N854" s="9"/>
      <c r="O854" s="9"/>
    </row>
    <row r="855">
      <c r="A855" s="9"/>
      <c r="D855" s="13"/>
      <c r="E855" s="13"/>
      <c r="G855" s="9"/>
      <c r="J855" s="121"/>
      <c r="M855" s="9"/>
      <c r="N855" s="9"/>
      <c r="O855" s="9"/>
    </row>
    <row r="856">
      <c r="A856" s="9"/>
      <c r="D856" s="13"/>
      <c r="E856" s="13"/>
      <c r="G856" s="9"/>
      <c r="J856" s="121"/>
      <c r="M856" s="9"/>
      <c r="N856" s="9"/>
      <c r="O856" s="9"/>
    </row>
    <row r="857">
      <c r="A857" s="9"/>
      <c r="D857" s="13"/>
      <c r="E857" s="13"/>
      <c r="G857" s="9"/>
      <c r="J857" s="121"/>
      <c r="M857" s="9"/>
      <c r="N857" s="9"/>
      <c r="O857" s="9"/>
    </row>
    <row r="858">
      <c r="A858" s="9"/>
      <c r="D858" s="13"/>
      <c r="E858" s="13"/>
      <c r="G858" s="9"/>
      <c r="J858" s="121"/>
      <c r="M858" s="9"/>
      <c r="N858" s="9"/>
      <c r="O858" s="9"/>
    </row>
    <row r="859">
      <c r="A859" s="9"/>
      <c r="D859" s="13"/>
      <c r="E859" s="13"/>
      <c r="G859" s="9"/>
      <c r="J859" s="121"/>
      <c r="M859" s="9"/>
      <c r="N859" s="9"/>
      <c r="O859" s="9"/>
    </row>
    <row r="860">
      <c r="A860" s="9"/>
      <c r="D860" s="13"/>
      <c r="E860" s="13"/>
      <c r="G860" s="9"/>
      <c r="J860" s="121"/>
      <c r="M860" s="9"/>
      <c r="N860" s="9"/>
      <c r="O860" s="9"/>
    </row>
    <row r="861">
      <c r="A861" s="9"/>
      <c r="D861" s="13"/>
      <c r="E861" s="13"/>
      <c r="G861" s="9"/>
      <c r="J861" s="121"/>
      <c r="M861" s="9"/>
      <c r="N861" s="9"/>
      <c r="O861" s="9"/>
    </row>
    <row r="862">
      <c r="A862" s="9"/>
      <c r="D862" s="13"/>
      <c r="E862" s="13"/>
      <c r="G862" s="9"/>
      <c r="J862" s="121"/>
      <c r="M862" s="9"/>
      <c r="N862" s="9"/>
      <c r="O862" s="9"/>
    </row>
    <row r="863">
      <c r="A863" s="9"/>
      <c r="D863" s="13"/>
      <c r="E863" s="13"/>
      <c r="G863" s="9"/>
      <c r="J863" s="121"/>
      <c r="M863" s="9"/>
      <c r="N863" s="9"/>
      <c r="O863" s="9"/>
    </row>
    <row r="864">
      <c r="A864" s="9"/>
      <c r="D864" s="13"/>
      <c r="E864" s="13"/>
      <c r="G864" s="9"/>
      <c r="J864" s="121"/>
      <c r="M864" s="9"/>
      <c r="N864" s="9"/>
      <c r="O864" s="9"/>
    </row>
    <row r="865">
      <c r="A865" s="9"/>
      <c r="D865" s="13"/>
      <c r="E865" s="13"/>
      <c r="G865" s="9"/>
      <c r="J865" s="121"/>
      <c r="M865" s="9"/>
      <c r="N865" s="9"/>
      <c r="O865" s="9"/>
    </row>
    <row r="866">
      <c r="A866" s="9"/>
      <c r="D866" s="13"/>
      <c r="E866" s="13"/>
      <c r="G866" s="9"/>
      <c r="J866" s="121"/>
      <c r="M866" s="9"/>
      <c r="N866" s="9"/>
      <c r="O866" s="9"/>
    </row>
    <row r="867">
      <c r="A867" s="9"/>
      <c r="D867" s="13"/>
      <c r="E867" s="13"/>
      <c r="G867" s="9"/>
      <c r="J867" s="121"/>
      <c r="M867" s="9"/>
      <c r="N867" s="9"/>
      <c r="O867" s="9"/>
    </row>
    <row r="868">
      <c r="A868" s="9"/>
      <c r="D868" s="13"/>
      <c r="E868" s="13"/>
      <c r="G868" s="9"/>
      <c r="J868" s="121"/>
      <c r="M868" s="9"/>
      <c r="N868" s="9"/>
      <c r="O868" s="9"/>
    </row>
    <row r="869">
      <c r="A869" s="9"/>
      <c r="D869" s="13"/>
      <c r="E869" s="13"/>
      <c r="G869" s="9"/>
      <c r="J869" s="121"/>
      <c r="M869" s="9"/>
      <c r="N869" s="9"/>
      <c r="O869" s="9"/>
    </row>
    <row r="870">
      <c r="A870" s="9"/>
      <c r="D870" s="13"/>
      <c r="E870" s="13"/>
      <c r="G870" s="9"/>
      <c r="J870" s="121"/>
      <c r="M870" s="9"/>
      <c r="N870" s="9"/>
      <c r="O870" s="9"/>
    </row>
    <row r="871">
      <c r="A871" s="9"/>
      <c r="D871" s="13"/>
      <c r="E871" s="13"/>
      <c r="G871" s="9"/>
      <c r="J871" s="121"/>
      <c r="M871" s="9"/>
      <c r="N871" s="9"/>
      <c r="O871" s="9"/>
    </row>
    <row r="872">
      <c r="A872" s="9"/>
      <c r="D872" s="13"/>
      <c r="E872" s="13"/>
      <c r="G872" s="9"/>
      <c r="J872" s="121"/>
      <c r="M872" s="9"/>
      <c r="N872" s="9"/>
      <c r="O872" s="9"/>
    </row>
    <row r="873">
      <c r="A873" s="9"/>
      <c r="D873" s="13"/>
      <c r="E873" s="13"/>
      <c r="G873" s="9"/>
      <c r="J873" s="121"/>
      <c r="M873" s="9"/>
      <c r="N873" s="9"/>
      <c r="O873" s="9"/>
    </row>
    <row r="874">
      <c r="A874" s="9"/>
      <c r="D874" s="13"/>
      <c r="E874" s="13"/>
      <c r="G874" s="9"/>
      <c r="J874" s="121"/>
      <c r="M874" s="9"/>
      <c r="N874" s="9"/>
      <c r="O874" s="9"/>
    </row>
    <row r="875">
      <c r="A875" s="9"/>
      <c r="D875" s="13"/>
      <c r="E875" s="13"/>
      <c r="G875" s="9"/>
      <c r="J875" s="121"/>
      <c r="M875" s="9"/>
      <c r="N875" s="9"/>
      <c r="O875" s="9"/>
    </row>
    <row r="876">
      <c r="A876" s="9"/>
      <c r="D876" s="13"/>
      <c r="E876" s="13"/>
      <c r="G876" s="9"/>
      <c r="J876" s="121"/>
      <c r="M876" s="9"/>
      <c r="N876" s="9"/>
      <c r="O876" s="9"/>
    </row>
    <row r="877">
      <c r="A877" s="9"/>
      <c r="D877" s="13"/>
      <c r="E877" s="13"/>
      <c r="G877" s="9"/>
      <c r="J877" s="121"/>
      <c r="M877" s="9"/>
      <c r="N877" s="9"/>
      <c r="O877" s="9"/>
    </row>
    <row r="878">
      <c r="A878" s="9"/>
      <c r="D878" s="13"/>
      <c r="E878" s="13"/>
      <c r="G878" s="9"/>
      <c r="J878" s="121"/>
      <c r="M878" s="9"/>
      <c r="N878" s="9"/>
      <c r="O878" s="9"/>
    </row>
    <row r="879">
      <c r="A879" s="9"/>
      <c r="D879" s="13"/>
      <c r="E879" s="13"/>
      <c r="G879" s="9"/>
      <c r="J879" s="121"/>
      <c r="M879" s="9"/>
      <c r="N879" s="9"/>
      <c r="O879" s="9"/>
    </row>
    <row r="880">
      <c r="A880" s="9"/>
      <c r="D880" s="13"/>
      <c r="E880" s="13"/>
      <c r="G880" s="9"/>
      <c r="J880" s="121"/>
      <c r="M880" s="9"/>
      <c r="N880" s="9"/>
      <c r="O880" s="9"/>
    </row>
    <row r="881">
      <c r="A881" s="9"/>
      <c r="D881" s="13"/>
      <c r="E881" s="13"/>
      <c r="G881" s="9"/>
      <c r="J881" s="121"/>
      <c r="M881" s="9"/>
      <c r="N881" s="9"/>
      <c r="O881" s="9"/>
    </row>
    <row r="882">
      <c r="A882" s="9"/>
      <c r="D882" s="13"/>
      <c r="E882" s="13"/>
      <c r="G882" s="9"/>
      <c r="J882" s="121"/>
      <c r="M882" s="9"/>
      <c r="N882" s="9"/>
      <c r="O882" s="9"/>
    </row>
    <row r="883">
      <c r="A883" s="9"/>
      <c r="D883" s="13"/>
      <c r="E883" s="13"/>
      <c r="G883" s="9"/>
      <c r="J883" s="121"/>
      <c r="M883" s="9"/>
      <c r="N883" s="9"/>
      <c r="O883" s="9"/>
    </row>
    <row r="884">
      <c r="A884" s="9"/>
      <c r="D884" s="13"/>
      <c r="E884" s="13"/>
      <c r="G884" s="9"/>
      <c r="J884" s="121"/>
      <c r="M884" s="9"/>
      <c r="N884" s="9"/>
      <c r="O884" s="9"/>
    </row>
    <row r="885">
      <c r="A885" s="9"/>
      <c r="D885" s="13"/>
      <c r="E885" s="13"/>
      <c r="G885" s="9"/>
      <c r="J885" s="121"/>
      <c r="M885" s="9"/>
      <c r="N885" s="9"/>
      <c r="O885" s="9"/>
    </row>
    <row r="886">
      <c r="A886" s="9"/>
      <c r="D886" s="13"/>
      <c r="E886" s="13"/>
      <c r="G886" s="9"/>
      <c r="J886" s="121"/>
      <c r="M886" s="9"/>
      <c r="N886" s="9"/>
      <c r="O886" s="9"/>
    </row>
    <row r="887">
      <c r="A887" s="9"/>
      <c r="D887" s="13"/>
      <c r="E887" s="13"/>
      <c r="G887" s="9"/>
      <c r="J887" s="121"/>
      <c r="M887" s="9"/>
      <c r="N887" s="9"/>
      <c r="O887" s="9"/>
    </row>
    <row r="888">
      <c r="A888" s="9"/>
      <c r="D888" s="13"/>
      <c r="E888" s="13"/>
      <c r="G888" s="9"/>
      <c r="J888" s="121"/>
      <c r="M888" s="9"/>
      <c r="N888" s="9"/>
      <c r="O888" s="9"/>
    </row>
    <row r="889">
      <c r="A889" s="9"/>
      <c r="D889" s="13"/>
      <c r="E889" s="13"/>
      <c r="G889" s="9"/>
      <c r="J889" s="121"/>
      <c r="M889" s="9"/>
      <c r="N889" s="9"/>
      <c r="O889" s="9"/>
    </row>
    <row r="890">
      <c r="A890" s="9"/>
      <c r="D890" s="13"/>
      <c r="E890" s="13"/>
      <c r="G890" s="9"/>
      <c r="J890" s="121"/>
      <c r="M890" s="9"/>
      <c r="N890" s="9"/>
      <c r="O890" s="9"/>
    </row>
    <row r="891">
      <c r="A891" s="9"/>
      <c r="D891" s="13"/>
      <c r="E891" s="13"/>
      <c r="G891" s="9"/>
      <c r="J891" s="121"/>
      <c r="M891" s="9"/>
      <c r="N891" s="9"/>
      <c r="O891" s="9"/>
    </row>
    <row r="892">
      <c r="A892" s="9"/>
      <c r="D892" s="13"/>
      <c r="E892" s="13"/>
      <c r="G892" s="9"/>
      <c r="J892" s="121"/>
      <c r="M892" s="9"/>
      <c r="N892" s="9"/>
      <c r="O892" s="9"/>
    </row>
    <row r="893">
      <c r="A893" s="9"/>
      <c r="D893" s="13"/>
      <c r="E893" s="13"/>
      <c r="G893" s="9"/>
      <c r="J893" s="121"/>
      <c r="M893" s="9"/>
      <c r="N893" s="9"/>
      <c r="O893" s="9"/>
    </row>
    <row r="894">
      <c r="A894" s="9"/>
      <c r="D894" s="13"/>
      <c r="E894" s="13"/>
      <c r="G894" s="9"/>
      <c r="J894" s="121"/>
      <c r="M894" s="9"/>
      <c r="N894" s="9"/>
      <c r="O894" s="9"/>
    </row>
    <row r="895">
      <c r="A895" s="9"/>
      <c r="D895" s="13"/>
      <c r="E895" s="13"/>
      <c r="G895" s="9"/>
      <c r="J895" s="121"/>
      <c r="M895" s="9"/>
      <c r="N895" s="9"/>
      <c r="O895" s="9"/>
    </row>
    <row r="896">
      <c r="A896" s="9"/>
      <c r="D896" s="13"/>
      <c r="E896" s="13"/>
      <c r="G896" s="9"/>
      <c r="J896" s="121"/>
      <c r="M896" s="9"/>
      <c r="N896" s="9"/>
      <c r="O896" s="9"/>
    </row>
    <row r="897">
      <c r="A897" s="9"/>
      <c r="D897" s="13"/>
      <c r="E897" s="13"/>
      <c r="G897" s="9"/>
      <c r="J897" s="121"/>
      <c r="M897" s="9"/>
      <c r="N897" s="9"/>
      <c r="O897" s="9"/>
    </row>
    <row r="898">
      <c r="A898" s="9"/>
      <c r="D898" s="13"/>
      <c r="E898" s="13"/>
      <c r="G898" s="9"/>
      <c r="J898" s="121"/>
      <c r="M898" s="9"/>
      <c r="N898" s="9"/>
      <c r="O898" s="9"/>
    </row>
    <row r="899">
      <c r="A899" s="9"/>
      <c r="D899" s="13"/>
      <c r="E899" s="13"/>
      <c r="G899" s="9"/>
      <c r="J899" s="121"/>
      <c r="M899" s="9"/>
      <c r="N899" s="9"/>
      <c r="O899" s="9"/>
    </row>
    <row r="900">
      <c r="A900" s="9"/>
      <c r="D900" s="13"/>
      <c r="E900" s="13"/>
      <c r="G900" s="9"/>
      <c r="J900" s="121"/>
      <c r="M900" s="9"/>
      <c r="N900" s="9"/>
      <c r="O900" s="9"/>
    </row>
    <row r="901">
      <c r="A901" s="9"/>
      <c r="D901" s="13"/>
      <c r="E901" s="13"/>
      <c r="G901" s="9"/>
      <c r="J901" s="121"/>
      <c r="M901" s="9"/>
      <c r="N901" s="9"/>
      <c r="O901" s="9"/>
    </row>
    <row r="902">
      <c r="A902" s="9"/>
      <c r="D902" s="13"/>
      <c r="E902" s="13"/>
      <c r="G902" s="9"/>
      <c r="J902" s="121"/>
      <c r="M902" s="9"/>
      <c r="N902" s="9"/>
      <c r="O902" s="9"/>
    </row>
    <row r="903">
      <c r="A903" s="9"/>
      <c r="D903" s="13"/>
      <c r="E903" s="13"/>
      <c r="G903" s="9"/>
      <c r="J903" s="121"/>
      <c r="M903" s="9"/>
      <c r="N903" s="9"/>
      <c r="O903" s="9"/>
    </row>
    <row r="904">
      <c r="A904" s="9"/>
      <c r="D904" s="13"/>
      <c r="E904" s="13"/>
      <c r="G904" s="9"/>
      <c r="J904" s="121"/>
      <c r="M904" s="9"/>
      <c r="N904" s="9"/>
      <c r="O904" s="9"/>
    </row>
    <row r="905">
      <c r="A905" s="9"/>
      <c r="D905" s="13"/>
      <c r="E905" s="13"/>
      <c r="G905" s="9"/>
      <c r="J905" s="121"/>
      <c r="M905" s="9"/>
      <c r="N905" s="9"/>
      <c r="O905" s="9"/>
    </row>
    <row r="906">
      <c r="A906" s="9"/>
      <c r="D906" s="13"/>
      <c r="E906" s="13"/>
      <c r="G906" s="9"/>
      <c r="J906" s="121"/>
      <c r="M906" s="9"/>
      <c r="N906" s="9"/>
      <c r="O906" s="9"/>
    </row>
    <row r="907">
      <c r="A907" s="9"/>
      <c r="D907" s="13"/>
      <c r="E907" s="13"/>
      <c r="G907" s="9"/>
      <c r="J907" s="121"/>
      <c r="M907" s="9"/>
      <c r="N907" s="9"/>
      <c r="O907" s="9"/>
    </row>
    <row r="908">
      <c r="A908" s="9"/>
      <c r="D908" s="13"/>
      <c r="E908" s="13"/>
      <c r="G908" s="9"/>
      <c r="J908" s="121"/>
      <c r="M908" s="9"/>
      <c r="N908" s="9"/>
      <c r="O908" s="9"/>
    </row>
    <row r="909">
      <c r="A909" s="9"/>
      <c r="D909" s="13"/>
      <c r="E909" s="13"/>
      <c r="G909" s="9"/>
      <c r="J909" s="121"/>
      <c r="M909" s="9"/>
      <c r="N909" s="9"/>
      <c r="O909" s="9"/>
    </row>
    <row r="910">
      <c r="A910" s="9"/>
      <c r="D910" s="13"/>
      <c r="E910" s="13"/>
      <c r="G910" s="9"/>
      <c r="J910" s="121"/>
      <c r="M910" s="9"/>
      <c r="N910" s="9"/>
      <c r="O910" s="9"/>
    </row>
    <row r="911">
      <c r="A911" s="9"/>
      <c r="D911" s="13"/>
      <c r="E911" s="13"/>
      <c r="G911" s="9"/>
      <c r="J911" s="121"/>
      <c r="M911" s="9"/>
      <c r="N911" s="9"/>
      <c r="O911" s="9"/>
    </row>
    <row r="912">
      <c r="A912" s="9"/>
      <c r="D912" s="13"/>
      <c r="E912" s="13"/>
      <c r="G912" s="9"/>
      <c r="J912" s="121"/>
      <c r="M912" s="9"/>
      <c r="N912" s="9"/>
      <c r="O912" s="9"/>
    </row>
    <row r="913">
      <c r="A913" s="9"/>
      <c r="D913" s="13"/>
      <c r="E913" s="13"/>
      <c r="G913" s="9"/>
      <c r="J913" s="121"/>
      <c r="M913" s="9"/>
      <c r="N913" s="9"/>
      <c r="O913" s="9"/>
    </row>
    <row r="914">
      <c r="A914" s="9"/>
      <c r="D914" s="13"/>
      <c r="E914" s="13"/>
      <c r="G914" s="9"/>
      <c r="J914" s="121"/>
      <c r="M914" s="9"/>
      <c r="N914" s="9"/>
      <c r="O914" s="9"/>
    </row>
    <row r="915">
      <c r="A915" s="9"/>
      <c r="D915" s="13"/>
      <c r="E915" s="13"/>
      <c r="G915" s="9"/>
      <c r="J915" s="121"/>
      <c r="M915" s="9"/>
      <c r="N915" s="9"/>
      <c r="O915" s="9"/>
    </row>
    <row r="916">
      <c r="A916" s="9"/>
      <c r="D916" s="13"/>
      <c r="E916" s="13"/>
      <c r="G916" s="9"/>
      <c r="J916" s="121"/>
      <c r="M916" s="9"/>
      <c r="N916" s="9"/>
      <c r="O916" s="9"/>
    </row>
    <row r="917">
      <c r="A917" s="9"/>
      <c r="D917" s="13"/>
      <c r="E917" s="13"/>
      <c r="G917" s="9"/>
      <c r="J917" s="121"/>
      <c r="M917" s="9"/>
      <c r="N917" s="9"/>
      <c r="O917" s="9"/>
    </row>
    <row r="918">
      <c r="A918" s="9"/>
      <c r="D918" s="13"/>
      <c r="E918" s="13"/>
      <c r="G918" s="9"/>
      <c r="J918" s="121"/>
      <c r="M918" s="9"/>
      <c r="N918" s="9"/>
      <c r="O918" s="9"/>
    </row>
    <row r="919">
      <c r="A919" s="9"/>
      <c r="D919" s="13"/>
      <c r="E919" s="13"/>
      <c r="G919" s="9"/>
      <c r="J919" s="121"/>
      <c r="M919" s="9"/>
      <c r="N919" s="9"/>
      <c r="O919" s="9"/>
    </row>
    <row r="920">
      <c r="A920" s="9"/>
      <c r="D920" s="13"/>
      <c r="E920" s="13"/>
      <c r="G920" s="9"/>
      <c r="J920" s="121"/>
      <c r="M920" s="9"/>
      <c r="N920" s="9"/>
      <c r="O920" s="9"/>
    </row>
    <row r="921">
      <c r="A921" s="9"/>
      <c r="D921" s="13"/>
      <c r="E921" s="13"/>
      <c r="G921" s="9"/>
      <c r="J921" s="121"/>
      <c r="M921" s="9"/>
      <c r="N921" s="9"/>
      <c r="O921" s="9"/>
    </row>
    <row r="922">
      <c r="A922" s="9"/>
      <c r="D922" s="13"/>
      <c r="E922" s="13"/>
      <c r="G922" s="9"/>
      <c r="J922" s="121"/>
      <c r="M922" s="9"/>
      <c r="N922" s="9"/>
      <c r="O922" s="9"/>
    </row>
    <row r="923">
      <c r="A923" s="9"/>
      <c r="D923" s="13"/>
      <c r="E923" s="13"/>
      <c r="G923" s="9"/>
      <c r="J923" s="121"/>
      <c r="M923" s="9"/>
      <c r="N923" s="9"/>
      <c r="O923" s="9"/>
    </row>
    <row r="924">
      <c r="A924" s="9"/>
      <c r="D924" s="13"/>
      <c r="E924" s="13"/>
      <c r="G924" s="9"/>
      <c r="J924" s="121"/>
      <c r="M924" s="9"/>
      <c r="N924" s="9"/>
      <c r="O924" s="9"/>
    </row>
    <row r="925">
      <c r="A925" s="9"/>
      <c r="D925" s="13"/>
      <c r="E925" s="13"/>
      <c r="G925" s="9"/>
      <c r="J925" s="121"/>
      <c r="M925" s="9"/>
      <c r="N925" s="9"/>
      <c r="O925" s="9"/>
    </row>
    <row r="926">
      <c r="A926" s="9"/>
      <c r="D926" s="13"/>
      <c r="E926" s="13"/>
      <c r="G926" s="9"/>
      <c r="J926" s="121"/>
      <c r="M926" s="9"/>
      <c r="N926" s="9"/>
      <c r="O926" s="9"/>
    </row>
    <row r="927">
      <c r="A927" s="9"/>
      <c r="D927" s="13"/>
      <c r="E927" s="13"/>
      <c r="G927" s="9"/>
      <c r="J927" s="121"/>
      <c r="M927" s="9"/>
      <c r="N927" s="9"/>
      <c r="O927" s="9"/>
    </row>
    <row r="928">
      <c r="A928" s="9"/>
      <c r="D928" s="13"/>
      <c r="E928" s="13"/>
      <c r="G928" s="9"/>
      <c r="J928" s="121"/>
      <c r="M928" s="9"/>
      <c r="N928" s="9"/>
      <c r="O928" s="9"/>
    </row>
    <row r="929">
      <c r="A929" s="9"/>
      <c r="D929" s="13"/>
      <c r="E929" s="13"/>
      <c r="G929" s="9"/>
      <c r="J929" s="121"/>
      <c r="M929" s="9"/>
      <c r="N929" s="9"/>
      <c r="O929" s="9"/>
    </row>
    <row r="930">
      <c r="A930" s="9"/>
      <c r="D930" s="13"/>
      <c r="E930" s="13"/>
      <c r="G930" s="9"/>
      <c r="J930" s="121"/>
      <c r="M930" s="9"/>
      <c r="N930" s="9"/>
      <c r="O930" s="9"/>
    </row>
    <row r="931">
      <c r="A931" s="9"/>
      <c r="D931" s="13"/>
      <c r="E931" s="13"/>
      <c r="G931" s="9"/>
      <c r="J931" s="121"/>
      <c r="M931" s="9"/>
      <c r="N931" s="9"/>
      <c r="O931" s="9"/>
    </row>
    <row r="932">
      <c r="A932" s="9"/>
      <c r="D932" s="13"/>
      <c r="E932" s="13"/>
      <c r="G932" s="9"/>
      <c r="J932" s="121"/>
      <c r="M932" s="9"/>
      <c r="N932" s="9"/>
      <c r="O932" s="9"/>
    </row>
    <row r="933">
      <c r="A933" s="9"/>
      <c r="D933" s="13"/>
      <c r="E933" s="13"/>
      <c r="G933" s="9"/>
      <c r="J933" s="121"/>
      <c r="M933" s="9"/>
      <c r="N933" s="9"/>
      <c r="O933" s="9"/>
    </row>
    <row r="934">
      <c r="A934" s="9"/>
      <c r="D934" s="13"/>
      <c r="E934" s="13"/>
      <c r="G934" s="9"/>
      <c r="J934" s="121"/>
      <c r="M934" s="9"/>
      <c r="N934" s="9"/>
      <c r="O934" s="9"/>
    </row>
    <row r="935">
      <c r="A935" s="9"/>
      <c r="D935" s="13"/>
      <c r="E935" s="13"/>
      <c r="G935" s="9"/>
      <c r="J935" s="121"/>
      <c r="M935" s="9"/>
      <c r="N935" s="9"/>
      <c r="O935" s="9"/>
    </row>
    <row r="936">
      <c r="A936" s="9"/>
      <c r="D936" s="13"/>
      <c r="E936" s="13"/>
      <c r="G936" s="9"/>
      <c r="J936" s="121"/>
      <c r="M936" s="9"/>
      <c r="N936" s="9"/>
      <c r="O936" s="9"/>
    </row>
    <row r="937">
      <c r="A937" s="9"/>
      <c r="D937" s="13"/>
      <c r="E937" s="13"/>
      <c r="G937" s="9"/>
      <c r="J937" s="121"/>
      <c r="M937" s="9"/>
      <c r="N937" s="9"/>
      <c r="O937" s="9"/>
    </row>
    <row r="938">
      <c r="A938" s="9"/>
      <c r="D938" s="13"/>
      <c r="E938" s="13"/>
      <c r="G938" s="9"/>
      <c r="J938" s="121"/>
      <c r="M938" s="9"/>
      <c r="N938" s="9"/>
      <c r="O938" s="9"/>
    </row>
    <row r="939">
      <c r="A939" s="9"/>
      <c r="D939" s="13"/>
      <c r="E939" s="13"/>
      <c r="G939" s="9"/>
      <c r="J939" s="121"/>
      <c r="M939" s="9"/>
      <c r="N939" s="9"/>
      <c r="O939" s="9"/>
    </row>
    <row r="940">
      <c r="A940" s="9"/>
      <c r="D940" s="13"/>
      <c r="E940" s="13"/>
      <c r="G940" s="9"/>
      <c r="J940" s="121"/>
      <c r="M940" s="9"/>
      <c r="N940" s="9"/>
      <c r="O940" s="9"/>
    </row>
    <row r="941">
      <c r="A941" s="9"/>
      <c r="D941" s="13"/>
      <c r="E941" s="13"/>
      <c r="G941" s="9"/>
      <c r="J941" s="121"/>
      <c r="M941" s="9"/>
      <c r="N941" s="9"/>
      <c r="O941" s="9"/>
    </row>
    <row r="942">
      <c r="A942" s="9"/>
      <c r="D942" s="13"/>
      <c r="E942" s="13"/>
      <c r="G942" s="9"/>
      <c r="J942" s="121"/>
      <c r="M942" s="9"/>
      <c r="N942" s="9"/>
      <c r="O942" s="9"/>
    </row>
    <row r="943">
      <c r="A943" s="9"/>
      <c r="D943" s="13"/>
      <c r="E943" s="13"/>
      <c r="G943" s="9"/>
      <c r="J943" s="121"/>
      <c r="M943" s="9"/>
      <c r="N943" s="9"/>
      <c r="O943" s="9"/>
    </row>
    <row r="944">
      <c r="A944" s="9"/>
      <c r="D944" s="13"/>
      <c r="E944" s="13"/>
      <c r="G944" s="9"/>
      <c r="J944" s="121"/>
      <c r="M944" s="9"/>
      <c r="N944" s="9"/>
      <c r="O944" s="9"/>
    </row>
    <row r="945">
      <c r="A945" s="9"/>
      <c r="D945" s="13"/>
      <c r="E945" s="13"/>
      <c r="G945" s="9"/>
      <c r="J945" s="121"/>
      <c r="M945" s="9"/>
      <c r="N945" s="9"/>
      <c r="O945" s="9"/>
    </row>
    <row r="946">
      <c r="A946" s="9"/>
      <c r="D946" s="13"/>
      <c r="E946" s="13"/>
      <c r="G946" s="9"/>
      <c r="J946" s="121"/>
      <c r="M946" s="9"/>
      <c r="N946" s="9"/>
      <c r="O946" s="9"/>
    </row>
    <row r="947">
      <c r="A947" s="9"/>
      <c r="D947" s="13"/>
      <c r="E947" s="13"/>
      <c r="G947" s="9"/>
      <c r="J947" s="121"/>
      <c r="M947" s="9"/>
      <c r="N947" s="9"/>
      <c r="O947" s="9"/>
    </row>
    <row r="948">
      <c r="A948" s="9"/>
      <c r="D948" s="13"/>
      <c r="E948" s="13"/>
      <c r="G948" s="9"/>
      <c r="J948" s="121"/>
      <c r="M948" s="9"/>
      <c r="N948" s="9"/>
      <c r="O948" s="9"/>
    </row>
    <row r="949">
      <c r="A949" s="9"/>
      <c r="D949" s="13"/>
      <c r="E949" s="13"/>
      <c r="G949" s="9"/>
      <c r="J949" s="121"/>
      <c r="M949" s="9"/>
      <c r="N949" s="9"/>
      <c r="O949" s="9"/>
    </row>
    <row r="950">
      <c r="A950" s="9"/>
      <c r="D950" s="13"/>
      <c r="E950" s="13"/>
      <c r="G950" s="9"/>
      <c r="J950" s="121"/>
      <c r="M950" s="9"/>
      <c r="N950" s="9"/>
      <c r="O950" s="9"/>
    </row>
    <row r="951">
      <c r="A951" s="9"/>
      <c r="D951" s="13"/>
      <c r="E951" s="13"/>
      <c r="G951" s="9"/>
      <c r="J951" s="121"/>
      <c r="M951" s="9"/>
      <c r="N951" s="9"/>
      <c r="O951" s="9"/>
    </row>
    <row r="952">
      <c r="A952" s="9"/>
      <c r="D952" s="13"/>
      <c r="E952" s="13"/>
      <c r="G952" s="9"/>
      <c r="J952" s="121"/>
      <c r="M952" s="9"/>
      <c r="N952" s="9"/>
      <c r="O952" s="9"/>
    </row>
    <row r="953">
      <c r="A953" s="9"/>
      <c r="D953" s="13"/>
      <c r="E953" s="13"/>
      <c r="G953" s="9"/>
      <c r="J953" s="121"/>
      <c r="M953" s="9"/>
      <c r="N953" s="9"/>
      <c r="O953" s="9"/>
    </row>
    <row r="954">
      <c r="A954" s="9"/>
      <c r="D954" s="13"/>
      <c r="E954" s="13"/>
      <c r="G954" s="9"/>
      <c r="J954" s="121"/>
      <c r="M954" s="9"/>
      <c r="N954" s="9"/>
      <c r="O954" s="9"/>
    </row>
    <row r="955">
      <c r="A955" s="9"/>
      <c r="D955" s="13"/>
      <c r="E955" s="13"/>
      <c r="G955" s="9"/>
      <c r="J955" s="121"/>
      <c r="M955" s="9"/>
      <c r="N955" s="9"/>
      <c r="O955" s="9"/>
    </row>
    <row r="956">
      <c r="A956" s="9"/>
      <c r="D956" s="13"/>
      <c r="E956" s="13"/>
      <c r="G956" s="9"/>
      <c r="J956" s="121"/>
      <c r="M956" s="9"/>
      <c r="N956" s="9"/>
      <c r="O956" s="9"/>
    </row>
    <row r="957">
      <c r="A957" s="9"/>
      <c r="D957" s="13"/>
      <c r="E957" s="13"/>
      <c r="G957" s="9"/>
      <c r="J957" s="121"/>
      <c r="M957" s="9"/>
      <c r="N957" s="9"/>
      <c r="O957" s="9"/>
    </row>
    <row r="958">
      <c r="A958" s="9"/>
      <c r="D958" s="13"/>
      <c r="E958" s="13"/>
      <c r="G958" s="9"/>
      <c r="J958" s="121"/>
      <c r="M958" s="9"/>
      <c r="N958" s="9"/>
      <c r="O958" s="9"/>
    </row>
    <row r="959">
      <c r="A959" s="9"/>
      <c r="D959" s="13"/>
      <c r="E959" s="13"/>
      <c r="G959" s="9"/>
      <c r="J959" s="121"/>
      <c r="M959" s="9"/>
      <c r="N959" s="9"/>
      <c r="O959" s="9"/>
    </row>
    <row r="960">
      <c r="A960" s="9"/>
      <c r="D960" s="13"/>
      <c r="E960" s="13"/>
      <c r="G960" s="9"/>
      <c r="J960" s="121"/>
      <c r="M960" s="9"/>
      <c r="N960" s="9"/>
      <c r="O960" s="9"/>
    </row>
    <row r="961">
      <c r="A961" s="9"/>
      <c r="D961" s="13"/>
      <c r="E961" s="13"/>
      <c r="G961" s="9"/>
      <c r="J961" s="121"/>
      <c r="M961" s="9"/>
      <c r="N961" s="9"/>
      <c r="O961" s="9"/>
    </row>
    <row r="962">
      <c r="A962" s="9"/>
      <c r="D962" s="13"/>
      <c r="E962" s="13"/>
      <c r="G962" s="9"/>
      <c r="J962" s="121"/>
      <c r="M962" s="9"/>
      <c r="N962" s="9"/>
      <c r="O962" s="9"/>
    </row>
    <row r="963">
      <c r="A963" s="9"/>
      <c r="D963" s="13"/>
      <c r="E963" s="13"/>
      <c r="G963" s="9"/>
      <c r="J963" s="121"/>
      <c r="M963" s="9"/>
      <c r="N963" s="9"/>
      <c r="O963" s="9"/>
    </row>
    <row r="964">
      <c r="A964" s="9"/>
      <c r="D964" s="13"/>
      <c r="E964" s="13"/>
      <c r="G964" s="9"/>
      <c r="J964" s="121"/>
      <c r="M964" s="9"/>
      <c r="N964" s="9"/>
      <c r="O964" s="9"/>
    </row>
    <row r="965">
      <c r="A965" s="9"/>
      <c r="D965" s="13"/>
      <c r="E965" s="13"/>
      <c r="G965" s="9"/>
      <c r="J965" s="121"/>
      <c r="M965" s="9"/>
      <c r="N965" s="9"/>
      <c r="O965" s="9"/>
    </row>
    <row r="966">
      <c r="A966" s="9"/>
      <c r="D966" s="13"/>
      <c r="E966" s="13"/>
      <c r="G966" s="9"/>
      <c r="J966" s="121"/>
      <c r="M966" s="9"/>
      <c r="N966" s="9"/>
      <c r="O966" s="9"/>
    </row>
    <row r="967">
      <c r="A967" s="9"/>
      <c r="D967" s="13"/>
      <c r="E967" s="13"/>
      <c r="G967" s="9"/>
      <c r="J967" s="121"/>
      <c r="M967" s="9"/>
      <c r="N967" s="9"/>
      <c r="O967" s="9"/>
    </row>
    <row r="968">
      <c r="A968" s="9"/>
      <c r="D968" s="13"/>
      <c r="E968" s="13"/>
      <c r="G968" s="9"/>
      <c r="J968" s="121"/>
      <c r="M968" s="9"/>
      <c r="N968" s="9"/>
      <c r="O968" s="9"/>
    </row>
    <row r="969">
      <c r="A969" s="9"/>
      <c r="D969" s="13"/>
      <c r="E969" s="13"/>
      <c r="G969" s="9"/>
      <c r="J969" s="121"/>
      <c r="M969" s="9"/>
      <c r="N969" s="9"/>
      <c r="O969" s="9"/>
    </row>
    <row r="970">
      <c r="A970" s="9"/>
      <c r="D970" s="13"/>
      <c r="E970" s="13"/>
      <c r="G970" s="9"/>
      <c r="J970" s="121"/>
      <c r="M970" s="9"/>
      <c r="N970" s="9"/>
      <c r="O970" s="9"/>
    </row>
    <row r="971">
      <c r="A971" s="9"/>
      <c r="D971" s="13"/>
      <c r="E971" s="13"/>
      <c r="G971" s="9"/>
      <c r="J971" s="121"/>
      <c r="M971" s="9"/>
      <c r="N971" s="9"/>
      <c r="O971" s="9"/>
    </row>
    <row r="972">
      <c r="A972" s="9"/>
      <c r="D972" s="13"/>
      <c r="E972" s="13"/>
      <c r="G972" s="9"/>
      <c r="J972" s="121"/>
      <c r="M972" s="9"/>
      <c r="N972" s="9"/>
      <c r="O972" s="9"/>
    </row>
    <row r="973">
      <c r="A973" s="9"/>
      <c r="D973" s="13"/>
      <c r="E973" s="13"/>
      <c r="G973" s="9"/>
      <c r="J973" s="121"/>
      <c r="M973" s="9"/>
      <c r="N973" s="9"/>
      <c r="O973" s="9"/>
    </row>
    <row r="974">
      <c r="A974" s="9"/>
      <c r="D974" s="13"/>
      <c r="E974" s="13"/>
      <c r="G974" s="9"/>
      <c r="J974" s="121"/>
      <c r="M974" s="9"/>
      <c r="N974" s="9"/>
      <c r="O974" s="9"/>
    </row>
    <row r="975">
      <c r="A975" s="9"/>
      <c r="D975" s="13"/>
      <c r="E975" s="13"/>
      <c r="G975" s="9"/>
      <c r="J975" s="121"/>
      <c r="M975" s="9"/>
      <c r="N975" s="9"/>
      <c r="O975" s="9"/>
    </row>
    <row r="976">
      <c r="A976" s="9"/>
      <c r="D976" s="13"/>
      <c r="E976" s="13"/>
      <c r="G976" s="9"/>
      <c r="J976" s="121"/>
      <c r="M976" s="9"/>
      <c r="N976" s="9"/>
      <c r="O976" s="9"/>
    </row>
    <row r="977">
      <c r="A977" s="9"/>
      <c r="D977" s="13"/>
      <c r="E977" s="13"/>
      <c r="G977" s="9"/>
      <c r="J977" s="121"/>
      <c r="M977" s="9"/>
      <c r="N977" s="9"/>
      <c r="O977" s="9"/>
    </row>
    <row r="978">
      <c r="A978" s="9"/>
      <c r="D978" s="13"/>
      <c r="E978" s="13"/>
      <c r="G978" s="9"/>
      <c r="J978" s="121"/>
      <c r="M978" s="9"/>
      <c r="N978" s="9"/>
      <c r="O978" s="9"/>
    </row>
    <row r="979">
      <c r="A979" s="9"/>
      <c r="D979" s="13"/>
      <c r="E979" s="13"/>
      <c r="G979" s="9"/>
      <c r="J979" s="121"/>
      <c r="M979" s="9"/>
      <c r="N979" s="9"/>
      <c r="O979" s="9"/>
    </row>
    <row r="980">
      <c r="A980" s="9"/>
      <c r="D980" s="13"/>
      <c r="E980" s="13"/>
      <c r="G980" s="9"/>
      <c r="J980" s="121"/>
      <c r="M980" s="9"/>
      <c r="N980" s="9"/>
      <c r="O980" s="9"/>
    </row>
    <row r="981">
      <c r="A981" s="9"/>
      <c r="D981" s="13"/>
      <c r="E981" s="13"/>
      <c r="G981" s="9"/>
      <c r="J981" s="121"/>
      <c r="M981" s="9"/>
      <c r="N981" s="9"/>
      <c r="O981" s="9"/>
    </row>
    <row r="982">
      <c r="A982" s="9"/>
      <c r="D982" s="13"/>
      <c r="E982" s="13"/>
      <c r="G982" s="9"/>
      <c r="J982" s="121"/>
      <c r="M982" s="9"/>
      <c r="N982" s="9"/>
      <c r="O982" s="9"/>
    </row>
    <row r="983">
      <c r="A983" s="9"/>
      <c r="D983" s="13"/>
      <c r="E983" s="13"/>
      <c r="G983" s="9"/>
      <c r="J983" s="121"/>
      <c r="M983" s="9"/>
      <c r="N983" s="9"/>
      <c r="O983" s="9"/>
    </row>
    <row r="984">
      <c r="A984" s="9"/>
      <c r="D984" s="13"/>
      <c r="E984" s="13"/>
      <c r="G984" s="9"/>
      <c r="J984" s="121"/>
      <c r="M984" s="9"/>
      <c r="N984" s="9"/>
      <c r="O984" s="9"/>
    </row>
    <row r="985">
      <c r="A985" s="9"/>
      <c r="D985" s="13"/>
      <c r="E985" s="13"/>
      <c r="G985" s="9"/>
      <c r="J985" s="121"/>
      <c r="M985" s="9"/>
      <c r="N985" s="9"/>
      <c r="O985" s="9"/>
    </row>
    <row r="986">
      <c r="A986" s="9"/>
      <c r="D986" s="13"/>
      <c r="E986" s="13"/>
      <c r="G986" s="9"/>
      <c r="J986" s="121"/>
      <c r="M986" s="9"/>
      <c r="N986" s="9"/>
      <c r="O986" s="9"/>
    </row>
    <row r="987">
      <c r="A987" s="9"/>
      <c r="D987" s="13"/>
      <c r="E987" s="13"/>
      <c r="G987" s="9"/>
      <c r="J987" s="121"/>
      <c r="M987" s="9"/>
      <c r="N987" s="9"/>
      <c r="O987" s="9"/>
    </row>
    <row r="988">
      <c r="A988" s="9"/>
      <c r="D988" s="13"/>
      <c r="E988" s="13"/>
      <c r="G988" s="9"/>
      <c r="J988" s="121"/>
      <c r="M988" s="9"/>
      <c r="N988" s="9"/>
      <c r="O988" s="9"/>
    </row>
    <row r="989">
      <c r="A989" s="9"/>
      <c r="D989" s="13"/>
      <c r="E989" s="13"/>
      <c r="G989" s="9"/>
      <c r="J989" s="121"/>
      <c r="M989" s="9"/>
      <c r="N989" s="9"/>
      <c r="O989" s="9"/>
    </row>
    <row r="990">
      <c r="A990" s="9"/>
      <c r="D990" s="13"/>
      <c r="E990" s="13"/>
      <c r="G990" s="9"/>
      <c r="J990" s="121"/>
      <c r="M990" s="9"/>
      <c r="N990" s="9"/>
      <c r="O990" s="9"/>
    </row>
    <row r="991">
      <c r="A991" s="9"/>
      <c r="D991" s="13"/>
      <c r="E991" s="13"/>
      <c r="G991" s="9"/>
      <c r="J991" s="121"/>
      <c r="M991" s="9"/>
      <c r="N991" s="9"/>
      <c r="O991" s="9"/>
    </row>
    <row r="992">
      <c r="A992" s="9"/>
      <c r="D992" s="13"/>
      <c r="E992" s="13"/>
      <c r="G992" s="9"/>
      <c r="J992" s="121"/>
      <c r="M992" s="9"/>
      <c r="N992" s="9"/>
      <c r="O992" s="9"/>
    </row>
    <row r="993">
      <c r="A993" s="9"/>
      <c r="D993" s="13"/>
      <c r="E993" s="13"/>
      <c r="G993" s="9"/>
      <c r="J993" s="121"/>
      <c r="M993" s="9"/>
      <c r="N993" s="9"/>
      <c r="O993" s="9"/>
    </row>
  </sheetData>
  <mergeCells count="1">
    <mergeCell ref="A1:P1"/>
  </mergeCells>
  <printOptions gridLines="1" horizontalCentered="1"/>
  <pageMargins bottom="0.75" footer="0.0" header="0.0" left="0.25" right="0.25" top="0.75"/>
  <pageSetup cellComments="atEnd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88"/>
    <col customWidth="1" min="2" max="2" width="25.5"/>
    <col customWidth="1" min="3" max="3" width="27.0"/>
    <col customWidth="1" min="4" max="5" width="6.5"/>
    <col customWidth="1" min="6" max="6" width="12.75"/>
    <col customWidth="1" min="7" max="7" width="10.38"/>
    <col customWidth="1" min="8" max="10" width="5.75"/>
    <col customWidth="1" min="11" max="11" width="7.13"/>
    <col customWidth="1" min="12" max="12" width="5.63"/>
    <col customWidth="1" min="13" max="13" width="6.88"/>
    <col customWidth="1" min="14" max="14" width="5.75"/>
    <col customWidth="1" min="15" max="15" width="6.25"/>
    <col customWidth="1" min="16" max="16" width="11.38"/>
    <col customWidth="1" min="17" max="17" width="5.88"/>
    <col customWidth="1" min="18" max="18" width="5.75"/>
    <col customWidth="1" min="19" max="19" width="7.63"/>
    <col customWidth="1" min="20" max="20" width="5.88"/>
    <col customWidth="1" min="21" max="21" width="4.75"/>
    <col customWidth="1" min="22" max="22" width="7.5"/>
    <col customWidth="1" min="23" max="23" width="5.88"/>
    <col customWidth="1" min="24" max="24" width="4.75"/>
    <col customWidth="1" min="25" max="25" width="5.5"/>
    <col customWidth="1" min="26" max="26" width="8.38"/>
  </cols>
  <sheetData>
    <row r="1">
      <c r="A1" s="4" t="s">
        <v>1242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47" t="s">
        <v>8</v>
      </c>
      <c r="B2" s="247" t="s">
        <v>9</v>
      </c>
      <c r="C2" s="247" t="s">
        <v>10</v>
      </c>
      <c r="D2" s="247" t="s">
        <v>11</v>
      </c>
      <c r="E2" s="247" t="s">
        <v>12</v>
      </c>
      <c r="F2" s="247" t="s">
        <v>13</v>
      </c>
      <c r="G2" s="247" t="s">
        <v>14</v>
      </c>
      <c r="H2" s="247" t="s">
        <v>896</v>
      </c>
      <c r="I2" s="247" t="s">
        <v>16</v>
      </c>
      <c r="J2" s="236" t="s">
        <v>17</v>
      </c>
      <c r="K2" s="247" t="s">
        <v>18</v>
      </c>
      <c r="L2" s="247" t="s">
        <v>19</v>
      </c>
      <c r="M2" s="247" t="s">
        <v>20</v>
      </c>
      <c r="N2" s="247" t="s">
        <v>249</v>
      </c>
      <c r="O2" s="247" t="s">
        <v>250</v>
      </c>
      <c r="P2" s="247" t="s">
        <v>23</v>
      </c>
      <c r="Q2" s="249" t="s">
        <v>251</v>
      </c>
      <c r="R2" s="249" t="s">
        <v>252</v>
      </c>
      <c r="S2" s="249" t="s">
        <v>253</v>
      </c>
      <c r="T2" s="249" t="s">
        <v>251</v>
      </c>
      <c r="U2" s="249" t="s">
        <v>252</v>
      </c>
      <c r="V2" s="249" t="s">
        <v>253</v>
      </c>
      <c r="W2" s="249" t="s">
        <v>251</v>
      </c>
      <c r="X2" s="249" t="s">
        <v>252</v>
      </c>
      <c r="Y2" s="249" t="s">
        <v>253</v>
      </c>
      <c r="Z2" s="210"/>
    </row>
    <row r="3">
      <c r="A3" s="5">
        <v>1.0</v>
      </c>
      <c r="B3" s="6" t="s">
        <v>1243</v>
      </c>
      <c r="C3" s="6" t="s">
        <v>1244</v>
      </c>
      <c r="D3" s="7" t="s">
        <v>2</v>
      </c>
      <c r="E3" s="5">
        <v>1372.0</v>
      </c>
      <c r="F3" s="10" t="s">
        <v>33</v>
      </c>
      <c r="G3" s="15">
        <v>9.116465986E9</v>
      </c>
      <c r="H3" s="10"/>
      <c r="I3" s="14">
        <v>21000.0</v>
      </c>
      <c r="J3" s="228">
        <v>5000.0</v>
      </c>
      <c r="K3" s="10"/>
      <c r="L3" s="10"/>
      <c r="M3" s="15">
        <f t="shared" ref="M3:M65" si="1">(H3+I3+J3+K3-L3)</f>
        <v>26000</v>
      </c>
      <c r="N3" s="9">
        <f t="shared" ref="N3:N65" si="2">SUM(Q3,T3,W3)</f>
        <v>20000</v>
      </c>
      <c r="O3" s="9">
        <f t="shared" ref="O3:O65" si="3">(M3-N3)</f>
        <v>6000</v>
      </c>
      <c r="P3" s="10"/>
      <c r="Q3" s="15">
        <v>10000.0</v>
      </c>
      <c r="R3" s="16">
        <v>3128.0</v>
      </c>
      <c r="S3" s="17">
        <v>45665.0</v>
      </c>
      <c r="T3" s="6">
        <v>10000.0</v>
      </c>
      <c r="U3" s="6">
        <v>3969.0</v>
      </c>
      <c r="V3" s="6" t="s">
        <v>132</v>
      </c>
    </row>
    <row r="4">
      <c r="A4" s="5">
        <v>2.0</v>
      </c>
      <c r="B4" s="6" t="s">
        <v>438</v>
      </c>
      <c r="C4" s="6" t="s">
        <v>988</v>
      </c>
      <c r="D4" s="7" t="s">
        <v>1006</v>
      </c>
      <c r="E4" s="5">
        <v>1922.0</v>
      </c>
      <c r="F4" s="10" t="s">
        <v>989</v>
      </c>
      <c r="G4" s="15">
        <v>9.799983428E9</v>
      </c>
      <c r="H4" s="15">
        <v>1000.0</v>
      </c>
      <c r="I4" s="15">
        <v>18000.0</v>
      </c>
      <c r="J4" s="16">
        <v>6500.0</v>
      </c>
      <c r="K4" s="10"/>
      <c r="L4" s="15">
        <v>4000.0</v>
      </c>
      <c r="M4" s="15">
        <f t="shared" si="1"/>
        <v>21500</v>
      </c>
      <c r="N4" s="9">
        <f t="shared" si="2"/>
        <v>10000</v>
      </c>
      <c r="O4" s="9">
        <f t="shared" si="3"/>
        <v>11500</v>
      </c>
      <c r="P4" s="10" t="s">
        <v>44</v>
      </c>
      <c r="Q4" s="15">
        <v>5000.0</v>
      </c>
      <c r="R4" s="16">
        <v>3039.0</v>
      </c>
      <c r="S4" s="10" t="s">
        <v>166</v>
      </c>
      <c r="T4" s="6">
        <v>5000.0</v>
      </c>
      <c r="U4" s="6">
        <v>3861.0</v>
      </c>
      <c r="V4" s="240">
        <v>45941.0</v>
      </c>
    </row>
    <row r="5">
      <c r="A5" s="5">
        <v>5.0</v>
      </c>
      <c r="B5" s="6" t="s">
        <v>1245</v>
      </c>
      <c r="C5" s="6" t="s">
        <v>1246</v>
      </c>
      <c r="D5" s="7" t="s">
        <v>1006</v>
      </c>
      <c r="E5" s="5">
        <v>1861.0</v>
      </c>
      <c r="F5" s="10" t="s">
        <v>1129</v>
      </c>
      <c r="G5" s="15">
        <v>8.290605157E9</v>
      </c>
      <c r="H5" s="15">
        <v>1000.0</v>
      </c>
      <c r="I5" s="15">
        <v>18000.0</v>
      </c>
      <c r="J5" s="16">
        <v>9000.0</v>
      </c>
      <c r="K5" s="10"/>
      <c r="L5" s="15">
        <v>5000.0</v>
      </c>
      <c r="M5" s="15">
        <f t="shared" si="1"/>
        <v>23000</v>
      </c>
      <c r="N5" s="9">
        <f t="shared" si="2"/>
        <v>12000</v>
      </c>
      <c r="O5" s="9">
        <f t="shared" si="3"/>
        <v>11000</v>
      </c>
      <c r="P5" s="10" t="s">
        <v>44</v>
      </c>
      <c r="Q5" s="15">
        <v>3000.0</v>
      </c>
      <c r="R5" s="16">
        <v>2980.0</v>
      </c>
      <c r="S5" s="17">
        <v>45968.0</v>
      </c>
      <c r="T5" s="228">
        <v>4000.0</v>
      </c>
      <c r="U5" s="228">
        <v>3726.0</v>
      </c>
      <c r="V5" s="228" t="s">
        <v>703</v>
      </c>
      <c r="W5" s="228">
        <v>5000.0</v>
      </c>
      <c r="X5" s="228">
        <v>4040.0</v>
      </c>
      <c r="Y5" s="228" t="s">
        <v>261</v>
      </c>
    </row>
    <row r="6">
      <c r="A6" s="5">
        <v>6.0</v>
      </c>
      <c r="B6" s="6" t="s">
        <v>1247</v>
      </c>
      <c r="C6" s="6" t="s">
        <v>1248</v>
      </c>
      <c r="D6" s="7" t="s">
        <v>2</v>
      </c>
      <c r="E6" s="5">
        <v>2091.0</v>
      </c>
      <c r="F6" s="6" t="s">
        <v>270</v>
      </c>
      <c r="G6" s="6">
        <v>8.619698126E9</v>
      </c>
      <c r="H6" s="6">
        <v>1000.0</v>
      </c>
      <c r="I6" s="6">
        <v>21000.0</v>
      </c>
      <c r="J6" s="238">
        <v>7000.0</v>
      </c>
      <c r="L6" s="6">
        <v>6000.0</v>
      </c>
      <c r="M6" s="15">
        <f t="shared" si="1"/>
        <v>23000</v>
      </c>
      <c r="N6" s="9">
        <f t="shared" si="2"/>
        <v>10000</v>
      </c>
      <c r="O6" s="9">
        <f t="shared" si="3"/>
        <v>13000</v>
      </c>
      <c r="P6" s="6" t="s">
        <v>1249</v>
      </c>
      <c r="Q6" s="5">
        <v>10000.0</v>
      </c>
      <c r="R6" s="6">
        <v>3678.0</v>
      </c>
      <c r="S6" s="27">
        <v>45910.0</v>
      </c>
      <c r="Z6" s="17"/>
    </row>
    <row r="7">
      <c r="A7" s="5">
        <v>7.0</v>
      </c>
      <c r="B7" s="6" t="s">
        <v>1250</v>
      </c>
      <c r="C7" s="6" t="s">
        <v>1251</v>
      </c>
      <c r="D7" s="7" t="s">
        <v>1006</v>
      </c>
      <c r="E7" s="5">
        <v>1969.0</v>
      </c>
      <c r="F7" s="10" t="s">
        <v>692</v>
      </c>
      <c r="G7" s="15">
        <v>7.413819415E9</v>
      </c>
      <c r="H7" s="15">
        <v>1000.0</v>
      </c>
      <c r="I7" s="15">
        <v>18000.0</v>
      </c>
      <c r="J7" s="16">
        <v>6500.0</v>
      </c>
      <c r="K7" s="10"/>
      <c r="L7" s="15">
        <v>3000.0</v>
      </c>
      <c r="M7" s="15">
        <f t="shared" si="1"/>
        <v>22500</v>
      </c>
      <c r="N7" s="9">
        <f t="shared" si="2"/>
        <v>1000</v>
      </c>
      <c r="O7" s="9">
        <f t="shared" si="3"/>
        <v>21500</v>
      </c>
      <c r="P7" s="10" t="s">
        <v>177</v>
      </c>
      <c r="Q7" s="15">
        <v>1000.0</v>
      </c>
      <c r="R7" s="16">
        <v>2939.0</v>
      </c>
      <c r="S7" s="17">
        <v>45876.0</v>
      </c>
      <c r="T7" s="17"/>
      <c r="U7" s="17"/>
      <c r="V7" s="17"/>
      <c r="W7" s="17"/>
      <c r="X7" s="17"/>
      <c r="Y7" s="17"/>
    </row>
    <row r="8">
      <c r="A8" s="5">
        <v>9.0</v>
      </c>
      <c r="B8" s="6" t="s">
        <v>1252</v>
      </c>
      <c r="C8" s="6" t="s">
        <v>1253</v>
      </c>
      <c r="D8" s="7" t="s">
        <v>1006</v>
      </c>
      <c r="E8" s="5">
        <v>1886.0</v>
      </c>
      <c r="F8" s="10" t="s">
        <v>169</v>
      </c>
      <c r="G8" s="15">
        <v>9.799695319E9</v>
      </c>
      <c r="H8" s="15">
        <v>1000.0</v>
      </c>
      <c r="I8" s="15">
        <v>18000.0</v>
      </c>
      <c r="J8" s="16">
        <v>7000.0</v>
      </c>
      <c r="K8" s="10"/>
      <c r="L8" s="15">
        <v>4000.0</v>
      </c>
      <c r="M8" s="15">
        <f t="shared" si="1"/>
        <v>22000</v>
      </c>
      <c r="N8" s="9">
        <f t="shared" si="2"/>
        <v>10000</v>
      </c>
      <c r="O8" s="9">
        <f t="shared" si="3"/>
        <v>12000</v>
      </c>
      <c r="P8" s="10" t="s">
        <v>44</v>
      </c>
      <c r="Q8" s="15">
        <v>5000.0</v>
      </c>
      <c r="R8" s="16">
        <v>3007.0</v>
      </c>
      <c r="S8" s="10" t="s">
        <v>191</v>
      </c>
      <c r="T8" s="6">
        <v>5000.0</v>
      </c>
      <c r="U8" s="6">
        <v>3614.0</v>
      </c>
      <c r="V8" s="27">
        <v>45879.0</v>
      </c>
    </row>
    <row r="9">
      <c r="A9" s="5">
        <v>10.0</v>
      </c>
      <c r="B9" s="6" t="s">
        <v>1254</v>
      </c>
      <c r="C9" s="6" t="s">
        <v>1003</v>
      </c>
      <c r="D9" s="7" t="s">
        <v>2</v>
      </c>
      <c r="E9" s="5">
        <v>982.0</v>
      </c>
      <c r="F9" s="6" t="s">
        <v>244</v>
      </c>
      <c r="G9" s="6">
        <v>7.742346846E9</v>
      </c>
      <c r="I9" s="14">
        <v>21000.0</v>
      </c>
      <c r="J9" s="238">
        <v>5000.0</v>
      </c>
      <c r="M9" s="15">
        <f t="shared" si="1"/>
        <v>26000</v>
      </c>
      <c r="N9" s="9">
        <f t="shared" si="2"/>
        <v>5000</v>
      </c>
      <c r="O9" s="9">
        <f t="shared" si="3"/>
        <v>21000</v>
      </c>
      <c r="Q9" s="5">
        <v>5000.0</v>
      </c>
      <c r="R9" s="6">
        <v>3290.0</v>
      </c>
      <c r="S9" s="6" t="s">
        <v>761</v>
      </c>
    </row>
    <row r="10">
      <c r="A10" s="5">
        <v>11.0</v>
      </c>
      <c r="B10" s="6" t="s">
        <v>1255</v>
      </c>
      <c r="C10" s="6" t="s">
        <v>1256</v>
      </c>
      <c r="D10" s="7" t="s">
        <v>2</v>
      </c>
      <c r="E10" s="5">
        <v>1655.0</v>
      </c>
      <c r="F10" s="6" t="s">
        <v>387</v>
      </c>
      <c r="G10" s="6">
        <v>9.950209359E9</v>
      </c>
      <c r="I10" s="14">
        <v>21000.0</v>
      </c>
      <c r="J10" s="238">
        <v>9000.0</v>
      </c>
      <c r="M10" s="15">
        <f t="shared" si="1"/>
        <v>30000</v>
      </c>
      <c r="N10" s="9">
        <f t="shared" si="2"/>
        <v>0</v>
      </c>
      <c r="O10" s="9">
        <f t="shared" si="3"/>
        <v>30000</v>
      </c>
      <c r="Q10" s="9"/>
    </row>
    <row r="11">
      <c r="A11" s="5">
        <v>12.0</v>
      </c>
      <c r="B11" s="6" t="s">
        <v>143</v>
      </c>
      <c r="C11" s="6" t="s">
        <v>1257</v>
      </c>
      <c r="D11" s="7" t="s">
        <v>1006</v>
      </c>
      <c r="E11" s="5">
        <v>1430.0</v>
      </c>
      <c r="G11" s="6">
        <v>8.440093465E9</v>
      </c>
      <c r="I11" s="6">
        <v>18000.0</v>
      </c>
      <c r="J11" s="121"/>
      <c r="M11" s="15">
        <f t="shared" si="1"/>
        <v>18000</v>
      </c>
      <c r="N11" s="9">
        <f t="shared" si="2"/>
        <v>0</v>
      </c>
      <c r="O11" s="9">
        <f t="shared" si="3"/>
        <v>18000</v>
      </c>
      <c r="Q11" s="9"/>
    </row>
    <row r="12">
      <c r="A12" s="5">
        <v>14.0</v>
      </c>
      <c r="B12" s="6" t="s">
        <v>1258</v>
      </c>
      <c r="C12" s="6" t="s">
        <v>1259</v>
      </c>
      <c r="D12" s="7" t="s">
        <v>2</v>
      </c>
      <c r="E12" s="5">
        <v>1314.0</v>
      </c>
      <c r="F12" s="6" t="s">
        <v>1204</v>
      </c>
      <c r="G12" s="6">
        <v>9.649877323E9</v>
      </c>
      <c r="I12" s="14">
        <v>21000.0</v>
      </c>
      <c r="J12" s="238">
        <v>8000.0</v>
      </c>
      <c r="M12" s="15">
        <f t="shared" si="1"/>
        <v>29000</v>
      </c>
      <c r="N12" s="9">
        <f t="shared" si="2"/>
        <v>7500</v>
      </c>
      <c r="O12" s="9">
        <f t="shared" si="3"/>
        <v>21500</v>
      </c>
      <c r="Q12" s="5">
        <v>7500.0</v>
      </c>
      <c r="R12" s="6">
        <v>3735.0</v>
      </c>
      <c r="S12" s="240">
        <v>45971.0</v>
      </c>
    </row>
    <row r="13">
      <c r="A13" s="5">
        <v>15.0</v>
      </c>
      <c r="B13" s="6" t="s">
        <v>1260</v>
      </c>
      <c r="C13" s="6" t="s">
        <v>1261</v>
      </c>
      <c r="D13" s="7" t="s">
        <v>1006</v>
      </c>
      <c r="E13" s="5">
        <v>1373.0</v>
      </c>
      <c r="F13" s="10" t="s">
        <v>165</v>
      </c>
      <c r="G13" s="15">
        <v>9.799778199E9</v>
      </c>
      <c r="H13" s="15">
        <v>0.0</v>
      </c>
      <c r="I13" s="6">
        <v>18000.0</v>
      </c>
      <c r="J13" s="16">
        <v>7000.0</v>
      </c>
      <c r="K13" s="10"/>
      <c r="L13" s="15">
        <v>4000.0</v>
      </c>
      <c r="M13" s="15">
        <f t="shared" si="1"/>
        <v>21000</v>
      </c>
      <c r="N13" s="9">
        <f t="shared" si="2"/>
        <v>21000</v>
      </c>
      <c r="O13" s="9">
        <f t="shared" si="3"/>
        <v>0</v>
      </c>
      <c r="P13" s="10" t="s">
        <v>44</v>
      </c>
      <c r="Q13" s="5">
        <v>21000.0</v>
      </c>
      <c r="R13" s="6">
        <v>3233.0</v>
      </c>
      <c r="S13" s="6" t="s">
        <v>220</v>
      </c>
    </row>
    <row r="14">
      <c r="A14" s="5">
        <v>16.0</v>
      </c>
      <c r="B14" s="6" t="s">
        <v>1262</v>
      </c>
      <c r="C14" s="6" t="s">
        <v>1263</v>
      </c>
      <c r="D14" s="7" t="s">
        <v>1006</v>
      </c>
      <c r="E14" s="5">
        <v>1726.0</v>
      </c>
      <c r="G14" s="6">
        <v>7.742288611E9</v>
      </c>
      <c r="I14" s="6">
        <v>18000.0</v>
      </c>
      <c r="J14" s="121"/>
      <c r="M14" s="15">
        <f t="shared" si="1"/>
        <v>18000</v>
      </c>
      <c r="N14" s="9">
        <f t="shared" si="2"/>
        <v>0</v>
      </c>
      <c r="O14" s="9">
        <f t="shared" si="3"/>
        <v>18000</v>
      </c>
      <c r="Q14" s="9"/>
    </row>
    <row r="15">
      <c r="A15" s="5">
        <v>17.0</v>
      </c>
      <c r="B15" s="6" t="s">
        <v>1264</v>
      </c>
      <c r="C15" s="6" t="s">
        <v>1265</v>
      </c>
      <c r="D15" s="7" t="s">
        <v>1006</v>
      </c>
      <c r="E15" s="5">
        <v>1380.0</v>
      </c>
      <c r="F15" s="10" t="s">
        <v>534</v>
      </c>
      <c r="G15" s="15">
        <v>9.664382323E9</v>
      </c>
      <c r="H15" s="15">
        <v>0.0</v>
      </c>
      <c r="I15" s="6">
        <v>18000.0</v>
      </c>
      <c r="J15" s="16">
        <v>5000.0</v>
      </c>
      <c r="K15" s="10"/>
      <c r="L15" s="15">
        <v>2000.0</v>
      </c>
      <c r="M15" s="15">
        <f t="shared" si="1"/>
        <v>21000</v>
      </c>
      <c r="N15" s="9">
        <f t="shared" si="2"/>
        <v>16000</v>
      </c>
      <c r="O15" s="9">
        <f t="shared" si="3"/>
        <v>5000</v>
      </c>
      <c r="P15" s="10" t="s">
        <v>131</v>
      </c>
      <c r="Q15" s="15">
        <v>8000.0</v>
      </c>
      <c r="R15" s="16">
        <v>3024.0</v>
      </c>
      <c r="S15" s="10" t="s">
        <v>290</v>
      </c>
      <c r="T15" s="6">
        <v>8000.0</v>
      </c>
      <c r="U15" s="6">
        <v>3720.0</v>
      </c>
      <c r="V15" s="6" t="s">
        <v>1266</v>
      </c>
    </row>
    <row r="16">
      <c r="A16" s="5">
        <v>18.0</v>
      </c>
      <c r="B16" s="6" t="s">
        <v>1267</v>
      </c>
      <c r="C16" s="6" t="s">
        <v>1268</v>
      </c>
      <c r="D16" s="7" t="s">
        <v>1006</v>
      </c>
      <c r="E16" s="5">
        <v>1375.0</v>
      </c>
      <c r="F16" s="10" t="s">
        <v>474</v>
      </c>
      <c r="G16" s="15">
        <v>9.602178025E9</v>
      </c>
      <c r="H16" s="15">
        <v>0.0</v>
      </c>
      <c r="I16" s="6">
        <v>18000.0</v>
      </c>
      <c r="J16" s="16">
        <v>5000.0</v>
      </c>
      <c r="K16" s="10"/>
      <c r="L16" s="15">
        <v>5000.0</v>
      </c>
      <c r="M16" s="15">
        <f t="shared" si="1"/>
        <v>18000</v>
      </c>
      <c r="N16" s="9">
        <f t="shared" si="2"/>
        <v>12500</v>
      </c>
      <c r="O16" s="9">
        <f t="shared" si="3"/>
        <v>5500</v>
      </c>
      <c r="P16" s="10" t="s">
        <v>159</v>
      </c>
      <c r="Q16" s="5">
        <v>5000.0</v>
      </c>
      <c r="R16" s="6">
        <v>3277.0</v>
      </c>
      <c r="S16" s="6" t="s">
        <v>727</v>
      </c>
      <c r="T16" s="6">
        <v>2500.0</v>
      </c>
      <c r="U16" s="6">
        <v>3809.0</v>
      </c>
      <c r="V16" s="27">
        <v>45911.0</v>
      </c>
      <c r="W16" s="6">
        <v>5000.0</v>
      </c>
      <c r="X16" s="6">
        <v>4046.0</v>
      </c>
      <c r="Y16" s="6" t="s">
        <v>207</v>
      </c>
    </row>
    <row r="17">
      <c r="A17" s="5">
        <v>19.0</v>
      </c>
      <c r="B17" s="6" t="s">
        <v>1269</v>
      </c>
      <c r="C17" s="6" t="s">
        <v>1270</v>
      </c>
      <c r="D17" s="7" t="s">
        <v>1006</v>
      </c>
      <c r="E17" s="5">
        <v>1868.0</v>
      </c>
      <c r="F17" s="10" t="s">
        <v>652</v>
      </c>
      <c r="G17" s="15">
        <v>7.427864918E9</v>
      </c>
      <c r="H17" s="15">
        <v>1000.0</v>
      </c>
      <c r="I17" s="6">
        <v>18000.0</v>
      </c>
      <c r="J17" s="228"/>
      <c r="K17" s="10"/>
      <c r="L17" s="15">
        <v>9000.0</v>
      </c>
      <c r="M17" s="15">
        <f t="shared" si="1"/>
        <v>10000</v>
      </c>
      <c r="N17" s="9">
        <f t="shared" si="2"/>
        <v>7700</v>
      </c>
      <c r="O17" s="9">
        <f t="shared" si="3"/>
        <v>2300</v>
      </c>
      <c r="P17" s="10" t="s">
        <v>44</v>
      </c>
      <c r="Q17" s="5">
        <v>2700.0</v>
      </c>
      <c r="R17" s="6">
        <v>3414.0</v>
      </c>
      <c r="S17" s="6" t="s">
        <v>1036</v>
      </c>
      <c r="T17" s="6">
        <v>5000.0</v>
      </c>
      <c r="U17" s="6">
        <v>4067.0</v>
      </c>
      <c r="V17" s="27">
        <v>45669.0</v>
      </c>
    </row>
    <row r="18">
      <c r="A18" s="5">
        <v>20.0</v>
      </c>
      <c r="B18" s="6" t="s">
        <v>1271</v>
      </c>
      <c r="C18" s="6" t="s">
        <v>1272</v>
      </c>
      <c r="D18" s="7" t="s">
        <v>1006</v>
      </c>
      <c r="E18" s="5">
        <v>1378.0</v>
      </c>
      <c r="F18" s="10" t="s">
        <v>169</v>
      </c>
      <c r="G18" s="15">
        <v>9.950202969E9</v>
      </c>
      <c r="H18" s="15">
        <v>0.0</v>
      </c>
      <c r="I18" s="6">
        <v>18000.0</v>
      </c>
      <c r="J18" s="16">
        <v>7000.0</v>
      </c>
      <c r="K18" s="10"/>
      <c r="L18" s="15">
        <v>5000.0</v>
      </c>
      <c r="M18" s="15">
        <f t="shared" si="1"/>
        <v>20000</v>
      </c>
      <c r="N18" s="9">
        <f t="shared" si="2"/>
        <v>10000</v>
      </c>
      <c r="O18" s="9">
        <f t="shared" si="3"/>
        <v>10000</v>
      </c>
      <c r="P18" s="10" t="s">
        <v>159</v>
      </c>
      <c r="Q18" s="15">
        <v>10000.0</v>
      </c>
      <c r="R18" s="16">
        <v>2926.0</v>
      </c>
      <c r="S18" s="17">
        <v>45845.0</v>
      </c>
    </row>
    <row r="19">
      <c r="A19" s="5">
        <v>21.0</v>
      </c>
      <c r="B19" s="6" t="s">
        <v>803</v>
      </c>
      <c r="C19" s="6" t="s">
        <v>1273</v>
      </c>
      <c r="D19" s="7" t="s">
        <v>1006</v>
      </c>
      <c r="E19" s="5">
        <v>1603.0</v>
      </c>
      <c r="G19" s="6">
        <v>7.56822941E9</v>
      </c>
      <c r="I19" s="6">
        <v>18000.0</v>
      </c>
      <c r="J19" s="121"/>
      <c r="L19" s="6">
        <v>18000.0</v>
      </c>
      <c r="M19" s="15">
        <f t="shared" si="1"/>
        <v>0</v>
      </c>
      <c r="N19" s="9">
        <f t="shared" si="2"/>
        <v>0</v>
      </c>
      <c r="O19" s="9">
        <f t="shared" si="3"/>
        <v>0</v>
      </c>
      <c r="P19" s="6" t="s">
        <v>34</v>
      </c>
      <c r="Q19" s="9"/>
    </row>
    <row r="20">
      <c r="A20" s="5">
        <v>22.0</v>
      </c>
      <c r="B20" s="6" t="s">
        <v>1274</v>
      </c>
      <c r="C20" s="6" t="s">
        <v>538</v>
      </c>
      <c r="D20" s="7" t="s">
        <v>1006</v>
      </c>
      <c r="E20" s="5">
        <v>1431.0</v>
      </c>
      <c r="G20" s="6">
        <v>9.460974225E9</v>
      </c>
      <c r="I20" s="6">
        <v>18000.0</v>
      </c>
      <c r="J20" s="121"/>
      <c r="M20" s="15">
        <f t="shared" si="1"/>
        <v>18000</v>
      </c>
      <c r="N20" s="9">
        <f t="shared" si="2"/>
        <v>0</v>
      </c>
      <c r="O20" s="9">
        <f t="shared" si="3"/>
        <v>18000</v>
      </c>
      <c r="Q20" s="9"/>
    </row>
    <row r="21">
      <c r="A21" s="5">
        <v>23.0</v>
      </c>
      <c r="B21" s="6" t="s">
        <v>1275</v>
      </c>
      <c r="C21" s="6" t="s">
        <v>1009</v>
      </c>
      <c r="D21" s="7" t="s">
        <v>1006</v>
      </c>
      <c r="E21" s="5">
        <v>1494.0</v>
      </c>
      <c r="F21" s="6" t="s">
        <v>1010</v>
      </c>
      <c r="G21" s="6">
        <v>9.784188024E9</v>
      </c>
      <c r="I21" s="6">
        <v>18000.0</v>
      </c>
      <c r="J21" s="238">
        <v>8000.0</v>
      </c>
      <c r="L21" s="6">
        <v>2500.0</v>
      </c>
      <c r="M21" s="15">
        <f t="shared" si="1"/>
        <v>23500</v>
      </c>
      <c r="N21" s="9">
        <f t="shared" si="2"/>
        <v>6500</v>
      </c>
      <c r="O21" s="9">
        <f t="shared" si="3"/>
        <v>17000</v>
      </c>
      <c r="Q21" s="5">
        <v>6500.0</v>
      </c>
      <c r="R21" s="6">
        <v>3854.0</v>
      </c>
      <c r="S21" s="240">
        <v>45941.0</v>
      </c>
    </row>
    <row r="22">
      <c r="A22" s="5">
        <v>24.0</v>
      </c>
      <c r="B22" s="6" t="s">
        <v>1276</v>
      </c>
      <c r="C22" s="6" t="s">
        <v>1277</v>
      </c>
      <c r="D22" s="7" t="s">
        <v>1006</v>
      </c>
      <c r="E22" s="5">
        <v>1511.0</v>
      </c>
      <c r="F22" s="10" t="s">
        <v>165</v>
      </c>
      <c r="G22" s="15">
        <v>8.107695184E9</v>
      </c>
      <c r="H22" s="15">
        <v>0.0</v>
      </c>
      <c r="I22" s="6">
        <v>18000.0</v>
      </c>
      <c r="J22" s="16">
        <v>7000.0</v>
      </c>
      <c r="K22" s="10"/>
      <c r="L22" s="15">
        <v>18000.0</v>
      </c>
      <c r="M22" s="15">
        <f t="shared" si="1"/>
        <v>7000</v>
      </c>
      <c r="N22" s="9">
        <f t="shared" si="2"/>
        <v>7000</v>
      </c>
      <c r="O22" s="9">
        <f t="shared" si="3"/>
        <v>0</v>
      </c>
      <c r="P22" s="10" t="s">
        <v>1278</v>
      </c>
      <c r="Q22" s="5">
        <v>7000.0</v>
      </c>
      <c r="R22" s="6">
        <v>3453.0</v>
      </c>
      <c r="S22" s="6" t="s">
        <v>1279</v>
      </c>
    </row>
    <row r="23">
      <c r="A23" s="5">
        <v>25.0</v>
      </c>
      <c r="B23" s="6" t="s">
        <v>1280</v>
      </c>
      <c r="C23" s="6" t="s">
        <v>1281</v>
      </c>
      <c r="D23" s="7" t="s">
        <v>1006</v>
      </c>
      <c r="E23" s="5">
        <v>1722.0</v>
      </c>
      <c r="G23" s="6">
        <v>8.239901144E9</v>
      </c>
      <c r="I23" s="6">
        <v>18000.0</v>
      </c>
      <c r="J23" s="121"/>
      <c r="M23" s="15">
        <f t="shared" si="1"/>
        <v>18000</v>
      </c>
      <c r="N23" s="9">
        <f t="shared" si="2"/>
        <v>5000</v>
      </c>
      <c r="O23" s="9">
        <f t="shared" si="3"/>
        <v>13000</v>
      </c>
      <c r="Q23" s="5">
        <v>5000.0</v>
      </c>
      <c r="R23" s="6">
        <v>3511.0</v>
      </c>
      <c r="S23" s="27">
        <v>45757.0</v>
      </c>
    </row>
    <row r="24">
      <c r="A24" s="5">
        <v>26.0</v>
      </c>
      <c r="B24" s="6" t="s">
        <v>1282</v>
      </c>
      <c r="C24" s="6" t="s">
        <v>1283</v>
      </c>
      <c r="D24" s="7" t="s">
        <v>1006</v>
      </c>
      <c r="E24" s="5">
        <v>1558.0</v>
      </c>
      <c r="F24" s="10" t="s">
        <v>301</v>
      </c>
      <c r="G24" s="15">
        <v>8.107059415E9</v>
      </c>
      <c r="H24" s="250"/>
      <c r="I24" s="244">
        <v>18000.0</v>
      </c>
      <c r="J24" s="251">
        <v>5000.0</v>
      </c>
      <c r="K24" s="250"/>
      <c r="L24" s="250"/>
      <c r="M24" s="15">
        <f t="shared" si="1"/>
        <v>23000</v>
      </c>
      <c r="N24" s="9">
        <f t="shared" si="2"/>
        <v>11500</v>
      </c>
      <c r="O24" s="9">
        <f t="shared" si="3"/>
        <v>11500</v>
      </c>
      <c r="P24" s="250"/>
      <c r="Q24" s="252">
        <v>5000.0</v>
      </c>
      <c r="R24" s="253">
        <v>3010.0</v>
      </c>
      <c r="S24" s="250" t="s">
        <v>370</v>
      </c>
      <c r="T24" s="6">
        <v>6500.0</v>
      </c>
      <c r="U24" s="6">
        <v>3361.0</v>
      </c>
      <c r="V24" s="27">
        <v>45725.0</v>
      </c>
    </row>
    <row r="25">
      <c r="A25" s="5">
        <v>27.0</v>
      </c>
      <c r="B25" s="6" t="s">
        <v>1284</v>
      </c>
      <c r="C25" s="6" t="s">
        <v>1285</v>
      </c>
      <c r="D25" s="254" t="s">
        <v>1006</v>
      </c>
      <c r="E25" s="9"/>
      <c r="F25" s="6" t="s">
        <v>1286</v>
      </c>
      <c r="G25" s="6">
        <v>7.728870672E9</v>
      </c>
      <c r="H25" s="244">
        <v>1000.0</v>
      </c>
      <c r="I25" s="244">
        <v>18000.0</v>
      </c>
      <c r="J25" s="241">
        <v>6500.0</v>
      </c>
      <c r="K25" s="242"/>
      <c r="L25" s="244">
        <v>2500.0</v>
      </c>
      <c r="M25" s="15">
        <f t="shared" si="1"/>
        <v>23000</v>
      </c>
      <c r="N25" s="9">
        <f t="shared" si="2"/>
        <v>10000</v>
      </c>
      <c r="O25" s="9">
        <f t="shared" si="3"/>
        <v>13000</v>
      </c>
      <c r="P25" s="242"/>
      <c r="Q25" s="255">
        <v>5000.0</v>
      </c>
      <c r="R25" s="244">
        <v>3334.0</v>
      </c>
      <c r="S25" s="244" t="s">
        <v>241</v>
      </c>
      <c r="T25" s="6">
        <v>5000.0</v>
      </c>
      <c r="U25" s="6">
        <v>3737.0</v>
      </c>
      <c r="V25" s="6" t="s">
        <v>291</v>
      </c>
    </row>
    <row r="26">
      <c r="A26" s="5">
        <v>28.0</v>
      </c>
      <c r="B26" s="6" t="s">
        <v>1287</v>
      </c>
      <c r="C26" s="6" t="s">
        <v>1288</v>
      </c>
      <c r="D26" s="7" t="s">
        <v>1006</v>
      </c>
      <c r="E26" s="5">
        <v>1383.0</v>
      </c>
      <c r="G26" s="6">
        <v>8.504868459E9</v>
      </c>
      <c r="H26" s="242"/>
      <c r="I26" s="244">
        <v>18000.0</v>
      </c>
      <c r="J26" s="256"/>
      <c r="K26" s="242"/>
      <c r="L26" s="242"/>
      <c r="M26" s="15">
        <f t="shared" si="1"/>
        <v>18000</v>
      </c>
      <c r="N26" s="9">
        <f t="shared" si="2"/>
        <v>15000</v>
      </c>
      <c r="O26" s="9">
        <f t="shared" si="3"/>
        <v>3000</v>
      </c>
      <c r="P26" s="242"/>
      <c r="Q26" s="255">
        <v>5000.0</v>
      </c>
      <c r="R26" s="244">
        <v>3340.0</v>
      </c>
      <c r="S26" s="244" t="s">
        <v>1289</v>
      </c>
      <c r="T26" s="6">
        <v>5000.0</v>
      </c>
      <c r="U26" s="6">
        <v>3440.0</v>
      </c>
      <c r="V26" s="6" t="s">
        <v>1289</v>
      </c>
      <c r="W26" s="6">
        <v>5000.0</v>
      </c>
      <c r="X26" s="6">
        <v>3851.0</v>
      </c>
      <c r="Y26" s="240">
        <v>45941.0</v>
      </c>
    </row>
    <row r="27">
      <c r="A27" s="5">
        <v>30.0</v>
      </c>
      <c r="B27" s="6" t="s">
        <v>1290</v>
      </c>
      <c r="C27" s="6" t="s">
        <v>1291</v>
      </c>
      <c r="D27" s="7" t="s">
        <v>1006</v>
      </c>
      <c r="E27" s="5">
        <v>1379.0</v>
      </c>
      <c r="F27" s="6" t="s">
        <v>340</v>
      </c>
      <c r="G27" s="6">
        <v>9.680186482E9</v>
      </c>
      <c r="H27" s="6">
        <v>0.0</v>
      </c>
      <c r="I27" s="6">
        <v>18000.0</v>
      </c>
      <c r="J27" s="238">
        <v>8000.0</v>
      </c>
      <c r="L27" s="6">
        <v>4000.0</v>
      </c>
      <c r="M27" s="15">
        <f t="shared" si="1"/>
        <v>22000</v>
      </c>
      <c r="N27" s="9">
        <f t="shared" si="2"/>
        <v>20000</v>
      </c>
      <c r="O27" s="9">
        <f t="shared" si="3"/>
        <v>2000</v>
      </c>
      <c r="P27" s="6" t="s">
        <v>44</v>
      </c>
      <c r="Q27" s="5">
        <v>10000.0</v>
      </c>
      <c r="R27" s="6">
        <v>3278.0</v>
      </c>
      <c r="S27" s="6" t="s">
        <v>761</v>
      </c>
      <c r="T27" s="6">
        <v>10000.0</v>
      </c>
      <c r="U27" s="6">
        <v>3944.0</v>
      </c>
      <c r="V27" s="6" t="s">
        <v>132</v>
      </c>
    </row>
    <row r="28">
      <c r="A28" s="5">
        <v>31.0</v>
      </c>
      <c r="B28" s="6" t="s">
        <v>1292</v>
      </c>
      <c r="C28" s="6" t="s">
        <v>1293</v>
      </c>
      <c r="D28" s="7" t="s">
        <v>1006</v>
      </c>
      <c r="E28" s="5">
        <v>1316.0</v>
      </c>
      <c r="F28" s="6" t="s">
        <v>1294</v>
      </c>
      <c r="I28" s="6">
        <v>18000.0</v>
      </c>
      <c r="J28" s="121"/>
      <c r="M28" s="15">
        <f t="shared" si="1"/>
        <v>18000</v>
      </c>
      <c r="N28" s="9">
        <f t="shared" si="2"/>
        <v>10000</v>
      </c>
      <c r="O28" s="9">
        <f t="shared" si="3"/>
        <v>8000</v>
      </c>
      <c r="Q28" s="5">
        <v>5000.0</v>
      </c>
      <c r="R28" s="6">
        <v>3281.0</v>
      </c>
      <c r="S28" s="6" t="s">
        <v>761</v>
      </c>
      <c r="T28" s="6">
        <v>5000.0</v>
      </c>
      <c r="U28" s="6">
        <v>3892.0</v>
      </c>
      <c r="V28" s="6" t="s">
        <v>926</v>
      </c>
    </row>
    <row r="29">
      <c r="A29" s="5">
        <v>32.0</v>
      </c>
      <c r="B29" s="6" t="s">
        <v>1295</v>
      </c>
      <c r="C29" s="6" t="s">
        <v>1296</v>
      </c>
      <c r="D29" s="7" t="s">
        <v>1006</v>
      </c>
      <c r="E29" s="5">
        <v>1986.0</v>
      </c>
      <c r="F29" s="10" t="s">
        <v>205</v>
      </c>
      <c r="G29" s="14">
        <v>9.024566742E9</v>
      </c>
      <c r="H29" s="10"/>
      <c r="I29" s="6">
        <v>18000.0</v>
      </c>
      <c r="J29" s="16"/>
      <c r="K29" s="10"/>
      <c r="L29" s="10"/>
      <c r="M29" s="15">
        <f t="shared" si="1"/>
        <v>18000</v>
      </c>
      <c r="N29" s="9">
        <f t="shared" si="2"/>
        <v>16000</v>
      </c>
      <c r="O29" s="9">
        <f t="shared" si="3"/>
        <v>2000</v>
      </c>
      <c r="P29" s="10"/>
      <c r="Q29" s="15">
        <v>8000.0</v>
      </c>
      <c r="R29" s="16">
        <v>3132.0</v>
      </c>
      <c r="S29" s="17">
        <v>45908.0</v>
      </c>
      <c r="T29" s="6">
        <v>8000.0</v>
      </c>
      <c r="U29" s="6">
        <v>4035.0</v>
      </c>
      <c r="V29" s="6" t="s">
        <v>261</v>
      </c>
    </row>
    <row r="30">
      <c r="A30" s="257">
        <v>33.0</v>
      </c>
      <c r="B30" s="258" t="s">
        <v>1297</v>
      </c>
      <c r="C30" s="258" t="s">
        <v>1298</v>
      </c>
      <c r="D30" s="259" t="s">
        <v>2</v>
      </c>
      <c r="E30" s="257">
        <v>1627.0</v>
      </c>
      <c r="F30" s="258" t="s">
        <v>1299</v>
      </c>
      <c r="G30" s="258">
        <v>7.728041775E9</v>
      </c>
      <c r="H30" s="68"/>
      <c r="I30" s="260">
        <v>21000.0</v>
      </c>
      <c r="J30" s="261">
        <v>8000.0</v>
      </c>
      <c r="K30" s="68"/>
      <c r="L30" s="68"/>
      <c r="M30" s="15">
        <f t="shared" si="1"/>
        <v>29000</v>
      </c>
      <c r="N30" s="9">
        <f t="shared" si="2"/>
        <v>5000</v>
      </c>
      <c r="O30" s="9">
        <f t="shared" si="3"/>
        <v>24000</v>
      </c>
      <c r="P30" s="68"/>
      <c r="Q30" s="257">
        <v>5000.0</v>
      </c>
      <c r="R30" s="258">
        <v>3616.0</v>
      </c>
      <c r="S30" s="262">
        <v>45879.0</v>
      </c>
      <c r="T30" s="68"/>
      <c r="U30" s="68"/>
      <c r="V30" s="68"/>
      <c r="W30" s="68"/>
      <c r="X30" s="68"/>
      <c r="Y30" s="68"/>
      <c r="Z30" s="68"/>
    </row>
    <row r="31">
      <c r="A31" s="5">
        <v>34.0</v>
      </c>
      <c r="B31" s="6" t="s">
        <v>1300</v>
      </c>
      <c r="C31" s="6" t="s">
        <v>833</v>
      </c>
      <c r="D31" s="7" t="s">
        <v>2</v>
      </c>
      <c r="E31" s="5">
        <v>1625.0</v>
      </c>
      <c r="F31" s="6" t="s">
        <v>1299</v>
      </c>
      <c r="G31" s="6">
        <v>9.521341884E9</v>
      </c>
      <c r="I31" s="14">
        <v>21000.0</v>
      </c>
      <c r="J31" s="238">
        <v>8500.0</v>
      </c>
      <c r="K31" s="6">
        <v>0.0</v>
      </c>
      <c r="L31" s="6">
        <v>5500.0</v>
      </c>
      <c r="M31" s="15">
        <f t="shared" si="1"/>
        <v>24000</v>
      </c>
      <c r="N31" s="9">
        <f t="shared" si="2"/>
        <v>5000</v>
      </c>
      <c r="O31" s="9">
        <f t="shared" si="3"/>
        <v>19000</v>
      </c>
      <c r="P31" s="6" t="s">
        <v>44</v>
      </c>
      <c r="Q31" s="5">
        <v>5000.0</v>
      </c>
      <c r="R31" s="6">
        <v>3637.0</v>
      </c>
      <c r="S31" s="27">
        <v>45879.0</v>
      </c>
    </row>
    <row r="32">
      <c r="A32" s="5">
        <v>35.0</v>
      </c>
      <c r="B32" s="6" t="s">
        <v>1301</v>
      </c>
      <c r="C32" s="6" t="s">
        <v>1302</v>
      </c>
      <c r="D32" s="7" t="s">
        <v>2</v>
      </c>
      <c r="E32" s="5">
        <v>1382.0</v>
      </c>
      <c r="F32" s="6" t="s">
        <v>474</v>
      </c>
      <c r="G32" s="6">
        <v>9.875718439E9</v>
      </c>
      <c r="H32" s="242"/>
      <c r="I32" s="263">
        <v>21000.0</v>
      </c>
      <c r="J32" s="241">
        <v>5000.0</v>
      </c>
      <c r="K32" s="242"/>
      <c r="L32" s="242"/>
      <c r="M32" s="15">
        <f t="shared" si="1"/>
        <v>26000</v>
      </c>
      <c r="N32" s="9">
        <f t="shared" si="2"/>
        <v>5000</v>
      </c>
      <c r="O32" s="9">
        <f t="shared" si="3"/>
        <v>21000</v>
      </c>
      <c r="P32" s="242"/>
      <c r="Q32" s="255">
        <v>5000.0</v>
      </c>
      <c r="R32" s="244">
        <v>3313.0</v>
      </c>
      <c r="S32" s="244" t="s">
        <v>321</v>
      </c>
    </row>
    <row r="33">
      <c r="A33" s="5">
        <v>36.0</v>
      </c>
      <c r="B33" s="6" t="s">
        <v>1303</v>
      </c>
      <c r="C33" s="6" t="s">
        <v>1304</v>
      </c>
      <c r="D33" s="7" t="s">
        <v>1006</v>
      </c>
      <c r="E33" s="5">
        <v>1999.0</v>
      </c>
      <c r="F33" s="10" t="s">
        <v>1305</v>
      </c>
      <c r="G33" s="15">
        <v>9.352742507E9</v>
      </c>
      <c r="H33" s="15">
        <v>1000.0</v>
      </c>
      <c r="I33" s="6">
        <v>18000.0</v>
      </c>
      <c r="J33" s="16">
        <v>6500.0</v>
      </c>
      <c r="K33" s="10"/>
      <c r="L33" s="15">
        <v>3000.0</v>
      </c>
      <c r="M33" s="15">
        <f t="shared" si="1"/>
        <v>22500</v>
      </c>
      <c r="N33" s="9">
        <f t="shared" si="2"/>
        <v>9000</v>
      </c>
      <c r="O33" s="9">
        <f t="shared" si="3"/>
        <v>13500</v>
      </c>
      <c r="P33" s="10" t="s">
        <v>159</v>
      </c>
      <c r="Q33" s="5">
        <v>4500.0</v>
      </c>
      <c r="R33" s="6">
        <v>3691.0</v>
      </c>
      <c r="S33" s="240">
        <v>45940.0</v>
      </c>
      <c r="T33" s="6">
        <v>4500.0</v>
      </c>
      <c r="U33" s="6">
        <v>3901.0</v>
      </c>
      <c r="V33" s="6" t="s">
        <v>171</v>
      </c>
      <c r="Z33" s="17"/>
    </row>
    <row r="34">
      <c r="A34" s="5">
        <v>37.0</v>
      </c>
      <c r="B34" s="6" t="s">
        <v>1306</v>
      </c>
      <c r="C34" s="6" t="s">
        <v>800</v>
      </c>
      <c r="D34" s="7" t="s">
        <v>1006</v>
      </c>
      <c r="E34" s="5">
        <v>1850.0</v>
      </c>
      <c r="F34" s="10" t="s">
        <v>1307</v>
      </c>
      <c r="G34" s="15">
        <v>6.378734702E9</v>
      </c>
      <c r="H34" s="15">
        <v>1000.0</v>
      </c>
      <c r="I34" s="6">
        <v>18000.0</v>
      </c>
      <c r="J34" s="16">
        <v>8500.0</v>
      </c>
      <c r="K34" s="10"/>
      <c r="L34" s="15">
        <v>4500.0</v>
      </c>
      <c r="M34" s="15">
        <f t="shared" si="1"/>
        <v>23000</v>
      </c>
      <c r="N34" s="9">
        <f t="shared" si="2"/>
        <v>14000</v>
      </c>
      <c r="O34" s="9">
        <f t="shared" si="3"/>
        <v>9000</v>
      </c>
      <c r="P34" s="10" t="s">
        <v>131</v>
      </c>
      <c r="Q34" s="15">
        <v>2000.0</v>
      </c>
      <c r="R34" s="16">
        <v>2921.0</v>
      </c>
      <c r="S34" s="17">
        <v>45845.0</v>
      </c>
      <c r="T34" s="228">
        <v>10000.0</v>
      </c>
      <c r="U34" s="228">
        <v>3714.0</v>
      </c>
      <c r="V34" s="229">
        <v>45940.0</v>
      </c>
      <c r="W34" s="228">
        <v>2000.0</v>
      </c>
      <c r="X34" s="228">
        <v>3982.0</v>
      </c>
      <c r="Y34" s="228" t="s">
        <v>132</v>
      </c>
    </row>
    <row r="35">
      <c r="A35" s="5">
        <v>38.0</v>
      </c>
      <c r="B35" s="6" t="s">
        <v>1308</v>
      </c>
      <c r="C35" s="6" t="s">
        <v>847</v>
      </c>
      <c r="D35" s="7" t="s">
        <v>1006</v>
      </c>
      <c r="E35" s="5">
        <v>1788.0</v>
      </c>
      <c r="F35" s="6" t="s">
        <v>652</v>
      </c>
      <c r="G35" s="6">
        <v>9.929094982E9</v>
      </c>
      <c r="I35" s="6">
        <v>21000.0</v>
      </c>
      <c r="J35" s="238">
        <v>8000.0</v>
      </c>
      <c r="L35" s="6">
        <v>3000.0</v>
      </c>
      <c r="M35" s="15">
        <f t="shared" si="1"/>
        <v>26000</v>
      </c>
      <c r="N35" s="9">
        <f t="shared" si="2"/>
        <v>0</v>
      </c>
      <c r="O35" s="9">
        <f t="shared" si="3"/>
        <v>26000</v>
      </c>
      <c r="P35" s="6" t="s">
        <v>44</v>
      </c>
      <c r="Q35" s="9"/>
    </row>
    <row r="36">
      <c r="A36" s="5">
        <v>39.0</v>
      </c>
      <c r="B36" s="6" t="s">
        <v>1309</v>
      </c>
      <c r="C36" s="6" t="s">
        <v>641</v>
      </c>
      <c r="D36" s="7" t="s">
        <v>1006</v>
      </c>
      <c r="E36" s="5">
        <v>1340.0</v>
      </c>
      <c r="G36" s="6">
        <v>8.000420581E9</v>
      </c>
      <c r="I36" s="6">
        <v>18000.0</v>
      </c>
      <c r="J36" s="121"/>
      <c r="M36" s="15">
        <f t="shared" si="1"/>
        <v>18000</v>
      </c>
      <c r="N36" s="9">
        <f t="shared" si="2"/>
        <v>0</v>
      </c>
      <c r="O36" s="9">
        <f t="shared" si="3"/>
        <v>18000</v>
      </c>
      <c r="Q36" s="9"/>
    </row>
    <row r="37">
      <c r="A37" s="5">
        <v>40.0</v>
      </c>
      <c r="B37" s="6" t="s">
        <v>1310</v>
      </c>
      <c r="C37" s="6" t="s">
        <v>351</v>
      </c>
      <c r="D37" s="7" t="s">
        <v>1006</v>
      </c>
      <c r="E37" s="5">
        <v>1164.0</v>
      </c>
      <c r="G37" s="6">
        <v>9.929768648E9</v>
      </c>
      <c r="I37" s="6">
        <v>18000.0</v>
      </c>
      <c r="J37" s="121"/>
      <c r="M37" s="15">
        <f t="shared" si="1"/>
        <v>18000</v>
      </c>
      <c r="N37" s="9">
        <f t="shared" si="2"/>
        <v>4000</v>
      </c>
      <c r="O37" s="9">
        <f t="shared" si="3"/>
        <v>14000</v>
      </c>
      <c r="Q37" s="5">
        <v>4000.0</v>
      </c>
      <c r="R37" s="6">
        <v>3797.0</v>
      </c>
      <c r="S37" s="27">
        <v>45880.0</v>
      </c>
    </row>
    <row r="38">
      <c r="A38" s="5">
        <v>41.0</v>
      </c>
      <c r="B38" s="6" t="s">
        <v>1311</v>
      </c>
      <c r="C38" s="6" t="s">
        <v>1312</v>
      </c>
      <c r="D38" s="7" t="s">
        <v>1006</v>
      </c>
      <c r="E38" s="5">
        <v>1432.0</v>
      </c>
      <c r="G38" s="6">
        <v>9.950503358E9</v>
      </c>
      <c r="I38" s="6">
        <v>18000.0</v>
      </c>
      <c r="J38" s="121"/>
      <c r="M38" s="15">
        <f t="shared" si="1"/>
        <v>18000</v>
      </c>
      <c r="N38" s="9">
        <f t="shared" si="2"/>
        <v>0</v>
      </c>
      <c r="O38" s="9">
        <f t="shared" si="3"/>
        <v>18000</v>
      </c>
      <c r="Q38" s="9"/>
      <c r="Z38" s="17"/>
    </row>
    <row r="39">
      <c r="A39" s="5">
        <v>42.0</v>
      </c>
      <c r="B39" s="6" t="s">
        <v>1313</v>
      </c>
      <c r="C39" s="6" t="s">
        <v>1314</v>
      </c>
      <c r="D39" s="7" t="s">
        <v>1006</v>
      </c>
      <c r="E39" s="5">
        <v>1848.0</v>
      </c>
      <c r="F39" s="10" t="s">
        <v>436</v>
      </c>
      <c r="G39" s="15">
        <v>8.306627046E9</v>
      </c>
      <c r="H39" s="15">
        <v>1000.0</v>
      </c>
      <c r="I39" s="6">
        <v>18000.0</v>
      </c>
      <c r="J39" s="16">
        <v>10000.0</v>
      </c>
      <c r="K39" s="10"/>
      <c r="L39" s="15">
        <v>3000.0</v>
      </c>
      <c r="M39" s="15">
        <f t="shared" si="1"/>
        <v>26000</v>
      </c>
      <c r="N39" s="9">
        <f t="shared" si="2"/>
        <v>20000</v>
      </c>
      <c r="O39" s="9">
        <f t="shared" si="3"/>
        <v>6000</v>
      </c>
      <c r="P39" s="10" t="s">
        <v>44</v>
      </c>
      <c r="Q39" s="15">
        <v>5000.0</v>
      </c>
      <c r="R39" s="16">
        <v>2955.0</v>
      </c>
      <c r="S39" s="17">
        <v>45907.0</v>
      </c>
      <c r="T39" s="228">
        <v>10000.0</v>
      </c>
      <c r="U39" s="228">
        <v>3551.0</v>
      </c>
      <c r="V39" s="229">
        <v>45818.0</v>
      </c>
      <c r="W39" s="228">
        <v>5000.0</v>
      </c>
      <c r="X39" s="228">
        <v>4075.0</v>
      </c>
      <c r="Y39" s="229">
        <v>45759.0</v>
      </c>
    </row>
    <row r="40">
      <c r="A40" s="5">
        <v>43.0</v>
      </c>
      <c r="B40" s="6" t="s">
        <v>1315</v>
      </c>
      <c r="C40" s="6" t="s">
        <v>1316</v>
      </c>
      <c r="D40" s="7" t="s">
        <v>1006</v>
      </c>
      <c r="E40" s="5">
        <v>1315.0</v>
      </c>
      <c r="G40" s="6">
        <v>8.290897532E9</v>
      </c>
      <c r="I40" s="6">
        <v>18000.0</v>
      </c>
      <c r="J40" s="121"/>
      <c r="M40" s="15">
        <f t="shared" si="1"/>
        <v>18000</v>
      </c>
      <c r="N40" s="9">
        <f t="shared" si="2"/>
        <v>5000</v>
      </c>
      <c r="O40" s="9">
        <f t="shared" si="3"/>
        <v>13000</v>
      </c>
      <c r="Q40" s="5">
        <v>5000.0</v>
      </c>
      <c r="R40" s="6">
        <v>3716.0</v>
      </c>
      <c r="S40" s="240">
        <v>45971.0</v>
      </c>
      <c r="Z40" s="17"/>
    </row>
    <row r="41">
      <c r="A41" s="5">
        <v>44.0</v>
      </c>
      <c r="B41" s="6" t="s">
        <v>1317</v>
      </c>
      <c r="C41" s="6" t="s">
        <v>691</v>
      </c>
      <c r="D41" s="7" t="s">
        <v>1006</v>
      </c>
      <c r="E41" s="5">
        <v>1869.0</v>
      </c>
      <c r="F41" s="10" t="s">
        <v>692</v>
      </c>
      <c r="G41" s="15">
        <v>9.00141334E9</v>
      </c>
      <c r="H41" s="15">
        <v>1000.0</v>
      </c>
      <c r="I41" s="6">
        <v>18000.0</v>
      </c>
      <c r="J41" s="16">
        <v>6500.0</v>
      </c>
      <c r="K41" s="10"/>
      <c r="L41" s="15">
        <v>3500.0</v>
      </c>
      <c r="M41" s="15">
        <f t="shared" si="1"/>
        <v>22000</v>
      </c>
      <c r="N41" s="9">
        <f t="shared" si="2"/>
        <v>10000</v>
      </c>
      <c r="O41" s="9">
        <f t="shared" si="3"/>
        <v>12000</v>
      </c>
      <c r="P41" s="10" t="s">
        <v>44</v>
      </c>
      <c r="Q41" s="15">
        <v>5000.0</v>
      </c>
      <c r="R41" s="16">
        <v>2992.0</v>
      </c>
      <c r="S41" s="17">
        <v>45998.0</v>
      </c>
      <c r="T41" s="228">
        <v>5000.0</v>
      </c>
      <c r="U41" s="228">
        <v>3473.0</v>
      </c>
      <c r="V41" s="229">
        <v>45757.0</v>
      </c>
      <c r="W41" s="17"/>
      <c r="X41" s="17"/>
      <c r="Y41" s="17"/>
      <c r="Z41" s="10"/>
    </row>
    <row r="42">
      <c r="A42" s="5">
        <v>46.0</v>
      </c>
      <c r="B42" s="6" t="s">
        <v>1318</v>
      </c>
      <c r="C42" s="6" t="s">
        <v>360</v>
      </c>
      <c r="D42" s="7" t="s">
        <v>2</v>
      </c>
      <c r="E42" s="5">
        <v>1677.0</v>
      </c>
      <c r="F42" s="6" t="s">
        <v>1138</v>
      </c>
      <c r="G42" s="6">
        <v>7.877830553E9</v>
      </c>
      <c r="I42" s="14">
        <v>21000.0</v>
      </c>
      <c r="J42" s="238">
        <v>7000.0</v>
      </c>
      <c r="M42" s="15">
        <f t="shared" si="1"/>
        <v>28000</v>
      </c>
      <c r="N42" s="9">
        <f t="shared" si="2"/>
        <v>13000</v>
      </c>
      <c r="O42" s="9">
        <f t="shared" si="3"/>
        <v>15000</v>
      </c>
      <c r="Q42" s="5">
        <v>8000.0</v>
      </c>
      <c r="R42" s="6">
        <v>3467.0</v>
      </c>
      <c r="S42" s="27">
        <v>45726.0</v>
      </c>
      <c r="T42" s="6">
        <v>5000.0</v>
      </c>
      <c r="U42" s="6">
        <v>3905.0</v>
      </c>
      <c r="V42" s="6" t="s">
        <v>1319</v>
      </c>
      <c r="Z42" s="10"/>
    </row>
    <row r="43">
      <c r="A43" s="5">
        <v>48.0</v>
      </c>
      <c r="B43" s="6" t="s">
        <v>1320</v>
      </c>
      <c r="C43" s="6" t="s">
        <v>1321</v>
      </c>
      <c r="D43" s="7" t="s">
        <v>2</v>
      </c>
      <c r="E43" s="5">
        <v>1311.0</v>
      </c>
      <c r="F43" s="6" t="s">
        <v>1204</v>
      </c>
      <c r="G43" s="6">
        <v>9.649631532E9</v>
      </c>
      <c r="I43" s="14">
        <v>21000.0</v>
      </c>
      <c r="J43" s="238">
        <v>8000.0</v>
      </c>
      <c r="M43" s="15">
        <f t="shared" si="1"/>
        <v>29000</v>
      </c>
      <c r="N43" s="9">
        <f t="shared" si="2"/>
        <v>7500</v>
      </c>
      <c r="O43" s="9">
        <f t="shared" si="3"/>
        <v>21500</v>
      </c>
      <c r="Q43" s="5">
        <v>7500.0</v>
      </c>
      <c r="R43" s="6">
        <v>3736.0</v>
      </c>
      <c r="S43" s="240">
        <v>45971.0</v>
      </c>
    </row>
    <row r="44">
      <c r="A44" s="5">
        <v>49.0</v>
      </c>
      <c r="B44" s="6" t="s">
        <v>1322</v>
      </c>
      <c r="C44" s="6" t="s">
        <v>1056</v>
      </c>
      <c r="D44" s="7" t="s">
        <v>1006</v>
      </c>
      <c r="E44" s="5">
        <v>1736.0</v>
      </c>
      <c r="F44" s="10" t="s">
        <v>130</v>
      </c>
      <c r="G44" s="16">
        <v>7.073941617E9</v>
      </c>
      <c r="H44" s="10"/>
      <c r="I44" s="6">
        <v>16000.0</v>
      </c>
      <c r="J44" s="228">
        <v>5000.0</v>
      </c>
      <c r="K44" s="10"/>
      <c r="L44" s="10"/>
      <c r="M44" s="15">
        <f t="shared" si="1"/>
        <v>21000</v>
      </c>
      <c r="N44" s="9">
        <f t="shared" si="2"/>
        <v>15000</v>
      </c>
      <c r="O44" s="9">
        <f t="shared" si="3"/>
        <v>6000</v>
      </c>
      <c r="P44" s="10"/>
      <c r="Q44" s="15">
        <v>5000.0</v>
      </c>
      <c r="R44" s="16">
        <v>2996.0</v>
      </c>
      <c r="S44" s="10" t="s">
        <v>191</v>
      </c>
      <c r="T44" s="6">
        <v>5000.0</v>
      </c>
      <c r="U44" s="6">
        <v>3255.0</v>
      </c>
      <c r="V44" s="6" t="s">
        <v>727</v>
      </c>
      <c r="W44" s="6">
        <v>5000.0</v>
      </c>
      <c r="X44" s="6">
        <v>3752.0</v>
      </c>
      <c r="Y44" s="6" t="s">
        <v>600</v>
      </c>
    </row>
    <row r="45">
      <c r="A45" s="5">
        <v>50.0</v>
      </c>
      <c r="B45" s="6" t="s">
        <v>1323</v>
      </c>
      <c r="C45" s="6" t="s">
        <v>630</v>
      </c>
      <c r="D45" s="7" t="s">
        <v>1006</v>
      </c>
      <c r="E45" s="5">
        <v>1360.0</v>
      </c>
      <c r="F45" s="6" t="s">
        <v>126</v>
      </c>
      <c r="G45" s="6">
        <v>8.302813922E9</v>
      </c>
      <c r="I45" s="6">
        <v>18000.0</v>
      </c>
      <c r="J45" s="238">
        <v>5000.0</v>
      </c>
      <c r="L45" s="6">
        <v>5000.0</v>
      </c>
      <c r="M45" s="15">
        <f t="shared" si="1"/>
        <v>18000</v>
      </c>
      <c r="N45" s="9">
        <f t="shared" si="2"/>
        <v>10000</v>
      </c>
      <c r="O45" s="9">
        <f t="shared" si="3"/>
        <v>8000</v>
      </c>
      <c r="P45" s="6" t="s">
        <v>148</v>
      </c>
      <c r="Q45" s="5">
        <v>5000.0</v>
      </c>
      <c r="S45" s="6" t="s">
        <v>241</v>
      </c>
      <c r="T45" s="6">
        <v>5000.0</v>
      </c>
      <c r="U45" s="6">
        <v>3338.0</v>
      </c>
      <c r="V45" s="6" t="s">
        <v>241</v>
      </c>
    </row>
    <row r="46">
      <c r="A46" s="5">
        <v>52.0</v>
      </c>
      <c r="B46" s="6" t="s">
        <v>1324</v>
      </c>
      <c r="C46" s="6" t="s">
        <v>1325</v>
      </c>
      <c r="D46" s="7" t="s">
        <v>2</v>
      </c>
      <c r="E46" s="5">
        <v>1599.0</v>
      </c>
      <c r="F46" s="6" t="s">
        <v>1307</v>
      </c>
      <c r="G46" s="6">
        <v>8.824384369E9</v>
      </c>
      <c r="I46" s="14">
        <v>21000.0</v>
      </c>
      <c r="J46" s="238">
        <v>9000.0</v>
      </c>
      <c r="M46" s="15">
        <f t="shared" si="1"/>
        <v>30000</v>
      </c>
      <c r="N46" s="9">
        <f t="shared" si="2"/>
        <v>2500</v>
      </c>
      <c r="O46" s="9">
        <f t="shared" si="3"/>
        <v>27500</v>
      </c>
      <c r="Q46" s="5">
        <v>2500.0</v>
      </c>
      <c r="R46" s="6">
        <v>4069.0</v>
      </c>
      <c r="S46" s="27">
        <v>45669.0</v>
      </c>
    </row>
    <row r="47">
      <c r="A47" s="264">
        <v>53.0</v>
      </c>
      <c r="B47" s="265" t="s">
        <v>1326</v>
      </c>
      <c r="C47" s="265" t="s">
        <v>1327</v>
      </c>
      <c r="D47" s="266" t="s">
        <v>1006</v>
      </c>
      <c r="E47" s="264">
        <v>2004.0</v>
      </c>
      <c r="F47" s="267"/>
      <c r="G47" s="265">
        <v>9.001242781E9</v>
      </c>
      <c r="H47" s="267"/>
      <c r="I47" s="265">
        <v>21000.0</v>
      </c>
      <c r="J47" s="268"/>
      <c r="K47" s="267"/>
      <c r="L47" s="267"/>
      <c r="M47" s="269">
        <f t="shared" si="1"/>
        <v>21000</v>
      </c>
      <c r="N47" s="270">
        <f t="shared" si="2"/>
        <v>8000</v>
      </c>
      <c r="O47" s="270">
        <f t="shared" si="3"/>
        <v>13000</v>
      </c>
      <c r="P47" s="267"/>
      <c r="Q47" s="264">
        <v>8000.0</v>
      </c>
      <c r="R47" s="267"/>
      <c r="S47" s="267"/>
      <c r="T47" s="267"/>
      <c r="U47" s="267"/>
      <c r="V47" s="267"/>
      <c r="W47" s="267"/>
      <c r="X47" s="267"/>
      <c r="Y47" s="267"/>
      <c r="Z47" s="267"/>
    </row>
    <row r="48">
      <c r="A48" s="5">
        <v>55.0</v>
      </c>
      <c r="B48" s="6" t="s">
        <v>1328</v>
      </c>
      <c r="C48" s="6" t="s">
        <v>649</v>
      </c>
      <c r="D48" s="7" t="s">
        <v>1006</v>
      </c>
      <c r="E48" s="5">
        <v>1711.0</v>
      </c>
      <c r="F48" s="6" t="s">
        <v>1329</v>
      </c>
      <c r="G48" s="6">
        <v>8.769908425E9</v>
      </c>
      <c r="I48" s="6">
        <v>18000.0</v>
      </c>
      <c r="J48" s="121"/>
      <c r="M48" s="15">
        <f t="shared" si="1"/>
        <v>18000</v>
      </c>
      <c r="N48" s="9">
        <f t="shared" si="2"/>
        <v>5000</v>
      </c>
      <c r="O48" s="9">
        <f t="shared" si="3"/>
        <v>13000</v>
      </c>
      <c r="Q48" s="5">
        <v>5000.0</v>
      </c>
      <c r="R48" s="6">
        <v>3908.0</v>
      </c>
      <c r="S48" s="6" t="s">
        <v>171</v>
      </c>
    </row>
    <row r="49">
      <c r="A49" s="5">
        <v>56.0</v>
      </c>
      <c r="B49" s="6" t="s">
        <v>1330</v>
      </c>
      <c r="C49" s="6" t="s">
        <v>91</v>
      </c>
      <c r="D49" s="254" t="s">
        <v>1006</v>
      </c>
      <c r="E49" s="5">
        <v>2044.0</v>
      </c>
      <c r="F49" s="6" t="s">
        <v>130</v>
      </c>
      <c r="G49" s="6">
        <v>9.183806845E9</v>
      </c>
      <c r="H49" s="6">
        <v>1000.0</v>
      </c>
      <c r="I49" s="6">
        <v>18000.0</v>
      </c>
      <c r="J49" s="238">
        <v>5000.0</v>
      </c>
      <c r="M49" s="15">
        <f t="shared" si="1"/>
        <v>24000</v>
      </c>
      <c r="N49" s="9">
        <f t="shared" si="2"/>
        <v>5000</v>
      </c>
      <c r="O49" s="9">
        <f t="shared" si="3"/>
        <v>19000</v>
      </c>
      <c r="Q49" s="5">
        <v>5000.0</v>
      </c>
      <c r="R49" s="6">
        <v>3464.0</v>
      </c>
      <c r="S49" s="27">
        <v>45726.0</v>
      </c>
      <c r="Z49" s="10"/>
    </row>
    <row r="50">
      <c r="A50" s="5">
        <v>58.0</v>
      </c>
      <c r="B50" s="6" t="s">
        <v>1331</v>
      </c>
      <c r="C50" s="6" t="s">
        <v>1296</v>
      </c>
      <c r="D50" s="7" t="s">
        <v>1006</v>
      </c>
      <c r="E50" s="5">
        <v>1996.0</v>
      </c>
      <c r="F50" s="10" t="s">
        <v>1332</v>
      </c>
      <c r="G50" s="15">
        <v>9.983503311E9</v>
      </c>
      <c r="H50" s="15">
        <v>1000.0</v>
      </c>
      <c r="I50" s="6">
        <v>18000.0</v>
      </c>
      <c r="J50" s="16">
        <v>7000.0</v>
      </c>
      <c r="K50" s="10"/>
      <c r="L50" s="15">
        <v>4000.0</v>
      </c>
      <c r="M50" s="15">
        <f t="shared" si="1"/>
        <v>22000</v>
      </c>
      <c r="N50" s="9">
        <f t="shared" si="2"/>
        <v>1000</v>
      </c>
      <c r="O50" s="9">
        <f t="shared" si="3"/>
        <v>21000</v>
      </c>
      <c r="P50" s="10" t="s">
        <v>159</v>
      </c>
      <c r="Q50" s="15">
        <v>1000.0</v>
      </c>
      <c r="R50" s="16">
        <v>3169.0</v>
      </c>
      <c r="S50" s="17">
        <v>45816.0</v>
      </c>
      <c r="T50" s="10"/>
    </row>
    <row r="51">
      <c r="A51" s="5">
        <v>59.0</v>
      </c>
      <c r="B51" s="6" t="s">
        <v>1333</v>
      </c>
      <c r="C51" s="6" t="s">
        <v>1042</v>
      </c>
      <c r="D51" s="7" t="s">
        <v>1006</v>
      </c>
      <c r="E51" s="5">
        <v>1531.0</v>
      </c>
      <c r="H51" s="242"/>
      <c r="I51" s="244">
        <v>18000.0</v>
      </c>
      <c r="J51" s="256"/>
      <c r="K51" s="242"/>
      <c r="L51" s="242"/>
      <c r="M51" s="15">
        <f t="shared" si="1"/>
        <v>18000</v>
      </c>
      <c r="N51" s="9">
        <f t="shared" si="2"/>
        <v>10000</v>
      </c>
      <c r="O51" s="9">
        <f t="shared" si="3"/>
        <v>8000</v>
      </c>
      <c r="P51" s="242"/>
      <c r="Q51" s="255">
        <v>10000.0</v>
      </c>
      <c r="R51" s="244">
        <v>3415.0</v>
      </c>
      <c r="S51" s="244" t="s">
        <v>331</v>
      </c>
    </row>
    <row r="52">
      <c r="A52" s="5">
        <v>60.0</v>
      </c>
      <c r="B52" s="6" t="s">
        <v>1334</v>
      </c>
      <c r="C52" s="6" t="s">
        <v>608</v>
      </c>
      <c r="D52" s="7" t="s">
        <v>1006</v>
      </c>
      <c r="E52" s="5">
        <v>1377.0</v>
      </c>
      <c r="F52" s="6" t="s">
        <v>169</v>
      </c>
      <c r="G52" s="6">
        <v>9.982770771E9</v>
      </c>
      <c r="H52" s="6">
        <v>0.0</v>
      </c>
      <c r="I52" s="6">
        <v>18000.0</v>
      </c>
      <c r="J52" s="238">
        <v>7000.0</v>
      </c>
      <c r="L52" s="6">
        <v>4000.0</v>
      </c>
      <c r="M52" s="15">
        <f t="shared" si="1"/>
        <v>21000</v>
      </c>
      <c r="N52" s="9">
        <f t="shared" si="2"/>
        <v>0</v>
      </c>
      <c r="O52" s="9">
        <f t="shared" si="3"/>
        <v>21000</v>
      </c>
      <c r="P52" s="6" t="s">
        <v>148</v>
      </c>
      <c r="Q52" s="9"/>
    </row>
    <row r="53">
      <c r="A53" s="5">
        <v>61.0</v>
      </c>
      <c r="B53" s="6" t="s">
        <v>1335</v>
      </c>
      <c r="C53" s="6" t="s">
        <v>1336</v>
      </c>
      <c r="D53" s="7" t="s">
        <v>1006</v>
      </c>
      <c r="E53" s="5">
        <v>1419.0</v>
      </c>
      <c r="G53" s="6">
        <v>9.166316113E9</v>
      </c>
      <c r="I53" s="6">
        <v>18000.0</v>
      </c>
      <c r="J53" s="121"/>
      <c r="M53" s="15">
        <f t="shared" si="1"/>
        <v>18000</v>
      </c>
      <c r="N53" s="9">
        <f t="shared" si="2"/>
        <v>0</v>
      </c>
      <c r="O53" s="9">
        <f t="shared" si="3"/>
        <v>18000</v>
      </c>
      <c r="Q53" s="9"/>
      <c r="Z53" s="17"/>
    </row>
    <row r="54">
      <c r="A54" s="5">
        <v>62.0</v>
      </c>
      <c r="B54" s="6" t="s">
        <v>1337</v>
      </c>
      <c r="C54" s="6" t="s">
        <v>1338</v>
      </c>
      <c r="D54" s="7" t="s">
        <v>1006</v>
      </c>
      <c r="E54" s="5">
        <v>1891.0</v>
      </c>
      <c r="F54" s="10" t="s">
        <v>1109</v>
      </c>
      <c r="G54" s="15">
        <v>8.209258172E9</v>
      </c>
      <c r="H54" s="15">
        <v>1000.0</v>
      </c>
      <c r="I54" s="6">
        <v>16000.0</v>
      </c>
      <c r="J54" s="16">
        <v>5000.0</v>
      </c>
      <c r="K54" s="10"/>
      <c r="L54" s="15">
        <v>2000.0</v>
      </c>
      <c r="M54" s="15">
        <f t="shared" si="1"/>
        <v>20000</v>
      </c>
      <c r="N54" s="9">
        <f t="shared" si="2"/>
        <v>10000</v>
      </c>
      <c r="O54" s="9">
        <f t="shared" si="3"/>
        <v>10000</v>
      </c>
      <c r="P54" s="10" t="s">
        <v>44</v>
      </c>
      <c r="Q54" s="15">
        <v>10000.0</v>
      </c>
      <c r="R54" s="16">
        <v>2912.0</v>
      </c>
      <c r="S54" s="17">
        <v>45845.0</v>
      </c>
      <c r="T54" s="17"/>
      <c r="U54" s="17"/>
      <c r="V54" s="17"/>
      <c r="W54" s="17"/>
      <c r="X54" s="17"/>
      <c r="Y54" s="17"/>
    </row>
    <row r="55">
      <c r="A55" s="5">
        <v>63.0</v>
      </c>
      <c r="B55" s="6" t="s">
        <v>1339</v>
      </c>
      <c r="C55" s="6" t="s">
        <v>1340</v>
      </c>
      <c r="D55" s="7" t="s">
        <v>1006</v>
      </c>
      <c r="E55" s="5">
        <v>1498.0</v>
      </c>
      <c r="F55" s="10" t="s">
        <v>33</v>
      </c>
      <c r="G55" s="15">
        <v>6.367248243E9</v>
      </c>
      <c r="H55" s="10"/>
      <c r="I55" s="6">
        <v>18000.0</v>
      </c>
      <c r="J55" s="228">
        <v>5000.0</v>
      </c>
      <c r="K55" s="10"/>
      <c r="L55" s="10"/>
      <c r="M55" s="15">
        <f t="shared" si="1"/>
        <v>23000</v>
      </c>
      <c r="N55" s="9">
        <f t="shared" si="2"/>
        <v>11000</v>
      </c>
      <c r="O55" s="9">
        <f t="shared" si="3"/>
        <v>12000</v>
      </c>
      <c r="P55" s="10"/>
      <c r="Q55" s="15">
        <v>4000.0</v>
      </c>
      <c r="R55" s="16">
        <v>3210.0</v>
      </c>
      <c r="S55" s="17">
        <v>45999.0</v>
      </c>
      <c r="T55" s="6">
        <v>2000.0</v>
      </c>
      <c r="U55" s="6">
        <v>3615.0</v>
      </c>
      <c r="V55" s="27">
        <v>45879.0</v>
      </c>
      <c r="W55" s="6">
        <v>5000.0</v>
      </c>
      <c r="X55" s="6">
        <v>3906.0</v>
      </c>
      <c r="Y55" s="6" t="s">
        <v>171</v>
      </c>
    </row>
    <row r="56">
      <c r="A56" s="271">
        <v>64.0</v>
      </c>
      <c r="B56" s="272" t="s">
        <v>1341</v>
      </c>
      <c r="C56" s="272" t="s">
        <v>1342</v>
      </c>
      <c r="D56" s="273" t="s">
        <v>1006</v>
      </c>
      <c r="E56" s="271">
        <v>1376.0</v>
      </c>
      <c r="F56" s="274"/>
      <c r="G56" s="272">
        <v>9.60223275E9</v>
      </c>
      <c r="H56" s="274"/>
      <c r="I56" s="272">
        <v>18000.0</v>
      </c>
      <c r="J56" s="275"/>
      <c r="K56" s="274"/>
      <c r="L56" s="272">
        <v>18000.0</v>
      </c>
      <c r="M56" s="276">
        <f t="shared" si="1"/>
        <v>0</v>
      </c>
      <c r="N56" s="277">
        <f t="shared" si="2"/>
        <v>0</v>
      </c>
      <c r="O56" s="277">
        <f t="shared" si="3"/>
        <v>0</v>
      </c>
      <c r="P56" s="274"/>
      <c r="Q56" s="277"/>
      <c r="R56" s="274"/>
      <c r="S56" s="274"/>
      <c r="T56" s="274"/>
      <c r="U56" s="274"/>
      <c r="V56" s="274"/>
      <c r="W56" s="274"/>
      <c r="X56" s="274"/>
      <c r="Y56" s="274"/>
      <c r="Z56" s="274"/>
    </row>
    <row r="57">
      <c r="A57" s="5">
        <v>65.0</v>
      </c>
      <c r="B57" s="6" t="s">
        <v>1343</v>
      </c>
      <c r="C57" s="6" t="s">
        <v>1203</v>
      </c>
      <c r="D57" s="7" t="s">
        <v>2</v>
      </c>
      <c r="E57" s="5">
        <v>1312.0</v>
      </c>
      <c r="F57" s="6" t="s">
        <v>1204</v>
      </c>
      <c r="G57" s="6">
        <v>9.828529759E9</v>
      </c>
      <c r="I57" s="14">
        <v>21000.0</v>
      </c>
      <c r="J57" s="238">
        <v>8000.0</v>
      </c>
      <c r="M57" s="15">
        <f t="shared" si="1"/>
        <v>29000</v>
      </c>
      <c r="N57" s="9">
        <f t="shared" si="2"/>
        <v>8500</v>
      </c>
      <c r="O57" s="9">
        <f t="shared" si="3"/>
        <v>20500</v>
      </c>
      <c r="Q57" s="5">
        <v>8500.0</v>
      </c>
      <c r="R57" s="6">
        <v>3647.0</v>
      </c>
      <c r="S57" s="27">
        <v>45910.0</v>
      </c>
    </row>
    <row r="58">
      <c r="A58" s="5">
        <v>66.0</v>
      </c>
      <c r="B58" s="6" t="s">
        <v>1344</v>
      </c>
      <c r="C58" s="6" t="s">
        <v>1345</v>
      </c>
      <c r="D58" s="7" t="s">
        <v>1006</v>
      </c>
      <c r="E58" s="5">
        <v>1433.0</v>
      </c>
      <c r="G58" s="6">
        <v>8.956808039E9</v>
      </c>
      <c r="I58" s="6">
        <v>18000.0</v>
      </c>
      <c r="J58" s="121"/>
      <c r="M58" s="15">
        <f t="shared" si="1"/>
        <v>18000</v>
      </c>
      <c r="N58" s="9">
        <f t="shared" si="2"/>
        <v>10000</v>
      </c>
      <c r="O58" s="9">
        <f t="shared" si="3"/>
        <v>8000</v>
      </c>
      <c r="Q58" s="5">
        <v>10000.0</v>
      </c>
      <c r="R58" s="6">
        <v>3389.0</v>
      </c>
      <c r="S58" s="27">
        <v>45909.0</v>
      </c>
    </row>
    <row r="59">
      <c r="A59" s="5">
        <v>67.0</v>
      </c>
      <c r="B59" s="6" t="s">
        <v>1346</v>
      </c>
      <c r="C59" s="6" t="s">
        <v>1347</v>
      </c>
      <c r="D59" s="7" t="s">
        <v>2</v>
      </c>
      <c r="E59" s="5">
        <v>942.0</v>
      </c>
      <c r="F59" s="6" t="s">
        <v>244</v>
      </c>
      <c r="G59" s="6">
        <v>9.680739002E9</v>
      </c>
      <c r="I59" s="14">
        <v>21000.0</v>
      </c>
      <c r="J59" s="241">
        <v>5000.0</v>
      </c>
      <c r="K59" s="242"/>
      <c r="L59" s="242"/>
      <c r="M59" s="15">
        <f t="shared" si="1"/>
        <v>26000</v>
      </c>
      <c r="N59" s="9">
        <f t="shared" si="2"/>
        <v>8000</v>
      </c>
      <c r="O59" s="9">
        <f t="shared" si="3"/>
        <v>18000</v>
      </c>
      <c r="Q59" s="5">
        <v>8000.0</v>
      </c>
      <c r="R59" s="6">
        <v>3436.0</v>
      </c>
      <c r="S59" s="6" t="s">
        <v>739</v>
      </c>
    </row>
    <row r="60">
      <c r="A60" s="5">
        <v>68.0</v>
      </c>
      <c r="B60" s="6" t="s">
        <v>1348</v>
      </c>
      <c r="C60" s="6" t="s">
        <v>1347</v>
      </c>
      <c r="D60" s="7" t="s">
        <v>2</v>
      </c>
      <c r="E60" s="5">
        <v>941.0</v>
      </c>
      <c r="F60" s="6" t="s">
        <v>244</v>
      </c>
      <c r="G60" s="6">
        <v>9.680739002E9</v>
      </c>
      <c r="I60" s="14">
        <v>21000.0</v>
      </c>
      <c r="J60" s="238">
        <v>5000.0</v>
      </c>
      <c r="M60" s="15">
        <f t="shared" si="1"/>
        <v>26000</v>
      </c>
      <c r="N60" s="9">
        <f t="shared" si="2"/>
        <v>8000</v>
      </c>
      <c r="O60" s="9">
        <f t="shared" si="3"/>
        <v>18000</v>
      </c>
      <c r="Q60" s="5">
        <v>8000.0</v>
      </c>
      <c r="R60" s="6">
        <v>3435.0</v>
      </c>
      <c r="S60" s="6" t="s">
        <v>739</v>
      </c>
    </row>
    <row r="61">
      <c r="A61" s="5">
        <v>69.0</v>
      </c>
      <c r="B61" s="6" t="s">
        <v>1349</v>
      </c>
      <c r="C61" s="6" t="s">
        <v>1350</v>
      </c>
      <c r="D61" s="7" t="s">
        <v>1006</v>
      </c>
      <c r="E61" s="5">
        <v>1913.0</v>
      </c>
      <c r="F61" s="10" t="s">
        <v>169</v>
      </c>
      <c r="G61" s="15">
        <v>9.001603329E9</v>
      </c>
      <c r="H61" s="15">
        <v>1000.0</v>
      </c>
      <c r="I61" s="6">
        <v>18000.0</v>
      </c>
      <c r="J61" s="16">
        <v>7000.0</v>
      </c>
      <c r="K61" s="10"/>
      <c r="L61" s="15">
        <v>6000.0</v>
      </c>
      <c r="M61" s="15">
        <f t="shared" si="1"/>
        <v>20000</v>
      </c>
      <c r="N61" s="9">
        <f t="shared" si="2"/>
        <v>16000</v>
      </c>
      <c r="O61" s="9">
        <f t="shared" si="3"/>
        <v>4000</v>
      </c>
      <c r="P61" s="10" t="s">
        <v>159</v>
      </c>
      <c r="Q61" s="15">
        <v>10000.0</v>
      </c>
      <c r="R61" s="16">
        <v>3074.0</v>
      </c>
      <c r="S61" s="10" t="s">
        <v>170</v>
      </c>
      <c r="T61" s="6">
        <v>6000.0</v>
      </c>
      <c r="U61" s="6">
        <v>3898.0</v>
      </c>
      <c r="V61" s="6" t="s">
        <v>171</v>
      </c>
      <c r="Z61" s="10"/>
    </row>
    <row r="62">
      <c r="A62" s="5">
        <v>70.0</v>
      </c>
      <c r="B62" s="10" t="s">
        <v>1351</v>
      </c>
      <c r="C62" s="10" t="s">
        <v>1352</v>
      </c>
      <c r="D62" s="254" t="s">
        <v>1006</v>
      </c>
      <c r="E62" s="9"/>
      <c r="F62" s="14" t="s">
        <v>421</v>
      </c>
      <c r="G62" s="14">
        <v>8.4410479E9</v>
      </c>
      <c r="H62" s="14">
        <v>1000.0</v>
      </c>
      <c r="I62" s="6">
        <v>18000.0</v>
      </c>
      <c r="J62" s="228">
        <v>7000.0</v>
      </c>
      <c r="K62" s="10"/>
      <c r="L62" s="14">
        <v>3000.0</v>
      </c>
      <c r="M62" s="15">
        <f t="shared" si="1"/>
        <v>23000</v>
      </c>
      <c r="N62" s="9">
        <f t="shared" si="2"/>
        <v>12000</v>
      </c>
      <c r="O62" s="9">
        <f t="shared" si="3"/>
        <v>11000</v>
      </c>
      <c r="P62" s="14" t="s">
        <v>44</v>
      </c>
      <c r="Q62" s="15">
        <v>5000.0</v>
      </c>
      <c r="R62" s="16">
        <v>3131.0</v>
      </c>
      <c r="S62" s="17">
        <v>45724.0</v>
      </c>
      <c r="T62" s="14">
        <v>7000.0</v>
      </c>
      <c r="U62" s="14">
        <v>3688.0</v>
      </c>
      <c r="V62" s="246">
        <v>45940.0</v>
      </c>
      <c r="W62" s="10"/>
      <c r="X62" s="10"/>
      <c r="Y62" s="10"/>
    </row>
    <row r="63">
      <c r="A63" s="5">
        <v>71.0</v>
      </c>
      <c r="B63" s="6" t="s">
        <v>1353</v>
      </c>
      <c r="C63" s="6" t="s">
        <v>1354</v>
      </c>
      <c r="D63" s="7" t="s">
        <v>1006</v>
      </c>
      <c r="E63" s="5">
        <v>1381.0</v>
      </c>
      <c r="F63" s="6" t="s">
        <v>30</v>
      </c>
      <c r="G63" s="6">
        <v>9.571689641E9</v>
      </c>
      <c r="I63" s="6">
        <v>18000.0</v>
      </c>
      <c r="J63" s="121"/>
      <c r="M63" s="15">
        <f t="shared" si="1"/>
        <v>18000</v>
      </c>
      <c r="N63" s="9">
        <f t="shared" si="2"/>
        <v>10000</v>
      </c>
      <c r="O63" s="9">
        <f t="shared" si="3"/>
        <v>8000</v>
      </c>
      <c r="Q63" s="5">
        <v>10000.0</v>
      </c>
      <c r="R63" s="6">
        <v>3847.0</v>
      </c>
      <c r="S63" s="240">
        <v>45941.0</v>
      </c>
    </row>
    <row r="64">
      <c r="A64" s="5">
        <v>72.0</v>
      </c>
      <c r="B64" s="6" t="s">
        <v>1355</v>
      </c>
      <c r="C64" s="6" t="s">
        <v>1356</v>
      </c>
      <c r="D64" s="7" t="s">
        <v>1006</v>
      </c>
      <c r="E64" s="5">
        <v>1325.0</v>
      </c>
      <c r="G64" s="6">
        <v>8.690464513E9</v>
      </c>
      <c r="I64" s="6">
        <v>18000.0</v>
      </c>
      <c r="J64" s="238">
        <v>5000.0</v>
      </c>
      <c r="M64" s="15">
        <f t="shared" si="1"/>
        <v>23000</v>
      </c>
      <c r="N64" s="9">
        <f t="shared" si="2"/>
        <v>5000</v>
      </c>
      <c r="O64" s="9">
        <f t="shared" si="3"/>
        <v>18000</v>
      </c>
      <c r="Q64" s="5">
        <v>5000.0</v>
      </c>
      <c r="R64" s="6">
        <v>3710.0</v>
      </c>
      <c r="S64" s="240">
        <v>45940.0</v>
      </c>
    </row>
    <row r="65">
      <c r="A65" s="5">
        <v>73.0</v>
      </c>
      <c r="B65" s="6" t="s">
        <v>1357</v>
      </c>
      <c r="C65" s="6" t="s">
        <v>1358</v>
      </c>
      <c r="D65" s="7" t="s">
        <v>2</v>
      </c>
      <c r="E65" s="5">
        <v>1319.0</v>
      </c>
      <c r="F65" s="6" t="s">
        <v>169</v>
      </c>
      <c r="G65" s="6">
        <v>9.828188771E9</v>
      </c>
      <c r="I65" s="14">
        <v>21000.0</v>
      </c>
      <c r="J65" s="238">
        <v>7500.0</v>
      </c>
      <c r="M65" s="15">
        <f t="shared" si="1"/>
        <v>28500</v>
      </c>
      <c r="N65" s="9">
        <f t="shared" si="2"/>
        <v>11000</v>
      </c>
      <c r="O65" s="9">
        <f t="shared" si="3"/>
        <v>17500</v>
      </c>
      <c r="Q65" s="5">
        <v>11000.0</v>
      </c>
      <c r="R65" s="6">
        <v>3700.0</v>
      </c>
      <c r="S65" s="240">
        <v>45940.0</v>
      </c>
    </row>
    <row r="66">
      <c r="A66" s="9"/>
      <c r="D66" s="13"/>
      <c r="E66" s="9"/>
      <c r="J66" s="121"/>
      <c r="M66" s="9"/>
      <c r="N66" s="9"/>
      <c r="O66" s="9"/>
      <c r="Q66" s="9"/>
    </row>
    <row r="67">
      <c r="A67" s="9"/>
      <c r="D67" s="13"/>
      <c r="E67" s="9"/>
      <c r="J67" s="121"/>
      <c r="M67" s="9"/>
      <c r="N67" s="9"/>
      <c r="O67" s="9"/>
      <c r="Q67" s="9"/>
    </row>
    <row r="68">
      <c r="A68" s="9"/>
      <c r="D68" s="13"/>
      <c r="E68" s="9"/>
      <c r="J68" s="121"/>
      <c r="M68" s="9"/>
      <c r="N68" s="9"/>
      <c r="O68" s="9"/>
      <c r="Q68" s="9"/>
    </row>
    <row r="69">
      <c r="A69" s="9"/>
      <c r="D69" s="13"/>
      <c r="E69" s="9"/>
      <c r="J69" s="121"/>
      <c r="M69" s="9"/>
      <c r="N69" s="9"/>
      <c r="O69" s="9"/>
      <c r="Q69" s="9"/>
    </row>
    <row r="70">
      <c r="A70" s="9"/>
      <c r="D70" s="13"/>
      <c r="E70" s="9"/>
      <c r="J70" s="121"/>
      <c r="M70" s="9"/>
      <c r="N70" s="9"/>
      <c r="O70" s="9"/>
      <c r="Q70" s="9"/>
    </row>
    <row r="71">
      <c r="A71" s="9"/>
      <c r="D71" s="13"/>
      <c r="E71" s="9"/>
      <c r="J71" s="121"/>
      <c r="M71" s="9"/>
      <c r="N71" s="9"/>
      <c r="O71" s="9"/>
      <c r="Q71" s="9"/>
    </row>
    <row r="72">
      <c r="A72" s="9"/>
      <c r="D72" s="13"/>
      <c r="E72" s="9"/>
      <c r="J72" s="121"/>
      <c r="M72" s="9"/>
      <c r="N72" s="9"/>
      <c r="O72" s="9"/>
      <c r="Q72" s="9"/>
    </row>
    <row r="73">
      <c r="A73" s="9"/>
      <c r="D73" s="13"/>
      <c r="E73" s="9"/>
      <c r="J73" s="121"/>
      <c r="M73" s="9"/>
      <c r="N73" s="9"/>
      <c r="O73" s="9"/>
      <c r="Q73" s="9"/>
    </row>
    <row r="74">
      <c r="A74" s="9"/>
      <c r="D74" s="13"/>
      <c r="E74" s="9"/>
      <c r="J74" s="121"/>
      <c r="M74" s="9"/>
      <c r="N74" s="9"/>
      <c r="O74" s="9"/>
      <c r="Q74" s="9"/>
    </row>
    <row r="75">
      <c r="A75" s="9"/>
      <c r="D75" s="13"/>
      <c r="E75" s="9"/>
      <c r="J75" s="121"/>
      <c r="M75" s="9"/>
      <c r="N75" s="9"/>
      <c r="O75" s="9"/>
      <c r="Q75" s="9"/>
    </row>
    <row r="76">
      <c r="A76" s="9"/>
      <c r="D76" s="13"/>
      <c r="E76" s="9"/>
      <c r="J76" s="121"/>
      <c r="M76" s="9"/>
      <c r="N76" s="9"/>
      <c r="O76" s="9"/>
      <c r="Q76" s="9"/>
    </row>
    <row r="77">
      <c r="A77" s="9"/>
      <c r="D77" s="13"/>
      <c r="E77" s="9"/>
      <c r="J77" s="121"/>
      <c r="M77" s="9"/>
      <c r="N77" s="9"/>
      <c r="O77" s="9"/>
      <c r="Q77" s="9"/>
    </row>
    <row r="78">
      <c r="A78" s="9"/>
      <c r="D78" s="13"/>
      <c r="E78" s="9"/>
      <c r="J78" s="121"/>
      <c r="M78" s="9"/>
      <c r="N78" s="9"/>
      <c r="O78" s="9"/>
      <c r="Q78" s="9"/>
    </row>
    <row r="79">
      <c r="A79" s="9"/>
      <c r="D79" s="13"/>
      <c r="E79" s="9"/>
      <c r="J79" s="121"/>
      <c r="M79" s="9"/>
      <c r="N79" s="9"/>
      <c r="O79" s="9"/>
      <c r="Q79" s="9"/>
    </row>
    <row r="80">
      <c r="A80" s="9"/>
      <c r="D80" s="13"/>
      <c r="E80" s="9"/>
      <c r="J80" s="121"/>
      <c r="M80" s="9"/>
      <c r="N80" s="9"/>
      <c r="O80" s="9"/>
      <c r="Q80" s="9"/>
    </row>
    <row r="81">
      <c r="A81" s="9"/>
      <c r="D81" s="13"/>
      <c r="E81" s="9"/>
      <c r="J81" s="121"/>
      <c r="M81" s="9"/>
      <c r="N81" s="9"/>
      <c r="O81" s="9"/>
      <c r="Q81" s="9"/>
    </row>
    <row r="82">
      <c r="A82" s="9"/>
      <c r="D82" s="13"/>
      <c r="E82" s="9"/>
      <c r="J82" s="121"/>
      <c r="M82" s="9"/>
      <c r="N82" s="9"/>
      <c r="O82" s="9"/>
      <c r="Q82" s="9"/>
    </row>
    <row r="83">
      <c r="A83" s="9"/>
      <c r="D83" s="13"/>
      <c r="E83" s="9"/>
      <c r="J83" s="121"/>
      <c r="M83" s="9"/>
      <c r="N83" s="9"/>
      <c r="O83" s="9"/>
      <c r="Q83" s="9"/>
    </row>
    <row r="84">
      <c r="A84" s="9"/>
      <c r="D84" s="13"/>
      <c r="E84" s="9"/>
      <c r="J84" s="121"/>
      <c r="M84" s="9"/>
      <c r="N84" s="9"/>
      <c r="O84" s="9"/>
      <c r="Q84" s="9"/>
    </row>
    <row r="85">
      <c r="A85" s="9"/>
      <c r="D85" s="13"/>
      <c r="E85" s="9"/>
      <c r="J85" s="121"/>
      <c r="M85" s="9"/>
      <c r="N85" s="9"/>
      <c r="O85" s="9"/>
      <c r="Q85" s="9"/>
    </row>
    <row r="86">
      <c r="A86" s="9"/>
      <c r="D86" s="13"/>
      <c r="E86" s="9"/>
      <c r="J86" s="121"/>
      <c r="M86" s="9"/>
      <c r="N86" s="9"/>
      <c r="O86" s="9"/>
      <c r="Q86" s="9"/>
    </row>
    <row r="87">
      <c r="A87" s="9"/>
      <c r="D87" s="13"/>
      <c r="E87" s="9"/>
      <c r="J87" s="121"/>
      <c r="M87" s="9"/>
      <c r="N87" s="9"/>
      <c r="O87" s="9"/>
      <c r="Q87" s="9"/>
    </row>
    <row r="88">
      <c r="A88" s="9"/>
      <c r="D88" s="13"/>
      <c r="E88" s="9"/>
      <c r="J88" s="121"/>
      <c r="M88" s="9"/>
      <c r="N88" s="9"/>
      <c r="O88" s="9"/>
      <c r="Q88" s="9"/>
    </row>
    <row r="89">
      <c r="A89" s="9"/>
      <c r="D89" s="13"/>
      <c r="E89" s="9"/>
      <c r="J89" s="121"/>
      <c r="M89" s="9"/>
      <c r="N89" s="9"/>
      <c r="O89" s="9"/>
      <c r="Q89" s="9"/>
    </row>
    <row r="90">
      <c r="A90" s="9"/>
      <c r="D90" s="13"/>
      <c r="E90" s="9"/>
      <c r="J90" s="121"/>
      <c r="M90" s="9"/>
      <c r="N90" s="9"/>
      <c r="O90" s="9"/>
      <c r="Q90" s="9"/>
    </row>
    <row r="91">
      <c r="A91" s="9"/>
      <c r="D91" s="13"/>
      <c r="E91" s="9"/>
      <c r="J91" s="121"/>
      <c r="M91" s="9"/>
      <c r="N91" s="9"/>
      <c r="O91" s="9"/>
      <c r="Q91" s="9"/>
    </row>
    <row r="92">
      <c r="A92" s="9"/>
      <c r="D92" s="13"/>
      <c r="E92" s="9"/>
      <c r="J92" s="121"/>
      <c r="M92" s="9"/>
      <c r="N92" s="9"/>
      <c r="O92" s="9"/>
      <c r="Q92" s="9"/>
    </row>
    <row r="93">
      <c r="A93" s="9"/>
      <c r="D93" s="13"/>
      <c r="E93" s="9"/>
      <c r="J93" s="121"/>
      <c r="M93" s="9"/>
      <c r="N93" s="9"/>
      <c r="O93" s="9"/>
      <c r="Q93" s="9"/>
    </row>
    <row r="94">
      <c r="A94" s="9"/>
      <c r="D94" s="13"/>
      <c r="E94" s="9"/>
      <c r="J94" s="121"/>
      <c r="M94" s="9"/>
      <c r="N94" s="9"/>
      <c r="O94" s="9"/>
      <c r="Q94" s="9"/>
    </row>
    <row r="95">
      <c r="A95" s="9"/>
      <c r="D95" s="13"/>
      <c r="E95" s="9"/>
      <c r="J95" s="121"/>
      <c r="M95" s="9"/>
      <c r="N95" s="9"/>
      <c r="O95" s="9"/>
      <c r="Q95" s="9"/>
    </row>
    <row r="96">
      <c r="A96" s="9"/>
      <c r="D96" s="13"/>
      <c r="E96" s="9"/>
      <c r="J96" s="121"/>
      <c r="M96" s="9"/>
      <c r="N96" s="9"/>
      <c r="O96" s="9"/>
      <c r="Q96" s="9"/>
    </row>
    <row r="97">
      <c r="A97" s="9"/>
      <c r="D97" s="13"/>
      <c r="E97" s="9"/>
      <c r="J97" s="121"/>
      <c r="M97" s="9"/>
      <c r="N97" s="9"/>
      <c r="O97" s="9"/>
      <c r="Q97" s="9"/>
    </row>
    <row r="98">
      <c r="A98" s="9"/>
      <c r="D98" s="13"/>
      <c r="E98" s="9"/>
      <c r="J98" s="121"/>
      <c r="M98" s="9"/>
      <c r="N98" s="9"/>
      <c r="O98" s="9"/>
      <c r="Q98" s="9"/>
    </row>
    <row r="99">
      <c r="A99" s="9"/>
      <c r="D99" s="13"/>
      <c r="E99" s="9"/>
      <c r="J99" s="121"/>
      <c r="M99" s="9"/>
      <c r="N99" s="9"/>
      <c r="O99" s="9"/>
      <c r="Q99" s="9"/>
    </row>
    <row r="100">
      <c r="A100" s="9"/>
      <c r="D100" s="13"/>
      <c r="E100" s="9"/>
      <c r="J100" s="121"/>
      <c r="M100" s="9"/>
      <c r="N100" s="9"/>
      <c r="O100" s="9"/>
      <c r="Q100" s="9"/>
    </row>
    <row r="101">
      <c r="A101" s="9"/>
      <c r="D101" s="13"/>
      <c r="E101" s="9"/>
      <c r="J101" s="121"/>
      <c r="M101" s="9"/>
      <c r="N101" s="9"/>
      <c r="O101" s="9"/>
      <c r="Q101" s="9"/>
    </row>
    <row r="102">
      <c r="A102" s="9"/>
      <c r="D102" s="13"/>
      <c r="E102" s="9"/>
      <c r="J102" s="121"/>
      <c r="M102" s="9"/>
      <c r="N102" s="9"/>
      <c r="O102" s="9"/>
      <c r="Q102" s="9"/>
    </row>
    <row r="103">
      <c r="A103" s="9"/>
      <c r="D103" s="13"/>
      <c r="E103" s="9"/>
      <c r="J103" s="121"/>
      <c r="M103" s="9"/>
      <c r="N103" s="9"/>
      <c r="O103" s="9"/>
      <c r="Q103" s="9"/>
    </row>
    <row r="104">
      <c r="A104" s="9"/>
      <c r="D104" s="13"/>
      <c r="E104" s="9"/>
      <c r="J104" s="121"/>
      <c r="M104" s="9"/>
      <c r="N104" s="9"/>
      <c r="O104" s="9"/>
      <c r="Q104" s="9"/>
    </row>
    <row r="105">
      <c r="A105" s="9"/>
      <c r="D105" s="13"/>
      <c r="E105" s="9"/>
      <c r="J105" s="121"/>
      <c r="M105" s="9"/>
      <c r="N105" s="9"/>
      <c r="O105" s="9"/>
      <c r="Q105" s="9"/>
    </row>
    <row r="106">
      <c r="A106" s="9"/>
      <c r="D106" s="13"/>
      <c r="E106" s="9"/>
      <c r="J106" s="121"/>
      <c r="M106" s="9"/>
      <c r="N106" s="9"/>
      <c r="O106" s="9"/>
      <c r="Q106" s="9"/>
    </row>
    <row r="107">
      <c r="A107" s="9"/>
      <c r="D107" s="13"/>
      <c r="E107" s="9"/>
      <c r="J107" s="121"/>
      <c r="M107" s="9"/>
      <c r="N107" s="9"/>
      <c r="O107" s="9"/>
      <c r="Q107" s="9"/>
    </row>
    <row r="108">
      <c r="A108" s="9"/>
      <c r="D108" s="13"/>
      <c r="E108" s="9"/>
      <c r="J108" s="121"/>
      <c r="M108" s="9"/>
      <c r="N108" s="9"/>
      <c r="O108" s="9"/>
      <c r="Q108" s="9"/>
    </row>
    <row r="109">
      <c r="A109" s="9"/>
      <c r="D109" s="13"/>
      <c r="E109" s="9"/>
      <c r="J109" s="121"/>
      <c r="M109" s="9"/>
      <c r="N109" s="9"/>
      <c r="O109" s="9"/>
      <c r="Q109" s="9"/>
    </row>
    <row r="110">
      <c r="A110" s="9"/>
      <c r="D110" s="13"/>
      <c r="E110" s="9"/>
      <c r="J110" s="121"/>
      <c r="M110" s="9"/>
      <c r="N110" s="9"/>
      <c r="O110" s="9"/>
      <c r="Q110" s="9"/>
    </row>
    <row r="111">
      <c r="A111" s="9"/>
      <c r="D111" s="13"/>
      <c r="E111" s="9"/>
      <c r="J111" s="121"/>
      <c r="M111" s="9"/>
      <c r="N111" s="9"/>
      <c r="O111" s="9"/>
      <c r="Q111" s="9"/>
    </row>
    <row r="112">
      <c r="A112" s="9"/>
      <c r="D112" s="13"/>
      <c r="E112" s="9"/>
      <c r="J112" s="121"/>
      <c r="M112" s="9"/>
      <c r="N112" s="9"/>
      <c r="O112" s="9"/>
      <c r="Q112" s="9"/>
    </row>
    <row r="113">
      <c r="A113" s="9"/>
      <c r="D113" s="13"/>
      <c r="E113" s="9"/>
      <c r="J113" s="121"/>
      <c r="M113" s="9"/>
      <c r="N113" s="9"/>
      <c r="O113" s="9"/>
      <c r="Q113" s="9"/>
    </row>
    <row r="114">
      <c r="A114" s="9"/>
      <c r="D114" s="13"/>
      <c r="E114" s="9"/>
      <c r="J114" s="121"/>
      <c r="M114" s="9"/>
      <c r="N114" s="9"/>
      <c r="O114" s="9"/>
      <c r="Q114" s="9"/>
    </row>
    <row r="115">
      <c r="A115" s="9"/>
      <c r="D115" s="13"/>
      <c r="E115" s="9"/>
      <c r="J115" s="121"/>
      <c r="M115" s="9"/>
      <c r="N115" s="9"/>
      <c r="O115" s="9"/>
      <c r="Q115" s="9"/>
    </row>
    <row r="116">
      <c r="A116" s="9"/>
      <c r="D116" s="13"/>
      <c r="E116" s="9"/>
      <c r="J116" s="121"/>
      <c r="M116" s="9"/>
      <c r="N116" s="9"/>
      <c r="O116" s="9"/>
      <c r="Q116" s="9"/>
    </row>
    <row r="117">
      <c r="A117" s="9"/>
      <c r="D117" s="13"/>
      <c r="E117" s="9"/>
      <c r="J117" s="121"/>
      <c r="M117" s="9"/>
      <c r="N117" s="9"/>
      <c r="O117" s="9"/>
      <c r="Q117" s="9"/>
    </row>
    <row r="118">
      <c r="A118" s="9"/>
      <c r="D118" s="13"/>
      <c r="E118" s="9"/>
      <c r="J118" s="121"/>
      <c r="M118" s="9"/>
      <c r="N118" s="9"/>
      <c r="O118" s="9"/>
      <c r="Q118" s="9"/>
    </row>
    <row r="119">
      <c r="A119" s="9"/>
      <c r="D119" s="13"/>
      <c r="E119" s="9"/>
      <c r="J119" s="121"/>
      <c r="M119" s="9"/>
      <c r="N119" s="9"/>
      <c r="O119" s="9"/>
      <c r="Q119" s="9"/>
    </row>
    <row r="120">
      <c r="A120" s="9"/>
      <c r="D120" s="13"/>
      <c r="E120" s="9"/>
      <c r="J120" s="121"/>
      <c r="M120" s="9"/>
      <c r="N120" s="9"/>
      <c r="O120" s="9"/>
      <c r="Q120" s="9"/>
    </row>
    <row r="121">
      <c r="A121" s="9"/>
      <c r="D121" s="13"/>
      <c r="E121" s="9"/>
      <c r="J121" s="121"/>
      <c r="M121" s="9"/>
      <c r="N121" s="9"/>
      <c r="O121" s="9"/>
      <c r="Q121" s="9"/>
    </row>
    <row r="122">
      <c r="A122" s="9"/>
      <c r="D122" s="13"/>
      <c r="E122" s="9"/>
      <c r="J122" s="121"/>
      <c r="M122" s="9"/>
      <c r="N122" s="9"/>
      <c r="O122" s="9"/>
      <c r="Q122" s="9"/>
    </row>
    <row r="123">
      <c r="A123" s="9"/>
      <c r="D123" s="13"/>
      <c r="E123" s="9"/>
      <c r="J123" s="121"/>
      <c r="M123" s="9"/>
      <c r="N123" s="9"/>
      <c r="O123" s="9"/>
      <c r="Q123" s="9"/>
    </row>
    <row r="124">
      <c r="A124" s="9"/>
      <c r="D124" s="13"/>
      <c r="E124" s="9"/>
      <c r="J124" s="121"/>
      <c r="M124" s="9"/>
      <c r="N124" s="9"/>
      <c r="O124" s="9"/>
      <c r="Q124" s="9"/>
    </row>
    <row r="125">
      <c r="A125" s="9"/>
      <c r="D125" s="13"/>
      <c r="E125" s="9"/>
      <c r="J125" s="121"/>
      <c r="M125" s="9"/>
      <c r="N125" s="9"/>
      <c r="O125" s="9"/>
      <c r="Q125" s="9"/>
    </row>
    <row r="126">
      <c r="A126" s="9"/>
      <c r="D126" s="13"/>
      <c r="E126" s="9"/>
      <c r="J126" s="121"/>
      <c r="M126" s="9"/>
      <c r="N126" s="9"/>
      <c r="O126" s="9"/>
      <c r="Q126" s="9"/>
    </row>
    <row r="127">
      <c r="A127" s="9"/>
      <c r="D127" s="13"/>
      <c r="E127" s="9"/>
      <c r="J127" s="121"/>
      <c r="M127" s="9"/>
      <c r="N127" s="9"/>
      <c r="O127" s="9"/>
      <c r="Q127" s="9"/>
    </row>
    <row r="128">
      <c r="A128" s="9"/>
      <c r="D128" s="13"/>
      <c r="E128" s="9"/>
      <c r="J128" s="121"/>
      <c r="M128" s="9"/>
      <c r="N128" s="9"/>
      <c r="O128" s="9"/>
      <c r="Q128" s="9"/>
    </row>
    <row r="129">
      <c r="A129" s="9"/>
      <c r="D129" s="13"/>
      <c r="E129" s="9"/>
      <c r="J129" s="121"/>
      <c r="M129" s="9"/>
      <c r="N129" s="9"/>
      <c r="O129" s="9"/>
      <c r="Q129" s="9"/>
    </row>
    <row r="130">
      <c r="A130" s="9"/>
      <c r="D130" s="13"/>
      <c r="E130" s="9"/>
      <c r="J130" s="121"/>
      <c r="M130" s="9"/>
      <c r="N130" s="9"/>
      <c r="O130" s="9"/>
      <c r="Q130" s="9"/>
    </row>
    <row r="131">
      <c r="A131" s="9"/>
      <c r="D131" s="13"/>
      <c r="E131" s="9"/>
      <c r="J131" s="121"/>
      <c r="M131" s="9"/>
      <c r="N131" s="9"/>
      <c r="O131" s="9"/>
      <c r="Q131" s="9"/>
    </row>
    <row r="132">
      <c r="A132" s="9"/>
      <c r="D132" s="13"/>
      <c r="E132" s="9"/>
      <c r="J132" s="121"/>
      <c r="M132" s="9"/>
      <c r="N132" s="9"/>
      <c r="O132" s="9"/>
      <c r="Q132" s="9"/>
    </row>
    <row r="133">
      <c r="A133" s="9"/>
      <c r="D133" s="13"/>
      <c r="E133" s="9"/>
      <c r="J133" s="121"/>
      <c r="M133" s="9"/>
      <c r="N133" s="9"/>
      <c r="O133" s="9"/>
      <c r="Q133" s="9"/>
    </row>
    <row r="134">
      <c r="A134" s="9"/>
      <c r="D134" s="13"/>
      <c r="E134" s="9"/>
      <c r="J134" s="121"/>
      <c r="M134" s="9"/>
      <c r="N134" s="9"/>
      <c r="O134" s="9"/>
      <c r="Q134" s="9"/>
    </row>
    <row r="135">
      <c r="A135" s="9"/>
      <c r="D135" s="13"/>
      <c r="E135" s="9"/>
      <c r="J135" s="121"/>
      <c r="M135" s="9"/>
      <c r="N135" s="9"/>
      <c r="O135" s="9"/>
      <c r="Q135" s="9"/>
    </row>
    <row r="136">
      <c r="A136" s="9"/>
      <c r="D136" s="13"/>
      <c r="E136" s="9"/>
      <c r="J136" s="121"/>
      <c r="M136" s="9"/>
      <c r="N136" s="9"/>
      <c r="O136" s="9"/>
      <c r="Q136" s="9"/>
    </row>
    <row r="137">
      <c r="A137" s="9"/>
      <c r="D137" s="13"/>
      <c r="E137" s="9"/>
      <c r="J137" s="121"/>
      <c r="M137" s="9"/>
      <c r="N137" s="9"/>
      <c r="O137" s="9"/>
      <c r="Q137" s="9"/>
    </row>
    <row r="138">
      <c r="A138" s="9"/>
      <c r="D138" s="13"/>
      <c r="E138" s="9"/>
      <c r="J138" s="121"/>
      <c r="M138" s="9"/>
      <c r="N138" s="9"/>
      <c r="O138" s="9"/>
      <c r="Q138" s="9"/>
    </row>
    <row r="139">
      <c r="A139" s="9"/>
      <c r="D139" s="13"/>
      <c r="E139" s="9"/>
      <c r="J139" s="121"/>
      <c r="M139" s="9"/>
      <c r="N139" s="9"/>
      <c r="O139" s="9"/>
      <c r="Q139" s="9"/>
    </row>
    <row r="140">
      <c r="A140" s="9"/>
      <c r="D140" s="13"/>
      <c r="E140" s="9"/>
      <c r="J140" s="121"/>
      <c r="M140" s="9"/>
      <c r="N140" s="9"/>
      <c r="O140" s="9"/>
      <c r="Q140" s="9"/>
    </row>
    <row r="141">
      <c r="A141" s="9"/>
      <c r="D141" s="13"/>
      <c r="E141" s="9"/>
      <c r="J141" s="121"/>
      <c r="M141" s="9"/>
      <c r="N141" s="9"/>
      <c r="O141" s="9"/>
      <c r="Q141" s="9"/>
    </row>
    <row r="142">
      <c r="A142" s="9"/>
      <c r="D142" s="13"/>
      <c r="E142" s="9"/>
      <c r="J142" s="121"/>
      <c r="M142" s="9"/>
      <c r="N142" s="9"/>
      <c r="O142" s="9"/>
      <c r="Q142" s="9"/>
    </row>
    <row r="143">
      <c r="A143" s="9"/>
      <c r="D143" s="13"/>
      <c r="E143" s="9"/>
      <c r="J143" s="121"/>
      <c r="M143" s="9"/>
      <c r="N143" s="9"/>
      <c r="O143" s="9"/>
      <c r="Q143" s="9"/>
    </row>
    <row r="144">
      <c r="A144" s="9"/>
      <c r="D144" s="13"/>
      <c r="E144" s="9"/>
      <c r="J144" s="121"/>
      <c r="M144" s="9"/>
      <c r="N144" s="9"/>
      <c r="O144" s="9"/>
      <c r="Q144" s="9"/>
    </row>
    <row r="145">
      <c r="A145" s="9"/>
      <c r="D145" s="13"/>
      <c r="E145" s="9"/>
      <c r="J145" s="121"/>
      <c r="M145" s="9"/>
      <c r="N145" s="9"/>
      <c r="O145" s="9"/>
      <c r="Q145" s="9"/>
    </row>
    <row r="146">
      <c r="A146" s="9"/>
      <c r="D146" s="13"/>
      <c r="E146" s="9"/>
      <c r="J146" s="121"/>
      <c r="M146" s="9"/>
      <c r="N146" s="9"/>
      <c r="O146" s="9"/>
      <c r="Q146" s="9"/>
    </row>
    <row r="147">
      <c r="A147" s="9"/>
      <c r="D147" s="13"/>
      <c r="E147" s="9"/>
      <c r="J147" s="121"/>
      <c r="M147" s="9"/>
      <c r="N147" s="9"/>
      <c r="O147" s="9"/>
      <c r="Q147" s="9"/>
    </row>
    <row r="148">
      <c r="A148" s="9"/>
      <c r="D148" s="13"/>
      <c r="E148" s="9"/>
      <c r="J148" s="121"/>
      <c r="M148" s="9"/>
      <c r="N148" s="9"/>
      <c r="O148" s="9"/>
      <c r="Q148" s="9"/>
    </row>
    <row r="149">
      <c r="A149" s="9"/>
      <c r="D149" s="13"/>
      <c r="E149" s="9"/>
      <c r="J149" s="121"/>
      <c r="M149" s="9"/>
      <c r="N149" s="9"/>
      <c r="O149" s="9"/>
      <c r="Q149" s="9"/>
    </row>
    <row r="150">
      <c r="A150" s="9"/>
      <c r="D150" s="13"/>
      <c r="E150" s="9"/>
      <c r="J150" s="121"/>
      <c r="M150" s="9"/>
      <c r="N150" s="9"/>
      <c r="O150" s="9"/>
      <c r="Q150" s="9"/>
    </row>
    <row r="151">
      <c r="A151" s="9"/>
      <c r="D151" s="13"/>
      <c r="E151" s="9"/>
      <c r="J151" s="121"/>
      <c r="M151" s="9"/>
      <c r="N151" s="9"/>
      <c r="O151" s="9"/>
      <c r="Q151" s="9"/>
    </row>
    <row r="152">
      <c r="A152" s="9"/>
      <c r="D152" s="13"/>
      <c r="E152" s="9"/>
      <c r="J152" s="121"/>
      <c r="M152" s="9"/>
      <c r="N152" s="9"/>
      <c r="O152" s="9"/>
      <c r="Q152" s="9"/>
    </row>
    <row r="153">
      <c r="A153" s="9"/>
      <c r="D153" s="13"/>
      <c r="E153" s="9"/>
      <c r="J153" s="121"/>
      <c r="M153" s="9"/>
      <c r="N153" s="9"/>
      <c r="O153" s="9"/>
      <c r="Q153" s="9"/>
    </row>
    <row r="154">
      <c r="A154" s="9"/>
      <c r="D154" s="13"/>
      <c r="E154" s="9"/>
      <c r="J154" s="121"/>
      <c r="M154" s="9"/>
      <c r="N154" s="9"/>
      <c r="O154" s="9"/>
      <c r="Q154" s="9"/>
    </row>
    <row r="155">
      <c r="A155" s="9"/>
      <c r="D155" s="13"/>
      <c r="E155" s="9"/>
      <c r="J155" s="121"/>
      <c r="M155" s="9"/>
      <c r="N155" s="9"/>
      <c r="O155" s="9"/>
      <c r="Q155" s="9"/>
    </row>
    <row r="156">
      <c r="A156" s="9"/>
      <c r="D156" s="13"/>
      <c r="E156" s="9"/>
      <c r="J156" s="121"/>
      <c r="M156" s="9"/>
      <c r="N156" s="9"/>
      <c r="O156" s="9"/>
      <c r="Q156" s="9"/>
    </row>
    <row r="157">
      <c r="A157" s="9"/>
      <c r="D157" s="13"/>
      <c r="E157" s="9"/>
      <c r="J157" s="121"/>
      <c r="M157" s="9"/>
      <c r="N157" s="9"/>
      <c r="O157" s="9"/>
      <c r="Q157" s="9"/>
    </row>
    <row r="158">
      <c r="A158" s="9"/>
      <c r="D158" s="13"/>
      <c r="E158" s="9"/>
      <c r="J158" s="121"/>
      <c r="M158" s="9"/>
      <c r="N158" s="9"/>
      <c r="O158" s="9"/>
      <c r="Q158" s="9"/>
    </row>
    <row r="159">
      <c r="A159" s="9"/>
      <c r="D159" s="13"/>
      <c r="E159" s="9"/>
      <c r="J159" s="121"/>
      <c r="M159" s="9"/>
      <c r="N159" s="9"/>
      <c r="O159" s="9"/>
      <c r="Q159" s="9"/>
    </row>
    <row r="160">
      <c r="A160" s="9"/>
      <c r="D160" s="13"/>
      <c r="E160" s="9"/>
      <c r="J160" s="121"/>
      <c r="M160" s="9"/>
      <c r="N160" s="9"/>
      <c r="O160" s="9"/>
      <c r="Q160" s="9"/>
    </row>
    <row r="161">
      <c r="A161" s="9"/>
      <c r="D161" s="13"/>
      <c r="E161" s="9"/>
      <c r="J161" s="121"/>
      <c r="M161" s="9"/>
      <c r="N161" s="9"/>
      <c r="O161" s="9"/>
      <c r="Q161" s="9"/>
    </row>
    <row r="162">
      <c r="A162" s="9"/>
      <c r="D162" s="13"/>
      <c r="E162" s="9"/>
      <c r="J162" s="121"/>
      <c r="M162" s="9"/>
      <c r="N162" s="9"/>
      <c r="O162" s="9"/>
      <c r="Q162" s="9"/>
    </row>
    <row r="163">
      <c r="A163" s="9"/>
      <c r="D163" s="13"/>
      <c r="E163" s="9"/>
      <c r="J163" s="121"/>
      <c r="M163" s="9"/>
      <c r="N163" s="9"/>
      <c r="O163" s="9"/>
      <c r="Q163" s="9"/>
    </row>
    <row r="164">
      <c r="A164" s="9"/>
      <c r="D164" s="13"/>
      <c r="E164" s="9"/>
      <c r="J164" s="121"/>
      <c r="M164" s="9"/>
      <c r="N164" s="9"/>
      <c r="O164" s="9"/>
      <c r="Q164" s="9"/>
    </row>
    <row r="165">
      <c r="A165" s="9"/>
      <c r="D165" s="13"/>
      <c r="E165" s="9"/>
      <c r="J165" s="121"/>
      <c r="M165" s="9"/>
      <c r="N165" s="9"/>
      <c r="O165" s="9"/>
      <c r="Q165" s="9"/>
    </row>
    <row r="166">
      <c r="A166" s="9"/>
      <c r="D166" s="13"/>
      <c r="E166" s="9"/>
      <c r="J166" s="121"/>
      <c r="M166" s="9"/>
      <c r="N166" s="9"/>
      <c r="O166" s="9"/>
      <c r="Q166" s="9"/>
    </row>
    <row r="167">
      <c r="A167" s="9"/>
      <c r="D167" s="13"/>
      <c r="E167" s="9"/>
      <c r="J167" s="121"/>
      <c r="M167" s="9"/>
      <c r="N167" s="9"/>
      <c r="O167" s="9"/>
      <c r="Q167" s="9"/>
    </row>
    <row r="168">
      <c r="A168" s="9"/>
      <c r="D168" s="13"/>
      <c r="E168" s="9"/>
      <c r="J168" s="121"/>
      <c r="M168" s="9"/>
      <c r="N168" s="9"/>
      <c r="O168" s="9"/>
      <c r="Q168" s="9"/>
    </row>
    <row r="169">
      <c r="A169" s="9"/>
      <c r="D169" s="13"/>
      <c r="E169" s="9"/>
      <c r="J169" s="121"/>
      <c r="M169" s="9"/>
      <c r="N169" s="9"/>
      <c r="O169" s="9"/>
      <c r="Q169" s="9"/>
    </row>
    <row r="170">
      <c r="A170" s="9"/>
      <c r="D170" s="13"/>
      <c r="E170" s="9"/>
      <c r="J170" s="121"/>
      <c r="M170" s="9"/>
      <c r="N170" s="9"/>
      <c r="O170" s="9"/>
      <c r="Q170" s="9"/>
    </row>
    <row r="171">
      <c r="A171" s="9"/>
      <c r="D171" s="13"/>
      <c r="E171" s="9"/>
      <c r="J171" s="121"/>
      <c r="M171" s="9"/>
      <c r="N171" s="9"/>
      <c r="O171" s="9"/>
      <c r="Q171" s="9"/>
    </row>
    <row r="172">
      <c r="A172" s="9"/>
      <c r="D172" s="13"/>
      <c r="E172" s="9"/>
      <c r="J172" s="121"/>
      <c r="M172" s="9"/>
      <c r="N172" s="9"/>
      <c r="O172" s="9"/>
      <c r="Q172" s="9"/>
    </row>
    <row r="173">
      <c r="A173" s="9"/>
      <c r="D173" s="13"/>
      <c r="E173" s="9"/>
      <c r="J173" s="121"/>
      <c r="M173" s="9"/>
      <c r="N173" s="9"/>
      <c r="O173" s="9"/>
      <c r="Q173" s="9"/>
    </row>
    <row r="174">
      <c r="A174" s="9"/>
      <c r="D174" s="13"/>
      <c r="E174" s="9"/>
      <c r="J174" s="121"/>
      <c r="M174" s="9"/>
      <c r="N174" s="9"/>
      <c r="O174" s="9"/>
      <c r="Q174" s="9"/>
    </row>
    <row r="175">
      <c r="A175" s="9"/>
      <c r="D175" s="13"/>
      <c r="E175" s="9"/>
      <c r="J175" s="121"/>
      <c r="M175" s="9"/>
      <c r="N175" s="9"/>
      <c r="O175" s="9"/>
      <c r="Q175" s="9"/>
    </row>
    <row r="176">
      <c r="A176" s="9"/>
      <c r="D176" s="13"/>
      <c r="E176" s="9"/>
      <c r="J176" s="121"/>
      <c r="M176" s="9"/>
      <c r="N176" s="9"/>
      <c r="O176" s="9"/>
      <c r="Q176" s="9"/>
    </row>
    <row r="177">
      <c r="A177" s="9"/>
      <c r="D177" s="13"/>
      <c r="E177" s="9"/>
      <c r="J177" s="121"/>
      <c r="M177" s="9"/>
      <c r="N177" s="9"/>
      <c r="O177" s="9"/>
      <c r="Q177" s="9"/>
    </row>
    <row r="178">
      <c r="A178" s="9"/>
      <c r="D178" s="13"/>
      <c r="E178" s="9"/>
      <c r="J178" s="121"/>
      <c r="M178" s="9"/>
      <c r="N178" s="9"/>
      <c r="O178" s="9"/>
      <c r="Q178" s="9"/>
    </row>
    <row r="179">
      <c r="A179" s="9"/>
      <c r="D179" s="13"/>
      <c r="E179" s="9"/>
      <c r="J179" s="121"/>
      <c r="M179" s="9"/>
      <c r="N179" s="9"/>
      <c r="O179" s="9"/>
      <c r="Q179" s="9"/>
    </row>
    <row r="180">
      <c r="A180" s="9"/>
      <c r="D180" s="13"/>
      <c r="E180" s="9"/>
      <c r="J180" s="121"/>
      <c r="M180" s="9"/>
      <c r="N180" s="9"/>
      <c r="O180" s="9"/>
      <c r="Q180" s="9"/>
    </row>
    <row r="181">
      <c r="A181" s="9"/>
      <c r="D181" s="13"/>
      <c r="E181" s="9"/>
      <c r="J181" s="121"/>
      <c r="M181" s="9"/>
      <c r="N181" s="9"/>
      <c r="O181" s="9"/>
      <c r="Q181" s="9"/>
    </row>
    <row r="182">
      <c r="A182" s="9"/>
      <c r="D182" s="13"/>
      <c r="E182" s="9"/>
      <c r="J182" s="121"/>
      <c r="M182" s="9"/>
      <c r="N182" s="9"/>
      <c r="O182" s="9"/>
      <c r="Q182" s="9"/>
    </row>
    <row r="183">
      <c r="A183" s="9"/>
      <c r="D183" s="13"/>
      <c r="E183" s="9"/>
      <c r="J183" s="121"/>
      <c r="M183" s="9"/>
      <c r="N183" s="9"/>
      <c r="O183" s="9"/>
      <c r="Q183" s="9"/>
    </row>
    <row r="184">
      <c r="A184" s="9"/>
      <c r="D184" s="13"/>
      <c r="E184" s="9"/>
      <c r="J184" s="121"/>
      <c r="M184" s="9"/>
      <c r="N184" s="9"/>
      <c r="O184" s="9"/>
      <c r="Q184" s="9"/>
    </row>
    <row r="185">
      <c r="A185" s="9"/>
      <c r="D185" s="13"/>
      <c r="E185" s="9"/>
      <c r="J185" s="121"/>
      <c r="M185" s="9"/>
      <c r="N185" s="9"/>
      <c r="O185" s="9"/>
      <c r="Q185" s="9"/>
    </row>
    <row r="186">
      <c r="A186" s="9"/>
      <c r="D186" s="13"/>
      <c r="E186" s="9"/>
      <c r="J186" s="121"/>
      <c r="M186" s="9"/>
      <c r="N186" s="9"/>
      <c r="O186" s="9"/>
      <c r="Q186" s="9"/>
    </row>
    <row r="187">
      <c r="A187" s="9"/>
      <c r="D187" s="13"/>
      <c r="E187" s="9"/>
      <c r="J187" s="121"/>
      <c r="M187" s="9"/>
      <c r="N187" s="9"/>
      <c r="O187" s="9"/>
      <c r="Q187" s="9"/>
    </row>
    <row r="188">
      <c r="A188" s="9"/>
      <c r="D188" s="13"/>
      <c r="E188" s="9"/>
      <c r="J188" s="121"/>
      <c r="M188" s="9"/>
      <c r="N188" s="9"/>
      <c r="O188" s="9"/>
      <c r="Q188" s="9"/>
    </row>
    <row r="189">
      <c r="A189" s="9"/>
      <c r="D189" s="13"/>
      <c r="E189" s="9"/>
      <c r="J189" s="121"/>
      <c r="M189" s="9"/>
      <c r="N189" s="9"/>
      <c r="O189" s="9"/>
      <c r="Q189" s="9"/>
    </row>
    <row r="190">
      <c r="A190" s="9"/>
      <c r="D190" s="13"/>
      <c r="E190" s="9"/>
      <c r="J190" s="121"/>
      <c r="M190" s="9"/>
      <c r="N190" s="9"/>
      <c r="O190" s="9"/>
      <c r="Q190" s="9"/>
    </row>
    <row r="191">
      <c r="A191" s="9"/>
      <c r="D191" s="13"/>
      <c r="E191" s="9"/>
      <c r="J191" s="121"/>
      <c r="M191" s="9"/>
      <c r="N191" s="9"/>
      <c r="O191" s="9"/>
      <c r="Q191" s="9"/>
    </row>
    <row r="192">
      <c r="A192" s="9"/>
      <c r="D192" s="13"/>
      <c r="E192" s="9"/>
      <c r="J192" s="121"/>
      <c r="M192" s="9"/>
      <c r="N192" s="9"/>
      <c r="O192" s="9"/>
      <c r="Q192" s="9"/>
    </row>
    <row r="193">
      <c r="A193" s="9"/>
      <c r="D193" s="13"/>
      <c r="E193" s="9"/>
      <c r="J193" s="121"/>
      <c r="M193" s="9"/>
      <c r="N193" s="9"/>
      <c r="O193" s="9"/>
      <c r="Q193" s="9"/>
    </row>
    <row r="194">
      <c r="A194" s="9"/>
      <c r="D194" s="13"/>
      <c r="E194" s="9"/>
      <c r="J194" s="121"/>
      <c r="M194" s="9"/>
      <c r="N194" s="9"/>
      <c r="O194" s="9"/>
      <c r="Q194" s="9"/>
    </row>
    <row r="195">
      <c r="A195" s="9"/>
      <c r="D195" s="13"/>
      <c r="E195" s="9"/>
      <c r="J195" s="121"/>
      <c r="M195" s="9"/>
      <c r="N195" s="9"/>
      <c r="O195" s="9"/>
      <c r="Q195" s="9"/>
    </row>
    <row r="196">
      <c r="A196" s="9"/>
      <c r="D196" s="13"/>
      <c r="E196" s="9"/>
      <c r="J196" s="121"/>
      <c r="M196" s="9"/>
      <c r="N196" s="9"/>
      <c r="O196" s="9"/>
      <c r="Q196" s="9"/>
    </row>
    <row r="197">
      <c r="A197" s="9"/>
      <c r="D197" s="13"/>
      <c r="E197" s="9"/>
      <c r="J197" s="121"/>
      <c r="M197" s="9"/>
      <c r="N197" s="9"/>
      <c r="O197" s="9"/>
      <c r="Q197" s="9"/>
    </row>
    <row r="198">
      <c r="A198" s="9"/>
      <c r="D198" s="13"/>
      <c r="E198" s="9"/>
      <c r="J198" s="121"/>
      <c r="M198" s="9"/>
      <c r="N198" s="9"/>
      <c r="O198" s="9"/>
      <c r="Q198" s="9"/>
    </row>
    <row r="199">
      <c r="A199" s="9"/>
      <c r="D199" s="13"/>
      <c r="E199" s="9"/>
      <c r="J199" s="121"/>
      <c r="M199" s="9"/>
      <c r="N199" s="9"/>
      <c r="O199" s="9"/>
      <c r="Q199" s="9"/>
    </row>
    <row r="200">
      <c r="A200" s="9"/>
      <c r="D200" s="13"/>
      <c r="E200" s="9"/>
      <c r="J200" s="121"/>
      <c r="M200" s="9"/>
      <c r="N200" s="9"/>
      <c r="O200" s="9"/>
      <c r="Q200" s="9"/>
    </row>
    <row r="201">
      <c r="A201" s="9"/>
      <c r="D201" s="13"/>
      <c r="E201" s="9"/>
      <c r="J201" s="121"/>
      <c r="M201" s="9"/>
      <c r="N201" s="9"/>
      <c r="O201" s="9"/>
      <c r="Q201" s="9"/>
    </row>
    <row r="202">
      <c r="A202" s="9"/>
      <c r="D202" s="13"/>
      <c r="E202" s="9"/>
      <c r="J202" s="121"/>
      <c r="M202" s="9"/>
      <c r="N202" s="9"/>
      <c r="O202" s="9"/>
      <c r="Q202" s="9"/>
    </row>
    <row r="203">
      <c r="A203" s="9"/>
      <c r="D203" s="13"/>
      <c r="E203" s="9"/>
      <c r="J203" s="121"/>
      <c r="M203" s="9"/>
      <c r="N203" s="9"/>
      <c r="O203" s="9"/>
      <c r="Q203" s="9"/>
    </row>
    <row r="204">
      <c r="A204" s="9"/>
      <c r="D204" s="13"/>
      <c r="E204" s="9"/>
      <c r="J204" s="121"/>
      <c r="M204" s="9"/>
      <c r="N204" s="9"/>
      <c r="O204" s="9"/>
      <c r="Q204" s="9"/>
    </row>
    <row r="205">
      <c r="A205" s="9"/>
      <c r="D205" s="13"/>
      <c r="E205" s="9"/>
      <c r="J205" s="121"/>
      <c r="M205" s="9"/>
      <c r="N205" s="9"/>
      <c r="O205" s="9"/>
      <c r="Q205" s="9"/>
    </row>
    <row r="206">
      <c r="A206" s="9"/>
      <c r="D206" s="13"/>
      <c r="E206" s="9"/>
      <c r="J206" s="121"/>
      <c r="M206" s="9"/>
      <c r="N206" s="9"/>
      <c r="O206" s="9"/>
      <c r="Q206" s="9"/>
    </row>
    <row r="207">
      <c r="A207" s="9"/>
      <c r="D207" s="13"/>
      <c r="E207" s="9"/>
      <c r="J207" s="121"/>
      <c r="M207" s="9"/>
      <c r="N207" s="9"/>
      <c r="O207" s="9"/>
      <c r="Q207" s="9"/>
    </row>
    <row r="208">
      <c r="A208" s="9"/>
      <c r="D208" s="13"/>
      <c r="E208" s="9"/>
      <c r="J208" s="121"/>
      <c r="M208" s="9"/>
      <c r="N208" s="9"/>
      <c r="O208" s="9"/>
      <c r="Q208" s="9"/>
    </row>
    <row r="209">
      <c r="A209" s="9"/>
      <c r="D209" s="13"/>
      <c r="E209" s="9"/>
      <c r="J209" s="121"/>
      <c r="M209" s="9"/>
      <c r="N209" s="9"/>
      <c r="O209" s="9"/>
      <c r="Q209" s="9"/>
    </row>
    <row r="210">
      <c r="A210" s="9"/>
      <c r="D210" s="13"/>
      <c r="E210" s="9"/>
      <c r="J210" s="121"/>
      <c r="M210" s="9"/>
      <c r="N210" s="9"/>
      <c r="O210" s="9"/>
      <c r="Q210" s="9"/>
    </row>
    <row r="211">
      <c r="A211" s="9"/>
      <c r="D211" s="13"/>
      <c r="E211" s="9"/>
      <c r="J211" s="121"/>
      <c r="M211" s="9"/>
      <c r="N211" s="9"/>
      <c r="O211" s="9"/>
      <c r="Q211" s="9"/>
    </row>
    <row r="212">
      <c r="A212" s="9"/>
      <c r="D212" s="13"/>
      <c r="E212" s="9"/>
      <c r="J212" s="121"/>
      <c r="M212" s="9"/>
      <c r="N212" s="9"/>
      <c r="O212" s="9"/>
      <c r="Q212" s="9"/>
    </row>
    <row r="213">
      <c r="A213" s="9"/>
      <c r="D213" s="13"/>
      <c r="E213" s="9"/>
      <c r="J213" s="121"/>
      <c r="M213" s="9"/>
      <c r="N213" s="9"/>
      <c r="O213" s="9"/>
      <c r="Q213" s="9"/>
    </row>
    <row r="214">
      <c r="A214" s="9"/>
      <c r="D214" s="13"/>
      <c r="E214" s="9"/>
      <c r="J214" s="121"/>
      <c r="M214" s="9"/>
      <c r="N214" s="9"/>
      <c r="O214" s="9"/>
      <c r="Q214" s="9"/>
    </row>
    <row r="215">
      <c r="A215" s="9"/>
      <c r="D215" s="13"/>
      <c r="E215" s="9"/>
      <c r="J215" s="121"/>
      <c r="M215" s="9"/>
      <c r="N215" s="9"/>
      <c r="O215" s="9"/>
      <c r="Q215" s="9"/>
    </row>
    <row r="216">
      <c r="A216" s="9"/>
      <c r="D216" s="13"/>
      <c r="E216" s="9"/>
      <c r="J216" s="121"/>
      <c r="M216" s="9"/>
      <c r="N216" s="9"/>
      <c r="O216" s="9"/>
      <c r="Q216" s="9"/>
    </row>
    <row r="217">
      <c r="A217" s="9"/>
      <c r="D217" s="13"/>
      <c r="E217" s="9"/>
      <c r="J217" s="121"/>
      <c r="M217" s="9"/>
      <c r="N217" s="9"/>
      <c r="O217" s="9"/>
      <c r="Q217" s="9"/>
    </row>
    <row r="218">
      <c r="A218" s="9"/>
      <c r="D218" s="13"/>
      <c r="E218" s="9"/>
      <c r="J218" s="121"/>
      <c r="M218" s="9"/>
      <c r="N218" s="9"/>
      <c r="O218" s="9"/>
      <c r="Q218" s="9"/>
    </row>
    <row r="219">
      <c r="A219" s="9"/>
      <c r="D219" s="13"/>
      <c r="E219" s="9"/>
      <c r="J219" s="121"/>
      <c r="M219" s="9"/>
      <c r="N219" s="9"/>
      <c r="O219" s="9"/>
      <c r="Q219" s="9"/>
    </row>
    <row r="220">
      <c r="A220" s="9"/>
      <c r="D220" s="13"/>
      <c r="E220" s="9"/>
      <c r="J220" s="121"/>
      <c r="M220" s="9"/>
      <c r="N220" s="9"/>
      <c r="O220" s="9"/>
      <c r="Q220" s="9"/>
    </row>
    <row r="221">
      <c r="A221" s="9"/>
      <c r="D221" s="13"/>
      <c r="E221" s="9"/>
      <c r="J221" s="121"/>
      <c r="M221" s="9"/>
      <c r="N221" s="9"/>
      <c r="O221" s="9"/>
      <c r="Q221" s="9"/>
    </row>
    <row r="222">
      <c r="A222" s="9"/>
      <c r="D222" s="13"/>
      <c r="E222" s="9"/>
      <c r="J222" s="121"/>
      <c r="M222" s="9"/>
      <c r="N222" s="9"/>
      <c r="O222" s="9"/>
      <c r="Q222" s="9"/>
    </row>
    <row r="223">
      <c r="A223" s="9"/>
      <c r="D223" s="13"/>
      <c r="E223" s="9"/>
      <c r="J223" s="121"/>
      <c r="M223" s="9"/>
      <c r="N223" s="9"/>
      <c r="O223" s="9"/>
      <c r="Q223" s="9"/>
    </row>
    <row r="224">
      <c r="A224" s="9"/>
      <c r="D224" s="13"/>
      <c r="E224" s="9"/>
      <c r="J224" s="121"/>
      <c r="M224" s="9"/>
      <c r="N224" s="9"/>
      <c r="O224" s="9"/>
      <c r="Q224" s="9"/>
    </row>
    <row r="225">
      <c r="A225" s="9"/>
      <c r="D225" s="13"/>
      <c r="E225" s="9"/>
      <c r="J225" s="121"/>
      <c r="M225" s="9"/>
      <c r="N225" s="9"/>
      <c r="O225" s="9"/>
      <c r="Q225" s="9"/>
    </row>
    <row r="226">
      <c r="A226" s="9"/>
      <c r="D226" s="13"/>
      <c r="E226" s="9"/>
      <c r="J226" s="121"/>
      <c r="M226" s="9"/>
      <c r="N226" s="9"/>
      <c r="O226" s="9"/>
      <c r="Q226" s="9"/>
    </row>
    <row r="227">
      <c r="A227" s="9"/>
      <c r="D227" s="13"/>
      <c r="E227" s="9"/>
      <c r="J227" s="121"/>
      <c r="M227" s="9"/>
      <c r="N227" s="9"/>
      <c r="O227" s="9"/>
      <c r="Q227" s="9"/>
    </row>
    <row r="228">
      <c r="A228" s="9"/>
      <c r="D228" s="13"/>
      <c r="E228" s="9"/>
      <c r="J228" s="121"/>
      <c r="M228" s="9"/>
      <c r="N228" s="9"/>
      <c r="O228" s="9"/>
      <c r="Q228" s="9"/>
    </row>
    <row r="229">
      <c r="A229" s="9"/>
      <c r="D229" s="13"/>
      <c r="E229" s="9"/>
      <c r="J229" s="121"/>
      <c r="M229" s="9"/>
      <c r="N229" s="9"/>
      <c r="O229" s="9"/>
      <c r="Q229" s="9"/>
    </row>
    <row r="230">
      <c r="A230" s="9"/>
      <c r="D230" s="13"/>
      <c r="E230" s="9"/>
      <c r="J230" s="121"/>
      <c r="M230" s="9"/>
      <c r="N230" s="9"/>
      <c r="O230" s="9"/>
      <c r="Q230" s="9"/>
    </row>
    <row r="231">
      <c r="A231" s="9"/>
      <c r="D231" s="13"/>
      <c r="E231" s="9"/>
      <c r="J231" s="121"/>
      <c r="M231" s="9"/>
      <c r="N231" s="9"/>
      <c r="O231" s="9"/>
      <c r="Q231" s="9"/>
    </row>
    <row r="232">
      <c r="A232" s="9"/>
      <c r="D232" s="13"/>
      <c r="E232" s="9"/>
      <c r="J232" s="121"/>
      <c r="M232" s="9"/>
      <c r="N232" s="9"/>
      <c r="O232" s="9"/>
      <c r="Q232" s="9"/>
    </row>
    <row r="233">
      <c r="A233" s="9"/>
      <c r="D233" s="13"/>
      <c r="E233" s="9"/>
      <c r="J233" s="121"/>
      <c r="M233" s="9"/>
      <c r="N233" s="9"/>
      <c r="O233" s="9"/>
      <c r="Q233" s="9"/>
    </row>
    <row r="234">
      <c r="A234" s="9"/>
      <c r="D234" s="13"/>
      <c r="E234" s="9"/>
      <c r="J234" s="121"/>
      <c r="M234" s="9"/>
      <c r="N234" s="9"/>
      <c r="O234" s="9"/>
      <c r="Q234" s="9"/>
    </row>
    <row r="235">
      <c r="A235" s="9"/>
      <c r="D235" s="13"/>
      <c r="E235" s="9"/>
      <c r="J235" s="121"/>
      <c r="M235" s="9"/>
      <c r="N235" s="9"/>
      <c r="O235" s="9"/>
      <c r="Q235" s="9"/>
    </row>
    <row r="236">
      <c r="A236" s="9"/>
      <c r="D236" s="13"/>
      <c r="E236" s="9"/>
      <c r="J236" s="121"/>
      <c r="M236" s="9"/>
      <c r="N236" s="9"/>
      <c r="O236" s="9"/>
      <c r="Q236" s="9"/>
    </row>
    <row r="237">
      <c r="A237" s="9"/>
      <c r="D237" s="13"/>
      <c r="E237" s="9"/>
      <c r="J237" s="121"/>
      <c r="M237" s="9"/>
      <c r="N237" s="9"/>
      <c r="O237" s="9"/>
      <c r="Q237" s="9"/>
    </row>
    <row r="238">
      <c r="A238" s="9"/>
      <c r="D238" s="13"/>
      <c r="E238" s="9"/>
      <c r="J238" s="121"/>
      <c r="M238" s="9"/>
      <c r="N238" s="9"/>
      <c r="O238" s="9"/>
      <c r="Q238" s="9"/>
    </row>
    <row r="239">
      <c r="A239" s="9"/>
      <c r="D239" s="13"/>
      <c r="E239" s="9"/>
      <c r="J239" s="121"/>
      <c r="M239" s="9"/>
      <c r="N239" s="9"/>
      <c r="O239" s="9"/>
      <c r="Q239" s="9"/>
    </row>
    <row r="240">
      <c r="A240" s="9"/>
      <c r="D240" s="13"/>
      <c r="E240" s="9"/>
      <c r="J240" s="121"/>
      <c r="M240" s="9"/>
      <c r="N240" s="9"/>
      <c r="O240" s="9"/>
      <c r="Q240" s="9"/>
    </row>
    <row r="241">
      <c r="A241" s="9"/>
      <c r="D241" s="13"/>
      <c r="E241" s="9"/>
      <c r="J241" s="121"/>
      <c r="M241" s="9"/>
      <c r="N241" s="9"/>
      <c r="O241" s="9"/>
      <c r="Q241" s="9"/>
    </row>
    <row r="242">
      <c r="A242" s="9"/>
      <c r="D242" s="13"/>
      <c r="E242" s="9"/>
      <c r="J242" s="121"/>
      <c r="M242" s="9"/>
      <c r="N242" s="9"/>
      <c r="O242" s="9"/>
      <c r="Q242" s="9"/>
    </row>
    <row r="243">
      <c r="A243" s="9"/>
      <c r="D243" s="13"/>
      <c r="E243" s="9"/>
      <c r="J243" s="121"/>
      <c r="M243" s="9"/>
      <c r="N243" s="9"/>
      <c r="O243" s="9"/>
      <c r="Q243" s="9"/>
    </row>
    <row r="244">
      <c r="A244" s="9"/>
      <c r="D244" s="13"/>
      <c r="E244" s="9"/>
      <c r="J244" s="121"/>
      <c r="M244" s="9"/>
      <c r="N244" s="9"/>
      <c r="O244" s="9"/>
      <c r="Q244" s="9"/>
    </row>
    <row r="245">
      <c r="A245" s="9"/>
      <c r="D245" s="13"/>
      <c r="E245" s="9"/>
      <c r="J245" s="121"/>
      <c r="M245" s="9"/>
      <c r="N245" s="9"/>
      <c r="O245" s="9"/>
      <c r="Q245" s="9"/>
    </row>
    <row r="246">
      <c r="A246" s="9"/>
      <c r="D246" s="13"/>
      <c r="E246" s="9"/>
      <c r="J246" s="121"/>
      <c r="M246" s="9"/>
      <c r="N246" s="9"/>
      <c r="O246" s="9"/>
      <c r="Q246" s="9"/>
    </row>
    <row r="247">
      <c r="A247" s="9"/>
      <c r="D247" s="13"/>
      <c r="E247" s="9"/>
      <c r="J247" s="121"/>
      <c r="M247" s="9"/>
      <c r="N247" s="9"/>
      <c r="O247" s="9"/>
      <c r="Q247" s="9"/>
    </row>
    <row r="248">
      <c r="A248" s="9"/>
      <c r="D248" s="13"/>
      <c r="E248" s="9"/>
      <c r="J248" s="121"/>
      <c r="M248" s="9"/>
      <c r="N248" s="9"/>
      <c r="O248" s="9"/>
      <c r="Q248" s="9"/>
    </row>
    <row r="249">
      <c r="A249" s="9"/>
      <c r="D249" s="13"/>
      <c r="E249" s="9"/>
      <c r="J249" s="121"/>
      <c r="M249" s="9"/>
      <c r="N249" s="9"/>
      <c r="O249" s="9"/>
      <c r="Q249" s="9"/>
    </row>
    <row r="250">
      <c r="A250" s="9"/>
      <c r="D250" s="13"/>
      <c r="E250" s="9"/>
      <c r="J250" s="121"/>
      <c r="M250" s="9"/>
      <c r="N250" s="9"/>
      <c r="O250" s="9"/>
      <c r="Q250" s="9"/>
    </row>
    <row r="251">
      <c r="A251" s="9"/>
      <c r="D251" s="13"/>
      <c r="E251" s="9"/>
      <c r="J251" s="121"/>
      <c r="M251" s="9"/>
      <c r="N251" s="9"/>
      <c r="O251" s="9"/>
      <c r="Q251" s="9"/>
    </row>
    <row r="252">
      <c r="A252" s="9"/>
      <c r="D252" s="13"/>
      <c r="E252" s="9"/>
      <c r="J252" s="121"/>
      <c r="M252" s="9"/>
      <c r="N252" s="9"/>
      <c r="O252" s="9"/>
      <c r="Q252" s="9"/>
    </row>
    <row r="253">
      <c r="A253" s="9"/>
      <c r="D253" s="13"/>
      <c r="E253" s="9"/>
      <c r="J253" s="121"/>
      <c r="M253" s="9"/>
      <c r="N253" s="9"/>
      <c r="O253" s="9"/>
      <c r="Q253" s="9"/>
    </row>
    <row r="254">
      <c r="A254" s="9"/>
      <c r="D254" s="13"/>
      <c r="E254" s="9"/>
      <c r="J254" s="121"/>
      <c r="M254" s="9"/>
      <c r="N254" s="9"/>
      <c r="O254" s="9"/>
      <c r="Q254" s="9"/>
    </row>
    <row r="255">
      <c r="A255" s="9"/>
      <c r="D255" s="13"/>
      <c r="E255" s="9"/>
      <c r="J255" s="121"/>
      <c r="M255" s="9"/>
      <c r="N255" s="9"/>
      <c r="O255" s="9"/>
      <c r="Q255" s="9"/>
    </row>
    <row r="256">
      <c r="A256" s="9"/>
      <c r="D256" s="13"/>
      <c r="E256" s="9"/>
      <c r="J256" s="121"/>
      <c r="M256" s="9"/>
      <c r="N256" s="9"/>
      <c r="O256" s="9"/>
      <c r="Q256" s="9"/>
    </row>
    <row r="257">
      <c r="A257" s="9"/>
      <c r="D257" s="13"/>
      <c r="E257" s="9"/>
      <c r="J257" s="121"/>
      <c r="M257" s="9"/>
      <c r="N257" s="9"/>
      <c r="O257" s="9"/>
      <c r="Q257" s="9"/>
    </row>
    <row r="258">
      <c r="A258" s="9"/>
      <c r="D258" s="13"/>
      <c r="E258" s="9"/>
      <c r="J258" s="121"/>
      <c r="M258" s="9"/>
      <c r="N258" s="9"/>
      <c r="O258" s="9"/>
      <c r="Q258" s="9"/>
    </row>
    <row r="259">
      <c r="A259" s="9"/>
      <c r="D259" s="13"/>
      <c r="E259" s="9"/>
      <c r="J259" s="121"/>
      <c r="M259" s="9"/>
      <c r="N259" s="9"/>
      <c r="O259" s="9"/>
      <c r="Q259" s="9"/>
    </row>
    <row r="260">
      <c r="A260" s="9"/>
      <c r="D260" s="13"/>
      <c r="E260" s="9"/>
      <c r="J260" s="121"/>
      <c r="M260" s="9"/>
      <c r="N260" s="9"/>
      <c r="O260" s="9"/>
      <c r="Q260" s="9"/>
    </row>
    <row r="261">
      <c r="A261" s="9"/>
      <c r="D261" s="13"/>
      <c r="E261" s="9"/>
      <c r="J261" s="121"/>
      <c r="M261" s="9"/>
      <c r="N261" s="9"/>
      <c r="O261" s="9"/>
      <c r="Q261" s="9"/>
    </row>
    <row r="262">
      <c r="A262" s="9"/>
      <c r="D262" s="13"/>
      <c r="E262" s="9"/>
      <c r="J262" s="121"/>
      <c r="M262" s="9"/>
      <c r="N262" s="9"/>
      <c r="O262" s="9"/>
      <c r="Q262" s="9"/>
    </row>
    <row r="263">
      <c r="A263" s="9"/>
      <c r="D263" s="13"/>
      <c r="E263" s="9"/>
      <c r="J263" s="121"/>
      <c r="M263" s="9"/>
      <c r="N263" s="9"/>
      <c r="O263" s="9"/>
      <c r="Q263" s="9"/>
    </row>
    <row r="264">
      <c r="A264" s="9"/>
      <c r="D264" s="13"/>
      <c r="E264" s="9"/>
      <c r="J264" s="121"/>
      <c r="M264" s="9"/>
      <c r="N264" s="9"/>
      <c r="O264" s="9"/>
      <c r="Q264" s="9"/>
    </row>
    <row r="265">
      <c r="A265" s="9"/>
      <c r="D265" s="13"/>
      <c r="E265" s="9"/>
      <c r="J265" s="121"/>
      <c r="M265" s="9"/>
      <c r="N265" s="9"/>
      <c r="O265" s="9"/>
      <c r="Q265" s="9"/>
    </row>
    <row r="266">
      <c r="A266" s="9"/>
      <c r="D266" s="13"/>
      <c r="E266" s="9"/>
      <c r="J266" s="121"/>
      <c r="M266" s="9"/>
      <c r="N266" s="9"/>
      <c r="O266" s="9"/>
      <c r="Q266" s="9"/>
    </row>
    <row r="267">
      <c r="A267" s="9"/>
      <c r="D267" s="13"/>
      <c r="E267" s="9"/>
      <c r="J267" s="121"/>
      <c r="M267" s="9"/>
      <c r="N267" s="9"/>
      <c r="O267" s="9"/>
      <c r="Q267" s="9"/>
    </row>
    <row r="268">
      <c r="A268" s="9"/>
      <c r="D268" s="13"/>
      <c r="E268" s="9"/>
      <c r="J268" s="121"/>
      <c r="M268" s="9"/>
      <c r="N268" s="9"/>
      <c r="O268" s="9"/>
      <c r="Q268" s="9"/>
    </row>
    <row r="269">
      <c r="A269" s="9"/>
      <c r="D269" s="13"/>
      <c r="E269" s="9"/>
      <c r="J269" s="121"/>
      <c r="M269" s="9"/>
      <c r="N269" s="9"/>
      <c r="O269" s="9"/>
      <c r="Q269" s="9"/>
    </row>
    <row r="270">
      <c r="A270" s="9"/>
      <c r="D270" s="13"/>
      <c r="E270" s="9"/>
      <c r="J270" s="121"/>
      <c r="M270" s="9"/>
      <c r="N270" s="9"/>
      <c r="O270" s="9"/>
      <c r="Q270" s="9"/>
    </row>
    <row r="271">
      <c r="A271" s="9"/>
      <c r="D271" s="13"/>
      <c r="E271" s="9"/>
      <c r="J271" s="121"/>
      <c r="M271" s="9"/>
      <c r="N271" s="9"/>
      <c r="O271" s="9"/>
      <c r="Q271" s="9"/>
    </row>
    <row r="272">
      <c r="A272" s="9"/>
      <c r="D272" s="13"/>
      <c r="E272" s="9"/>
      <c r="J272" s="121"/>
      <c r="M272" s="9"/>
      <c r="N272" s="9"/>
      <c r="O272" s="9"/>
      <c r="Q272" s="9"/>
    </row>
    <row r="273">
      <c r="A273" s="9"/>
      <c r="D273" s="13"/>
      <c r="E273" s="9"/>
      <c r="J273" s="121"/>
      <c r="M273" s="9"/>
      <c r="N273" s="9"/>
      <c r="O273" s="9"/>
      <c r="Q273" s="9"/>
    </row>
    <row r="274">
      <c r="A274" s="9"/>
      <c r="D274" s="13"/>
      <c r="E274" s="9"/>
      <c r="J274" s="121"/>
      <c r="M274" s="9"/>
      <c r="N274" s="9"/>
      <c r="O274" s="9"/>
      <c r="Q274" s="9"/>
    </row>
    <row r="275">
      <c r="A275" s="9"/>
      <c r="D275" s="13"/>
      <c r="E275" s="9"/>
      <c r="J275" s="121"/>
      <c r="M275" s="9"/>
      <c r="N275" s="9"/>
      <c r="O275" s="9"/>
      <c r="Q275" s="9"/>
    </row>
    <row r="276">
      <c r="A276" s="9"/>
      <c r="D276" s="13"/>
      <c r="E276" s="9"/>
      <c r="J276" s="121"/>
      <c r="M276" s="9"/>
      <c r="N276" s="9"/>
      <c r="O276" s="9"/>
      <c r="Q276" s="9"/>
    </row>
    <row r="277">
      <c r="A277" s="9"/>
      <c r="D277" s="13"/>
      <c r="E277" s="9"/>
      <c r="J277" s="121"/>
      <c r="M277" s="9"/>
      <c r="N277" s="9"/>
      <c r="O277" s="9"/>
      <c r="Q277" s="9"/>
    </row>
    <row r="278">
      <c r="A278" s="9"/>
      <c r="D278" s="13"/>
      <c r="E278" s="9"/>
      <c r="J278" s="121"/>
      <c r="M278" s="9"/>
      <c r="N278" s="9"/>
      <c r="O278" s="9"/>
      <c r="Q278" s="9"/>
    </row>
    <row r="279">
      <c r="A279" s="9"/>
      <c r="D279" s="13"/>
      <c r="E279" s="9"/>
      <c r="J279" s="121"/>
      <c r="M279" s="9"/>
      <c r="N279" s="9"/>
      <c r="O279" s="9"/>
      <c r="Q279" s="9"/>
    </row>
    <row r="280">
      <c r="A280" s="9"/>
      <c r="D280" s="13"/>
      <c r="E280" s="9"/>
      <c r="J280" s="121"/>
      <c r="M280" s="9"/>
      <c r="N280" s="9"/>
      <c r="O280" s="9"/>
      <c r="Q280" s="9"/>
    </row>
    <row r="281">
      <c r="A281" s="9"/>
      <c r="D281" s="13"/>
      <c r="E281" s="9"/>
      <c r="J281" s="121"/>
      <c r="M281" s="9"/>
      <c r="N281" s="9"/>
      <c r="O281" s="9"/>
      <c r="Q281" s="9"/>
    </row>
    <row r="282">
      <c r="A282" s="9"/>
      <c r="D282" s="13"/>
      <c r="E282" s="9"/>
      <c r="J282" s="121"/>
      <c r="M282" s="9"/>
      <c r="N282" s="9"/>
      <c r="O282" s="9"/>
      <c r="Q282" s="9"/>
    </row>
    <row r="283">
      <c r="A283" s="9"/>
      <c r="D283" s="13"/>
      <c r="E283" s="9"/>
      <c r="J283" s="121"/>
      <c r="M283" s="9"/>
      <c r="N283" s="9"/>
      <c r="O283" s="9"/>
      <c r="Q283" s="9"/>
    </row>
    <row r="284">
      <c r="A284" s="9"/>
      <c r="D284" s="13"/>
      <c r="E284" s="9"/>
      <c r="J284" s="121"/>
      <c r="M284" s="9"/>
      <c r="N284" s="9"/>
      <c r="O284" s="9"/>
      <c r="Q284" s="9"/>
    </row>
    <row r="285">
      <c r="A285" s="9"/>
      <c r="D285" s="13"/>
      <c r="E285" s="9"/>
      <c r="J285" s="121"/>
      <c r="M285" s="9"/>
      <c r="N285" s="9"/>
      <c r="O285" s="9"/>
      <c r="Q285" s="9"/>
    </row>
    <row r="286">
      <c r="A286" s="9"/>
      <c r="D286" s="13"/>
      <c r="E286" s="9"/>
      <c r="J286" s="121"/>
      <c r="M286" s="9"/>
      <c r="N286" s="9"/>
      <c r="O286" s="9"/>
      <c r="Q286" s="9"/>
    </row>
    <row r="287">
      <c r="A287" s="9"/>
      <c r="D287" s="13"/>
      <c r="E287" s="9"/>
      <c r="J287" s="121"/>
      <c r="M287" s="9"/>
      <c r="N287" s="9"/>
      <c r="O287" s="9"/>
      <c r="Q287" s="9"/>
    </row>
    <row r="288">
      <c r="A288" s="9"/>
      <c r="D288" s="13"/>
      <c r="E288" s="9"/>
      <c r="J288" s="121"/>
      <c r="M288" s="9"/>
      <c r="N288" s="9"/>
      <c r="O288" s="9"/>
      <c r="Q288" s="9"/>
    </row>
    <row r="289">
      <c r="A289" s="9"/>
      <c r="D289" s="13"/>
      <c r="E289" s="9"/>
      <c r="J289" s="121"/>
      <c r="M289" s="9"/>
      <c r="N289" s="9"/>
      <c r="O289" s="9"/>
      <c r="Q289" s="9"/>
    </row>
    <row r="290">
      <c r="A290" s="9"/>
      <c r="D290" s="13"/>
      <c r="E290" s="9"/>
      <c r="J290" s="121"/>
      <c r="M290" s="9"/>
      <c r="N290" s="9"/>
      <c r="O290" s="9"/>
      <c r="Q290" s="9"/>
    </row>
    <row r="291">
      <c r="A291" s="9"/>
      <c r="D291" s="13"/>
      <c r="E291" s="9"/>
      <c r="J291" s="121"/>
      <c r="M291" s="9"/>
      <c r="N291" s="9"/>
      <c r="O291" s="9"/>
      <c r="Q291" s="9"/>
    </row>
    <row r="292">
      <c r="A292" s="9"/>
      <c r="D292" s="13"/>
      <c r="E292" s="9"/>
      <c r="J292" s="121"/>
      <c r="M292" s="9"/>
      <c r="N292" s="9"/>
      <c r="O292" s="9"/>
      <c r="Q292" s="9"/>
    </row>
    <row r="293">
      <c r="A293" s="9"/>
      <c r="D293" s="13"/>
      <c r="E293" s="9"/>
      <c r="J293" s="121"/>
      <c r="M293" s="9"/>
      <c r="N293" s="9"/>
      <c r="O293" s="9"/>
      <c r="Q293" s="9"/>
    </row>
    <row r="294">
      <c r="A294" s="9"/>
      <c r="D294" s="13"/>
      <c r="E294" s="9"/>
      <c r="J294" s="121"/>
      <c r="M294" s="9"/>
      <c r="N294" s="9"/>
      <c r="O294" s="9"/>
      <c r="Q294" s="9"/>
    </row>
    <row r="295">
      <c r="A295" s="9"/>
      <c r="D295" s="13"/>
      <c r="E295" s="9"/>
      <c r="J295" s="121"/>
      <c r="M295" s="9"/>
      <c r="N295" s="9"/>
      <c r="O295" s="9"/>
      <c r="Q295" s="9"/>
    </row>
    <row r="296">
      <c r="A296" s="9"/>
      <c r="D296" s="13"/>
      <c r="E296" s="9"/>
      <c r="J296" s="121"/>
      <c r="M296" s="9"/>
      <c r="N296" s="9"/>
      <c r="O296" s="9"/>
      <c r="Q296" s="9"/>
    </row>
    <row r="297">
      <c r="A297" s="9"/>
      <c r="D297" s="13"/>
      <c r="E297" s="9"/>
      <c r="J297" s="121"/>
      <c r="M297" s="9"/>
      <c r="N297" s="9"/>
      <c r="O297" s="9"/>
      <c r="Q297" s="9"/>
    </row>
    <row r="298">
      <c r="A298" s="9"/>
      <c r="D298" s="13"/>
      <c r="E298" s="9"/>
      <c r="J298" s="121"/>
      <c r="M298" s="9"/>
      <c r="N298" s="9"/>
      <c r="O298" s="9"/>
      <c r="Q298" s="9"/>
    </row>
    <row r="299">
      <c r="A299" s="9"/>
      <c r="D299" s="13"/>
      <c r="E299" s="9"/>
      <c r="J299" s="121"/>
      <c r="M299" s="9"/>
      <c r="N299" s="9"/>
      <c r="O299" s="9"/>
      <c r="Q299" s="9"/>
    </row>
    <row r="300">
      <c r="A300" s="9"/>
      <c r="D300" s="13"/>
      <c r="E300" s="9"/>
      <c r="J300" s="121"/>
      <c r="M300" s="9"/>
      <c r="N300" s="9"/>
      <c r="O300" s="9"/>
      <c r="Q300" s="9"/>
    </row>
    <row r="301">
      <c r="A301" s="9"/>
      <c r="D301" s="13"/>
      <c r="E301" s="9"/>
      <c r="J301" s="121"/>
      <c r="M301" s="9"/>
      <c r="N301" s="9"/>
      <c r="O301" s="9"/>
      <c r="Q301" s="9"/>
    </row>
    <row r="302">
      <c r="A302" s="9"/>
      <c r="D302" s="13"/>
      <c r="E302" s="9"/>
      <c r="J302" s="121"/>
      <c r="M302" s="9"/>
      <c r="N302" s="9"/>
      <c r="O302" s="9"/>
      <c r="Q302" s="9"/>
    </row>
    <row r="303">
      <c r="A303" s="9"/>
      <c r="D303" s="13"/>
      <c r="E303" s="9"/>
      <c r="J303" s="121"/>
      <c r="M303" s="9"/>
      <c r="N303" s="9"/>
      <c r="O303" s="9"/>
      <c r="Q303" s="9"/>
    </row>
    <row r="304">
      <c r="A304" s="9"/>
      <c r="D304" s="13"/>
      <c r="E304" s="9"/>
      <c r="J304" s="121"/>
      <c r="M304" s="9"/>
      <c r="N304" s="9"/>
      <c r="O304" s="9"/>
      <c r="Q304" s="9"/>
    </row>
    <row r="305">
      <c r="A305" s="9"/>
      <c r="D305" s="13"/>
      <c r="E305" s="9"/>
      <c r="J305" s="121"/>
      <c r="M305" s="9"/>
      <c r="N305" s="9"/>
      <c r="O305" s="9"/>
      <c r="Q305" s="9"/>
    </row>
    <row r="306">
      <c r="A306" s="9"/>
      <c r="D306" s="13"/>
      <c r="E306" s="9"/>
      <c r="J306" s="121"/>
      <c r="M306" s="9"/>
      <c r="N306" s="9"/>
      <c r="O306" s="9"/>
      <c r="Q306" s="9"/>
    </row>
    <row r="307">
      <c r="A307" s="9"/>
      <c r="D307" s="13"/>
      <c r="E307" s="9"/>
      <c r="J307" s="121"/>
      <c r="M307" s="9"/>
      <c r="N307" s="9"/>
      <c r="O307" s="9"/>
      <c r="Q307" s="9"/>
    </row>
    <row r="308">
      <c r="A308" s="9"/>
      <c r="D308" s="13"/>
      <c r="E308" s="9"/>
      <c r="J308" s="121"/>
      <c r="M308" s="9"/>
      <c r="N308" s="9"/>
      <c r="O308" s="9"/>
      <c r="Q308" s="9"/>
    </row>
    <row r="309">
      <c r="A309" s="9"/>
      <c r="D309" s="13"/>
      <c r="E309" s="9"/>
      <c r="J309" s="121"/>
      <c r="M309" s="9"/>
      <c r="N309" s="9"/>
      <c r="O309" s="9"/>
      <c r="Q309" s="9"/>
    </row>
    <row r="310">
      <c r="A310" s="9"/>
      <c r="D310" s="13"/>
      <c r="E310" s="9"/>
      <c r="J310" s="121"/>
      <c r="M310" s="9"/>
      <c r="N310" s="9"/>
      <c r="O310" s="9"/>
      <c r="Q310" s="9"/>
    </row>
    <row r="311">
      <c r="A311" s="9"/>
      <c r="D311" s="13"/>
      <c r="E311" s="9"/>
      <c r="J311" s="121"/>
      <c r="M311" s="9"/>
      <c r="N311" s="9"/>
      <c r="O311" s="9"/>
      <c r="Q311" s="9"/>
    </row>
    <row r="312">
      <c r="A312" s="9"/>
      <c r="D312" s="13"/>
      <c r="E312" s="9"/>
      <c r="J312" s="121"/>
      <c r="M312" s="9"/>
      <c r="N312" s="9"/>
      <c r="O312" s="9"/>
      <c r="Q312" s="9"/>
    </row>
    <row r="313">
      <c r="A313" s="9"/>
      <c r="D313" s="13"/>
      <c r="E313" s="9"/>
      <c r="J313" s="121"/>
      <c r="M313" s="9"/>
      <c r="N313" s="9"/>
      <c r="O313" s="9"/>
      <c r="Q313" s="9"/>
    </row>
    <row r="314">
      <c r="A314" s="9"/>
      <c r="D314" s="13"/>
      <c r="E314" s="9"/>
      <c r="J314" s="121"/>
      <c r="M314" s="9"/>
      <c r="N314" s="9"/>
      <c r="O314" s="9"/>
      <c r="Q314" s="9"/>
    </row>
    <row r="315">
      <c r="A315" s="9"/>
      <c r="D315" s="13"/>
      <c r="E315" s="9"/>
      <c r="J315" s="121"/>
      <c r="M315" s="9"/>
      <c r="N315" s="9"/>
      <c r="O315" s="9"/>
      <c r="Q315" s="9"/>
    </row>
    <row r="316">
      <c r="A316" s="9"/>
      <c r="D316" s="13"/>
      <c r="E316" s="9"/>
      <c r="J316" s="121"/>
      <c r="M316" s="9"/>
      <c r="N316" s="9"/>
      <c r="O316" s="9"/>
      <c r="Q316" s="9"/>
    </row>
    <row r="317">
      <c r="A317" s="9"/>
      <c r="D317" s="13"/>
      <c r="E317" s="9"/>
      <c r="J317" s="121"/>
      <c r="M317" s="9"/>
      <c r="N317" s="9"/>
      <c r="O317" s="9"/>
      <c r="Q317" s="9"/>
    </row>
    <row r="318">
      <c r="A318" s="9"/>
      <c r="D318" s="13"/>
      <c r="E318" s="9"/>
      <c r="J318" s="121"/>
      <c r="M318" s="9"/>
      <c r="N318" s="9"/>
      <c r="O318" s="9"/>
      <c r="Q318" s="9"/>
    </row>
    <row r="319">
      <c r="A319" s="9"/>
      <c r="D319" s="13"/>
      <c r="E319" s="9"/>
      <c r="J319" s="121"/>
      <c r="M319" s="9"/>
      <c r="N319" s="9"/>
      <c r="O319" s="9"/>
      <c r="Q319" s="9"/>
    </row>
    <row r="320">
      <c r="A320" s="9"/>
      <c r="D320" s="13"/>
      <c r="E320" s="9"/>
      <c r="J320" s="121"/>
      <c r="M320" s="9"/>
      <c r="N320" s="9"/>
      <c r="O320" s="9"/>
      <c r="Q320" s="9"/>
    </row>
    <row r="321">
      <c r="A321" s="9"/>
      <c r="D321" s="13"/>
      <c r="E321" s="9"/>
      <c r="J321" s="121"/>
      <c r="M321" s="9"/>
      <c r="N321" s="9"/>
      <c r="O321" s="9"/>
      <c r="Q321" s="9"/>
    </row>
    <row r="322">
      <c r="A322" s="9"/>
      <c r="D322" s="13"/>
      <c r="E322" s="9"/>
      <c r="J322" s="121"/>
      <c r="M322" s="9"/>
      <c r="N322" s="9"/>
      <c r="O322" s="9"/>
      <c r="Q322" s="9"/>
    </row>
    <row r="323">
      <c r="A323" s="9"/>
      <c r="D323" s="13"/>
      <c r="E323" s="9"/>
      <c r="J323" s="121"/>
      <c r="M323" s="9"/>
      <c r="N323" s="9"/>
      <c r="O323" s="9"/>
      <c r="Q323" s="9"/>
    </row>
    <row r="324">
      <c r="A324" s="9"/>
      <c r="D324" s="13"/>
      <c r="E324" s="9"/>
      <c r="J324" s="121"/>
      <c r="M324" s="9"/>
      <c r="N324" s="9"/>
      <c r="O324" s="9"/>
      <c r="Q324" s="9"/>
    </row>
    <row r="325">
      <c r="A325" s="9"/>
      <c r="D325" s="13"/>
      <c r="E325" s="9"/>
      <c r="J325" s="121"/>
      <c r="M325" s="9"/>
      <c r="N325" s="9"/>
      <c r="O325" s="9"/>
      <c r="Q325" s="9"/>
    </row>
    <row r="326">
      <c r="A326" s="9"/>
      <c r="D326" s="13"/>
      <c r="E326" s="9"/>
      <c r="J326" s="121"/>
      <c r="M326" s="9"/>
      <c r="N326" s="9"/>
      <c r="O326" s="9"/>
      <c r="Q326" s="9"/>
    </row>
    <row r="327">
      <c r="A327" s="9"/>
      <c r="D327" s="13"/>
      <c r="E327" s="9"/>
      <c r="J327" s="121"/>
      <c r="M327" s="9"/>
      <c r="N327" s="9"/>
      <c r="O327" s="9"/>
      <c r="Q327" s="9"/>
    </row>
    <row r="328">
      <c r="A328" s="9"/>
      <c r="D328" s="13"/>
      <c r="E328" s="9"/>
      <c r="J328" s="121"/>
      <c r="M328" s="9"/>
      <c r="N328" s="9"/>
      <c r="O328" s="9"/>
      <c r="Q328" s="9"/>
    </row>
    <row r="329">
      <c r="A329" s="9"/>
      <c r="D329" s="13"/>
      <c r="E329" s="9"/>
      <c r="J329" s="121"/>
      <c r="M329" s="9"/>
      <c r="N329" s="9"/>
      <c r="O329" s="9"/>
      <c r="Q329" s="9"/>
    </row>
    <row r="330">
      <c r="A330" s="9"/>
      <c r="D330" s="13"/>
      <c r="E330" s="9"/>
      <c r="J330" s="121"/>
      <c r="M330" s="9"/>
      <c r="N330" s="9"/>
      <c r="O330" s="9"/>
      <c r="Q330" s="9"/>
    </row>
    <row r="331">
      <c r="A331" s="9"/>
      <c r="D331" s="13"/>
      <c r="E331" s="9"/>
      <c r="J331" s="121"/>
      <c r="M331" s="9"/>
      <c r="N331" s="9"/>
      <c r="O331" s="9"/>
      <c r="Q331" s="9"/>
    </row>
    <row r="332">
      <c r="A332" s="9"/>
      <c r="D332" s="13"/>
      <c r="E332" s="9"/>
      <c r="J332" s="121"/>
      <c r="M332" s="9"/>
      <c r="N332" s="9"/>
      <c r="O332" s="9"/>
      <c r="Q332" s="9"/>
    </row>
    <row r="333">
      <c r="A333" s="9"/>
      <c r="D333" s="13"/>
      <c r="E333" s="9"/>
      <c r="J333" s="121"/>
      <c r="M333" s="9"/>
      <c r="N333" s="9"/>
      <c r="O333" s="9"/>
      <c r="Q333" s="9"/>
    </row>
    <row r="334">
      <c r="A334" s="9"/>
      <c r="D334" s="13"/>
      <c r="E334" s="9"/>
      <c r="J334" s="121"/>
      <c r="M334" s="9"/>
      <c r="N334" s="9"/>
      <c r="O334" s="9"/>
      <c r="Q334" s="9"/>
    </row>
    <row r="335">
      <c r="A335" s="9"/>
      <c r="D335" s="13"/>
      <c r="E335" s="9"/>
      <c r="J335" s="121"/>
      <c r="M335" s="9"/>
      <c r="N335" s="9"/>
      <c r="O335" s="9"/>
      <c r="Q335" s="9"/>
    </row>
    <row r="336">
      <c r="A336" s="9"/>
      <c r="D336" s="13"/>
      <c r="E336" s="9"/>
      <c r="J336" s="121"/>
      <c r="M336" s="9"/>
      <c r="N336" s="9"/>
      <c r="O336" s="9"/>
      <c r="Q336" s="9"/>
    </row>
    <row r="337">
      <c r="A337" s="9"/>
      <c r="D337" s="13"/>
      <c r="E337" s="9"/>
      <c r="J337" s="121"/>
      <c r="M337" s="9"/>
      <c r="N337" s="9"/>
      <c r="O337" s="9"/>
      <c r="Q337" s="9"/>
    </row>
    <row r="338">
      <c r="A338" s="9"/>
      <c r="D338" s="13"/>
      <c r="E338" s="9"/>
      <c r="J338" s="121"/>
      <c r="M338" s="9"/>
      <c r="N338" s="9"/>
      <c r="O338" s="9"/>
      <c r="Q338" s="9"/>
    </row>
    <row r="339">
      <c r="A339" s="9"/>
      <c r="D339" s="13"/>
      <c r="E339" s="9"/>
      <c r="J339" s="121"/>
      <c r="M339" s="9"/>
      <c r="N339" s="9"/>
      <c r="O339" s="9"/>
      <c r="Q339" s="9"/>
    </row>
    <row r="340">
      <c r="A340" s="9"/>
      <c r="D340" s="13"/>
      <c r="E340" s="9"/>
      <c r="J340" s="121"/>
      <c r="M340" s="9"/>
      <c r="N340" s="9"/>
      <c r="O340" s="9"/>
      <c r="Q340" s="9"/>
    </row>
    <row r="341">
      <c r="A341" s="9"/>
      <c r="D341" s="13"/>
      <c r="E341" s="9"/>
      <c r="J341" s="121"/>
      <c r="M341" s="9"/>
      <c r="N341" s="9"/>
      <c r="O341" s="9"/>
      <c r="Q341" s="9"/>
    </row>
    <row r="342">
      <c r="A342" s="9"/>
      <c r="D342" s="13"/>
      <c r="E342" s="9"/>
      <c r="J342" s="121"/>
      <c r="M342" s="9"/>
      <c r="N342" s="9"/>
      <c r="O342" s="9"/>
      <c r="Q342" s="9"/>
    </row>
    <row r="343">
      <c r="A343" s="9"/>
      <c r="D343" s="13"/>
      <c r="E343" s="9"/>
      <c r="J343" s="121"/>
      <c r="M343" s="9"/>
      <c r="N343" s="9"/>
      <c r="O343" s="9"/>
      <c r="Q343" s="9"/>
    </row>
    <row r="344">
      <c r="A344" s="9"/>
      <c r="D344" s="13"/>
      <c r="E344" s="9"/>
      <c r="J344" s="121"/>
      <c r="M344" s="9"/>
      <c r="N344" s="9"/>
      <c r="O344" s="9"/>
      <c r="Q344" s="9"/>
    </row>
    <row r="345">
      <c r="A345" s="9"/>
      <c r="D345" s="13"/>
      <c r="E345" s="9"/>
      <c r="J345" s="121"/>
      <c r="M345" s="9"/>
      <c r="N345" s="9"/>
      <c r="O345" s="9"/>
      <c r="Q345" s="9"/>
    </row>
    <row r="346">
      <c r="A346" s="9"/>
      <c r="D346" s="13"/>
      <c r="E346" s="9"/>
      <c r="J346" s="121"/>
      <c r="M346" s="9"/>
      <c r="N346" s="9"/>
      <c r="O346" s="9"/>
      <c r="Q346" s="9"/>
    </row>
    <row r="347">
      <c r="A347" s="9"/>
      <c r="D347" s="13"/>
      <c r="E347" s="9"/>
      <c r="J347" s="121"/>
      <c r="M347" s="9"/>
      <c r="N347" s="9"/>
      <c r="O347" s="9"/>
      <c r="Q347" s="9"/>
    </row>
    <row r="348">
      <c r="A348" s="9"/>
      <c r="D348" s="13"/>
      <c r="E348" s="9"/>
      <c r="J348" s="121"/>
      <c r="M348" s="9"/>
      <c r="N348" s="9"/>
      <c r="O348" s="9"/>
      <c r="Q348" s="9"/>
    </row>
    <row r="349">
      <c r="A349" s="9"/>
      <c r="D349" s="13"/>
      <c r="E349" s="9"/>
      <c r="J349" s="121"/>
      <c r="M349" s="9"/>
      <c r="N349" s="9"/>
      <c r="O349" s="9"/>
      <c r="Q349" s="9"/>
    </row>
    <row r="350">
      <c r="A350" s="9"/>
      <c r="D350" s="13"/>
      <c r="E350" s="9"/>
      <c r="J350" s="121"/>
      <c r="M350" s="9"/>
      <c r="N350" s="9"/>
      <c r="O350" s="9"/>
      <c r="Q350" s="9"/>
    </row>
    <row r="351">
      <c r="A351" s="9"/>
      <c r="D351" s="13"/>
      <c r="E351" s="9"/>
      <c r="J351" s="121"/>
      <c r="M351" s="9"/>
      <c r="N351" s="9"/>
      <c r="O351" s="9"/>
      <c r="Q351" s="9"/>
    </row>
    <row r="352">
      <c r="A352" s="9"/>
      <c r="D352" s="13"/>
      <c r="E352" s="9"/>
      <c r="J352" s="121"/>
      <c r="M352" s="9"/>
      <c r="N352" s="9"/>
      <c r="O352" s="9"/>
      <c r="Q352" s="9"/>
    </row>
    <row r="353">
      <c r="A353" s="9"/>
      <c r="D353" s="13"/>
      <c r="E353" s="9"/>
      <c r="J353" s="121"/>
      <c r="M353" s="9"/>
      <c r="N353" s="9"/>
      <c r="O353" s="9"/>
      <c r="Q353" s="9"/>
    </row>
    <row r="354">
      <c r="A354" s="9"/>
      <c r="D354" s="13"/>
      <c r="E354" s="9"/>
      <c r="J354" s="121"/>
      <c r="M354" s="9"/>
      <c r="N354" s="9"/>
      <c r="O354" s="9"/>
      <c r="Q354" s="9"/>
    </row>
    <row r="355">
      <c r="A355" s="9"/>
      <c r="D355" s="13"/>
      <c r="E355" s="9"/>
      <c r="J355" s="121"/>
      <c r="M355" s="9"/>
      <c r="N355" s="9"/>
      <c r="O355" s="9"/>
      <c r="Q355" s="9"/>
    </row>
    <row r="356">
      <c r="A356" s="9"/>
      <c r="D356" s="13"/>
      <c r="E356" s="9"/>
      <c r="J356" s="121"/>
      <c r="M356" s="9"/>
      <c r="N356" s="9"/>
      <c r="O356" s="9"/>
      <c r="Q356" s="9"/>
    </row>
    <row r="357">
      <c r="A357" s="9"/>
      <c r="D357" s="13"/>
      <c r="E357" s="9"/>
      <c r="J357" s="121"/>
      <c r="M357" s="9"/>
      <c r="N357" s="9"/>
      <c r="O357" s="9"/>
      <c r="Q357" s="9"/>
    </row>
    <row r="358">
      <c r="A358" s="9"/>
      <c r="D358" s="13"/>
      <c r="E358" s="9"/>
      <c r="J358" s="121"/>
      <c r="M358" s="9"/>
      <c r="N358" s="9"/>
      <c r="O358" s="9"/>
      <c r="Q358" s="9"/>
    </row>
    <row r="359">
      <c r="A359" s="9"/>
      <c r="D359" s="13"/>
      <c r="E359" s="9"/>
      <c r="J359" s="121"/>
      <c r="M359" s="9"/>
      <c r="N359" s="9"/>
      <c r="O359" s="9"/>
      <c r="Q359" s="9"/>
    </row>
    <row r="360">
      <c r="A360" s="9"/>
      <c r="D360" s="13"/>
      <c r="E360" s="9"/>
      <c r="J360" s="121"/>
      <c r="M360" s="9"/>
      <c r="N360" s="9"/>
      <c r="O360" s="9"/>
      <c r="Q360" s="9"/>
    </row>
    <row r="361">
      <c r="A361" s="9"/>
      <c r="D361" s="13"/>
      <c r="E361" s="9"/>
      <c r="J361" s="121"/>
      <c r="M361" s="9"/>
      <c r="N361" s="9"/>
      <c r="O361" s="9"/>
      <c r="Q361" s="9"/>
    </row>
    <row r="362">
      <c r="A362" s="9"/>
      <c r="D362" s="13"/>
      <c r="E362" s="9"/>
      <c r="J362" s="121"/>
      <c r="M362" s="9"/>
      <c r="N362" s="9"/>
      <c r="O362" s="9"/>
      <c r="Q362" s="9"/>
    </row>
    <row r="363">
      <c r="A363" s="9"/>
      <c r="D363" s="13"/>
      <c r="E363" s="9"/>
      <c r="J363" s="121"/>
      <c r="M363" s="9"/>
      <c r="N363" s="9"/>
      <c r="O363" s="9"/>
      <c r="Q363" s="9"/>
    </row>
    <row r="364">
      <c r="A364" s="9"/>
      <c r="D364" s="13"/>
      <c r="E364" s="9"/>
      <c r="J364" s="121"/>
      <c r="M364" s="9"/>
      <c r="N364" s="9"/>
      <c r="O364" s="9"/>
      <c r="Q364" s="9"/>
    </row>
    <row r="365">
      <c r="A365" s="9"/>
      <c r="D365" s="13"/>
      <c r="E365" s="9"/>
      <c r="J365" s="121"/>
      <c r="M365" s="9"/>
      <c r="N365" s="9"/>
      <c r="O365" s="9"/>
      <c r="Q365" s="9"/>
    </row>
    <row r="366">
      <c r="A366" s="9"/>
      <c r="D366" s="13"/>
      <c r="E366" s="9"/>
      <c r="J366" s="121"/>
      <c r="M366" s="9"/>
      <c r="N366" s="9"/>
      <c r="O366" s="9"/>
      <c r="Q366" s="9"/>
    </row>
    <row r="367">
      <c r="A367" s="9"/>
      <c r="D367" s="13"/>
      <c r="E367" s="9"/>
      <c r="J367" s="121"/>
      <c r="M367" s="9"/>
      <c r="N367" s="9"/>
      <c r="O367" s="9"/>
      <c r="Q367" s="9"/>
    </row>
    <row r="368">
      <c r="A368" s="9"/>
      <c r="D368" s="13"/>
      <c r="E368" s="9"/>
      <c r="J368" s="121"/>
      <c r="M368" s="9"/>
      <c r="N368" s="9"/>
      <c r="O368" s="9"/>
      <c r="Q368" s="9"/>
    </row>
    <row r="369">
      <c r="A369" s="9"/>
      <c r="D369" s="13"/>
      <c r="E369" s="9"/>
      <c r="J369" s="121"/>
      <c r="M369" s="9"/>
      <c r="N369" s="9"/>
      <c r="O369" s="9"/>
      <c r="Q369" s="9"/>
    </row>
    <row r="370">
      <c r="A370" s="9"/>
      <c r="D370" s="13"/>
      <c r="E370" s="9"/>
      <c r="J370" s="121"/>
      <c r="M370" s="9"/>
      <c r="N370" s="9"/>
      <c r="O370" s="9"/>
      <c r="Q370" s="9"/>
    </row>
    <row r="371">
      <c r="A371" s="9"/>
      <c r="D371" s="13"/>
      <c r="E371" s="9"/>
      <c r="J371" s="121"/>
      <c r="M371" s="9"/>
      <c r="N371" s="9"/>
      <c r="O371" s="9"/>
      <c r="Q371" s="9"/>
    </row>
    <row r="372">
      <c r="A372" s="9"/>
      <c r="D372" s="13"/>
      <c r="E372" s="9"/>
      <c r="J372" s="121"/>
      <c r="M372" s="9"/>
      <c r="N372" s="9"/>
      <c r="O372" s="9"/>
      <c r="Q372" s="9"/>
    </row>
    <row r="373">
      <c r="A373" s="9"/>
      <c r="D373" s="13"/>
      <c r="E373" s="9"/>
      <c r="J373" s="121"/>
      <c r="M373" s="9"/>
      <c r="N373" s="9"/>
      <c r="O373" s="9"/>
      <c r="Q373" s="9"/>
    </row>
    <row r="374">
      <c r="A374" s="9"/>
      <c r="D374" s="13"/>
      <c r="E374" s="9"/>
      <c r="J374" s="121"/>
      <c r="M374" s="9"/>
      <c r="N374" s="9"/>
      <c r="O374" s="9"/>
      <c r="Q374" s="9"/>
    </row>
    <row r="375">
      <c r="A375" s="9"/>
      <c r="D375" s="13"/>
      <c r="E375" s="9"/>
      <c r="J375" s="121"/>
      <c r="M375" s="9"/>
      <c r="N375" s="9"/>
      <c r="O375" s="9"/>
      <c r="Q375" s="9"/>
    </row>
    <row r="376">
      <c r="A376" s="9"/>
      <c r="D376" s="13"/>
      <c r="E376" s="9"/>
      <c r="J376" s="121"/>
      <c r="M376" s="9"/>
      <c r="N376" s="9"/>
      <c r="O376" s="9"/>
      <c r="Q376" s="9"/>
    </row>
    <row r="377">
      <c r="A377" s="9"/>
      <c r="D377" s="13"/>
      <c r="E377" s="9"/>
      <c r="J377" s="121"/>
      <c r="M377" s="9"/>
      <c r="N377" s="9"/>
      <c r="O377" s="9"/>
      <c r="Q377" s="9"/>
    </row>
    <row r="378">
      <c r="A378" s="9"/>
      <c r="D378" s="13"/>
      <c r="E378" s="9"/>
      <c r="J378" s="121"/>
      <c r="M378" s="9"/>
      <c r="N378" s="9"/>
      <c r="O378" s="9"/>
      <c r="Q378" s="9"/>
    </row>
    <row r="379">
      <c r="A379" s="9"/>
      <c r="D379" s="13"/>
      <c r="E379" s="9"/>
      <c r="J379" s="121"/>
      <c r="M379" s="9"/>
      <c r="N379" s="9"/>
      <c r="O379" s="9"/>
      <c r="Q379" s="9"/>
    </row>
    <row r="380">
      <c r="A380" s="9"/>
      <c r="D380" s="13"/>
      <c r="E380" s="9"/>
      <c r="J380" s="121"/>
      <c r="M380" s="9"/>
      <c r="N380" s="9"/>
      <c r="O380" s="9"/>
      <c r="Q380" s="9"/>
    </row>
    <row r="381">
      <c r="A381" s="9"/>
      <c r="D381" s="13"/>
      <c r="E381" s="9"/>
      <c r="J381" s="121"/>
      <c r="M381" s="9"/>
      <c r="N381" s="9"/>
      <c r="O381" s="9"/>
      <c r="Q381" s="9"/>
    </row>
    <row r="382">
      <c r="A382" s="9"/>
      <c r="D382" s="13"/>
      <c r="E382" s="9"/>
      <c r="J382" s="121"/>
      <c r="M382" s="9"/>
      <c r="N382" s="9"/>
      <c r="O382" s="9"/>
      <c r="Q382" s="9"/>
    </row>
    <row r="383">
      <c r="A383" s="9"/>
      <c r="D383" s="13"/>
      <c r="E383" s="9"/>
      <c r="J383" s="121"/>
      <c r="M383" s="9"/>
      <c r="N383" s="9"/>
      <c r="O383" s="9"/>
      <c r="Q383" s="9"/>
    </row>
    <row r="384">
      <c r="A384" s="9"/>
      <c r="D384" s="13"/>
      <c r="E384" s="9"/>
      <c r="J384" s="121"/>
      <c r="M384" s="9"/>
      <c r="N384" s="9"/>
      <c r="O384" s="9"/>
      <c r="Q384" s="9"/>
    </row>
    <row r="385">
      <c r="A385" s="9"/>
      <c r="D385" s="13"/>
      <c r="E385" s="9"/>
      <c r="J385" s="121"/>
      <c r="M385" s="9"/>
      <c r="N385" s="9"/>
      <c r="O385" s="9"/>
      <c r="Q385" s="9"/>
    </row>
    <row r="386">
      <c r="A386" s="9"/>
      <c r="D386" s="13"/>
      <c r="E386" s="9"/>
      <c r="J386" s="121"/>
      <c r="M386" s="9"/>
      <c r="N386" s="9"/>
      <c r="O386" s="9"/>
      <c r="Q386" s="9"/>
    </row>
    <row r="387">
      <c r="A387" s="9"/>
      <c r="D387" s="13"/>
      <c r="E387" s="9"/>
      <c r="J387" s="121"/>
      <c r="M387" s="9"/>
      <c r="N387" s="9"/>
      <c r="O387" s="9"/>
      <c r="Q387" s="9"/>
    </row>
    <row r="388">
      <c r="A388" s="9"/>
      <c r="D388" s="13"/>
      <c r="E388" s="9"/>
      <c r="J388" s="121"/>
      <c r="M388" s="9"/>
      <c r="N388" s="9"/>
      <c r="O388" s="9"/>
      <c r="Q388" s="9"/>
    </row>
    <row r="389">
      <c r="A389" s="9"/>
      <c r="D389" s="13"/>
      <c r="E389" s="9"/>
      <c r="J389" s="121"/>
      <c r="M389" s="9"/>
      <c r="N389" s="9"/>
      <c r="O389" s="9"/>
      <c r="Q389" s="9"/>
    </row>
    <row r="390">
      <c r="A390" s="9"/>
      <c r="D390" s="13"/>
      <c r="E390" s="9"/>
      <c r="J390" s="121"/>
      <c r="M390" s="9"/>
      <c r="N390" s="9"/>
      <c r="O390" s="9"/>
      <c r="Q390" s="9"/>
    </row>
    <row r="391">
      <c r="A391" s="9"/>
      <c r="D391" s="13"/>
      <c r="E391" s="9"/>
      <c r="J391" s="121"/>
      <c r="M391" s="9"/>
      <c r="N391" s="9"/>
      <c r="O391" s="9"/>
      <c r="Q391" s="9"/>
    </row>
    <row r="392">
      <c r="A392" s="9"/>
      <c r="D392" s="13"/>
      <c r="E392" s="9"/>
      <c r="J392" s="121"/>
      <c r="M392" s="9"/>
      <c r="N392" s="9"/>
      <c r="O392" s="9"/>
      <c r="Q392" s="9"/>
    </row>
    <row r="393">
      <c r="A393" s="9"/>
      <c r="D393" s="13"/>
      <c r="E393" s="9"/>
      <c r="J393" s="121"/>
      <c r="M393" s="9"/>
      <c r="N393" s="9"/>
      <c r="O393" s="9"/>
      <c r="Q393" s="9"/>
    </row>
    <row r="394">
      <c r="A394" s="9"/>
      <c r="D394" s="13"/>
      <c r="E394" s="9"/>
      <c r="J394" s="121"/>
      <c r="M394" s="9"/>
      <c r="N394" s="9"/>
      <c r="O394" s="9"/>
      <c r="Q394" s="9"/>
    </row>
    <row r="395">
      <c r="A395" s="9"/>
      <c r="D395" s="13"/>
      <c r="E395" s="9"/>
      <c r="J395" s="121"/>
      <c r="M395" s="9"/>
      <c r="N395" s="9"/>
      <c r="O395" s="9"/>
      <c r="Q395" s="9"/>
    </row>
    <row r="396">
      <c r="A396" s="9"/>
      <c r="D396" s="13"/>
      <c r="E396" s="9"/>
      <c r="J396" s="121"/>
      <c r="M396" s="9"/>
      <c r="N396" s="9"/>
      <c r="O396" s="9"/>
      <c r="Q396" s="9"/>
    </row>
    <row r="397">
      <c r="A397" s="9"/>
      <c r="D397" s="13"/>
      <c r="E397" s="9"/>
      <c r="J397" s="121"/>
      <c r="M397" s="9"/>
      <c r="N397" s="9"/>
      <c r="O397" s="9"/>
      <c r="Q397" s="9"/>
    </row>
    <row r="398">
      <c r="A398" s="9"/>
      <c r="D398" s="13"/>
      <c r="E398" s="9"/>
      <c r="J398" s="121"/>
      <c r="M398" s="9"/>
      <c r="N398" s="9"/>
      <c r="O398" s="9"/>
      <c r="Q398" s="9"/>
    </row>
    <row r="399">
      <c r="A399" s="9"/>
      <c r="D399" s="13"/>
      <c r="E399" s="9"/>
      <c r="J399" s="121"/>
      <c r="M399" s="9"/>
      <c r="N399" s="9"/>
      <c r="O399" s="9"/>
      <c r="Q399" s="9"/>
    </row>
    <row r="400">
      <c r="A400" s="9"/>
      <c r="D400" s="13"/>
      <c r="E400" s="9"/>
      <c r="J400" s="121"/>
      <c r="M400" s="9"/>
      <c r="N400" s="9"/>
      <c r="O400" s="9"/>
      <c r="Q400" s="9"/>
    </row>
    <row r="401">
      <c r="A401" s="9"/>
      <c r="D401" s="13"/>
      <c r="E401" s="9"/>
      <c r="J401" s="121"/>
      <c r="M401" s="9"/>
      <c r="N401" s="9"/>
      <c r="O401" s="9"/>
      <c r="Q401" s="9"/>
    </row>
    <row r="402">
      <c r="A402" s="9"/>
      <c r="D402" s="13"/>
      <c r="E402" s="9"/>
      <c r="J402" s="121"/>
      <c r="M402" s="9"/>
      <c r="N402" s="9"/>
      <c r="O402" s="9"/>
      <c r="Q402" s="9"/>
    </row>
    <row r="403">
      <c r="A403" s="9"/>
      <c r="D403" s="13"/>
      <c r="E403" s="9"/>
      <c r="J403" s="121"/>
      <c r="M403" s="9"/>
      <c r="N403" s="9"/>
      <c r="O403" s="9"/>
      <c r="Q403" s="9"/>
    </row>
    <row r="404">
      <c r="A404" s="9"/>
      <c r="D404" s="13"/>
      <c r="E404" s="9"/>
      <c r="J404" s="121"/>
      <c r="M404" s="9"/>
      <c r="N404" s="9"/>
      <c r="O404" s="9"/>
      <c r="Q404" s="9"/>
    </row>
    <row r="405">
      <c r="A405" s="9"/>
      <c r="D405" s="13"/>
      <c r="E405" s="9"/>
      <c r="J405" s="121"/>
      <c r="M405" s="9"/>
      <c r="N405" s="9"/>
      <c r="O405" s="9"/>
      <c r="Q405" s="9"/>
    </row>
    <row r="406">
      <c r="A406" s="9"/>
      <c r="D406" s="13"/>
      <c r="E406" s="9"/>
      <c r="J406" s="121"/>
      <c r="M406" s="9"/>
      <c r="N406" s="9"/>
      <c r="O406" s="9"/>
      <c r="Q406" s="9"/>
    </row>
    <row r="407">
      <c r="A407" s="9"/>
      <c r="D407" s="13"/>
      <c r="E407" s="9"/>
      <c r="J407" s="121"/>
      <c r="M407" s="9"/>
      <c r="N407" s="9"/>
      <c r="O407" s="9"/>
      <c r="Q407" s="9"/>
    </row>
    <row r="408">
      <c r="A408" s="9"/>
      <c r="D408" s="13"/>
      <c r="E408" s="9"/>
      <c r="J408" s="121"/>
      <c r="M408" s="9"/>
      <c r="N408" s="9"/>
      <c r="O408" s="9"/>
      <c r="Q408" s="9"/>
    </row>
    <row r="409">
      <c r="A409" s="9"/>
      <c r="D409" s="13"/>
      <c r="E409" s="9"/>
      <c r="J409" s="121"/>
      <c r="M409" s="9"/>
      <c r="N409" s="9"/>
      <c r="O409" s="9"/>
      <c r="Q409" s="9"/>
    </row>
    <row r="410">
      <c r="A410" s="9"/>
      <c r="D410" s="13"/>
      <c r="E410" s="9"/>
      <c r="J410" s="121"/>
      <c r="M410" s="9"/>
      <c r="N410" s="9"/>
      <c r="O410" s="9"/>
      <c r="Q410" s="9"/>
    </row>
    <row r="411">
      <c r="A411" s="9"/>
      <c r="D411" s="13"/>
      <c r="E411" s="9"/>
      <c r="J411" s="121"/>
      <c r="M411" s="9"/>
      <c r="N411" s="9"/>
      <c r="O411" s="9"/>
      <c r="Q411" s="9"/>
    </row>
    <row r="412">
      <c r="A412" s="9"/>
      <c r="D412" s="13"/>
      <c r="E412" s="9"/>
      <c r="J412" s="121"/>
      <c r="M412" s="9"/>
      <c r="N412" s="9"/>
      <c r="O412" s="9"/>
      <c r="Q412" s="9"/>
    </row>
    <row r="413">
      <c r="A413" s="9"/>
      <c r="D413" s="13"/>
      <c r="E413" s="9"/>
      <c r="J413" s="121"/>
      <c r="M413" s="9"/>
      <c r="N413" s="9"/>
      <c r="O413" s="9"/>
      <c r="Q413" s="9"/>
    </row>
    <row r="414">
      <c r="A414" s="9"/>
      <c r="D414" s="13"/>
      <c r="E414" s="9"/>
      <c r="J414" s="121"/>
      <c r="M414" s="9"/>
      <c r="N414" s="9"/>
      <c r="O414" s="9"/>
      <c r="Q414" s="9"/>
    </row>
    <row r="415">
      <c r="A415" s="9"/>
      <c r="D415" s="13"/>
      <c r="E415" s="9"/>
      <c r="J415" s="121"/>
      <c r="M415" s="9"/>
      <c r="N415" s="9"/>
      <c r="O415" s="9"/>
      <c r="Q415" s="9"/>
    </row>
    <row r="416">
      <c r="A416" s="9"/>
      <c r="D416" s="13"/>
      <c r="E416" s="9"/>
      <c r="J416" s="121"/>
      <c r="M416" s="9"/>
      <c r="N416" s="9"/>
      <c r="O416" s="9"/>
      <c r="Q416" s="9"/>
    </row>
    <row r="417">
      <c r="A417" s="9"/>
      <c r="D417" s="13"/>
      <c r="E417" s="9"/>
      <c r="J417" s="121"/>
      <c r="M417" s="9"/>
      <c r="N417" s="9"/>
      <c r="O417" s="9"/>
      <c r="Q417" s="9"/>
    </row>
    <row r="418">
      <c r="A418" s="9"/>
      <c r="D418" s="13"/>
      <c r="E418" s="9"/>
      <c r="J418" s="121"/>
      <c r="M418" s="9"/>
      <c r="N418" s="9"/>
      <c r="O418" s="9"/>
      <c r="Q418" s="9"/>
    </row>
    <row r="419">
      <c r="A419" s="9"/>
      <c r="D419" s="13"/>
      <c r="E419" s="9"/>
      <c r="J419" s="121"/>
      <c r="M419" s="9"/>
      <c r="N419" s="9"/>
      <c r="O419" s="9"/>
      <c r="Q419" s="9"/>
    </row>
    <row r="420">
      <c r="A420" s="9"/>
      <c r="D420" s="13"/>
      <c r="E420" s="9"/>
      <c r="J420" s="121"/>
      <c r="M420" s="9"/>
      <c r="N420" s="9"/>
      <c r="O420" s="9"/>
      <c r="Q420" s="9"/>
    </row>
    <row r="421">
      <c r="A421" s="9"/>
      <c r="D421" s="13"/>
      <c r="E421" s="9"/>
      <c r="J421" s="121"/>
      <c r="M421" s="9"/>
      <c r="N421" s="9"/>
      <c r="O421" s="9"/>
      <c r="Q421" s="9"/>
    </row>
    <row r="422">
      <c r="A422" s="9"/>
      <c r="D422" s="13"/>
      <c r="E422" s="9"/>
      <c r="J422" s="121"/>
      <c r="M422" s="9"/>
      <c r="N422" s="9"/>
      <c r="O422" s="9"/>
      <c r="Q422" s="9"/>
    </row>
    <row r="423">
      <c r="A423" s="9"/>
      <c r="D423" s="13"/>
      <c r="E423" s="9"/>
      <c r="J423" s="121"/>
      <c r="M423" s="9"/>
      <c r="N423" s="9"/>
      <c r="O423" s="9"/>
      <c r="Q423" s="9"/>
    </row>
    <row r="424">
      <c r="A424" s="9"/>
      <c r="D424" s="13"/>
      <c r="E424" s="9"/>
      <c r="J424" s="121"/>
      <c r="M424" s="9"/>
      <c r="N424" s="9"/>
      <c r="O424" s="9"/>
      <c r="Q424" s="9"/>
    </row>
    <row r="425">
      <c r="A425" s="9"/>
      <c r="D425" s="13"/>
      <c r="E425" s="9"/>
      <c r="J425" s="121"/>
      <c r="M425" s="9"/>
      <c r="N425" s="9"/>
      <c r="O425" s="9"/>
      <c r="Q425" s="9"/>
    </row>
    <row r="426">
      <c r="A426" s="9"/>
      <c r="D426" s="13"/>
      <c r="E426" s="9"/>
      <c r="J426" s="121"/>
      <c r="M426" s="9"/>
      <c r="N426" s="9"/>
      <c r="O426" s="9"/>
      <c r="Q426" s="9"/>
    </row>
    <row r="427">
      <c r="A427" s="9"/>
      <c r="D427" s="13"/>
      <c r="E427" s="9"/>
      <c r="J427" s="121"/>
      <c r="M427" s="9"/>
      <c r="N427" s="9"/>
      <c r="O427" s="9"/>
      <c r="Q427" s="9"/>
    </row>
    <row r="428">
      <c r="A428" s="9"/>
      <c r="D428" s="13"/>
      <c r="E428" s="9"/>
      <c r="J428" s="121"/>
      <c r="M428" s="9"/>
      <c r="N428" s="9"/>
      <c r="O428" s="9"/>
      <c r="Q428" s="9"/>
    </row>
    <row r="429">
      <c r="A429" s="9"/>
      <c r="D429" s="13"/>
      <c r="E429" s="9"/>
      <c r="J429" s="121"/>
      <c r="M429" s="9"/>
      <c r="N429" s="9"/>
      <c r="O429" s="9"/>
      <c r="Q429" s="9"/>
    </row>
    <row r="430">
      <c r="A430" s="9"/>
      <c r="D430" s="13"/>
      <c r="E430" s="9"/>
      <c r="J430" s="121"/>
      <c r="M430" s="9"/>
      <c r="N430" s="9"/>
      <c r="O430" s="9"/>
      <c r="Q430" s="9"/>
    </row>
    <row r="431">
      <c r="A431" s="9"/>
      <c r="D431" s="13"/>
      <c r="E431" s="9"/>
      <c r="J431" s="121"/>
      <c r="M431" s="9"/>
      <c r="N431" s="9"/>
      <c r="O431" s="9"/>
      <c r="Q431" s="9"/>
    </row>
    <row r="432">
      <c r="A432" s="9"/>
      <c r="D432" s="13"/>
      <c r="E432" s="9"/>
      <c r="J432" s="121"/>
      <c r="M432" s="9"/>
      <c r="N432" s="9"/>
      <c r="O432" s="9"/>
      <c r="Q432" s="9"/>
    </row>
    <row r="433">
      <c r="A433" s="9"/>
      <c r="D433" s="13"/>
      <c r="E433" s="9"/>
      <c r="J433" s="121"/>
      <c r="M433" s="9"/>
      <c r="N433" s="9"/>
      <c r="O433" s="9"/>
      <c r="Q433" s="9"/>
    </row>
    <row r="434">
      <c r="A434" s="9"/>
      <c r="D434" s="13"/>
      <c r="E434" s="9"/>
      <c r="J434" s="121"/>
      <c r="M434" s="9"/>
      <c r="N434" s="9"/>
      <c r="O434" s="9"/>
      <c r="Q434" s="9"/>
    </row>
    <row r="435">
      <c r="A435" s="9"/>
      <c r="D435" s="13"/>
      <c r="E435" s="9"/>
      <c r="J435" s="121"/>
      <c r="M435" s="9"/>
      <c r="N435" s="9"/>
      <c r="O435" s="9"/>
      <c r="Q435" s="9"/>
    </row>
    <row r="436">
      <c r="A436" s="9"/>
      <c r="D436" s="13"/>
      <c r="E436" s="9"/>
      <c r="J436" s="121"/>
      <c r="M436" s="9"/>
      <c r="N436" s="9"/>
      <c r="O436" s="9"/>
      <c r="Q436" s="9"/>
    </row>
    <row r="437">
      <c r="A437" s="9"/>
      <c r="D437" s="13"/>
      <c r="E437" s="9"/>
      <c r="J437" s="121"/>
      <c r="M437" s="9"/>
      <c r="N437" s="9"/>
      <c r="O437" s="9"/>
      <c r="Q437" s="9"/>
    </row>
    <row r="438">
      <c r="A438" s="9"/>
      <c r="D438" s="13"/>
      <c r="E438" s="9"/>
      <c r="J438" s="121"/>
      <c r="M438" s="9"/>
      <c r="N438" s="9"/>
      <c r="O438" s="9"/>
      <c r="Q438" s="9"/>
    </row>
    <row r="439">
      <c r="A439" s="9"/>
      <c r="D439" s="13"/>
      <c r="E439" s="9"/>
      <c r="J439" s="121"/>
      <c r="M439" s="9"/>
      <c r="N439" s="9"/>
      <c r="O439" s="9"/>
      <c r="Q439" s="9"/>
    </row>
    <row r="440">
      <c r="A440" s="9"/>
      <c r="D440" s="13"/>
      <c r="E440" s="9"/>
      <c r="J440" s="121"/>
      <c r="M440" s="9"/>
      <c r="N440" s="9"/>
      <c r="O440" s="9"/>
      <c r="Q440" s="9"/>
    </row>
    <row r="441">
      <c r="A441" s="9"/>
      <c r="D441" s="13"/>
      <c r="E441" s="9"/>
      <c r="J441" s="121"/>
      <c r="M441" s="9"/>
      <c r="N441" s="9"/>
      <c r="O441" s="9"/>
      <c r="Q441" s="9"/>
    </row>
    <row r="442">
      <c r="A442" s="9"/>
      <c r="D442" s="13"/>
      <c r="E442" s="9"/>
      <c r="J442" s="121"/>
      <c r="M442" s="9"/>
      <c r="N442" s="9"/>
      <c r="O442" s="9"/>
      <c r="Q442" s="9"/>
    </row>
    <row r="443">
      <c r="A443" s="9"/>
      <c r="D443" s="13"/>
      <c r="E443" s="9"/>
      <c r="J443" s="121"/>
      <c r="M443" s="9"/>
      <c r="N443" s="9"/>
      <c r="O443" s="9"/>
      <c r="Q443" s="9"/>
    </row>
    <row r="444">
      <c r="A444" s="9"/>
      <c r="D444" s="13"/>
      <c r="E444" s="9"/>
      <c r="J444" s="121"/>
      <c r="M444" s="9"/>
      <c r="N444" s="9"/>
      <c r="O444" s="9"/>
      <c r="Q444" s="9"/>
    </row>
    <row r="445">
      <c r="A445" s="9"/>
      <c r="D445" s="13"/>
      <c r="E445" s="9"/>
      <c r="J445" s="121"/>
      <c r="M445" s="9"/>
      <c r="N445" s="9"/>
      <c r="O445" s="9"/>
      <c r="Q445" s="9"/>
    </row>
    <row r="446">
      <c r="A446" s="9"/>
      <c r="D446" s="13"/>
      <c r="E446" s="9"/>
      <c r="J446" s="121"/>
      <c r="M446" s="9"/>
      <c r="N446" s="9"/>
      <c r="O446" s="9"/>
      <c r="Q446" s="9"/>
    </row>
    <row r="447">
      <c r="A447" s="9"/>
      <c r="D447" s="13"/>
      <c r="E447" s="9"/>
      <c r="J447" s="121"/>
      <c r="M447" s="9"/>
      <c r="N447" s="9"/>
      <c r="O447" s="9"/>
      <c r="Q447" s="9"/>
    </row>
    <row r="448">
      <c r="A448" s="9"/>
      <c r="D448" s="13"/>
      <c r="E448" s="9"/>
      <c r="J448" s="121"/>
      <c r="M448" s="9"/>
      <c r="N448" s="9"/>
      <c r="O448" s="9"/>
      <c r="Q448" s="9"/>
    </row>
    <row r="449">
      <c r="A449" s="9"/>
      <c r="D449" s="13"/>
      <c r="E449" s="9"/>
      <c r="J449" s="121"/>
      <c r="M449" s="9"/>
      <c r="N449" s="9"/>
      <c r="O449" s="9"/>
      <c r="Q449" s="9"/>
    </row>
    <row r="450">
      <c r="A450" s="9"/>
      <c r="D450" s="13"/>
      <c r="E450" s="9"/>
      <c r="J450" s="121"/>
      <c r="M450" s="9"/>
      <c r="N450" s="9"/>
      <c r="O450" s="9"/>
      <c r="Q450" s="9"/>
    </row>
    <row r="451">
      <c r="A451" s="9"/>
      <c r="D451" s="13"/>
      <c r="E451" s="9"/>
      <c r="J451" s="121"/>
      <c r="M451" s="9"/>
      <c r="N451" s="9"/>
      <c r="O451" s="9"/>
      <c r="Q451" s="9"/>
    </row>
    <row r="452">
      <c r="A452" s="9"/>
      <c r="D452" s="13"/>
      <c r="E452" s="9"/>
      <c r="J452" s="121"/>
      <c r="M452" s="9"/>
      <c r="N452" s="9"/>
      <c r="O452" s="9"/>
      <c r="Q452" s="9"/>
    </row>
    <row r="453">
      <c r="A453" s="9"/>
      <c r="D453" s="13"/>
      <c r="E453" s="9"/>
      <c r="J453" s="121"/>
      <c r="M453" s="9"/>
      <c r="N453" s="9"/>
      <c r="O453" s="9"/>
      <c r="Q453" s="9"/>
    </row>
    <row r="454">
      <c r="A454" s="9"/>
      <c r="D454" s="13"/>
      <c r="E454" s="9"/>
      <c r="J454" s="121"/>
      <c r="M454" s="9"/>
      <c r="N454" s="9"/>
      <c r="O454" s="9"/>
      <c r="Q454" s="9"/>
    </row>
    <row r="455">
      <c r="A455" s="9"/>
      <c r="D455" s="13"/>
      <c r="E455" s="9"/>
      <c r="J455" s="121"/>
      <c r="M455" s="9"/>
      <c r="N455" s="9"/>
      <c r="O455" s="9"/>
      <c r="Q455" s="9"/>
    </row>
    <row r="456">
      <c r="A456" s="9"/>
      <c r="D456" s="13"/>
      <c r="E456" s="9"/>
      <c r="J456" s="121"/>
      <c r="M456" s="9"/>
      <c r="N456" s="9"/>
      <c r="O456" s="9"/>
      <c r="Q456" s="9"/>
    </row>
    <row r="457">
      <c r="A457" s="9"/>
      <c r="D457" s="13"/>
      <c r="E457" s="9"/>
      <c r="J457" s="121"/>
      <c r="M457" s="9"/>
      <c r="N457" s="9"/>
      <c r="O457" s="9"/>
      <c r="Q457" s="9"/>
    </row>
    <row r="458">
      <c r="A458" s="9"/>
      <c r="D458" s="13"/>
      <c r="E458" s="9"/>
      <c r="J458" s="121"/>
      <c r="M458" s="9"/>
      <c r="N458" s="9"/>
      <c r="O458" s="9"/>
      <c r="Q458" s="9"/>
    </row>
    <row r="459">
      <c r="A459" s="9"/>
      <c r="D459" s="13"/>
      <c r="E459" s="9"/>
      <c r="J459" s="121"/>
      <c r="M459" s="9"/>
      <c r="N459" s="9"/>
      <c r="O459" s="9"/>
      <c r="Q459" s="9"/>
    </row>
    <row r="460">
      <c r="A460" s="9"/>
      <c r="D460" s="13"/>
      <c r="E460" s="9"/>
      <c r="J460" s="121"/>
      <c r="M460" s="9"/>
      <c r="N460" s="9"/>
      <c r="O460" s="9"/>
      <c r="Q460" s="9"/>
    </row>
    <row r="461">
      <c r="A461" s="9"/>
      <c r="D461" s="13"/>
      <c r="E461" s="9"/>
      <c r="J461" s="121"/>
      <c r="M461" s="9"/>
      <c r="N461" s="9"/>
      <c r="O461" s="9"/>
      <c r="Q461" s="9"/>
    </row>
    <row r="462">
      <c r="A462" s="9"/>
      <c r="D462" s="13"/>
      <c r="E462" s="9"/>
      <c r="J462" s="121"/>
      <c r="M462" s="9"/>
      <c r="N462" s="9"/>
      <c r="O462" s="9"/>
      <c r="Q462" s="9"/>
    </row>
    <row r="463">
      <c r="A463" s="9"/>
      <c r="D463" s="13"/>
      <c r="E463" s="9"/>
      <c r="J463" s="121"/>
      <c r="M463" s="9"/>
      <c r="N463" s="9"/>
      <c r="O463" s="9"/>
      <c r="Q463" s="9"/>
    </row>
    <row r="464">
      <c r="A464" s="9"/>
      <c r="D464" s="13"/>
      <c r="E464" s="9"/>
      <c r="J464" s="121"/>
      <c r="M464" s="9"/>
      <c r="N464" s="9"/>
      <c r="O464" s="9"/>
      <c r="Q464" s="9"/>
    </row>
    <row r="465">
      <c r="A465" s="9"/>
      <c r="D465" s="13"/>
      <c r="E465" s="9"/>
      <c r="J465" s="121"/>
      <c r="M465" s="9"/>
      <c r="N465" s="9"/>
      <c r="O465" s="9"/>
      <c r="Q465" s="9"/>
    </row>
    <row r="466">
      <c r="A466" s="9"/>
      <c r="D466" s="13"/>
      <c r="E466" s="9"/>
      <c r="J466" s="121"/>
      <c r="M466" s="9"/>
      <c r="N466" s="9"/>
      <c r="O466" s="9"/>
      <c r="Q466" s="9"/>
    </row>
    <row r="467">
      <c r="A467" s="9"/>
      <c r="D467" s="13"/>
      <c r="E467" s="9"/>
      <c r="J467" s="121"/>
      <c r="M467" s="9"/>
      <c r="N467" s="9"/>
      <c r="O467" s="9"/>
      <c r="Q467" s="9"/>
    </row>
    <row r="468">
      <c r="A468" s="9"/>
      <c r="D468" s="13"/>
      <c r="E468" s="9"/>
      <c r="J468" s="121"/>
      <c r="M468" s="9"/>
      <c r="N468" s="9"/>
      <c r="O468" s="9"/>
      <c r="Q468" s="9"/>
    </row>
    <row r="469">
      <c r="A469" s="9"/>
      <c r="D469" s="13"/>
      <c r="E469" s="9"/>
      <c r="J469" s="121"/>
      <c r="M469" s="9"/>
      <c r="N469" s="9"/>
      <c r="O469" s="9"/>
      <c r="Q469" s="9"/>
    </row>
    <row r="470">
      <c r="A470" s="9"/>
      <c r="D470" s="13"/>
      <c r="E470" s="9"/>
      <c r="J470" s="121"/>
      <c r="M470" s="9"/>
      <c r="N470" s="9"/>
      <c r="O470" s="9"/>
      <c r="Q470" s="9"/>
    </row>
    <row r="471">
      <c r="A471" s="9"/>
      <c r="D471" s="13"/>
      <c r="E471" s="9"/>
      <c r="J471" s="121"/>
      <c r="M471" s="9"/>
      <c r="N471" s="9"/>
      <c r="O471" s="9"/>
      <c r="Q471" s="9"/>
    </row>
    <row r="472">
      <c r="A472" s="9"/>
      <c r="D472" s="13"/>
      <c r="E472" s="9"/>
      <c r="J472" s="121"/>
      <c r="M472" s="9"/>
      <c r="N472" s="9"/>
      <c r="O472" s="9"/>
      <c r="Q472" s="9"/>
    </row>
    <row r="473">
      <c r="A473" s="9"/>
      <c r="D473" s="13"/>
      <c r="E473" s="9"/>
      <c r="J473" s="121"/>
      <c r="M473" s="9"/>
      <c r="N473" s="9"/>
      <c r="O473" s="9"/>
      <c r="Q473" s="9"/>
    </row>
    <row r="474">
      <c r="A474" s="9"/>
      <c r="D474" s="13"/>
      <c r="E474" s="9"/>
      <c r="J474" s="121"/>
      <c r="M474" s="9"/>
      <c r="N474" s="9"/>
      <c r="O474" s="9"/>
      <c r="Q474" s="9"/>
    </row>
    <row r="475">
      <c r="A475" s="9"/>
      <c r="D475" s="13"/>
      <c r="E475" s="9"/>
      <c r="J475" s="121"/>
      <c r="M475" s="9"/>
      <c r="N475" s="9"/>
      <c r="O475" s="9"/>
      <c r="Q475" s="9"/>
    </row>
    <row r="476">
      <c r="A476" s="9"/>
      <c r="D476" s="13"/>
      <c r="E476" s="9"/>
      <c r="J476" s="121"/>
      <c r="M476" s="9"/>
      <c r="N476" s="9"/>
      <c r="O476" s="9"/>
      <c r="Q476" s="9"/>
    </row>
    <row r="477">
      <c r="A477" s="9"/>
      <c r="D477" s="13"/>
      <c r="E477" s="9"/>
      <c r="J477" s="121"/>
      <c r="M477" s="9"/>
      <c r="N477" s="9"/>
      <c r="O477" s="9"/>
      <c r="Q477" s="9"/>
    </row>
    <row r="478">
      <c r="A478" s="9"/>
      <c r="D478" s="13"/>
      <c r="E478" s="9"/>
      <c r="J478" s="121"/>
      <c r="M478" s="9"/>
      <c r="N478" s="9"/>
      <c r="O478" s="9"/>
      <c r="Q478" s="9"/>
    </row>
    <row r="479">
      <c r="A479" s="9"/>
      <c r="D479" s="13"/>
      <c r="E479" s="9"/>
      <c r="J479" s="121"/>
      <c r="M479" s="9"/>
      <c r="N479" s="9"/>
      <c r="O479" s="9"/>
      <c r="Q479" s="9"/>
    </row>
    <row r="480">
      <c r="A480" s="9"/>
      <c r="D480" s="13"/>
      <c r="E480" s="9"/>
      <c r="J480" s="121"/>
      <c r="M480" s="9"/>
      <c r="N480" s="9"/>
      <c r="O480" s="9"/>
      <c r="Q480" s="9"/>
    </row>
    <row r="481">
      <c r="A481" s="9"/>
      <c r="D481" s="13"/>
      <c r="E481" s="9"/>
      <c r="J481" s="121"/>
      <c r="M481" s="9"/>
      <c r="N481" s="9"/>
      <c r="O481" s="9"/>
      <c r="Q481" s="9"/>
    </row>
    <row r="482">
      <c r="A482" s="9"/>
      <c r="D482" s="13"/>
      <c r="E482" s="9"/>
      <c r="J482" s="121"/>
      <c r="M482" s="9"/>
      <c r="N482" s="9"/>
      <c r="O482" s="9"/>
      <c r="Q482" s="9"/>
    </row>
    <row r="483">
      <c r="A483" s="9"/>
      <c r="D483" s="13"/>
      <c r="E483" s="9"/>
      <c r="J483" s="121"/>
      <c r="M483" s="9"/>
      <c r="N483" s="9"/>
      <c r="O483" s="9"/>
      <c r="Q483" s="9"/>
    </row>
    <row r="484">
      <c r="A484" s="9"/>
      <c r="D484" s="13"/>
      <c r="E484" s="9"/>
      <c r="J484" s="121"/>
      <c r="M484" s="9"/>
      <c r="N484" s="9"/>
      <c r="O484" s="9"/>
      <c r="Q484" s="9"/>
    </row>
    <row r="485">
      <c r="A485" s="9"/>
      <c r="D485" s="13"/>
      <c r="E485" s="9"/>
      <c r="J485" s="121"/>
      <c r="M485" s="9"/>
      <c r="N485" s="9"/>
      <c r="O485" s="9"/>
      <c r="Q485" s="9"/>
    </row>
    <row r="486">
      <c r="A486" s="9"/>
      <c r="D486" s="13"/>
      <c r="E486" s="9"/>
      <c r="J486" s="121"/>
      <c r="M486" s="9"/>
      <c r="N486" s="9"/>
      <c r="O486" s="9"/>
      <c r="Q486" s="9"/>
    </row>
    <row r="487">
      <c r="A487" s="9"/>
      <c r="D487" s="13"/>
      <c r="E487" s="9"/>
      <c r="J487" s="121"/>
      <c r="M487" s="9"/>
      <c r="N487" s="9"/>
      <c r="O487" s="9"/>
      <c r="Q487" s="9"/>
    </row>
    <row r="488">
      <c r="A488" s="9"/>
      <c r="D488" s="13"/>
      <c r="E488" s="9"/>
      <c r="J488" s="121"/>
      <c r="M488" s="9"/>
      <c r="N488" s="9"/>
      <c r="O488" s="9"/>
      <c r="Q488" s="9"/>
    </row>
    <row r="489">
      <c r="A489" s="9"/>
      <c r="D489" s="13"/>
      <c r="E489" s="9"/>
      <c r="J489" s="121"/>
      <c r="M489" s="9"/>
      <c r="N489" s="9"/>
      <c r="O489" s="9"/>
      <c r="Q489" s="9"/>
    </row>
    <row r="490">
      <c r="A490" s="9"/>
      <c r="D490" s="13"/>
      <c r="E490" s="9"/>
      <c r="J490" s="121"/>
      <c r="M490" s="9"/>
      <c r="N490" s="9"/>
      <c r="O490" s="9"/>
      <c r="Q490" s="9"/>
    </row>
    <row r="491">
      <c r="A491" s="9"/>
      <c r="D491" s="13"/>
      <c r="E491" s="9"/>
      <c r="J491" s="121"/>
      <c r="M491" s="9"/>
      <c r="N491" s="9"/>
      <c r="O491" s="9"/>
      <c r="Q491" s="9"/>
    </row>
    <row r="492">
      <c r="A492" s="9"/>
      <c r="D492" s="13"/>
      <c r="E492" s="9"/>
      <c r="J492" s="121"/>
      <c r="M492" s="9"/>
      <c r="N492" s="9"/>
      <c r="O492" s="9"/>
      <c r="Q492" s="9"/>
    </row>
    <row r="493">
      <c r="A493" s="9"/>
      <c r="D493" s="13"/>
      <c r="E493" s="9"/>
      <c r="J493" s="121"/>
      <c r="M493" s="9"/>
      <c r="N493" s="9"/>
      <c r="O493" s="9"/>
      <c r="Q493" s="9"/>
    </row>
    <row r="494">
      <c r="A494" s="9"/>
      <c r="D494" s="13"/>
      <c r="E494" s="9"/>
      <c r="J494" s="121"/>
      <c r="M494" s="9"/>
      <c r="N494" s="9"/>
      <c r="O494" s="9"/>
      <c r="Q494" s="9"/>
    </row>
    <row r="495">
      <c r="A495" s="9"/>
      <c r="D495" s="13"/>
      <c r="E495" s="9"/>
      <c r="J495" s="121"/>
      <c r="M495" s="9"/>
      <c r="N495" s="9"/>
      <c r="O495" s="9"/>
      <c r="Q495" s="9"/>
    </row>
    <row r="496">
      <c r="A496" s="9"/>
      <c r="D496" s="13"/>
      <c r="E496" s="9"/>
      <c r="J496" s="121"/>
      <c r="M496" s="9"/>
      <c r="N496" s="9"/>
      <c r="O496" s="9"/>
      <c r="Q496" s="9"/>
    </row>
    <row r="497">
      <c r="A497" s="9"/>
      <c r="D497" s="13"/>
      <c r="E497" s="9"/>
      <c r="J497" s="121"/>
      <c r="M497" s="9"/>
      <c r="N497" s="9"/>
      <c r="O497" s="9"/>
      <c r="Q497" s="9"/>
    </row>
    <row r="498">
      <c r="A498" s="9"/>
      <c r="D498" s="13"/>
      <c r="E498" s="9"/>
      <c r="J498" s="121"/>
      <c r="M498" s="9"/>
      <c r="N498" s="9"/>
      <c r="O498" s="9"/>
      <c r="Q498" s="9"/>
    </row>
    <row r="499">
      <c r="A499" s="9"/>
      <c r="D499" s="13"/>
      <c r="E499" s="9"/>
      <c r="J499" s="121"/>
      <c r="M499" s="9"/>
      <c r="N499" s="9"/>
      <c r="O499" s="9"/>
      <c r="Q499" s="9"/>
    </row>
    <row r="500">
      <c r="A500" s="9"/>
      <c r="D500" s="13"/>
      <c r="E500" s="9"/>
      <c r="J500" s="121"/>
      <c r="M500" s="9"/>
      <c r="N500" s="9"/>
      <c r="O500" s="9"/>
      <c r="Q500" s="9"/>
    </row>
    <row r="501">
      <c r="A501" s="9"/>
      <c r="D501" s="13"/>
      <c r="E501" s="9"/>
      <c r="J501" s="121"/>
      <c r="M501" s="9"/>
      <c r="N501" s="9"/>
      <c r="O501" s="9"/>
      <c r="Q501" s="9"/>
    </row>
    <row r="502">
      <c r="A502" s="9"/>
      <c r="D502" s="13"/>
      <c r="E502" s="9"/>
      <c r="J502" s="121"/>
      <c r="M502" s="9"/>
      <c r="N502" s="9"/>
      <c r="O502" s="9"/>
      <c r="Q502" s="9"/>
    </row>
    <row r="503">
      <c r="A503" s="9"/>
      <c r="D503" s="13"/>
      <c r="E503" s="9"/>
      <c r="J503" s="121"/>
      <c r="M503" s="9"/>
      <c r="N503" s="9"/>
      <c r="O503" s="9"/>
      <c r="Q503" s="9"/>
    </row>
    <row r="504">
      <c r="A504" s="9"/>
      <c r="D504" s="13"/>
      <c r="E504" s="9"/>
      <c r="J504" s="121"/>
      <c r="M504" s="9"/>
      <c r="N504" s="9"/>
      <c r="O504" s="9"/>
      <c r="Q504" s="9"/>
    </row>
    <row r="505">
      <c r="A505" s="9"/>
      <c r="D505" s="13"/>
      <c r="E505" s="9"/>
      <c r="J505" s="121"/>
      <c r="M505" s="9"/>
      <c r="N505" s="9"/>
      <c r="O505" s="9"/>
      <c r="Q505" s="9"/>
    </row>
    <row r="506">
      <c r="A506" s="9"/>
      <c r="D506" s="13"/>
      <c r="E506" s="9"/>
      <c r="J506" s="121"/>
      <c r="M506" s="9"/>
      <c r="N506" s="9"/>
      <c r="O506" s="9"/>
      <c r="Q506" s="9"/>
    </row>
    <row r="507">
      <c r="A507" s="9"/>
      <c r="D507" s="13"/>
      <c r="E507" s="9"/>
      <c r="J507" s="121"/>
      <c r="M507" s="9"/>
      <c r="N507" s="9"/>
      <c r="O507" s="9"/>
      <c r="Q507" s="9"/>
    </row>
    <row r="508">
      <c r="A508" s="9"/>
      <c r="D508" s="13"/>
      <c r="E508" s="9"/>
      <c r="J508" s="121"/>
      <c r="M508" s="9"/>
      <c r="N508" s="9"/>
      <c r="O508" s="9"/>
      <c r="Q508" s="9"/>
    </row>
    <row r="509">
      <c r="A509" s="9"/>
      <c r="D509" s="13"/>
      <c r="E509" s="9"/>
      <c r="J509" s="121"/>
      <c r="M509" s="9"/>
      <c r="N509" s="9"/>
      <c r="O509" s="9"/>
      <c r="Q509" s="9"/>
    </row>
    <row r="510">
      <c r="A510" s="9"/>
      <c r="D510" s="13"/>
      <c r="E510" s="9"/>
      <c r="J510" s="121"/>
      <c r="M510" s="9"/>
      <c r="N510" s="9"/>
      <c r="O510" s="9"/>
      <c r="Q510" s="9"/>
    </row>
    <row r="511">
      <c r="A511" s="9"/>
      <c r="D511" s="13"/>
      <c r="E511" s="9"/>
      <c r="J511" s="121"/>
      <c r="M511" s="9"/>
      <c r="N511" s="9"/>
      <c r="O511" s="9"/>
      <c r="Q511" s="9"/>
    </row>
    <row r="512">
      <c r="A512" s="9"/>
      <c r="D512" s="13"/>
      <c r="E512" s="9"/>
      <c r="J512" s="121"/>
      <c r="M512" s="9"/>
      <c r="N512" s="9"/>
      <c r="O512" s="9"/>
      <c r="Q512" s="9"/>
    </row>
    <row r="513">
      <c r="A513" s="9"/>
      <c r="D513" s="13"/>
      <c r="E513" s="9"/>
      <c r="J513" s="121"/>
      <c r="M513" s="9"/>
      <c r="N513" s="9"/>
      <c r="O513" s="9"/>
      <c r="Q513" s="9"/>
    </row>
    <row r="514">
      <c r="A514" s="9"/>
      <c r="D514" s="13"/>
      <c r="E514" s="9"/>
      <c r="J514" s="121"/>
      <c r="M514" s="9"/>
      <c r="N514" s="9"/>
      <c r="O514" s="9"/>
      <c r="Q514" s="9"/>
    </row>
    <row r="515">
      <c r="A515" s="9"/>
      <c r="D515" s="13"/>
      <c r="E515" s="9"/>
      <c r="J515" s="121"/>
      <c r="M515" s="9"/>
      <c r="N515" s="9"/>
      <c r="O515" s="9"/>
      <c r="Q515" s="9"/>
    </row>
    <row r="516">
      <c r="A516" s="9"/>
      <c r="D516" s="13"/>
      <c r="E516" s="9"/>
      <c r="J516" s="121"/>
      <c r="M516" s="9"/>
      <c r="N516" s="9"/>
      <c r="O516" s="9"/>
      <c r="Q516" s="9"/>
    </row>
    <row r="517">
      <c r="A517" s="9"/>
      <c r="D517" s="13"/>
      <c r="E517" s="9"/>
      <c r="J517" s="121"/>
      <c r="M517" s="9"/>
      <c r="N517" s="9"/>
      <c r="O517" s="9"/>
      <c r="Q517" s="9"/>
    </row>
    <row r="518">
      <c r="A518" s="9"/>
      <c r="D518" s="13"/>
      <c r="E518" s="9"/>
      <c r="J518" s="121"/>
      <c r="M518" s="9"/>
      <c r="N518" s="9"/>
      <c r="O518" s="9"/>
      <c r="Q518" s="9"/>
    </row>
    <row r="519">
      <c r="A519" s="9"/>
      <c r="D519" s="13"/>
      <c r="E519" s="9"/>
      <c r="J519" s="121"/>
      <c r="M519" s="9"/>
      <c r="N519" s="9"/>
      <c r="O519" s="9"/>
      <c r="Q519" s="9"/>
    </row>
    <row r="520">
      <c r="A520" s="9"/>
      <c r="D520" s="13"/>
      <c r="E520" s="9"/>
      <c r="J520" s="121"/>
      <c r="M520" s="9"/>
      <c r="N520" s="9"/>
      <c r="O520" s="9"/>
      <c r="Q520" s="9"/>
    </row>
    <row r="521">
      <c r="A521" s="9"/>
      <c r="D521" s="13"/>
      <c r="E521" s="9"/>
      <c r="J521" s="121"/>
      <c r="M521" s="9"/>
      <c r="N521" s="9"/>
      <c r="O521" s="9"/>
      <c r="Q521" s="9"/>
    </row>
    <row r="522">
      <c r="A522" s="9"/>
      <c r="D522" s="13"/>
      <c r="E522" s="9"/>
      <c r="J522" s="121"/>
      <c r="M522" s="9"/>
      <c r="N522" s="9"/>
      <c r="O522" s="9"/>
      <c r="Q522" s="9"/>
    </row>
    <row r="523">
      <c r="A523" s="9"/>
      <c r="D523" s="13"/>
      <c r="E523" s="9"/>
      <c r="J523" s="121"/>
      <c r="M523" s="9"/>
      <c r="N523" s="9"/>
      <c r="O523" s="9"/>
      <c r="Q523" s="9"/>
    </row>
    <row r="524">
      <c r="A524" s="9"/>
      <c r="D524" s="13"/>
      <c r="E524" s="9"/>
      <c r="J524" s="121"/>
      <c r="M524" s="9"/>
      <c r="N524" s="9"/>
      <c r="O524" s="9"/>
      <c r="Q524" s="9"/>
    </row>
    <row r="525">
      <c r="A525" s="9"/>
      <c r="D525" s="13"/>
      <c r="E525" s="9"/>
      <c r="J525" s="121"/>
      <c r="M525" s="9"/>
      <c r="N525" s="9"/>
      <c r="O525" s="9"/>
      <c r="Q525" s="9"/>
    </row>
    <row r="526">
      <c r="A526" s="9"/>
      <c r="D526" s="13"/>
      <c r="E526" s="9"/>
      <c r="J526" s="121"/>
      <c r="M526" s="9"/>
      <c r="N526" s="9"/>
      <c r="O526" s="9"/>
      <c r="Q526" s="9"/>
    </row>
    <row r="527">
      <c r="A527" s="9"/>
      <c r="D527" s="13"/>
      <c r="E527" s="9"/>
      <c r="J527" s="121"/>
      <c r="M527" s="9"/>
      <c r="N527" s="9"/>
      <c r="O527" s="9"/>
      <c r="Q527" s="9"/>
    </row>
    <row r="528">
      <c r="A528" s="9"/>
      <c r="D528" s="13"/>
      <c r="E528" s="9"/>
      <c r="J528" s="121"/>
      <c r="M528" s="9"/>
      <c r="N528" s="9"/>
      <c r="O528" s="9"/>
      <c r="Q528" s="9"/>
    </row>
    <row r="529">
      <c r="A529" s="9"/>
      <c r="D529" s="13"/>
      <c r="E529" s="9"/>
      <c r="J529" s="121"/>
      <c r="M529" s="9"/>
      <c r="N529" s="9"/>
      <c r="O529" s="9"/>
      <c r="Q529" s="9"/>
    </row>
    <row r="530">
      <c r="A530" s="9"/>
      <c r="D530" s="13"/>
      <c r="E530" s="9"/>
      <c r="J530" s="121"/>
      <c r="M530" s="9"/>
      <c r="N530" s="9"/>
      <c r="O530" s="9"/>
      <c r="Q530" s="9"/>
    </row>
    <row r="531">
      <c r="A531" s="9"/>
      <c r="D531" s="13"/>
      <c r="E531" s="9"/>
      <c r="J531" s="121"/>
      <c r="M531" s="9"/>
      <c r="N531" s="9"/>
      <c r="O531" s="9"/>
      <c r="Q531" s="9"/>
    </row>
    <row r="532">
      <c r="A532" s="9"/>
      <c r="D532" s="13"/>
      <c r="E532" s="9"/>
      <c r="J532" s="121"/>
      <c r="M532" s="9"/>
      <c r="N532" s="9"/>
      <c r="O532" s="9"/>
      <c r="Q532" s="9"/>
    </row>
    <row r="533">
      <c r="A533" s="9"/>
      <c r="D533" s="13"/>
      <c r="E533" s="9"/>
      <c r="J533" s="121"/>
      <c r="M533" s="9"/>
      <c r="N533" s="9"/>
      <c r="O533" s="9"/>
      <c r="Q533" s="9"/>
    </row>
    <row r="534">
      <c r="A534" s="9"/>
      <c r="D534" s="13"/>
      <c r="E534" s="9"/>
      <c r="J534" s="121"/>
      <c r="M534" s="9"/>
      <c r="N534" s="9"/>
      <c r="O534" s="9"/>
      <c r="Q534" s="9"/>
    </row>
    <row r="535">
      <c r="A535" s="9"/>
      <c r="D535" s="13"/>
      <c r="E535" s="9"/>
      <c r="J535" s="121"/>
      <c r="M535" s="9"/>
      <c r="N535" s="9"/>
      <c r="O535" s="9"/>
      <c r="Q535" s="9"/>
    </row>
    <row r="536">
      <c r="A536" s="9"/>
      <c r="D536" s="13"/>
      <c r="E536" s="9"/>
      <c r="J536" s="121"/>
      <c r="M536" s="9"/>
      <c r="N536" s="9"/>
      <c r="O536" s="9"/>
      <c r="Q536" s="9"/>
    </row>
    <row r="537">
      <c r="A537" s="9"/>
      <c r="D537" s="13"/>
      <c r="E537" s="9"/>
      <c r="J537" s="121"/>
      <c r="M537" s="9"/>
      <c r="N537" s="9"/>
      <c r="O537" s="9"/>
      <c r="Q537" s="9"/>
    </row>
    <row r="538">
      <c r="A538" s="9"/>
      <c r="D538" s="13"/>
      <c r="E538" s="9"/>
      <c r="J538" s="121"/>
      <c r="M538" s="9"/>
      <c r="N538" s="9"/>
      <c r="O538" s="9"/>
      <c r="Q538" s="9"/>
    </row>
    <row r="539">
      <c r="A539" s="9"/>
      <c r="D539" s="13"/>
      <c r="E539" s="9"/>
      <c r="J539" s="121"/>
      <c r="M539" s="9"/>
      <c r="N539" s="9"/>
      <c r="O539" s="9"/>
      <c r="Q539" s="9"/>
    </row>
    <row r="540">
      <c r="A540" s="9"/>
      <c r="D540" s="13"/>
      <c r="E540" s="9"/>
      <c r="J540" s="121"/>
      <c r="M540" s="9"/>
      <c r="N540" s="9"/>
      <c r="O540" s="9"/>
      <c r="Q540" s="9"/>
    </row>
    <row r="541">
      <c r="A541" s="9"/>
      <c r="D541" s="13"/>
      <c r="E541" s="9"/>
      <c r="J541" s="121"/>
      <c r="M541" s="9"/>
      <c r="N541" s="9"/>
      <c r="O541" s="9"/>
      <c r="Q541" s="9"/>
    </row>
    <row r="542">
      <c r="A542" s="9"/>
      <c r="D542" s="13"/>
      <c r="E542" s="9"/>
      <c r="J542" s="121"/>
      <c r="M542" s="9"/>
      <c r="N542" s="9"/>
      <c r="O542" s="9"/>
      <c r="Q542" s="9"/>
    </row>
    <row r="543">
      <c r="A543" s="9"/>
      <c r="D543" s="13"/>
      <c r="E543" s="9"/>
      <c r="J543" s="121"/>
      <c r="M543" s="9"/>
      <c r="N543" s="9"/>
      <c r="O543" s="9"/>
      <c r="Q543" s="9"/>
    </row>
    <row r="544">
      <c r="A544" s="9"/>
      <c r="D544" s="13"/>
      <c r="E544" s="9"/>
      <c r="J544" s="121"/>
      <c r="M544" s="9"/>
      <c r="N544" s="9"/>
      <c r="O544" s="9"/>
      <c r="Q544" s="9"/>
    </row>
    <row r="545">
      <c r="A545" s="9"/>
      <c r="D545" s="13"/>
      <c r="E545" s="9"/>
      <c r="J545" s="121"/>
      <c r="M545" s="9"/>
      <c r="N545" s="9"/>
      <c r="O545" s="9"/>
      <c r="Q545" s="9"/>
    </row>
    <row r="546">
      <c r="A546" s="9"/>
      <c r="D546" s="13"/>
      <c r="E546" s="9"/>
      <c r="J546" s="121"/>
      <c r="M546" s="9"/>
      <c r="N546" s="9"/>
      <c r="O546" s="9"/>
      <c r="Q546" s="9"/>
    </row>
    <row r="547">
      <c r="A547" s="9"/>
      <c r="D547" s="13"/>
      <c r="E547" s="9"/>
      <c r="J547" s="121"/>
      <c r="M547" s="9"/>
      <c r="N547" s="9"/>
      <c r="O547" s="9"/>
      <c r="Q547" s="9"/>
    </row>
    <row r="548">
      <c r="A548" s="9"/>
      <c r="D548" s="13"/>
      <c r="E548" s="9"/>
      <c r="J548" s="121"/>
      <c r="M548" s="9"/>
      <c r="N548" s="9"/>
      <c r="O548" s="9"/>
      <c r="Q548" s="9"/>
    </row>
    <row r="549">
      <c r="A549" s="9"/>
      <c r="D549" s="13"/>
      <c r="E549" s="9"/>
      <c r="J549" s="121"/>
      <c r="M549" s="9"/>
      <c r="N549" s="9"/>
      <c r="O549" s="9"/>
      <c r="Q549" s="9"/>
    </row>
    <row r="550">
      <c r="A550" s="9"/>
      <c r="D550" s="13"/>
      <c r="E550" s="9"/>
      <c r="J550" s="121"/>
      <c r="M550" s="9"/>
      <c r="N550" s="9"/>
      <c r="O550" s="9"/>
      <c r="Q550" s="9"/>
    </row>
    <row r="551">
      <c r="A551" s="9"/>
      <c r="D551" s="13"/>
      <c r="E551" s="9"/>
      <c r="J551" s="121"/>
      <c r="M551" s="9"/>
      <c r="N551" s="9"/>
      <c r="O551" s="9"/>
      <c r="Q551" s="9"/>
    </row>
    <row r="552">
      <c r="A552" s="9"/>
      <c r="D552" s="13"/>
      <c r="E552" s="9"/>
      <c r="J552" s="121"/>
      <c r="M552" s="9"/>
      <c r="N552" s="9"/>
      <c r="O552" s="9"/>
      <c r="Q552" s="9"/>
    </row>
    <row r="553">
      <c r="A553" s="9"/>
      <c r="D553" s="13"/>
      <c r="E553" s="9"/>
      <c r="J553" s="121"/>
      <c r="M553" s="9"/>
      <c r="N553" s="9"/>
      <c r="O553" s="9"/>
      <c r="Q553" s="9"/>
    </row>
    <row r="554">
      <c r="A554" s="9"/>
      <c r="D554" s="13"/>
      <c r="E554" s="9"/>
      <c r="J554" s="121"/>
      <c r="M554" s="9"/>
      <c r="N554" s="9"/>
      <c r="O554" s="9"/>
      <c r="Q554" s="9"/>
    </row>
    <row r="555">
      <c r="A555" s="9"/>
      <c r="D555" s="13"/>
      <c r="E555" s="9"/>
      <c r="J555" s="121"/>
      <c r="M555" s="9"/>
      <c r="N555" s="9"/>
      <c r="O555" s="9"/>
      <c r="Q555" s="9"/>
    </row>
    <row r="556">
      <c r="A556" s="9"/>
      <c r="D556" s="13"/>
      <c r="E556" s="9"/>
      <c r="J556" s="121"/>
      <c r="M556" s="9"/>
      <c r="N556" s="9"/>
      <c r="O556" s="9"/>
      <c r="Q556" s="9"/>
    </row>
    <row r="557">
      <c r="A557" s="9"/>
      <c r="D557" s="13"/>
      <c r="E557" s="9"/>
      <c r="J557" s="121"/>
      <c r="M557" s="9"/>
      <c r="N557" s="9"/>
      <c r="O557" s="9"/>
      <c r="Q557" s="9"/>
    </row>
    <row r="558">
      <c r="A558" s="9"/>
      <c r="D558" s="13"/>
      <c r="E558" s="9"/>
      <c r="J558" s="121"/>
      <c r="M558" s="9"/>
      <c r="N558" s="9"/>
      <c r="O558" s="9"/>
      <c r="Q558" s="9"/>
    </row>
    <row r="559">
      <c r="A559" s="9"/>
      <c r="D559" s="13"/>
      <c r="E559" s="9"/>
      <c r="J559" s="121"/>
      <c r="M559" s="9"/>
      <c r="N559" s="9"/>
      <c r="O559" s="9"/>
      <c r="Q559" s="9"/>
    </row>
    <row r="560">
      <c r="A560" s="9"/>
      <c r="D560" s="13"/>
      <c r="E560" s="9"/>
      <c r="J560" s="121"/>
      <c r="M560" s="9"/>
      <c r="N560" s="9"/>
      <c r="O560" s="9"/>
      <c r="Q560" s="9"/>
    </row>
    <row r="561">
      <c r="A561" s="9"/>
      <c r="D561" s="13"/>
      <c r="E561" s="9"/>
      <c r="J561" s="121"/>
      <c r="M561" s="9"/>
      <c r="N561" s="9"/>
      <c r="O561" s="9"/>
      <c r="Q561" s="9"/>
    </row>
    <row r="562">
      <c r="A562" s="9"/>
      <c r="D562" s="13"/>
      <c r="E562" s="9"/>
      <c r="J562" s="121"/>
      <c r="M562" s="9"/>
      <c r="N562" s="9"/>
      <c r="O562" s="9"/>
      <c r="Q562" s="9"/>
    </row>
    <row r="563">
      <c r="A563" s="9"/>
      <c r="D563" s="13"/>
      <c r="E563" s="9"/>
      <c r="J563" s="121"/>
      <c r="M563" s="9"/>
      <c r="N563" s="9"/>
      <c r="O563" s="9"/>
      <c r="Q563" s="9"/>
    </row>
    <row r="564">
      <c r="A564" s="9"/>
      <c r="D564" s="13"/>
      <c r="E564" s="9"/>
      <c r="J564" s="121"/>
      <c r="M564" s="9"/>
      <c r="N564" s="9"/>
      <c r="O564" s="9"/>
      <c r="Q564" s="9"/>
    </row>
    <row r="565">
      <c r="A565" s="9"/>
      <c r="D565" s="13"/>
      <c r="E565" s="9"/>
      <c r="J565" s="121"/>
      <c r="M565" s="9"/>
      <c r="N565" s="9"/>
      <c r="O565" s="9"/>
      <c r="Q565" s="9"/>
    </row>
    <row r="566">
      <c r="A566" s="9"/>
      <c r="D566" s="13"/>
      <c r="E566" s="9"/>
      <c r="J566" s="121"/>
      <c r="M566" s="9"/>
      <c r="N566" s="9"/>
      <c r="O566" s="9"/>
      <c r="Q566" s="9"/>
    </row>
    <row r="567">
      <c r="A567" s="9"/>
      <c r="D567" s="13"/>
      <c r="E567" s="9"/>
      <c r="J567" s="121"/>
      <c r="M567" s="9"/>
      <c r="N567" s="9"/>
      <c r="O567" s="9"/>
      <c r="Q567" s="9"/>
    </row>
    <row r="568">
      <c r="A568" s="9"/>
      <c r="D568" s="13"/>
      <c r="E568" s="9"/>
      <c r="J568" s="121"/>
      <c r="M568" s="9"/>
      <c r="N568" s="9"/>
      <c r="O568" s="9"/>
      <c r="Q568" s="9"/>
    </row>
    <row r="569">
      <c r="A569" s="9"/>
      <c r="D569" s="13"/>
      <c r="E569" s="9"/>
      <c r="J569" s="121"/>
      <c r="M569" s="9"/>
      <c r="N569" s="9"/>
      <c r="O569" s="9"/>
      <c r="Q569" s="9"/>
    </row>
    <row r="570">
      <c r="A570" s="9"/>
      <c r="D570" s="13"/>
      <c r="E570" s="9"/>
      <c r="J570" s="121"/>
      <c r="M570" s="9"/>
      <c r="N570" s="9"/>
      <c r="O570" s="9"/>
      <c r="Q570" s="9"/>
    </row>
    <row r="571">
      <c r="A571" s="9"/>
      <c r="D571" s="13"/>
      <c r="E571" s="9"/>
      <c r="J571" s="121"/>
      <c r="M571" s="9"/>
      <c r="N571" s="9"/>
      <c r="O571" s="9"/>
      <c r="Q571" s="9"/>
    </row>
    <row r="572">
      <c r="A572" s="9"/>
      <c r="D572" s="13"/>
      <c r="E572" s="9"/>
      <c r="J572" s="121"/>
      <c r="M572" s="9"/>
      <c r="N572" s="9"/>
      <c r="O572" s="9"/>
      <c r="Q572" s="9"/>
    </row>
    <row r="573">
      <c r="A573" s="9"/>
      <c r="D573" s="13"/>
      <c r="E573" s="9"/>
      <c r="J573" s="121"/>
      <c r="M573" s="9"/>
      <c r="N573" s="9"/>
      <c r="O573" s="9"/>
      <c r="Q573" s="9"/>
    </row>
    <row r="574">
      <c r="A574" s="9"/>
      <c r="D574" s="13"/>
      <c r="E574" s="9"/>
      <c r="J574" s="121"/>
      <c r="M574" s="9"/>
      <c r="N574" s="9"/>
      <c r="O574" s="9"/>
      <c r="Q574" s="9"/>
    </row>
    <row r="575">
      <c r="A575" s="9"/>
      <c r="D575" s="13"/>
      <c r="E575" s="9"/>
      <c r="J575" s="121"/>
      <c r="M575" s="9"/>
      <c r="N575" s="9"/>
      <c r="O575" s="9"/>
      <c r="Q575" s="9"/>
    </row>
    <row r="576">
      <c r="A576" s="9"/>
      <c r="D576" s="13"/>
      <c r="E576" s="9"/>
      <c r="J576" s="121"/>
      <c r="M576" s="9"/>
      <c r="N576" s="9"/>
      <c r="O576" s="9"/>
      <c r="Q576" s="9"/>
    </row>
    <row r="577">
      <c r="A577" s="9"/>
      <c r="D577" s="13"/>
      <c r="E577" s="9"/>
      <c r="J577" s="121"/>
      <c r="M577" s="9"/>
      <c r="N577" s="9"/>
      <c r="O577" s="9"/>
      <c r="Q577" s="9"/>
    </row>
    <row r="578">
      <c r="A578" s="9"/>
      <c r="D578" s="13"/>
      <c r="E578" s="9"/>
      <c r="J578" s="121"/>
      <c r="M578" s="9"/>
      <c r="N578" s="9"/>
      <c r="O578" s="9"/>
      <c r="Q578" s="9"/>
    </row>
    <row r="579">
      <c r="A579" s="9"/>
      <c r="D579" s="13"/>
      <c r="E579" s="9"/>
      <c r="J579" s="121"/>
      <c r="M579" s="9"/>
      <c r="N579" s="9"/>
      <c r="O579" s="9"/>
      <c r="Q579" s="9"/>
    </row>
    <row r="580">
      <c r="A580" s="9"/>
      <c r="D580" s="13"/>
      <c r="E580" s="9"/>
      <c r="J580" s="121"/>
      <c r="M580" s="9"/>
      <c r="N580" s="9"/>
      <c r="O580" s="9"/>
      <c r="Q580" s="9"/>
    </row>
    <row r="581">
      <c r="A581" s="9"/>
      <c r="D581" s="13"/>
      <c r="E581" s="9"/>
      <c r="J581" s="121"/>
      <c r="M581" s="9"/>
      <c r="N581" s="9"/>
      <c r="O581" s="9"/>
      <c r="Q581" s="9"/>
    </row>
    <row r="582">
      <c r="A582" s="9"/>
      <c r="D582" s="13"/>
      <c r="E582" s="9"/>
      <c r="J582" s="121"/>
      <c r="M582" s="9"/>
      <c r="N582" s="9"/>
      <c r="O582" s="9"/>
      <c r="Q582" s="9"/>
    </row>
    <row r="583">
      <c r="A583" s="9"/>
      <c r="D583" s="13"/>
      <c r="E583" s="9"/>
      <c r="J583" s="121"/>
      <c r="M583" s="9"/>
      <c r="N583" s="9"/>
      <c r="O583" s="9"/>
      <c r="Q583" s="9"/>
    </row>
    <row r="584">
      <c r="A584" s="9"/>
      <c r="D584" s="13"/>
      <c r="E584" s="9"/>
      <c r="J584" s="121"/>
      <c r="M584" s="9"/>
      <c r="N584" s="9"/>
      <c r="O584" s="9"/>
      <c r="Q584" s="9"/>
    </row>
    <row r="585">
      <c r="A585" s="9"/>
      <c r="D585" s="13"/>
      <c r="E585" s="9"/>
      <c r="J585" s="121"/>
      <c r="M585" s="9"/>
      <c r="N585" s="9"/>
      <c r="O585" s="9"/>
      <c r="Q585" s="9"/>
    </row>
    <row r="586">
      <c r="A586" s="9"/>
      <c r="D586" s="13"/>
      <c r="E586" s="9"/>
      <c r="J586" s="121"/>
      <c r="M586" s="9"/>
      <c r="N586" s="9"/>
      <c r="O586" s="9"/>
      <c r="Q586" s="9"/>
    </row>
    <row r="587">
      <c r="A587" s="9"/>
      <c r="D587" s="13"/>
      <c r="E587" s="9"/>
      <c r="J587" s="121"/>
      <c r="M587" s="9"/>
      <c r="N587" s="9"/>
      <c r="O587" s="9"/>
      <c r="Q587" s="9"/>
    </row>
    <row r="588">
      <c r="A588" s="9"/>
      <c r="D588" s="13"/>
      <c r="E588" s="9"/>
      <c r="J588" s="121"/>
      <c r="M588" s="9"/>
      <c r="N588" s="9"/>
      <c r="O588" s="9"/>
      <c r="Q588" s="9"/>
    </row>
    <row r="589">
      <c r="A589" s="9"/>
      <c r="D589" s="13"/>
      <c r="E589" s="9"/>
      <c r="J589" s="121"/>
      <c r="M589" s="9"/>
      <c r="N589" s="9"/>
      <c r="O589" s="9"/>
      <c r="Q589" s="9"/>
    </row>
    <row r="590">
      <c r="A590" s="9"/>
      <c r="D590" s="13"/>
      <c r="E590" s="9"/>
      <c r="J590" s="121"/>
      <c r="M590" s="9"/>
      <c r="N590" s="9"/>
      <c r="O590" s="9"/>
      <c r="Q590" s="9"/>
    </row>
    <row r="591">
      <c r="A591" s="9"/>
      <c r="D591" s="13"/>
      <c r="E591" s="9"/>
      <c r="J591" s="121"/>
      <c r="M591" s="9"/>
      <c r="N591" s="9"/>
      <c r="O591" s="9"/>
      <c r="Q591" s="9"/>
    </row>
    <row r="592">
      <c r="A592" s="9"/>
      <c r="D592" s="13"/>
      <c r="E592" s="9"/>
      <c r="J592" s="121"/>
      <c r="M592" s="9"/>
      <c r="N592" s="9"/>
      <c r="O592" s="9"/>
      <c r="Q592" s="9"/>
    </row>
    <row r="593">
      <c r="A593" s="9"/>
      <c r="D593" s="13"/>
      <c r="E593" s="9"/>
      <c r="J593" s="121"/>
      <c r="M593" s="9"/>
      <c r="N593" s="9"/>
      <c r="O593" s="9"/>
      <c r="Q593" s="9"/>
    </row>
    <row r="594">
      <c r="A594" s="9"/>
      <c r="D594" s="13"/>
      <c r="E594" s="9"/>
      <c r="J594" s="121"/>
      <c r="M594" s="9"/>
      <c r="N594" s="9"/>
      <c r="O594" s="9"/>
      <c r="Q594" s="9"/>
    </row>
    <row r="595">
      <c r="A595" s="9"/>
      <c r="D595" s="13"/>
      <c r="E595" s="9"/>
      <c r="J595" s="121"/>
      <c r="M595" s="9"/>
      <c r="N595" s="9"/>
      <c r="O595" s="9"/>
      <c r="Q595" s="9"/>
    </row>
    <row r="596">
      <c r="A596" s="9"/>
      <c r="D596" s="13"/>
      <c r="E596" s="9"/>
      <c r="J596" s="121"/>
      <c r="M596" s="9"/>
      <c r="N596" s="9"/>
      <c r="O596" s="9"/>
      <c r="Q596" s="9"/>
    </row>
    <row r="597">
      <c r="A597" s="9"/>
      <c r="D597" s="13"/>
      <c r="E597" s="9"/>
      <c r="J597" s="121"/>
      <c r="M597" s="9"/>
      <c r="N597" s="9"/>
      <c r="O597" s="9"/>
      <c r="Q597" s="9"/>
    </row>
    <row r="598">
      <c r="A598" s="9"/>
      <c r="D598" s="13"/>
      <c r="E598" s="9"/>
      <c r="J598" s="121"/>
      <c r="M598" s="9"/>
      <c r="N598" s="9"/>
      <c r="O598" s="9"/>
      <c r="Q598" s="9"/>
    </row>
    <row r="599">
      <c r="A599" s="9"/>
      <c r="D599" s="13"/>
      <c r="E599" s="9"/>
      <c r="J599" s="121"/>
      <c r="M599" s="9"/>
      <c r="N599" s="9"/>
      <c r="O599" s="9"/>
      <c r="Q599" s="9"/>
    </row>
    <row r="600">
      <c r="A600" s="9"/>
      <c r="D600" s="13"/>
      <c r="E600" s="9"/>
      <c r="J600" s="121"/>
      <c r="M600" s="9"/>
      <c r="N600" s="9"/>
      <c r="O600" s="9"/>
      <c r="Q600" s="9"/>
    </row>
    <row r="601">
      <c r="A601" s="9"/>
      <c r="D601" s="13"/>
      <c r="E601" s="9"/>
      <c r="J601" s="121"/>
      <c r="M601" s="9"/>
      <c r="N601" s="9"/>
      <c r="O601" s="9"/>
      <c r="Q601" s="9"/>
    </row>
    <row r="602">
      <c r="A602" s="9"/>
      <c r="D602" s="13"/>
      <c r="E602" s="9"/>
      <c r="J602" s="121"/>
      <c r="M602" s="9"/>
      <c r="N602" s="9"/>
      <c r="O602" s="9"/>
      <c r="Q602" s="9"/>
    </row>
    <row r="603">
      <c r="A603" s="9"/>
      <c r="D603" s="13"/>
      <c r="E603" s="9"/>
      <c r="J603" s="121"/>
      <c r="M603" s="9"/>
      <c r="N603" s="9"/>
      <c r="O603" s="9"/>
      <c r="Q603" s="9"/>
    </row>
    <row r="604">
      <c r="A604" s="9"/>
      <c r="D604" s="13"/>
      <c r="E604" s="9"/>
      <c r="J604" s="121"/>
      <c r="M604" s="9"/>
      <c r="N604" s="9"/>
      <c r="O604" s="9"/>
      <c r="Q604" s="9"/>
    </row>
    <row r="605">
      <c r="A605" s="9"/>
      <c r="D605" s="13"/>
      <c r="E605" s="9"/>
      <c r="J605" s="121"/>
      <c r="M605" s="9"/>
      <c r="N605" s="9"/>
      <c r="O605" s="9"/>
      <c r="Q605" s="9"/>
    </row>
    <row r="606">
      <c r="A606" s="9"/>
      <c r="D606" s="13"/>
      <c r="E606" s="9"/>
      <c r="J606" s="121"/>
      <c r="M606" s="9"/>
      <c r="N606" s="9"/>
      <c r="O606" s="9"/>
      <c r="Q606" s="9"/>
    </row>
    <row r="607">
      <c r="A607" s="9"/>
      <c r="D607" s="13"/>
      <c r="E607" s="9"/>
      <c r="J607" s="121"/>
      <c r="M607" s="9"/>
      <c r="N607" s="9"/>
      <c r="O607" s="9"/>
      <c r="Q607" s="9"/>
    </row>
    <row r="608">
      <c r="A608" s="9"/>
      <c r="D608" s="13"/>
      <c r="E608" s="9"/>
      <c r="J608" s="121"/>
      <c r="M608" s="9"/>
      <c r="N608" s="9"/>
      <c r="O608" s="9"/>
      <c r="Q608" s="9"/>
    </row>
    <row r="609">
      <c r="A609" s="9"/>
      <c r="D609" s="13"/>
      <c r="E609" s="9"/>
      <c r="J609" s="121"/>
      <c r="M609" s="9"/>
      <c r="N609" s="9"/>
      <c r="O609" s="9"/>
      <c r="Q609" s="9"/>
    </row>
    <row r="610">
      <c r="A610" s="9"/>
      <c r="D610" s="13"/>
      <c r="E610" s="9"/>
      <c r="J610" s="121"/>
      <c r="M610" s="9"/>
      <c r="N610" s="9"/>
      <c r="O610" s="9"/>
      <c r="Q610" s="9"/>
    </row>
    <row r="611">
      <c r="A611" s="9"/>
      <c r="D611" s="13"/>
      <c r="E611" s="9"/>
      <c r="J611" s="121"/>
      <c r="M611" s="9"/>
      <c r="N611" s="9"/>
      <c r="O611" s="9"/>
      <c r="Q611" s="9"/>
    </row>
    <row r="612">
      <c r="A612" s="9"/>
      <c r="D612" s="13"/>
      <c r="E612" s="9"/>
      <c r="J612" s="121"/>
      <c r="M612" s="9"/>
      <c r="N612" s="9"/>
      <c r="O612" s="9"/>
      <c r="Q612" s="9"/>
    </row>
    <row r="613">
      <c r="A613" s="9"/>
      <c r="D613" s="13"/>
      <c r="E613" s="9"/>
      <c r="J613" s="121"/>
      <c r="M613" s="9"/>
      <c r="N613" s="9"/>
      <c r="O613" s="9"/>
      <c r="Q613" s="9"/>
    </row>
    <row r="614">
      <c r="A614" s="9"/>
      <c r="D614" s="13"/>
      <c r="E614" s="9"/>
      <c r="J614" s="121"/>
      <c r="M614" s="9"/>
      <c r="N614" s="9"/>
      <c r="O614" s="9"/>
      <c r="Q614" s="9"/>
    </row>
    <row r="615">
      <c r="A615" s="9"/>
      <c r="D615" s="13"/>
      <c r="E615" s="9"/>
      <c r="J615" s="121"/>
      <c r="M615" s="9"/>
      <c r="N615" s="9"/>
      <c r="O615" s="9"/>
      <c r="Q615" s="9"/>
    </row>
    <row r="616">
      <c r="A616" s="9"/>
      <c r="D616" s="13"/>
      <c r="E616" s="9"/>
      <c r="J616" s="121"/>
      <c r="M616" s="9"/>
      <c r="N616" s="9"/>
      <c r="O616" s="9"/>
      <c r="Q616" s="9"/>
    </row>
    <row r="617">
      <c r="A617" s="9"/>
      <c r="D617" s="13"/>
      <c r="E617" s="9"/>
      <c r="J617" s="121"/>
      <c r="M617" s="9"/>
      <c r="N617" s="9"/>
      <c r="O617" s="9"/>
      <c r="Q617" s="9"/>
    </row>
    <row r="618">
      <c r="A618" s="9"/>
      <c r="D618" s="13"/>
      <c r="E618" s="9"/>
      <c r="J618" s="121"/>
      <c r="M618" s="9"/>
      <c r="N618" s="9"/>
      <c r="O618" s="9"/>
      <c r="Q618" s="9"/>
    </row>
    <row r="619">
      <c r="A619" s="9"/>
      <c r="D619" s="13"/>
      <c r="E619" s="9"/>
      <c r="J619" s="121"/>
      <c r="M619" s="9"/>
      <c r="N619" s="9"/>
      <c r="O619" s="9"/>
      <c r="Q619" s="9"/>
    </row>
    <row r="620">
      <c r="A620" s="9"/>
      <c r="D620" s="13"/>
      <c r="E620" s="9"/>
      <c r="J620" s="121"/>
      <c r="M620" s="9"/>
      <c r="N620" s="9"/>
      <c r="O620" s="9"/>
      <c r="Q620" s="9"/>
    </row>
    <row r="621">
      <c r="A621" s="9"/>
      <c r="D621" s="13"/>
      <c r="E621" s="9"/>
      <c r="J621" s="121"/>
      <c r="M621" s="9"/>
      <c r="N621" s="9"/>
      <c r="O621" s="9"/>
      <c r="Q621" s="9"/>
    </row>
    <row r="622">
      <c r="A622" s="9"/>
      <c r="D622" s="13"/>
      <c r="E622" s="9"/>
      <c r="J622" s="121"/>
      <c r="M622" s="9"/>
      <c r="N622" s="9"/>
      <c r="O622" s="9"/>
      <c r="Q622" s="9"/>
    </row>
    <row r="623">
      <c r="A623" s="9"/>
      <c r="D623" s="13"/>
      <c r="E623" s="9"/>
      <c r="J623" s="121"/>
      <c r="M623" s="9"/>
      <c r="N623" s="9"/>
      <c r="O623" s="9"/>
      <c r="Q623" s="9"/>
    </row>
    <row r="624">
      <c r="A624" s="9"/>
      <c r="D624" s="13"/>
      <c r="E624" s="9"/>
      <c r="J624" s="121"/>
      <c r="M624" s="9"/>
      <c r="N624" s="9"/>
      <c r="O624" s="9"/>
      <c r="Q624" s="9"/>
    </row>
    <row r="625">
      <c r="A625" s="9"/>
      <c r="D625" s="13"/>
      <c r="E625" s="9"/>
      <c r="J625" s="121"/>
      <c r="M625" s="9"/>
      <c r="N625" s="9"/>
      <c r="O625" s="9"/>
      <c r="Q625" s="9"/>
    </row>
    <row r="626">
      <c r="A626" s="9"/>
      <c r="D626" s="13"/>
      <c r="E626" s="9"/>
      <c r="J626" s="121"/>
      <c r="M626" s="9"/>
      <c r="N626" s="9"/>
      <c r="O626" s="9"/>
      <c r="Q626" s="9"/>
    </row>
    <row r="627">
      <c r="A627" s="9"/>
      <c r="D627" s="13"/>
      <c r="E627" s="9"/>
      <c r="J627" s="121"/>
      <c r="M627" s="9"/>
      <c r="N627" s="9"/>
      <c r="O627" s="9"/>
      <c r="Q627" s="9"/>
    </row>
    <row r="628">
      <c r="A628" s="9"/>
      <c r="D628" s="13"/>
      <c r="E628" s="9"/>
      <c r="J628" s="121"/>
      <c r="M628" s="9"/>
      <c r="N628" s="9"/>
      <c r="O628" s="9"/>
      <c r="Q628" s="9"/>
    </row>
    <row r="629">
      <c r="A629" s="9"/>
      <c r="D629" s="13"/>
      <c r="E629" s="9"/>
      <c r="J629" s="121"/>
      <c r="M629" s="9"/>
      <c r="N629" s="9"/>
      <c r="O629" s="9"/>
      <c r="Q629" s="9"/>
    </row>
    <row r="630">
      <c r="A630" s="9"/>
      <c r="D630" s="13"/>
      <c r="E630" s="9"/>
      <c r="J630" s="121"/>
      <c r="M630" s="9"/>
      <c r="N630" s="9"/>
      <c r="O630" s="9"/>
      <c r="Q630" s="9"/>
    </row>
    <row r="631">
      <c r="A631" s="9"/>
      <c r="D631" s="13"/>
      <c r="E631" s="9"/>
      <c r="J631" s="121"/>
      <c r="M631" s="9"/>
      <c r="N631" s="9"/>
      <c r="O631" s="9"/>
      <c r="Q631" s="9"/>
    </row>
    <row r="632">
      <c r="A632" s="9"/>
      <c r="D632" s="13"/>
      <c r="E632" s="9"/>
      <c r="J632" s="121"/>
      <c r="M632" s="9"/>
      <c r="N632" s="9"/>
      <c r="O632" s="9"/>
      <c r="Q632" s="9"/>
    </row>
    <row r="633">
      <c r="A633" s="9"/>
      <c r="D633" s="13"/>
      <c r="E633" s="9"/>
      <c r="J633" s="121"/>
      <c r="M633" s="9"/>
      <c r="N633" s="9"/>
      <c r="O633" s="9"/>
      <c r="Q633" s="9"/>
    </row>
    <row r="634">
      <c r="A634" s="9"/>
      <c r="D634" s="13"/>
      <c r="E634" s="9"/>
      <c r="J634" s="121"/>
      <c r="M634" s="9"/>
      <c r="N634" s="9"/>
      <c r="O634" s="9"/>
      <c r="Q634" s="9"/>
    </row>
    <row r="635">
      <c r="A635" s="9"/>
      <c r="D635" s="13"/>
      <c r="E635" s="9"/>
      <c r="J635" s="121"/>
      <c r="M635" s="9"/>
      <c r="N635" s="9"/>
      <c r="O635" s="9"/>
      <c r="Q635" s="9"/>
    </row>
    <row r="636">
      <c r="A636" s="9"/>
      <c r="D636" s="13"/>
      <c r="E636" s="9"/>
      <c r="J636" s="121"/>
      <c r="M636" s="9"/>
      <c r="N636" s="9"/>
      <c r="O636" s="9"/>
      <c r="Q636" s="9"/>
    </row>
    <row r="637">
      <c r="A637" s="9"/>
      <c r="D637" s="13"/>
      <c r="E637" s="9"/>
      <c r="J637" s="121"/>
      <c r="M637" s="9"/>
      <c r="N637" s="9"/>
      <c r="O637" s="9"/>
      <c r="Q637" s="9"/>
    </row>
    <row r="638">
      <c r="A638" s="9"/>
      <c r="D638" s="13"/>
      <c r="E638" s="9"/>
      <c r="J638" s="121"/>
      <c r="M638" s="9"/>
      <c r="N638" s="9"/>
      <c r="O638" s="9"/>
      <c r="Q638" s="9"/>
    </row>
    <row r="639">
      <c r="A639" s="9"/>
      <c r="D639" s="13"/>
      <c r="E639" s="9"/>
      <c r="J639" s="121"/>
      <c r="M639" s="9"/>
      <c r="N639" s="9"/>
      <c r="O639" s="9"/>
      <c r="Q639" s="9"/>
    </row>
    <row r="640">
      <c r="A640" s="9"/>
      <c r="D640" s="13"/>
      <c r="E640" s="9"/>
      <c r="J640" s="121"/>
      <c r="M640" s="9"/>
      <c r="N640" s="9"/>
      <c r="O640" s="9"/>
      <c r="Q640" s="9"/>
    </row>
    <row r="641">
      <c r="A641" s="9"/>
      <c r="D641" s="13"/>
      <c r="E641" s="9"/>
      <c r="J641" s="121"/>
      <c r="M641" s="9"/>
      <c r="N641" s="9"/>
      <c r="O641" s="9"/>
      <c r="Q641" s="9"/>
    </row>
    <row r="642">
      <c r="A642" s="9"/>
      <c r="D642" s="13"/>
      <c r="E642" s="9"/>
      <c r="J642" s="121"/>
      <c r="M642" s="9"/>
      <c r="N642" s="9"/>
      <c r="O642" s="9"/>
      <c r="Q642" s="9"/>
    </row>
    <row r="643">
      <c r="A643" s="9"/>
      <c r="D643" s="13"/>
      <c r="E643" s="9"/>
      <c r="J643" s="121"/>
      <c r="M643" s="9"/>
      <c r="N643" s="9"/>
      <c r="O643" s="9"/>
      <c r="Q643" s="9"/>
    </row>
    <row r="644">
      <c r="A644" s="9"/>
      <c r="D644" s="13"/>
      <c r="E644" s="9"/>
      <c r="J644" s="121"/>
      <c r="M644" s="9"/>
      <c r="N644" s="9"/>
      <c r="O644" s="9"/>
      <c r="Q644" s="9"/>
    </row>
    <row r="645">
      <c r="A645" s="9"/>
      <c r="D645" s="13"/>
      <c r="E645" s="9"/>
      <c r="J645" s="121"/>
      <c r="M645" s="9"/>
      <c r="N645" s="9"/>
      <c r="O645" s="9"/>
      <c r="Q645" s="9"/>
    </row>
    <row r="646">
      <c r="A646" s="9"/>
      <c r="D646" s="13"/>
      <c r="E646" s="9"/>
      <c r="J646" s="121"/>
      <c r="M646" s="9"/>
      <c r="N646" s="9"/>
      <c r="O646" s="9"/>
      <c r="Q646" s="9"/>
    </row>
    <row r="647">
      <c r="A647" s="9"/>
      <c r="D647" s="13"/>
      <c r="E647" s="9"/>
      <c r="J647" s="121"/>
      <c r="M647" s="9"/>
      <c r="N647" s="9"/>
      <c r="O647" s="9"/>
      <c r="Q647" s="9"/>
    </row>
    <row r="648">
      <c r="A648" s="9"/>
      <c r="D648" s="13"/>
      <c r="E648" s="9"/>
      <c r="J648" s="121"/>
      <c r="M648" s="9"/>
      <c r="N648" s="9"/>
      <c r="O648" s="9"/>
      <c r="Q648" s="9"/>
    </row>
    <row r="649">
      <c r="A649" s="9"/>
      <c r="D649" s="13"/>
      <c r="E649" s="9"/>
      <c r="J649" s="121"/>
      <c r="M649" s="9"/>
      <c r="N649" s="9"/>
      <c r="O649" s="9"/>
      <c r="Q649" s="9"/>
    </row>
    <row r="650">
      <c r="A650" s="9"/>
      <c r="D650" s="13"/>
      <c r="E650" s="9"/>
      <c r="J650" s="121"/>
      <c r="M650" s="9"/>
      <c r="N650" s="9"/>
      <c r="O650" s="9"/>
      <c r="Q650" s="9"/>
    </row>
    <row r="651">
      <c r="A651" s="9"/>
      <c r="D651" s="13"/>
      <c r="E651" s="9"/>
      <c r="J651" s="121"/>
      <c r="M651" s="9"/>
      <c r="N651" s="9"/>
      <c r="O651" s="9"/>
      <c r="Q651" s="9"/>
    </row>
    <row r="652">
      <c r="A652" s="9"/>
      <c r="D652" s="13"/>
      <c r="E652" s="9"/>
      <c r="J652" s="121"/>
      <c r="M652" s="9"/>
      <c r="N652" s="9"/>
      <c r="O652" s="9"/>
      <c r="Q652" s="9"/>
    </row>
    <row r="653">
      <c r="A653" s="9"/>
      <c r="D653" s="13"/>
      <c r="E653" s="9"/>
      <c r="J653" s="121"/>
      <c r="M653" s="9"/>
      <c r="N653" s="9"/>
      <c r="O653" s="9"/>
      <c r="Q653" s="9"/>
    </row>
    <row r="654">
      <c r="A654" s="9"/>
      <c r="D654" s="13"/>
      <c r="E654" s="9"/>
      <c r="J654" s="121"/>
      <c r="M654" s="9"/>
      <c r="N654" s="9"/>
      <c r="O654" s="9"/>
      <c r="Q654" s="9"/>
    </row>
    <row r="655">
      <c r="A655" s="9"/>
      <c r="D655" s="13"/>
      <c r="E655" s="9"/>
      <c r="J655" s="121"/>
      <c r="M655" s="9"/>
      <c r="N655" s="9"/>
      <c r="O655" s="9"/>
      <c r="Q655" s="9"/>
    </row>
    <row r="656">
      <c r="A656" s="9"/>
      <c r="D656" s="13"/>
      <c r="E656" s="9"/>
      <c r="J656" s="121"/>
      <c r="M656" s="9"/>
      <c r="N656" s="9"/>
      <c r="O656" s="9"/>
      <c r="Q656" s="9"/>
    </row>
    <row r="657">
      <c r="A657" s="9"/>
      <c r="D657" s="13"/>
      <c r="E657" s="9"/>
      <c r="J657" s="121"/>
      <c r="M657" s="9"/>
      <c r="N657" s="9"/>
      <c r="O657" s="9"/>
      <c r="Q657" s="9"/>
    </row>
    <row r="658">
      <c r="A658" s="9"/>
      <c r="D658" s="13"/>
      <c r="E658" s="9"/>
      <c r="J658" s="121"/>
      <c r="M658" s="9"/>
      <c r="N658" s="9"/>
      <c r="O658" s="9"/>
      <c r="Q658" s="9"/>
    </row>
    <row r="659">
      <c r="A659" s="9"/>
      <c r="D659" s="13"/>
      <c r="E659" s="9"/>
      <c r="J659" s="121"/>
      <c r="M659" s="9"/>
      <c r="N659" s="9"/>
      <c r="O659" s="9"/>
      <c r="Q659" s="9"/>
    </row>
    <row r="660">
      <c r="A660" s="9"/>
      <c r="D660" s="13"/>
      <c r="E660" s="9"/>
      <c r="J660" s="121"/>
      <c r="M660" s="9"/>
      <c r="N660" s="9"/>
      <c r="O660" s="9"/>
      <c r="Q660" s="9"/>
    </row>
    <row r="661">
      <c r="A661" s="9"/>
      <c r="D661" s="13"/>
      <c r="E661" s="9"/>
      <c r="J661" s="121"/>
      <c r="M661" s="9"/>
      <c r="N661" s="9"/>
      <c r="O661" s="9"/>
      <c r="Q661" s="9"/>
    </row>
    <row r="662">
      <c r="A662" s="9"/>
      <c r="D662" s="13"/>
      <c r="E662" s="9"/>
      <c r="J662" s="121"/>
      <c r="M662" s="9"/>
      <c r="N662" s="9"/>
      <c r="O662" s="9"/>
      <c r="Q662" s="9"/>
    </row>
    <row r="663">
      <c r="A663" s="9"/>
      <c r="D663" s="13"/>
      <c r="E663" s="9"/>
      <c r="J663" s="121"/>
      <c r="M663" s="9"/>
      <c r="N663" s="9"/>
      <c r="O663" s="9"/>
      <c r="Q663" s="9"/>
    </row>
    <row r="664">
      <c r="A664" s="9"/>
      <c r="D664" s="13"/>
      <c r="E664" s="9"/>
      <c r="J664" s="121"/>
      <c r="M664" s="9"/>
      <c r="N664" s="9"/>
      <c r="O664" s="9"/>
      <c r="Q664" s="9"/>
    </row>
    <row r="665">
      <c r="A665" s="9"/>
      <c r="D665" s="13"/>
      <c r="E665" s="9"/>
      <c r="J665" s="121"/>
      <c r="M665" s="9"/>
      <c r="N665" s="9"/>
      <c r="O665" s="9"/>
      <c r="Q665" s="9"/>
    </row>
    <row r="666">
      <c r="A666" s="9"/>
      <c r="D666" s="13"/>
      <c r="E666" s="9"/>
      <c r="J666" s="121"/>
      <c r="M666" s="9"/>
      <c r="N666" s="9"/>
      <c r="O666" s="9"/>
      <c r="Q666" s="9"/>
    </row>
    <row r="667">
      <c r="A667" s="9"/>
      <c r="D667" s="13"/>
      <c r="E667" s="9"/>
      <c r="J667" s="121"/>
      <c r="M667" s="9"/>
      <c r="N667" s="9"/>
      <c r="O667" s="9"/>
      <c r="Q667" s="9"/>
    </row>
    <row r="668">
      <c r="A668" s="9"/>
      <c r="D668" s="13"/>
      <c r="E668" s="9"/>
      <c r="J668" s="121"/>
      <c r="M668" s="9"/>
      <c r="N668" s="9"/>
      <c r="O668" s="9"/>
      <c r="Q668" s="9"/>
    </row>
    <row r="669">
      <c r="A669" s="9"/>
      <c r="D669" s="13"/>
      <c r="E669" s="9"/>
      <c r="J669" s="121"/>
      <c r="M669" s="9"/>
      <c r="N669" s="9"/>
      <c r="O669" s="9"/>
      <c r="Q669" s="9"/>
    </row>
    <row r="670">
      <c r="A670" s="9"/>
      <c r="D670" s="13"/>
      <c r="E670" s="9"/>
      <c r="J670" s="121"/>
      <c r="M670" s="9"/>
      <c r="N670" s="9"/>
      <c r="O670" s="9"/>
      <c r="Q670" s="9"/>
    </row>
    <row r="671">
      <c r="A671" s="9"/>
      <c r="D671" s="13"/>
      <c r="E671" s="9"/>
      <c r="J671" s="121"/>
      <c r="M671" s="9"/>
      <c r="N671" s="9"/>
      <c r="O671" s="9"/>
      <c r="Q671" s="9"/>
    </row>
    <row r="672">
      <c r="A672" s="9"/>
      <c r="D672" s="13"/>
      <c r="E672" s="9"/>
      <c r="J672" s="121"/>
      <c r="M672" s="9"/>
      <c r="N672" s="9"/>
      <c r="O672" s="9"/>
      <c r="Q672" s="9"/>
    </row>
    <row r="673">
      <c r="A673" s="9"/>
      <c r="D673" s="13"/>
      <c r="E673" s="9"/>
      <c r="J673" s="121"/>
      <c r="M673" s="9"/>
      <c r="N673" s="9"/>
      <c r="O673" s="9"/>
      <c r="Q673" s="9"/>
    </row>
    <row r="674">
      <c r="A674" s="9"/>
      <c r="D674" s="13"/>
      <c r="E674" s="9"/>
      <c r="J674" s="121"/>
      <c r="M674" s="9"/>
      <c r="N674" s="9"/>
      <c r="O674" s="9"/>
      <c r="Q674" s="9"/>
    </row>
    <row r="675">
      <c r="A675" s="9"/>
      <c r="D675" s="13"/>
      <c r="E675" s="9"/>
      <c r="J675" s="121"/>
      <c r="M675" s="9"/>
      <c r="N675" s="9"/>
      <c r="O675" s="9"/>
      <c r="Q675" s="9"/>
    </row>
    <row r="676">
      <c r="A676" s="9"/>
      <c r="D676" s="13"/>
      <c r="E676" s="9"/>
      <c r="J676" s="121"/>
      <c r="M676" s="9"/>
      <c r="N676" s="9"/>
      <c r="O676" s="9"/>
      <c r="Q676" s="9"/>
    </row>
    <row r="677">
      <c r="A677" s="9"/>
      <c r="D677" s="13"/>
      <c r="E677" s="9"/>
      <c r="J677" s="121"/>
      <c r="M677" s="9"/>
      <c r="N677" s="9"/>
      <c r="O677" s="9"/>
      <c r="Q677" s="9"/>
    </row>
    <row r="678">
      <c r="A678" s="9"/>
      <c r="D678" s="13"/>
      <c r="E678" s="9"/>
      <c r="J678" s="121"/>
      <c r="M678" s="9"/>
      <c r="N678" s="9"/>
      <c r="O678" s="9"/>
      <c r="Q678" s="9"/>
    </row>
    <row r="679">
      <c r="A679" s="9"/>
      <c r="D679" s="13"/>
      <c r="E679" s="9"/>
      <c r="J679" s="121"/>
      <c r="M679" s="9"/>
      <c r="N679" s="9"/>
      <c r="O679" s="9"/>
      <c r="Q679" s="9"/>
    </row>
    <row r="680">
      <c r="A680" s="9"/>
      <c r="D680" s="13"/>
      <c r="E680" s="9"/>
      <c r="J680" s="121"/>
      <c r="M680" s="9"/>
      <c r="N680" s="9"/>
      <c r="O680" s="9"/>
      <c r="Q680" s="9"/>
    </row>
    <row r="681">
      <c r="A681" s="9"/>
      <c r="D681" s="13"/>
      <c r="E681" s="9"/>
      <c r="J681" s="121"/>
      <c r="M681" s="9"/>
      <c r="N681" s="9"/>
      <c r="O681" s="9"/>
      <c r="Q681" s="9"/>
    </row>
    <row r="682">
      <c r="A682" s="9"/>
      <c r="D682" s="13"/>
      <c r="E682" s="9"/>
      <c r="J682" s="121"/>
      <c r="M682" s="9"/>
      <c r="N682" s="9"/>
      <c r="O682" s="9"/>
      <c r="Q682" s="9"/>
    </row>
    <row r="683">
      <c r="A683" s="9"/>
      <c r="D683" s="13"/>
      <c r="E683" s="9"/>
      <c r="J683" s="121"/>
      <c r="M683" s="9"/>
      <c r="N683" s="9"/>
      <c r="O683" s="9"/>
      <c r="Q683" s="9"/>
    </row>
    <row r="684">
      <c r="A684" s="9"/>
      <c r="D684" s="13"/>
      <c r="E684" s="9"/>
      <c r="J684" s="121"/>
      <c r="M684" s="9"/>
      <c r="N684" s="9"/>
      <c r="O684" s="9"/>
      <c r="Q684" s="9"/>
    </row>
    <row r="685">
      <c r="A685" s="9"/>
      <c r="D685" s="13"/>
      <c r="E685" s="9"/>
      <c r="J685" s="121"/>
      <c r="M685" s="9"/>
      <c r="N685" s="9"/>
      <c r="O685" s="9"/>
      <c r="Q685" s="9"/>
    </row>
    <row r="686">
      <c r="A686" s="9"/>
      <c r="D686" s="13"/>
      <c r="E686" s="9"/>
      <c r="J686" s="121"/>
      <c r="M686" s="9"/>
      <c r="N686" s="9"/>
      <c r="O686" s="9"/>
      <c r="Q686" s="9"/>
    </row>
    <row r="687">
      <c r="A687" s="9"/>
      <c r="D687" s="13"/>
      <c r="E687" s="9"/>
      <c r="J687" s="121"/>
      <c r="M687" s="9"/>
      <c r="N687" s="9"/>
      <c r="O687" s="9"/>
      <c r="Q687" s="9"/>
    </row>
    <row r="688">
      <c r="A688" s="9"/>
      <c r="D688" s="13"/>
      <c r="E688" s="9"/>
      <c r="J688" s="121"/>
      <c r="M688" s="9"/>
      <c r="N688" s="9"/>
      <c r="O688" s="9"/>
      <c r="Q688" s="9"/>
    </row>
    <row r="689">
      <c r="A689" s="9"/>
      <c r="D689" s="13"/>
      <c r="E689" s="9"/>
      <c r="J689" s="121"/>
      <c r="M689" s="9"/>
      <c r="N689" s="9"/>
      <c r="O689" s="9"/>
      <c r="Q689" s="9"/>
    </row>
    <row r="690">
      <c r="A690" s="9"/>
      <c r="D690" s="13"/>
      <c r="E690" s="9"/>
      <c r="J690" s="121"/>
      <c r="M690" s="9"/>
      <c r="N690" s="9"/>
      <c r="O690" s="9"/>
      <c r="Q690" s="9"/>
    </row>
    <row r="691">
      <c r="A691" s="9"/>
      <c r="D691" s="13"/>
      <c r="E691" s="9"/>
      <c r="J691" s="121"/>
      <c r="M691" s="9"/>
      <c r="N691" s="9"/>
      <c r="O691" s="9"/>
      <c r="Q691" s="9"/>
    </row>
    <row r="692">
      <c r="A692" s="9"/>
      <c r="D692" s="13"/>
      <c r="E692" s="9"/>
      <c r="J692" s="121"/>
      <c r="M692" s="9"/>
      <c r="N692" s="9"/>
      <c r="O692" s="9"/>
      <c r="Q692" s="9"/>
    </row>
    <row r="693">
      <c r="A693" s="9"/>
      <c r="D693" s="13"/>
      <c r="E693" s="9"/>
      <c r="J693" s="121"/>
      <c r="M693" s="9"/>
      <c r="N693" s="9"/>
      <c r="O693" s="9"/>
      <c r="Q693" s="9"/>
    </row>
    <row r="694">
      <c r="A694" s="9"/>
      <c r="D694" s="13"/>
      <c r="E694" s="9"/>
      <c r="J694" s="121"/>
      <c r="M694" s="9"/>
      <c r="N694" s="9"/>
      <c r="O694" s="9"/>
      <c r="Q694" s="9"/>
    </row>
    <row r="695">
      <c r="A695" s="9"/>
      <c r="D695" s="13"/>
      <c r="E695" s="9"/>
      <c r="J695" s="121"/>
      <c r="M695" s="9"/>
      <c r="N695" s="9"/>
      <c r="O695" s="9"/>
      <c r="Q695" s="9"/>
    </row>
    <row r="696">
      <c r="A696" s="9"/>
      <c r="D696" s="13"/>
      <c r="E696" s="9"/>
      <c r="J696" s="121"/>
      <c r="M696" s="9"/>
      <c r="N696" s="9"/>
      <c r="O696" s="9"/>
      <c r="Q696" s="9"/>
    </row>
    <row r="697">
      <c r="A697" s="9"/>
      <c r="D697" s="13"/>
      <c r="E697" s="9"/>
      <c r="J697" s="121"/>
      <c r="M697" s="9"/>
      <c r="N697" s="9"/>
      <c r="O697" s="9"/>
      <c r="Q697" s="9"/>
    </row>
    <row r="698">
      <c r="A698" s="9"/>
      <c r="D698" s="13"/>
      <c r="E698" s="9"/>
      <c r="J698" s="121"/>
      <c r="M698" s="9"/>
      <c r="N698" s="9"/>
      <c r="O698" s="9"/>
      <c r="Q698" s="9"/>
    </row>
    <row r="699">
      <c r="A699" s="9"/>
      <c r="D699" s="13"/>
      <c r="E699" s="9"/>
      <c r="J699" s="121"/>
      <c r="M699" s="9"/>
      <c r="N699" s="9"/>
      <c r="O699" s="9"/>
      <c r="Q699" s="9"/>
    </row>
    <row r="700">
      <c r="A700" s="9"/>
      <c r="D700" s="13"/>
      <c r="E700" s="9"/>
      <c r="J700" s="121"/>
      <c r="M700" s="9"/>
      <c r="N700" s="9"/>
      <c r="O700" s="9"/>
      <c r="Q700" s="9"/>
    </row>
    <row r="701">
      <c r="A701" s="9"/>
      <c r="D701" s="13"/>
      <c r="E701" s="9"/>
      <c r="J701" s="121"/>
      <c r="M701" s="9"/>
      <c r="N701" s="9"/>
      <c r="O701" s="9"/>
      <c r="Q701" s="9"/>
    </row>
    <row r="702">
      <c r="A702" s="9"/>
      <c r="D702" s="13"/>
      <c r="E702" s="9"/>
      <c r="J702" s="121"/>
      <c r="M702" s="9"/>
      <c r="N702" s="9"/>
      <c r="O702" s="9"/>
      <c r="Q702" s="9"/>
    </row>
    <row r="703">
      <c r="A703" s="9"/>
      <c r="D703" s="13"/>
      <c r="E703" s="9"/>
      <c r="J703" s="121"/>
      <c r="M703" s="9"/>
      <c r="N703" s="9"/>
      <c r="O703" s="9"/>
      <c r="Q703" s="9"/>
    </row>
    <row r="704">
      <c r="A704" s="9"/>
      <c r="D704" s="13"/>
      <c r="E704" s="9"/>
      <c r="J704" s="121"/>
      <c r="M704" s="9"/>
      <c r="N704" s="9"/>
      <c r="O704" s="9"/>
      <c r="Q704" s="9"/>
    </row>
    <row r="705">
      <c r="A705" s="9"/>
      <c r="D705" s="13"/>
      <c r="E705" s="9"/>
      <c r="J705" s="121"/>
      <c r="M705" s="9"/>
      <c r="N705" s="9"/>
      <c r="O705" s="9"/>
      <c r="Q705" s="9"/>
    </row>
    <row r="706">
      <c r="A706" s="9"/>
      <c r="D706" s="13"/>
      <c r="E706" s="9"/>
      <c r="J706" s="121"/>
      <c r="M706" s="9"/>
      <c r="N706" s="9"/>
      <c r="O706" s="9"/>
      <c r="Q706" s="9"/>
    </row>
    <row r="707">
      <c r="A707" s="9"/>
      <c r="D707" s="13"/>
      <c r="E707" s="9"/>
      <c r="J707" s="121"/>
      <c r="M707" s="9"/>
      <c r="N707" s="9"/>
      <c r="O707" s="9"/>
      <c r="Q707" s="9"/>
    </row>
    <row r="708">
      <c r="A708" s="9"/>
      <c r="D708" s="13"/>
      <c r="E708" s="9"/>
      <c r="J708" s="121"/>
      <c r="M708" s="9"/>
      <c r="N708" s="9"/>
      <c r="O708" s="9"/>
      <c r="Q708" s="9"/>
    </row>
    <row r="709">
      <c r="A709" s="9"/>
      <c r="D709" s="13"/>
      <c r="E709" s="9"/>
      <c r="J709" s="121"/>
      <c r="M709" s="9"/>
      <c r="N709" s="9"/>
      <c r="O709" s="9"/>
      <c r="Q709" s="9"/>
    </row>
    <row r="710">
      <c r="A710" s="9"/>
      <c r="D710" s="13"/>
      <c r="E710" s="9"/>
      <c r="J710" s="121"/>
      <c r="M710" s="9"/>
      <c r="N710" s="9"/>
      <c r="O710" s="9"/>
      <c r="Q710" s="9"/>
    </row>
    <row r="711">
      <c r="A711" s="9"/>
      <c r="D711" s="13"/>
      <c r="E711" s="9"/>
      <c r="J711" s="121"/>
      <c r="M711" s="9"/>
      <c r="N711" s="9"/>
      <c r="O711" s="9"/>
      <c r="Q711" s="9"/>
    </row>
    <row r="712">
      <c r="A712" s="9"/>
      <c r="D712" s="13"/>
      <c r="E712" s="9"/>
      <c r="J712" s="121"/>
      <c r="M712" s="9"/>
      <c r="N712" s="9"/>
      <c r="O712" s="9"/>
      <c r="Q712" s="9"/>
    </row>
    <row r="713">
      <c r="A713" s="9"/>
      <c r="D713" s="13"/>
      <c r="E713" s="9"/>
      <c r="J713" s="121"/>
      <c r="M713" s="9"/>
      <c r="N713" s="9"/>
      <c r="O713" s="9"/>
      <c r="Q713" s="9"/>
    </row>
    <row r="714">
      <c r="A714" s="9"/>
      <c r="D714" s="13"/>
      <c r="E714" s="9"/>
      <c r="J714" s="121"/>
      <c r="M714" s="9"/>
      <c r="N714" s="9"/>
      <c r="O714" s="9"/>
      <c r="Q714" s="9"/>
    </row>
    <row r="715">
      <c r="A715" s="9"/>
      <c r="D715" s="13"/>
      <c r="E715" s="9"/>
      <c r="J715" s="121"/>
      <c r="M715" s="9"/>
      <c r="N715" s="9"/>
      <c r="O715" s="9"/>
      <c r="Q715" s="9"/>
    </row>
    <row r="716">
      <c r="A716" s="9"/>
      <c r="D716" s="13"/>
      <c r="E716" s="9"/>
      <c r="J716" s="121"/>
      <c r="M716" s="9"/>
      <c r="N716" s="9"/>
      <c r="O716" s="9"/>
      <c r="Q716" s="9"/>
    </row>
    <row r="717">
      <c r="A717" s="9"/>
      <c r="D717" s="13"/>
      <c r="E717" s="9"/>
      <c r="J717" s="121"/>
      <c r="M717" s="9"/>
      <c r="N717" s="9"/>
      <c r="O717" s="9"/>
      <c r="Q717" s="9"/>
    </row>
    <row r="718">
      <c r="A718" s="9"/>
      <c r="D718" s="13"/>
      <c r="E718" s="9"/>
      <c r="J718" s="121"/>
      <c r="M718" s="9"/>
      <c r="N718" s="9"/>
      <c r="O718" s="9"/>
      <c r="Q718" s="9"/>
    </row>
    <row r="719">
      <c r="A719" s="9"/>
      <c r="D719" s="13"/>
      <c r="E719" s="9"/>
      <c r="J719" s="121"/>
      <c r="M719" s="9"/>
      <c r="N719" s="9"/>
      <c r="O719" s="9"/>
      <c r="Q719" s="9"/>
    </row>
    <row r="720">
      <c r="A720" s="9"/>
      <c r="D720" s="13"/>
      <c r="E720" s="9"/>
      <c r="J720" s="121"/>
      <c r="M720" s="9"/>
      <c r="N720" s="9"/>
      <c r="O720" s="9"/>
      <c r="Q720" s="9"/>
    </row>
    <row r="721">
      <c r="A721" s="9"/>
      <c r="D721" s="13"/>
      <c r="E721" s="9"/>
      <c r="J721" s="121"/>
      <c r="M721" s="9"/>
      <c r="N721" s="9"/>
      <c r="O721" s="9"/>
      <c r="Q721" s="9"/>
    </row>
    <row r="722">
      <c r="A722" s="9"/>
      <c r="D722" s="13"/>
      <c r="E722" s="9"/>
      <c r="J722" s="121"/>
      <c r="M722" s="9"/>
      <c r="N722" s="9"/>
      <c r="O722" s="9"/>
      <c r="Q722" s="9"/>
    </row>
    <row r="723">
      <c r="A723" s="9"/>
      <c r="D723" s="13"/>
      <c r="E723" s="9"/>
      <c r="J723" s="121"/>
      <c r="M723" s="9"/>
      <c r="N723" s="9"/>
      <c r="O723" s="9"/>
      <c r="Q723" s="9"/>
    </row>
    <row r="724">
      <c r="A724" s="9"/>
      <c r="D724" s="13"/>
      <c r="E724" s="9"/>
      <c r="J724" s="121"/>
      <c r="M724" s="9"/>
      <c r="N724" s="9"/>
      <c r="O724" s="9"/>
      <c r="Q724" s="9"/>
    </row>
    <row r="725">
      <c r="A725" s="9"/>
      <c r="D725" s="13"/>
      <c r="E725" s="9"/>
      <c r="J725" s="121"/>
      <c r="M725" s="9"/>
      <c r="N725" s="9"/>
      <c r="O725" s="9"/>
      <c r="Q725" s="9"/>
    </row>
    <row r="726">
      <c r="A726" s="9"/>
      <c r="D726" s="13"/>
      <c r="E726" s="9"/>
      <c r="J726" s="121"/>
      <c r="M726" s="9"/>
      <c r="N726" s="9"/>
      <c r="O726" s="9"/>
      <c r="Q726" s="9"/>
    </row>
    <row r="727">
      <c r="A727" s="9"/>
      <c r="D727" s="13"/>
      <c r="E727" s="9"/>
      <c r="J727" s="121"/>
      <c r="M727" s="9"/>
      <c r="N727" s="9"/>
      <c r="O727" s="9"/>
      <c r="Q727" s="9"/>
    </row>
    <row r="728">
      <c r="A728" s="9"/>
      <c r="D728" s="13"/>
      <c r="E728" s="9"/>
      <c r="J728" s="121"/>
      <c r="M728" s="9"/>
      <c r="N728" s="9"/>
      <c r="O728" s="9"/>
      <c r="Q728" s="9"/>
    </row>
    <row r="729">
      <c r="A729" s="9"/>
      <c r="D729" s="13"/>
      <c r="E729" s="9"/>
      <c r="J729" s="121"/>
      <c r="M729" s="9"/>
      <c r="N729" s="9"/>
      <c r="O729" s="9"/>
      <c r="Q729" s="9"/>
    </row>
    <row r="730">
      <c r="A730" s="9"/>
      <c r="D730" s="13"/>
      <c r="E730" s="9"/>
      <c r="J730" s="121"/>
      <c r="M730" s="9"/>
      <c r="N730" s="9"/>
      <c r="O730" s="9"/>
      <c r="Q730" s="9"/>
    </row>
    <row r="731">
      <c r="A731" s="9"/>
      <c r="D731" s="13"/>
      <c r="E731" s="9"/>
      <c r="J731" s="121"/>
      <c r="M731" s="9"/>
      <c r="N731" s="9"/>
      <c r="O731" s="9"/>
      <c r="Q731" s="9"/>
    </row>
    <row r="732">
      <c r="A732" s="9"/>
      <c r="D732" s="13"/>
      <c r="E732" s="9"/>
      <c r="J732" s="121"/>
      <c r="M732" s="9"/>
      <c r="N732" s="9"/>
      <c r="O732" s="9"/>
      <c r="Q732" s="9"/>
    </row>
    <row r="733">
      <c r="A733" s="9"/>
      <c r="D733" s="13"/>
      <c r="E733" s="9"/>
      <c r="J733" s="121"/>
      <c r="M733" s="9"/>
      <c r="N733" s="9"/>
      <c r="O733" s="9"/>
      <c r="Q733" s="9"/>
    </row>
    <row r="734">
      <c r="A734" s="9"/>
      <c r="D734" s="13"/>
      <c r="E734" s="9"/>
      <c r="J734" s="121"/>
      <c r="M734" s="9"/>
      <c r="N734" s="9"/>
      <c r="O734" s="9"/>
      <c r="Q734" s="9"/>
    </row>
    <row r="735">
      <c r="A735" s="9"/>
      <c r="D735" s="13"/>
      <c r="E735" s="9"/>
      <c r="J735" s="121"/>
      <c r="M735" s="9"/>
      <c r="N735" s="9"/>
      <c r="O735" s="9"/>
      <c r="Q735" s="9"/>
    </row>
    <row r="736">
      <c r="A736" s="9"/>
      <c r="D736" s="13"/>
      <c r="E736" s="9"/>
      <c r="J736" s="121"/>
      <c r="M736" s="9"/>
      <c r="N736" s="9"/>
      <c r="O736" s="9"/>
      <c r="Q736" s="9"/>
    </row>
    <row r="737">
      <c r="A737" s="9"/>
      <c r="D737" s="13"/>
      <c r="E737" s="9"/>
      <c r="J737" s="121"/>
      <c r="M737" s="9"/>
      <c r="N737" s="9"/>
      <c r="O737" s="9"/>
      <c r="Q737" s="9"/>
    </row>
    <row r="738">
      <c r="A738" s="9"/>
      <c r="D738" s="13"/>
      <c r="E738" s="9"/>
      <c r="J738" s="121"/>
      <c r="M738" s="9"/>
      <c r="N738" s="9"/>
      <c r="O738" s="9"/>
      <c r="Q738" s="9"/>
    </row>
    <row r="739">
      <c r="A739" s="9"/>
      <c r="D739" s="13"/>
      <c r="E739" s="9"/>
      <c r="J739" s="121"/>
      <c r="M739" s="9"/>
      <c r="N739" s="9"/>
      <c r="O739" s="9"/>
      <c r="Q739" s="9"/>
    </row>
    <row r="740">
      <c r="A740" s="9"/>
      <c r="D740" s="13"/>
      <c r="E740" s="9"/>
      <c r="J740" s="121"/>
      <c r="M740" s="9"/>
      <c r="N740" s="9"/>
      <c r="O740" s="9"/>
      <c r="Q740" s="9"/>
    </row>
    <row r="741">
      <c r="A741" s="9"/>
      <c r="D741" s="13"/>
      <c r="E741" s="9"/>
      <c r="J741" s="121"/>
      <c r="M741" s="9"/>
      <c r="N741" s="9"/>
      <c r="O741" s="9"/>
      <c r="Q741" s="9"/>
    </row>
    <row r="742">
      <c r="A742" s="9"/>
      <c r="D742" s="13"/>
      <c r="E742" s="9"/>
      <c r="J742" s="121"/>
      <c r="M742" s="9"/>
      <c r="N742" s="9"/>
      <c r="O742" s="9"/>
      <c r="Q742" s="9"/>
    </row>
    <row r="743">
      <c r="A743" s="9"/>
      <c r="D743" s="13"/>
      <c r="E743" s="9"/>
      <c r="J743" s="121"/>
      <c r="M743" s="9"/>
      <c r="N743" s="9"/>
      <c r="O743" s="9"/>
      <c r="Q743" s="9"/>
    </row>
    <row r="744">
      <c r="A744" s="9"/>
      <c r="D744" s="13"/>
      <c r="E744" s="9"/>
      <c r="J744" s="121"/>
      <c r="M744" s="9"/>
      <c r="N744" s="9"/>
      <c r="O744" s="9"/>
      <c r="Q744" s="9"/>
    </row>
    <row r="745">
      <c r="A745" s="9"/>
      <c r="D745" s="13"/>
      <c r="E745" s="9"/>
      <c r="J745" s="121"/>
      <c r="M745" s="9"/>
      <c r="N745" s="9"/>
      <c r="O745" s="9"/>
      <c r="Q745" s="9"/>
    </row>
    <row r="746">
      <c r="A746" s="9"/>
      <c r="D746" s="13"/>
      <c r="E746" s="9"/>
      <c r="J746" s="121"/>
      <c r="M746" s="9"/>
      <c r="N746" s="9"/>
      <c r="O746" s="9"/>
      <c r="Q746" s="9"/>
    </row>
    <row r="747">
      <c r="A747" s="9"/>
      <c r="D747" s="13"/>
      <c r="E747" s="9"/>
      <c r="J747" s="121"/>
      <c r="M747" s="9"/>
      <c r="N747" s="9"/>
      <c r="O747" s="9"/>
      <c r="Q747" s="9"/>
    </row>
    <row r="748">
      <c r="A748" s="9"/>
      <c r="D748" s="13"/>
      <c r="E748" s="9"/>
      <c r="J748" s="121"/>
      <c r="M748" s="9"/>
      <c r="N748" s="9"/>
      <c r="O748" s="9"/>
      <c r="Q748" s="9"/>
    </row>
    <row r="749">
      <c r="A749" s="9"/>
      <c r="D749" s="13"/>
      <c r="E749" s="9"/>
      <c r="J749" s="121"/>
      <c r="M749" s="9"/>
      <c r="N749" s="9"/>
      <c r="O749" s="9"/>
      <c r="Q749" s="9"/>
    </row>
    <row r="750">
      <c r="A750" s="9"/>
      <c r="D750" s="13"/>
      <c r="E750" s="9"/>
      <c r="J750" s="121"/>
      <c r="M750" s="9"/>
      <c r="N750" s="9"/>
      <c r="O750" s="9"/>
      <c r="Q750" s="9"/>
    </row>
    <row r="751">
      <c r="A751" s="9"/>
      <c r="D751" s="13"/>
      <c r="E751" s="9"/>
      <c r="J751" s="121"/>
      <c r="M751" s="9"/>
      <c r="N751" s="9"/>
      <c r="O751" s="9"/>
      <c r="Q751" s="9"/>
    </row>
    <row r="752">
      <c r="A752" s="9"/>
      <c r="D752" s="13"/>
      <c r="E752" s="9"/>
      <c r="J752" s="121"/>
      <c r="M752" s="9"/>
      <c r="N752" s="9"/>
      <c r="O752" s="9"/>
      <c r="Q752" s="9"/>
    </row>
    <row r="753">
      <c r="A753" s="9"/>
      <c r="D753" s="13"/>
      <c r="E753" s="9"/>
      <c r="J753" s="121"/>
      <c r="M753" s="9"/>
      <c r="N753" s="9"/>
      <c r="O753" s="9"/>
      <c r="Q753" s="9"/>
    </row>
    <row r="754">
      <c r="A754" s="9"/>
      <c r="D754" s="13"/>
      <c r="E754" s="9"/>
      <c r="J754" s="121"/>
      <c r="M754" s="9"/>
      <c r="N754" s="9"/>
      <c r="O754" s="9"/>
      <c r="Q754" s="9"/>
    </row>
    <row r="755">
      <c r="A755" s="9"/>
      <c r="D755" s="13"/>
      <c r="E755" s="9"/>
      <c r="J755" s="121"/>
      <c r="M755" s="9"/>
      <c r="N755" s="9"/>
      <c r="O755" s="9"/>
      <c r="Q755" s="9"/>
    </row>
    <row r="756">
      <c r="A756" s="9"/>
      <c r="D756" s="13"/>
      <c r="E756" s="9"/>
      <c r="J756" s="121"/>
      <c r="M756" s="9"/>
      <c r="N756" s="9"/>
      <c r="O756" s="9"/>
      <c r="Q756" s="9"/>
    </row>
    <row r="757">
      <c r="A757" s="9"/>
      <c r="D757" s="13"/>
      <c r="E757" s="9"/>
      <c r="J757" s="121"/>
      <c r="M757" s="9"/>
      <c r="N757" s="9"/>
      <c r="O757" s="9"/>
      <c r="Q757" s="9"/>
    </row>
    <row r="758">
      <c r="A758" s="9"/>
      <c r="D758" s="13"/>
      <c r="E758" s="9"/>
      <c r="J758" s="121"/>
      <c r="M758" s="9"/>
      <c r="N758" s="9"/>
      <c r="O758" s="9"/>
      <c r="Q758" s="9"/>
    </row>
    <row r="759">
      <c r="A759" s="9"/>
      <c r="D759" s="13"/>
      <c r="E759" s="9"/>
      <c r="J759" s="121"/>
      <c r="M759" s="9"/>
      <c r="N759" s="9"/>
      <c r="O759" s="9"/>
      <c r="Q759" s="9"/>
    </row>
    <row r="760">
      <c r="A760" s="9"/>
      <c r="D760" s="13"/>
      <c r="E760" s="9"/>
      <c r="J760" s="121"/>
      <c r="M760" s="9"/>
      <c r="N760" s="9"/>
      <c r="O760" s="9"/>
      <c r="Q760" s="9"/>
    </row>
    <row r="761">
      <c r="A761" s="9"/>
      <c r="D761" s="13"/>
      <c r="E761" s="9"/>
      <c r="J761" s="121"/>
      <c r="M761" s="9"/>
      <c r="N761" s="9"/>
      <c r="O761" s="9"/>
      <c r="Q761" s="9"/>
    </row>
    <row r="762">
      <c r="A762" s="9"/>
      <c r="D762" s="13"/>
      <c r="E762" s="9"/>
      <c r="J762" s="121"/>
      <c r="M762" s="9"/>
      <c r="N762" s="9"/>
      <c r="O762" s="9"/>
      <c r="Q762" s="9"/>
    </row>
    <row r="763">
      <c r="A763" s="9"/>
      <c r="D763" s="13"/>
      <c r="E763" s="9"/>
      <c r="J763" s="121"/>
      <c r="M763" s="9"/>
      <c r="N763" s="9"/>
      <c r="O763" s="9"/>
      <c r="Q763" s="9"/>
    </row>
    <row r="764">
      <c r="A764" s="9"/>
      <c r="D764" s="13"/>
      <c r="E764" s="9"/>
      <c r="J764" s="121"/>
      <c r="M764" s="9"/>
      <c r="N764" s="9"/>
      <c r="O764" s="9"/>
      <c r="Q764" s="9"/>
    </row>
    <row r="765">
      <c r="A765" s="9"/>
      <c r="D765" s="13"/>
      <c r="E765" s="9"/>
      <c r="J765" s="121"/>
      <c r="M765" s="9"/>
      <c r="N765" s="9"/>
      <c r="O765" s="9"/>
      <c r="Q765" s="9"/>
    </row>
    <row r="766">
      <c r="A766" s="9"/>
      <c r="D766" s="13"/>
      <c r="E766" s="9"/>
      <c r="J766" s="121"/>
      <c r="M766" s="9"/>
      <c r="N766" s="9"/>
      <c r="O766" s="9"/>
      <c r="Q766" s="9"/>
    </row>
    <row r="767">
      <c r="A767" s="9"/>
      <c r="D767" s="13"/>
      <c r="E767" s="9"/>
      <c r="J767" s="121"/>
      <c r="M767" s="9"/>
      <c r="N767" s="9"/>
      <c r="O767" s="9"/>
      <c r="Q767" s="9"/>
    </row>
    <row r="768">
      <c r="A768" s="9"/>
      <c r="D768" s="13"/>
      <c r="E768" s="9"/>
      <c r="J768" s="121"/>
      <c r="M768" s="9"/>
      <c r="N768" s="9"/>
      <c r="O768" s="9"/>
      <c r="Q768" s="9"/>
    </row>
    <row r="769">
      <c r="A769" s="9"/>
      <c r="D769" s="13"/>
      <c r="E769" s="9"/>
      <c r="J769" s="121"/>
      <c r="M769" s="9"/>
      <c r="N769" s="9"/>
      <c r="O769" s="9"/>
      <c r="Q769" s="9"/>
    </row>
    <row r="770">
      <c r="A770" s="9"/>
      <c r="D770" s="13"/>
      <c r="E770" s="9"/>
      <c r="J770" s="121"/>
      <c r="M770" s="9"/>
      <c r="N770" s="9"/>
      <c r="O770" s="9"/>
      <c r="Q770" s="9"/>
    </row>
    <row r="771">
      <c r="A771" s="9"/>
      <c r="D771" s="13"/>
      <c r="E771" s="9"/>
      <c r="J771" s="121"/>
      <c r="M771" s="9"/>
      <c r="N771" s="9"/>
      <c r="O771" s="9"/>
      <c r="Q771" s="9"/>
    </row>
    <row r="772">
      <c r="A772" s="9"/>
      <c r="D772" s="13"/>
      <c r="E772" s="9"/>
      <c r="J772" s="121"/>
      <c r="M772" s="9"/>
      <c r="N772" s="9"/>
      <c r="O772" s="9"/>
      <c r="Q772" s="9"/>
    </row>
    <row r="773">
      <c r="A773" s="9"/>
      <c r="D773" s="13"/>
      <c r="E773" s="9"/>
      <c r="J773" s="121"/>
      <c r="M773" s="9"/>
      <c r="N773" s="9"/>
      <c r="O773" s="9"/>
      <c r="Q773" s="9"/>
    </row>
    <row r="774">
      <c r="A774" s="9"/>
      <c r="D774" s="13"/>
      <c r="E774" s="9"/>
      <c r="J774" s="121"/>
      <c r="M774" s="9"/>
      <c r="N774" s="9"/>
      <c r="O774" s="9"/>
      <c r="Q774" s="9"/>
    </row>
    <row r="775">
      <c r="A775" s="9"/>
      <c r="D775" s="13"/>
      <c r="E775" s="9"/>
      <c r="J775" s="121"/>
      <c r="M775" s="9"/>
      <c r="N775" s="9"/>
      <c r="O775" s="9"/>
      <c r="Q775" s="9"/>
    </row>
    <row r="776">
      <c r="A776" s="9"/>
      <c r="D776" s="13"/>
      <c r="E776" s="9"/>
      <c r="J776" s="121"/>
      <c r="M776" s="9"/>
      <c r="N776" s="9"/>
      <c r="O776" s="9"/>
      <c r="Q776" s="9"/>
    </row>
    <row r="777">
      <c r="A777" s="9"/>
      <c r="D777" s="13"/>
      <c r="E777" s="9"/>
      <c r="J777" s="121"/>
      <c r="M777" s="9"/>
      <c r="N777" s="9"/>
      <c r="O777" s="9"/>
      <c r="Q777" s="9"/>
    </row>
    <row r="778">
      <c r="A778" s="9"/>
      <c r="D778" s="13"/>
      <c r="E778" s="9"/>
      <c r="J778" s="121"/>
      <c r="M778" s="9"/>
      <c r="N778" s="9"/>
      <c r="O778" s="9"/>
      <c r="Q778" s="9"/>
    </row>
    <row r="779">
      <c r="A779" s="9"/>
      <c r="D779" s="13"/>
      <c r="E779" s="9"/>
      <c r="J779" s="121"/>
      <c r="M779" s="9"/>
      <c r="N779" s="9"/>
      <c r="O779" s="9"/>
      <c r="Q779" s="9"/>
    </row>
    <row r="780">
      <c r="A780" s="9"/>
      <c r="D780" s="13"/>
      <c r="E780" s="9"/>
      <c r="J780" s="121"/>
      <c r="M780" s="9"/>
      <c r="N780" s="9"/>
      <c r="O780" s="9"/>
      <c r="Q780" s="9"/>
    </row>
    <row r="781">
      <c r="A781" s="9"/>
      <c r="D781" s="13"/>
      <c r="E781" s="9"/>
      <c r="J781" s="121"/>
      <c r="M781" s="9"/>
      <c r="N781" s="9"/>
      <c r="O781" s="9"/>
      <c r="Q781" s="9"/>
    </row>
    <row r="782">
      <c r="A782" s="9"/>
      <c r="D782" s="13"/>
      <c r="E782" s="9"/>
      <c r="J782" s="121"/>
      <c r="M782" s="9"/>
      <c r="N782" s="9"/>
      <c r="O782" s="9"/>
      <c r="Q782" s="9"/>
    </row>
    <row r="783">
      <c r="A783" s="9"/>
      <c r="D783" s="13"/>
      <c r="E783" s="9"/>
      <c r="J783" s="121"/>
      <c r="M783" s="9"/>
      <c r="N783" s="9"/>
      <c r="O783" s="9"/>
      <c r="Q783" s="9"/>
    </row>
    <row r="784">
      <c r="A784" s="9"/>
      <c r="D784" s="13"/>
      <c r="E784" s="9"/>
      <c r="J784" s="121"/>
      <c r="M784" s="9"/>
      <c r="N784" s="9"/>
      <c r="O784" s="9"/>
      <c r="Q784" s="9"/>
    </row>
    <row r="785">
      <c r="A785" s="9"/>
      <c r="D785" s="13"/>
      <c r="E785" s="9"/>
      <c r="J785" s="121"/>
      <c r="M785" s="9"/>
      <c r="N785" s="9"/>
      <c r="O785" s="9"/>
      <c r="Q785" s="9"/>
    </row>
    <row r="786">
      <c r="A786" s="9"/>
      <c r="D786" s="13"/>
      <c r="E786" s="9"/>
      <c r="J786" s="121"/>
      <c r="M786" s="9"/>
      <c r="N786" s="9"/>
      <c r="O786" s="9"/>
      <c r="Q786" s="9"/>
    </row>
    <row r="787">
      <c r="A787" s="9"/>
      <c r="D787" s="13"/>
      <c r="E787" s="9"/>
      <c r="J787" s="121"/>
      <c r="M787" s="9"/>
      <c r="N787" s="9"/>
      <c r="O787" s="9"/>
      <c r="Q787" s="9"/>
    </row>
    <row r="788">
      <c r="A788" s="9"/>
      <c r="D788" s="13"/>
      <c r="E788" s="9"/>
      <c r="J788" s="121"/>
      <c r="M788" s="9"/>
      <c r="N788" s="9"/>
      <c r="O788" s="9"/>
      <c r="Q788" s="9"/>
    </row>
    <row r="789">
      <c r="A789" s="9"/>
      <c r="D789" s="13"/>
      <c r="E789" s="9"/>
      <c r="J789" s="121"/>
      <c r="M789" s="9"/>
      <c r="N789" s="9"/>
      <c r="O789" s="9"/>
      <c r="Q789" s="9"/>
    </row>
    <row r="790">
      <c r="A790" s="9"/>
      <c r="D790" s="13"/>
      <c r="E790" s="9"/>
      <c r="J790" s="121"/>
      <c r="M790" s="9"/>
      <c r="N790" s="9"/>
      <c r="O790" s="9"/>
      <c r="Q790" s="9"/>
    </row>
    <row r="791">
      <c r="A791" s="9"/>
      <c r="D791" s="13"/>
      <c r="E791" s="9"/>
      <c r="J791" s="121"/>
      <c r="M791" s="9"/>
      <c r="N791" s="9"/>
      <c r="O791" s="9"/>
      <c r="Q791" s="9"/>
    </row>
    <row r="792">
      <c r="A792" s="9"/>
      <c r="D792" s="13"/>
      <c r="E792" s="9"/>
      <c r="J792" s="121"/>
      <c r="M792" s="9"/>
      <c r="N792" s="9"/>
      <c r="O792" s="9"/>
      <c r="Q792" s="9"/>
    </row>
    <row r="793">
      <c r="A793" s="9"/>
      <c r="D793" s="13"/>
      <c r="E793" s="9"/>
      <c r="J793" s="121"/>
      <c r="M793" s="9"/>
      <c r="N793" s="9"/>
      <c r="O793" s="9"/>
      <c r="Q793" s="9"/>
    </row>
    <row r="794">
      <c r="A794" s="9"/>
      <c r="D794" s="13"/>
      <c r="E794" s="9"/>
      <c r="J794" s="121"/>
      <c r="M794" s="9"/>
      <c r="N794" s="9"/>
      <c r="O794" s="9"/>
      <c r="Q794" s="9"/>
    </row>
    <row r="795">
      <c r="A795" s="9"/>
      <c r="D795" s="13"/>
      <c r="E795" s="9"/>
      <c r="J795" s="121"/>
      <c r="M795" s="9"/>
      <c r="N795" s="9"/>
      <c r="O795" s="9"/>
      <c r="Q795" s="9"/>
    </row>
    <row r="796">
      <c r="A796" s="9"/>
      <c r="D796" s="13"/>
      <c r="E796" s="9"/>
      <c r="J796" s="121"/>
      <c r="M796" s="9"/>
      <c r="N796" s="9"/>
      <c r="O796" s="9"/>
      <c r="Q796" s="9"/>
    </row>
    <row r="797">
      <c r="A797" s="9"/>
      <c r="D797" s="13"/>
      <c r="E797" s="9"/>
      <c r="J797" s="121"/>
      <c r="M797" s="9"/>
      <c r="N797" s="9"/>
      <c r="O797" s="9"/>
      <c r="Q797" s="9"/>
    </row>
    <row r="798">
      <c r="A798" s="9"/>
      <c r="D798" s="13"/>
      <c r="E798" s="9"/>
      <c r="J798" s="121"/>
      <c r="M798" s="9"/>
      <c r="N798" s="9"/>
      <c r="O798" s="9"/>
      <c r="Q798" s="9"/>
    </row>
    <row r="799">
      <c r="A799" s="9"/>
      <c r="D799" s="13"/>
      <c r="E799" s="9"/>
      <c r="J799" s="121"/>
      <c r="M799" s="9"/>
      <c r="N799" s="9"/>
      <c r="O799" s="9"/>
      <c r="Q799" s="9"/>
    </row>
    <row r="800">
      <c r="A800" s="9"/>
      <c r="D800" s="13"/>
      <c r="E800" s="9"/>
      <c r="J800" s="121"/>
      <c r="M800" s="9"/>
      <c r="N800" s="9"/>
      <c r="O800" s="9"/>
      <c r="Q800" s="9"/>
    </row>
    <row r="801">
      <c r="A801" s="9"/>
      <c r="D801" s="13"/>
      <c r="E801" s="9"/>
      <c r="J801" s="121"/>
      <c r="M801" s="9"/>
      <c r="N801" s="9"/>
      <c r="O801" s="9"/>
      <c r="Q801" s="9"/>
    </row>
    <row r="802">
      <c r="A802" s="9"/>
      <c r="D802" s="13"/>
      <c r="E802" s="9"/>
      <c r="J802" s="121"/>
      <c r="M802" s="9"/>
      <c r="N802" s="9"/>
      <c r="O802" s="9"/>
      <c r="Q802" s="9"/>
    </row>
    <row r="803">
      <c r="A803" s="9"/>
      <c r="D803" s="13"/>
      <c r="E803" s="9"/>
      <c r="J803" s="121"/>
      <c r="M803" s="9"/>
      <c r="N803" s="9"/>
      <c r="O803" s="9"/>
      <c r="Q803" s="9"/>
    </row>
    <row r="804">
      <c r="A804" s="9"/>
      <c r="D804" s="13"/>
      <c r="E804" s="9"/>
      <c r="J804" s="121"/>
      <c r="M804" s="9"/>
      <c r="N804" s="9"/>
      <c r="O804" s="9"/>
      <c r="Q804" s="9"/>
    </row>
    <row r="805">
      <c r="A805" s="9"/>
      <c r="D805" s="13"/>
      <c r="E805" s="9"/>
      <c r="J805" s="121"/>
      <c r="M805" s="9"/>
      <c r="N805" s="9"/>
      <c r="O805" s="9"/>
      <c r="Q805" s="9"/>
    </row>
    <row r="806">
      <c r="A806" s="9"/>
      <c r="D806" s="13"/>
      <c r="E806" s="9"/>
      <c r="J806" s="121"/>
      <c r="M806" s="9"/>
      <c r="N806" s="9"/>
      <c r="O806" s="9"/>
      <c r="Q806" s="9"/>
    </row>
    <row r="807">
      <c r="A807" s="9"/>
      <c r="D807" s="13"/>
      <c r="E807" s="9"/>
      <c r="J807" s="121"/>
      <c r="M807" s="9"/>
      <c r="N807" s="9"/>
      <c r="O807" s="9"/>
      <c r="Q807" s="9"/>
    </row>
    <row r="808">
      <c r="A808" s="9"/>
      <c r="D808" s="13"/>
      <c r="E808" s="9"/>
      <c r="J808" s="121"/>
      <c r="M808" s="9"/>
      <c r="N808" s="9"/>
      <c r="O808" s="9"/>
      <c r="Q808" s="9"/>
    </row>
    <row r="809">
      <c r="A809" s="9"/>
      <c r="D809" s="13"/>
      <c r="E809" s="9"/>
      <c r="J809" s="121"/>
      <c r="M809" s="9"/>
      <c r="N809" s="9"/>
      <c r="O809" s="9"/>
      <c r="Q809" s="9"/>
    </row>
    <row r="810">
      <c r="A810" s="9"/>
      <c r="D810" s="13"/>
      <c r="E810" s="9"/>
      <c r="J810" s="121"/>
      <c r="M810" s="9"/>
      <c r="N810" s="9"/>
      <c r="O810" s="9"/>
      <c r="Q810" s="9"/>
    </row>
    <row r="811">
      <c r="A811" s="9"/>
      <c r="D811" s="13"/>
      <c r="E811" s="9"/>
      <c r="J811" s="121"/>
      <c r="M811" s="9"/>
      <c r="N811" s="9"/>
      <c r="O811" s="9"/>
      <c r="Q811" s="9"/>
    </row>
    <row r="812">
      <c r="A812" s="9"/>
      <c r="D812" s="13"/>
      <c r="E812" s="9"/>
      <c r="J812" s="121"/>
      <c r="M812" s="9"/>
      <c r="N812" s="9"/>
      <c r="O812" s="9"/>
      <c r="Q812" s="9"/>
    </row>
    <row r="813">
      <c r="A813" s="9"/>
      <c r="D813" s="13"/>
      <c r="E813" s="9"/>
      <c r="J813" s="121"/>
      <c r="M813" s="9"/>
      <c r="N813" s="9"/>
      <c r="O813" s="9"/>
      <c r="Q813" s="9"/>
    </row>
    <row r="814">
      <c r="A814" s="9"/>
      <c r="D814" s="13"/>
      <c r="E814" s="9"/>
      <c r="J814" s="121"/>
      <c r="M814" s="9"/>
      <c r="N814" s="9"/>
      <c r="O814" s="9"/>
      <c r="Q814" s="9"/>
    </row>
    <row r="815">
      <c r="A815" s="9"/>
      <c r="D815" s="13"/>
      <c r="E815" s="9"/>
      <c r="J815" s="121"/>
      <c r="M815" s="9"/>
      <c r="N815" s="9"/>
      <c r="O815" s="9"/>
      <c r="Q815" s="9"/>
    </row>
    <row r="816">
      <c r="A816" s="9"/>
      <c r="D816" s="13"/>
      <c r="E816" s="9"/>
      <c r="J816" s="121"/>
      <c r="M816" s="9"/>
      <c r="N816" s="9"/>
      <c r="O816" s="9"/>
      <c r="Q816" s="9"/>
    </row>
    <row r="817">
      <c r="A817" s="9"/>
      <c r="D817" s="13"/>
      <c r="E817" s="9"/>
      <c r="J817" s="121"/>
      <c r="M817" s="9"/>
      <c r="N817" s="9"/>
      <c r="O817" s="9"/>
      <c r="Q817" s="9"/>
    </row>
    <row r="818">
      <c r="A818" s="9"/>
      <c r="D818" s="13"/>
      <c r="E818" s="9"/>
      <c r="J818" s="121"/>
      <c r="M818" s="9"/>
      <c r="N818" s="9"/>
      <c r="O818" s="9"/>
      <c r="Q818" s="9"/>
    </row>
    <row r="819">
      <c r="A819" s="9"/>
      <c r="D819" s="13"/>
      <c r="E819" s="9"/>
      <c r="J819" s="121"/>
      <c r="M819" s="9"/>
      <c r="N819" s="9"/>
      <c r="O819" s="9"/>
      <c r="Q819" s="9"/>
    </row>
    <row r="820">
      <c r="A820" s="9"/>
      <c r="D820" s="13"/>
      <c r="E820" s="9"/>
      <c r="J820" s="121"/>
      <c r="M820" s="9"/>
      <c r="N820" s="9"/>
      <c r="O820" s="9"/>
      <c r="Q820" s="9"/>
    </row>
    <row r="821">
      <c r="A821" s="9"/>
      <c r="D821" s="13"/>
      <c r="E821" s="9"/>
      <c r="J821" s="121"/>
      <c r="M821" s="9"/>
      <c r="N821" s="9"/>
      <c r="O821" s="9"/>
      <c r="Q821" s="9"/>
    </row>
    <row r="822">
      <c r="A822" s="9"/>
      <c r="D822" s="13"/>
      <c r="E822" s="9"/>
      <c r="J822" s="121"/>
      <c r="M822" s="9"/>
      <c r="N822" s="9"/>
      <c r="O822" s="9"/>
      <c r="Q822" s="9"/>
    </row>
    <row r="823">
      <c r="A823" s="9"/>
      <c r="D823" s="13"/>
      <c r="E823" s="9"/>
      <c r="J823" s="121"/>
      <c r="M823" s="9"/>
      <c r="N823" s="9"/>
      <c r="O823" s="9"/>
      <c r="Q823" s="9"/>
    </row>
    <row r="824">
      <c r="A824" s="9"/>
      <c r="D824" s="13"/>
      <c r="E824" s="9"/>
      <c r="J824" s="121"/>
      <c r="M824" s="9"/>
      <c r="N824" s="9"/>
      <c r="O824" s="9"/>
      <c r="Q824" s="9"/>
    </row>
    <row r="825">
      <c r="A825" s="9"/>
      <c r="D825" s="13"/>
      <c r="E825" s="9"/>
      <c r="J825" s="121"/>
      <c r="M825" s="9"/>
      <c r="N825" s="9"/>
      <c r="O825" s="9"/>
      <c r="Q825" s="9"/>
    </row>
    <row r="826">
      <c r="A826" s="9"/>
      <c r="D826" s="13"/>
      <c r="E826" s="9"/>
      <c r="J826" s="121"/>
      <c r="M826" s="9"/>
      <c r="N826" s="9"/>
      <c r="O826" s="9"/>
      <c r="Q826" s="9"/>
    </row>
    <row r="827">
      <c r="A827" s="9"/>
      <c r="D827" s="13"/>
      <c r="E827" s="9"/>
      <c r="J827" s="121"/>
      <c r="M827" s="9"/>
      <c r="N827" s="9"/>
      <c r="O827" s="9"/>
      <c r="Q827" s="9"/>
    </row>
    <row r="828">
      <c r="A828" s="9"/>
      <c r="D828" s="13"/>
      <c r="E828" s="9"/>
      <c r="J828" s="121"/>
      <c r="M828" s="9"/>
      <c r="N828" s="9"/>
      <c r="O828" s="9"/>
      <c r="Q828" s="9"/>
    </row>
    <row r="829">
      <c r="A829" s="9"/>
      <c r="D829" s="13"/>
      <c r="E829" s="9"/>
      <c r="J829" s="121"/>
      <c r="M829" s="9"/>
      <c r="N829" s="9"/>
      <c r="O829" s="9"/>
      <c r="Q829" s="9"/>
    </row>
    <row r="830">
      <c r="A830" s="9"/>
      <c r="D830" s="13"/>
      <c r="E830" s="9"/>
      <c r="J830" s="121"/>
      <c r="M830" s="9"/>
      <c r="N830" s="9"/>
      <c r="O830" s="9"/>
      <c r="Q830" s="9"/>
    </row>
    <row r="831">
      <c r="A831" s="9"/>
      <c r="D831" s="13"/>
      <c r="E831" s="9"/>
      <c r="J831" s="121"/>
      <c r="M831" s="9"/>
      <c r="N831" s="9"/>
      <c r="O831" s="9"/>
      <c r="Q831" s="9"/>
    </row>
    <row r="832">
      <c r="A832" s="9"/>
      <c r="D832" s="13"/>
      <c r="E832" s="9"/>
      <c r="J832" s="121"/>
      <c r="M832" s="9"/>
      <c r="N832" s="9"/>
      <c r="O832" s="9"/>
      <c r="Q832" s="9"/>
    </row>
    <row r="833">
      <c r="A833" s="9"/>
      <c r="D833" s="13"/>
      <c r="E833" s="9"/>
      <c r="J833" s="121"/>
      <c r="M833" s="9"/>
      <c r="N833" s="9"/>
      <c r="O833" s="9"/>
      <c r="Q833" s="9"/>
    </row>
    <row r="834">
      <c r="A834" s="9"/>
      <c r="D834" s="13"/>
      <c r="E834" s="9"/>
      <c r="J834" s="121"/>
      <c r="M834" s="9"/>
      <c r="N834" s="9"/>
      <c r="O834" s="9"/>
      <c r="Q834" s="9"/>
    </row>
    <row r="835">
      <c r="A835" s="9"/>
      <c r="D835" s="13"/>
      <c r="E835" s="9"/>
      <c r="J835" s="121"/>
      <c r="M835" s="9"/>
      <c r="N835" s="9"/>
      <c r="O835" s="9"/>
      <c r="Q835" s="9"/>
    </row>
    <row r="836">
      <c r="A836" s="9"/>
      <c r="D836" s="13"/>
      <c r="E836" s="9"/>
      <c r="J836" s="121"/>
      <c r="M836" s="9"/>
      <c r="N836" s="9"/>
      <c r="O836" s="9"/>
      <c r="Q836" s="9"/>
    </row>
    <row r="837">
      <c r="A837" s="9"/>
      <c r="D837" s="13"/>
      <c r="E837" s="9"/>
      <c r="J837" s="121"/>
      <c r="M837" s="9"/>
      <c r="N837" s="9"/>
      <c r="O837" s="9"/>
      <c r="Q837" s="9"/>
    </row>
    <row r="838">
      <c r="A838" s="9"/>
      <c r="D838" s="13"/>
      <c r="E838" s="9"/>
      <c r="J838" s="121"/>
      <c r="M838" s="9"/>
      <c r="N838" s="9"/>
      <c r="O838" s="9"/>
      <c r="Q838" s="9"/>
    </row>
    <row r="839">
      <c r="A839" s="9"/>
      <c r="D839" s="13"/>
      <c r="E839" s="9"/>
      <c r="J839" s="121"/>
      <c r="M839" s="9"/>
      <c r="N839" s="9"/>
      <c r="O839" s="9"/>
      <c r="Q839" s="9"/>
    </row>
    <row r="840">
      <c r="A840" s="9"/>
      <c r="D840" s="13"/>
      <c r="E840" s="9"/>
      <c r="J840" s="121"/>
      <c r="M840" s="9"/>
      <c r="N840" s="9"/>
      <c r="O840" s="9"/>
      <c r="Q840" s="9"/>
    </row>
    <row r="841">
      <c r="A841" s="9"/>
      <c r="D841" s="13"/>
      <c r="E841" s="9"/>
      <c r="J841" s="121"/>
      <c r="M841" s="9"/>
      <c r="N841" s="9"/>
      <c r="O841" s="9"/>
      <c r="Q841" s="9"/>
    </row>
    <row r="842">
      <c r="A842" s="9"/>
      <c r="D842" s="13"/>
      <c r="E842" s="9"/>
      <c r="J842" s="121"/>
      <c r="M842" s="9"/>
      <c r="N842" s="9"/>
      <c r="O842" s="9"/>
      <c r="Q842" s="9"/>
    </row>
    <row r="843">
      <c r="A843" s="9"/>
      <c r="D843" s="13"/>
      <c r="E843" s="9"/>
      <c r="J843" s="121"/>
      <c r="M843" s="9"/>
      <c r="N843" s="9"/>
      <c r="O843" s="9"/>
      <c r="Q843" s="9"/>
    </row>
    <row r="844">
      <c r="A844" s="9"/>
      <c r="D844" s="13"/>
      <c r="E844" s="9"/>
      <c r="J844" s="121"/>
      <c r="M844" s="9"/>
      <c r="N844" s="9"/>
      <c r="O844" s="9"/>
      <c r="Q844" s="9"/>
    </row>
    <row r="845">
      <c r="A845" s="9"/>
      <c r="D845" s="13"/>
      <c r="E845" s="9"/>
      <c r="J845" s="121"/>
      <c r="M845" s="9"/>
      <c r="N845" s="9"/>
      <c r="O845" s="9"/>
      <c r="Q845" s="9"/>
    </row>
    <row r="846">
      <c r="A846" s="9"/>
      <c r="D846" s="13"/>
      <c r="E846" s="9"/>
      <c r="J846" s="121"/>
      <c r="M846" s="9"/>
      <c r="N846" s="9"/>
      <c r="O846" s="9"/>
      <c r="Q846" s="9"/>
    </row>
    <row r="847">
      <c r="A847" s="9"/>
      <c r="D847" s="13"/>
      <c r="E847" s="9"/>
      <c r="J847" s="121"/>
      <c r="M847" s="9"/>
      <c r="N847" s="9"/>
      <c r="O847" s="9"/>
      <c r="Q847" s="9"/>
    </row>
    <row r="848">
      <c r="A848" s="9"/>
      <c r="D848" s="13"/>
      <c r="E848" s="9"/>
      <c r="J848" s="121"/>
      <c r="M848" s="9"/>
      <c r="N848" s="9"/>
      <c r="O848" s="9"/>
      <c r="Q848" s="9"/>
    </row>
    <row r="849">
      <c r="A849" s="9"/>
      <c r="D849" s="13"/>
      <c r="E849" s="9"/>
      <c r="J849" s="121"/>
      <c r="M849" s="9"/>
      <c r="N849" s="9"/>
      <c r="O849" s="9"/>
      <c r="Q849" s="9"/>
    </row>
    <row r="850">
      <c r="A850" s="9"/>
      <c r="D850" s="13"/>
      <c r="E850" s="9"/>
      <c r="J850" s="121"/>
      <c r="M850" s="9"/>
      <c r="N850" s="9"/>
      <c r="O850" s="9"/>
      <c r="Q850" s="9"/>
    </row>
    <row r="851">
      <c r="A851" s="9"/>
      <c r="D851" s="13"/>
      <c r="E851" s="9"/>
      <c r="J851" s="121"/>
      <c r="M851" s="9"/>
      <c r="N851" s="9"/>
      <c r="O851" s="9"/>
      <c r="Q851" s="9"/>
    </row>
    <row r="852">
      <c r="A852" s="9"/>
      <c r="D852" s="13"/>
      <c r="E852" s="9"/>
      <c r="J852" s="121"/>
      <c r="M852" s="9"/>
      <c r="N852" s="9"/>
      <c r="O852" s="9"/>
      <c r="Q852" s="9"/>
    </row>
    <row r="853">
      <c r="A853" s="9"/>
      <c r="D853" s="13"/>
      <c r="E853" s="9"/>
      <c r="J853" s="121"/>
      <c r="M853" s="9"/>
      <c r="N853" s="9"/>
      <c r="O853" s="9"/>
      <c r="Q853" s="9"/>
    </row>
    <row r="854">
      <c r="A854" s="9"/>
      <c r="D854" s="13"/>
      <c r="E854" s="9"/>
      <c r="J854" s="121"/>
      <c r="M854" s="9"/>
      <c r="N854" s="9"/>
      <c r="O854" s="9"/>
      <c r="Q854" s="9"/>
    </row>
    <row r="855">
      <c r="A855" s="9"/>
      <c r="D855" s="13"/>
      <c r="E855" s="9"/>
      <c r="J855" s="121"/>
      <c r="M855" s="9"/>
      <c r="N855" s="9"/>
      <c r="O855" s="9"/>
      <c r="Q855" s="9"/>
    </row>
    <row r="856">
      <c r="A856" s="9"/>
      <c r="D856" s="13"/>
      <c r="E856" s="9"/>
      <c r="J856" s="121"/>
      <c r="M856" s="9"/>
      <c r="N856" s="9"/>
      <c r="O856" s="9"/>
      <c r="Q856" s="9"/>
    </row>
    <row r="857">
      <c r="A857" s="9"/>
      <c r="D857" s="13"/>
      <c r="E857" s="9"/>
      <c r="J857" s="121"/>
      <c r="M857" s="9"/>
      <c r="N857" s="9"/>
      <c r="O857" s="9"/>
      <c r="Q857" s="9"/>
    </row>
    <row r="858">
      <c r="A858" s="9"/>
      <c r="D858" s="13"/>
      <c r="E858" s="9"/>
      <c r="J858" s="121"/>
      <c r="M858" s="9"/>
      <c r="N858" s="9"/>
      <c r="O858" s="9"/>
      <c r="Q858" s="9"/>
    </row>
    <row r="859">
      <c r="A859" s="9"/>
      <c r="D859" s="13"/>
      <c r="E859" s="9"/>
      <c r="J859" s="121"/>
      <c r="M859" s="9"/>
      <c r="N859" s="9"/>
      <c r="O859" s="9"/>
      <c r="Q859" s="9"/>
    </row>
    <row r="860">
      <c r="A860" s="9"/>
      <c r="D860" s="13"/>
      <c r="E860" s="9"/>
      <c r="J860" s="121"/>
      <c r="M860" s="9"/>
      <c r="N860" s="9"/>
      <c r="O860" s="9"/>
      <c r="Q860" s="9"/>
    </row>
    <row r="861">
      <c r="A861" s="9"/>
      <c r="D861" s="13"/>
      <c r="E861" s="9"/>
      <c r="J861" s="121"/>
      <c r="M861" s="9"/>
      <c r="N861" s="9"/>
      <c r="O861" s="9"/>
      <c r="Q861" s="9"/>
    </row>
    <row r="862">
      <c r="A862" s="9"/>
      <c r="D862" s="13"/>
      <c r="E862" s="9"/>
      <c r="J862" s="121"/>
      <c r="M862" s="9"/>
      <c r="N862" s="9"/>
      <c r="O862" s="9"/>
      <c r="Q862" s="9"/>
    </row>
    <row r="863">
      <c r="A863" s="9"/>
      <c r="D863" s="13"/>
      <c r="E863" s="9"/>
      <c r="J863" s="121"/>
      <c r="M863" s="9"/>
      <c r="N863" s="9"/>
      <c r="O863" s="9"/>
      <c r="Q863" s="9"/>
    </row>
    <row r="864">
      <c r="A864" s="9"/>
      <c r="D864" s="13"/>
      <c r="E864" s="9"/>
      <c r="J864" s="121"/>
      <c r="M864" s="9"/>
      <c r="N864" s="9"/>
      <c r="O864" s="9"/>
      <c r="Q864" s="9"/>
    </row>
    <row r="865">
      <c r="A865" s="9"/>
      <c r="D865" s="13"/>
      <c r="E865" s="9"/>
      <c r="J865" s="121"/>
      <c r="M865" s="9"/>
      <c r="N865" s="9"/>
      <c r="O865" s="9"/>
      <c r="Q865" s="9"/>
    </row>
    <row r="866">
      <c r="A866" s="9"/>
      <c r="D866" s="13"/>
      <c r="E866" s="9"/>
      <c r="J866" s="121"/>
      <c r="M866" s="9"/>
      <c r="N866" s="9"/>
      <c r="O866" s="9"/>
      <c r="Q866" s="9"/>
    </row>
    <row r="867">
      <c r="A867" s="9"/>
      <c r="D867" s="13"/>
      <c r="E867" s="9"/>
      <c r="J867" s="121"/>
      <c r="M867" s="9"/>
      <c r="N867" s="9"/>
      <c r="O867" s="9"/>
      <c r="Q867" s="9"/>
    </row>
    <row r="868">
      <c r="A868" s="9"/>
      <c r="D868" s="13"/>
      <c r="E868" s="9"/>
      <c r="J868" s="121"/>
      <c r="M868" s="9"/>
      <c r="N868" s="9"/>
      <c r="O868" s="9"/>
      <c r="Q868" s="9"/>
    </row>
    <row r="869">
      <c r="A869" s="9"/>
      <c r="D869" s="13"/>
      <c r="E869" s="9"/>
      <c r="J869" s="121"/>
      <c r="M869" s="9"/>
      <c r="N869" s="9"/>
      <c r="O869" s="9"/>
      <c r="Q869" s="9"/>
    </row>
    <row r="870">
      <c r="A870" s="9"/>
      <c r="D870" s="13"/>
      <c r="E870" s="9"/>
      <c r="J870" s="121"/>
      <c r="M870" s="9"/>
      <c r="N870" s="9"/>
      <c r="O870" s="9"/>
      <c r="Q870" s="9"/>
    </row>
    <row r="871">
      <c r="A871" s="9"/>
      <c r="D871" s="13"/>
      <c r="E871" s="9"/>
      <c r="J871" s="121"/>
      <c r="M871" s="9"/>
      <c r="N871" s="9"/>
      <c r="O871" s="9"/>
      <c r="Q871" s="9"/>
    </row>
    <row r="872">
      <c r="A872" s="9"/>
      <c r="D872" s="13"/>
      <c r="E872" s="9"/>
      <c r="J872" s="121"/>
      <c r="M872" s="9"/>
      <c r="N872" s="9"/>
      <c r="O872" s="9"/>
      <c r="Q872" s="9"/>
    </row>
    <row r="873">
      <c r="A873" s="9"/>
      <c r="D873" s="13"/>
      <c r="E873" s="9"/>
      <c r="J873" s="121"/>
      <c r="M873" s="9"/>
      <c r="N873" s="9"/>
      <c r="O873" s="9"/>
      <c r="Q873" s="9"/>
    </row>
    <row r="874">
      <c r="A874" s="9"/>
      <c r="D874" s="13"/>
      <c r="E874" s="9"/>
      <c r="J874" s="121"/>
      <c r="M874" s="9"/>
      <c r="N874" s="9"/>
      <c r="O874" s="9"/>
      <c r="Q874" s="9"/>
    </row>
    <row r="875">
      <c r="A875" s="9"/>
      <c r="D875" s="13"/>
      <c r="E875" s="9"/>
      <c r="J875" s="121"/>
      <c r="M875" s="9"/>
      <c r="N875" s="9"/>
      <c r="O875" s="9"/>
      <c r="Q875" s="9"/>
    </row>
    <row r="876">
      <c r="A876" s="9"/>
      <c r="D876" s="13"/>
      <c r="E876" s="9"/>
      <c r="J876" s="121"/>
      <c r="M876" s="9"/>
      <c r="N876" s="9"/>
      <c r="O876" s="9"/>
      <c r="Q876" s="9"/>
    </row>
    <row r="877">
      <c r="A877" s="9"/>
      <c r="D877" s="13"/>
      <c r="E877" s="9"/>
      <c r="J877" s="121"/>
      <c r="M877" s="9"/>
      <c r="N877" s="9"/>
      <c r="O877" s="9"/>
      <c r="Q877" s="9"/>
    </row>
    <row r="878">
      <c r="A878" s="9"/>
      <c r="D878" s="13"/>
      <c r="E878" s="9"/>
      <c r="J878" s="121"/>
      <c r="M878" s="9"/>
      <c r="N878" s="9"/>
      <c r="O878" s="9"/>
      <c r="Q878" s="9"/>
    </row>
    <row r="879">
      <c r="A879" s="9"/>
      <c r="D879" s="13"/>
      <c r="E879" s="9"/>
      <c r="J879" s="121"/>
      <c r="M879" s="9"/>
      <c r="N879" s="9"/>
      <c r="O879" s="9"/>
      <c r="Q879" s="9"/>
    </row>
    <row r="880">
      <c r="A880" s="9"/>
      <c r="D880" s="13"/>
      <c r="E880" s="9"/>
      <c r="J880" s="121"/>
      <c r="M880" s="9"/>
      <c r="N880" s="9"/>
      <c r="O880" s="9"/>
      <c r="Q880" s="9"/>
    </row>
    <row r="881">
      <c r="A881" s="9"/>
      <c r="D881" s="13"/>
      <c r="E881" s="9"/>
      <c r="J881" s="121"/>
      <c r="M881" s="9"/>
      <c r="N881" s="9"/>
      <c r="O881" s="9"/>
      <c r="Q881" s="9"/>
    </row>
    <row r="882">
      <c r="A882" s="9"/>
      <c r="D882" s="13"/>
      <c r="E882" s="9"/>
      <c r="J882" s="121"/>
      <c r="M882" s="9"/>
      <c r="N882" s="9"/>
      <c r="O882" s="9"/>
      <c r="Q882" s="9"/>
    </row>
    <row r="883">
      <c r="A883" s="9"/>
      <c r="D883" s="13"/>
      <c r="E883" s="9"/>
      <c r="J883" s="121"/>
      <c r="M883" s="9"/>
      <c r="N883" s="9"/>
      <c r="O883" s="9"/>
      <c r="Q883" s="9"/>
    </row>
    <row r="884">
      <c r="A884" s="9"/>
      <c r="D884" s="13"/>
      <c r="E884" s="9"/>
      <c r="J884" s="121"/>
      <c r="M884" s="9"/>
      <c r="N884" s="9"/>
      <c r="O884" s="9"/>
      <c r="Q884" s="9"/>
    </row>
    <row r="885">
      <c r="A885" s="9"/>
      <c r="D885" s="13"/>
      <c r="E885" s="9"/>
      <c r="J885" s="121"/>
      <c r="M885" s="9"/>
      <c r="N885" s="9"/>
      <c r="O885" s="9"/>
      <c r="Q885" s="9"/>
    </row>
    <row r="886">
      <c r="A886" s="9"/>
      <c r="D886" s="13"/>
      <c r="E886" s="9"/>
      <c r="J886" s="121"/>
      <c r="M886" s="9"/>
      <c r="N886" s="9"/>
      <c r="O886" s="9"/>
      <c r="Q886" s="9"/>
    </row>
    <row r="887">
      <c r="A887" s="9"/>
      <c r="D887" s="13"/>
      <c r="E887" s="9"/>
      <c r="J887" s="121"/>
      <c r="M887" s="9"/>
      <c r="N887" s="9"/>
      <c r="O887" s="9"/>
      <c r="Q887" s="9"/>
    </row>
    <row r="888">
      <c r="A888" s="9"/>
      <c r="D888" s="13"/>
      <c r="E888" s="9"/>
      <c r="J888" s="121"/>
      <c r="M888" s="9"/>
      <c r="N888" s="9"/>
      <c r="O888" s="9"/>
      <c r="Q888" s="9"/>
    </row>
    <row r="889">
      <c r="A889" s="9"/>
      <c r="D889" s="13"/>
      <c r="E889" s="9"/>
      <c r="J889" s="121"/>
      <c r="M889" s="9"/>
      <c r="N889" s="9"/>
      <c r="O889" s="9"/>
      <c r="Q889" s="9"/>
    </row>
    <row r="890">
      <c r="A890" s="9"/>
      <c r="D890" s="13"/>
      <c r="E890" s="9"/>
      <c r="J890" s="121"/>
      <c r="M890" s="9"/>
      <c r="N890" s="9"/>
      <c r="O890" s="9"/>
      <c r="Q890" s="9"/>
    </row>
    <row r="891">
      <c r="A891" s="9"/>
      <c r="D891" s="13"/>
      <c r="E891" s="9"/>
      <c r="J891" s="121"/>
      <c r="M891" s="9"/>
      <c r="N891" s="9"/>
      <c r="O891" s="9"/>
      <c r="Q891" s="9"/>
    </row>
    <row r="892">
      <c r="A892" s="9"/>
      <c r="D892" s="13"/>
      <c r="E892" s="9"/>
      <c r="J892" s="121"/>
      <c r="M892" s="9"/>
      <c r="N892" s="9"/>
      <c r="O892" s="9"/>
      <c r="Q892" s="9"/>
    </row>
    <row r="893">
      <c r="A893" s="9"/>
      <c r="D893" s="13"/>
      <c r="E893" s="9"/>
      <c r="J893" s="121"/>
      <c r="M893" s="9"/>
      <c r="N893" s="9"/>
      <c r="O893" s="9"/>
      <c r="Q893" s="9"/>
    </row>
    <row r="894">
      <c r="A894" s="9"/>
      <c r="D894" s="13"/>
      <c r="E894" s="9"/>
      <c r="J894" s="121"/>
      <c r="M894" s="9"/>
      <c r="N894" s="9"/>
      <c r="O894" s="9"/>
      <c r="Q894" s="9"/>
    </row>
    <row r="895">
      <c r="A895" s="9"/>
      <c r="D895" s="13"/>
      <c r="E895" s="9"/>
      <c r="J895" s="121"/>
      <c r="M895" s="9"/>
      <c r="N895" s="9"/>
      <c r="O895" s="9"/>
      <c r="Q895" s="9"/>
    </row>
    <row r="896">
      <c r="A896" s="9"/>
      <c r="D896" s="13"/>
      <c r="E896" s="9"/>
      <c r="J896" s="121"/>
      <c r="M896" s="9"/>
      <c r="N896" s="9"/>
      <c r="O896" s="9"/>
      <c r="Q896" s="9"/>
    </row>
    <row r="897">
      <c r="A897" s="9"/>
      <c r="D897" s="13"/>
      <c r="E897" s="9"/>
      <c r="J897" s="121"/>
      <c r="M897" s="9"/>
      <c r="N897" s="9"/>
      <c r="O897" s="9"/>
      <c r="Q897" s="9"/>
    </row>
    <row r="898">
      <c r="A898" s="9"/>
      <c r="D898" s="13"/>
      <c r="E898" s="9"/>
      <c r="J898" s="121"/>
      <c r="M898" s="9"/>
      <c r="N898" s="9"/>
      <c r="O898" s="9"/>
      <c r="Q898" s="9"/>
    </row>
    <row r="899">
      <c r="A899" s="9"/>
      <c r="D899" s="13"/>
      <c r="E899" s="9"/>
      <c r="J899" s="121"/>
      <c r="M899" s="9"/>
      <c r="N899" s="9"/>
      <c r="O899" s="9"/>
      <c r="Q899" s="9"/>
    </row>
    <row r="900">
      <c r="A900" s="9"/>
      <c r="D900" s="13"/>
      <c r="E900" s="9"/>
      <c r="J900" s="121"/>
      <c r="M900" s="9"/>
      <c r="N900" s="9"/>
      <c r="O900" s="9"/>
      <c r="Q900" s="9"/>
    </row>
    <row r="901">
      <c r="A901" s="9"/>
      <c r="D901" s="13"/>
      <c r="E901" s="9"/>
      <c r="J901" s="121"/>
      <c r="M901" s="9"/>
      <c r="N901" s="9"/>
      <c r="O901" s="9"/>
      <c r="Q901" s="9"/>
    </row>
    <row r="902">
      <c r="A902" s="9"/>
      <c r="D902" s="13"/>
      <c r="E902" s="9"/>
      <c r="J902" s="121"/>
      <c r="M902" s="9"/>
      <c r="N902" s="9"/>
      <c r="O902" s="9"/>
      <c r="Q902" s="9"/>
    </row>
    <row r="903">
      <c r="A903" s="9"/>
      <c r="D903" s="13"/>
      <c r="E903" s="9"/>
      <c r="J903" s="121"/>
      <c r="M903" s="9"/>
      <c r="N903" s="9"/>
      <c r="O903" s="9"/>
      <c r="Q903" s="9"/>
    </row>
    <row r="904">
      <c r="A904" s="9"/>
      <c r="D904" s="13"/>
      <c r="E904" s="9"/>
      <c r="J904" s="121"/>
      <c r="M904" s="9"/>
      <c r="N904" s="9"/>
      <c r="O904" s="9"/>
      <c r="Q904" s="9"/>
    </row>
    <row r="905">
      <c r="A905" s="9"/>
      <c r="D905" s="13"/>
      <c r="E905" s="9"/>
      <c r="J905" s="121"/>
      <c r="M905" s="9"/>
      <c r="N905" s="9"/>
      <c r="O905" s="9"/>
      <c r="Q905" s="9"/>
    </row>
    <row r="906">
      <c r="A906" s="9"/>
      <c r="D906" s="13"/>
      <c r="E906" s="9"/>
      <c r="J906" s="121"/>
      <c r="M906" s="9"/>
      <c r="N906" s="9"/>
      <c r="O906" s="9"/>
      <c r="Q906" s="9"/>
    </row>
    <row r="907">
      <c r="A907" s="9"/>
      <c r="D907" s="13"/>
      <c r="E907" s="9"/>
      <c r="J907" s="121"/>
      <c r="M907" s="9"/>
      <c r="N907" s="9"/>
      <c r="O907" s="9"/>
      <c r="Q907" s="9"/>
    </row>
    <row r="908">
      <c r="A908" s="9"/>
      <c r="D908" s="13"/>
      <c r="E908" s="9"/>
      <c r="J908" s="121"/>
      <c r="M908" s="9"/>
      <c r="N908" s="9"/>
      <c r="O908" s="9"/>
      <c r="Q908" s="9"/>
    </row>
    <row r="909">
      <c r="A909" s="9"/>
      <c r="D909" s="13"/>
      <c r="E909" s="9"/>
      <c r="J909" s="121"/>
      <c r="M909" s="9"/>
      <c r="N909" s="9"/>
      <c r="O909" s="9"/>
      <c r="Q909" s="9"/>
    </row>
    <row r="910">
      <c r="A910" s="9"/>
      <c r="D910" s="13"/>
      <c r="E910" s="9"/>
      <c r="J910" s="121"/>
      <c r="M910" s="9"/>
      <c r="N910" s="9"/>
      <c r="O910" s="9"/>
      <c r="Q910" s="9"/>
    </row>
    <row r="911">
      <c r="A911" s="9"/>
      <c r="D911" s="13"/>
      <c r="E911" s="9"/>
      <c r="J911" s="121"/>
      <c r="M911" s="9"/>
      <c r="N911" s="9"/>
      <c r="O911" s="9"/>
      <c r="Q911" s="9"/>
    </row>
    <row r="912">
      <c r="A912" s="9"/>
      <c r="D912" s="13"/>
      <c r="E912" s="9"/>
      <c r="J912" s="121"/>
      <c r="M912" s="9"/>
      <c r="N912" s="9"/>
      <c r="O912" s="9"/>
      <c r="Q912" s="9"/>
    </row>
    <row r="913">
      <c r="A913" s="9"/>
      <c r="D913" s="13"/>
      <c r="E913" s="9"/>
      <c r="J913" s="121"/>
      <c r="M913" s="9"/>
      <c r="N913" s="9"/>
      <c r="O913" s="9"/>
      <c r="Q913" s="9"/>
    </row>
    <row r="914">
      <c r="A914" s="9"/>
      <c r="D914" s="13"/>
      <c r="E914" s="9"/>
      <c r="J914" s="121"/>
      <c r="M914" s="9"/>
      <c r="N914" s="9"/>
      <c r="O914" s="9"/>
      <c r="Q914" s="9"/>
    </row>
    <row r="915">
      <c r="A915" s="9"/>
      <c r="D915" s="13"/>
      <c r="E915" s="9"/>
      <c r="J915" s="121"/>
      <c r="M915" s="9"/>
      <c r="N915" s="9"/>
      <c r="O915" s="9"/>
      <c r="Q915" s="9"/>
    </row>
    <row r="916">
      <c r="A916" s="9"/>
      <c r="D916" s="13"/>
      <c r="E916" s="9"/>
      <c r="J916" s="121"/>
      <c r="M916" s="9"/>
      <c r="N916" s="9"/>
      <c r="O916" s="9"/>
      <c r="Q916" s="9"/>
    </row>
    <row r="917">
      <c r="A917" s="9"/>
      <c r="D917" s="13"/>
      <c r="E917" s="9"/>
      <c r="J917" s="121"/>
      <c r="M917" s="9"/>
      <c r="N917" s="9"/>
      <c r="O917" s="9"/>
      <c r="Q917" s="9"/>
    </row>
    <row r="918">
      <c r="A918" s="9"/>
      <c r="D918" s="13"/>
      <c r="E918" s="9"/>
      <c r="J918" s="121"/>
      <c r="M918" s="9"/>
      <c r="N918" s="9"/>
      <c r="O918" s="9"/>
      <c r="Q918" s="9"/>
    </row>
    <row r="919">
      <c r="A919" s="9"/>
      <c r="D919" s="13"/>
      <c r="E919" s="9"/>
      <c r="J919" s="121"/>
      <c r="M919" s="9"/>
      <c r="N919" s="9"/>
      <c r="O919" s="9"/>
      <c r="Q919" s="9"/>
    </row>
    <row r="920">
      <c r="A920" s="9"/>
      <c r="D920" s="13"/>
      <c r="E920" s="9"/>
      <c r="J920" s="121"/>
      <c r="M920" s="9"/>
      <c r="N920" s="9"/>
      <c r="O920" s="9"/>
      <c r="Q920" s="9"/>
    </row>
    <row r="921">
      <c r="A921" s="9"/>
      <c r="D921" s="13"/>
      <c r="E921" s="9"/>
      <c r="J921" s="121"/>
      <c r="M921" s="9"/>
      <c r="N921" s="9"/>
      <c r="O921" s="9"/>
      <c r="Q921" s="9"/>
    </row>
    <row r="922">
      <c r="A922" s="9"/>
      <c r="D922" s="13"/>
      <c r="E922" s="9"/>
      <c r="J922" s="121"/>
      <c r="M922" s="9"/>
      <c r="N922" s="9"/>
      <c r="O922" s="9"/>
      <c r="Q922" s="9"/>
    </row>
    <row r="923">
      <c r="A923" s="9"/>
      <c r="D923" s="13"/>
      <c r="E923" s="9"/>
      <c r="J923" s="121"/>
      <c r="M923" s="9"/>
      <c r="N923" s="9"/>
      <c r="O923" s="9"/>
      <c r="Q923" s="9"/>
    </row>
    <row r="924">
      <c r="A924" s="9"/>
      <c r="D924" s="13"/>
      <c r="E924" s="9"/>
      <c r="J924" s="121"/>
      <c r="M924" s="9"/>
      <c r="N924" s="9"/>
      <c r="O924" s="9"/>
      <c r="Q924" s="9"/>
    </row>
    <row r="925">
      <c r="A925" s="9"/>
      <c r="D925" s="13"/>
      <c r="E925" s="9"/>
      <c r="J925" s="121"/>
      <c r="M925" s="9"/>
      <c r="N925" s="9"/>
      <c r="O925" s="9"/>
      <c r="Q925" s="9"/>
    </row>
    <row r="926">
      <c r="A926" s="9"/>
      <c r="D926" s="13"/>
      <c r="E926" s="9"/>
      <c r="J926" s="121"/>
      <c r="M926" s="9"/>
      <c r="N926" s="9"/>
      <c r="O926" s="9"/>
      <c r="Q926" s="9"/>
    </row>
    <row r="927">
      <c r="A927" s="9"/>
      <c r="D927" s="13"/>
      <c r="E927" s="9"/>
      <c r="J927" s="121"/>
      <c r="M927" s="9"/>
      <c r="N927" s="9"/>
      <c r="O927" s="9"/>
      <c r="Q927" s="9"/>
    </row>
    <row r="928">
      <c r="A928" s="9"/>
      <c r="D928" s="13"/>
      <c r="E928" s="9"/>
      <c r="J928" s="121"/>
      <c r="M928" s="9"/>
      <c r="N928" s="9"/>
      <c r="O928" s="9"/>
      <c r="Q928" s="9"/>
    </row>
    <row r="929">
      <c r="A929" s="9"/>
      <c r="D929" s="13"/>
      <c r="E929" s="9"/>
      <c r="J929" s="121"/>
      <c r="M929" s="9"/>
      <c r="N929" s="9"/>
      <c r="O929" s="9"/>
      <c r="Q929" s="9"/>
    </row>
    <row r="930">
      <c r="A930" s="9"/>
      <c r="D930" s="13"/>
      <c r="E930" s="9"/>
      <c r="J930" s="121"/>
      <c r="M930" s="9"/>
      <c r="N930" s="9"/>
      <c r="O930" s="9"/>
      <c r="Q930" s="9"/>
    </row>
    <row r="931">
      <c r="A931" s="9"/>
      <c r="D931" s="13"/>
      <c r="E931" s="9"/>
      <c r="J931" s="121"/>
      <c r="M931" s="9"/>
      <c r="N931" s="9"/>
      <c r="O931" s="9"/>
      <c r="Q931" s="9"/>
    </row>
    <row r="932">
      <c r="A932" s="9"/>
      <c r="D932" s="13"/>
      <c r="E932" s="9"/>
      <c r="J932" s="121"/>
      <c r="M932" s="9"/>
      <c r="N932" s="9"/>
      <c r="O932" s="9"/>
      <c r="Q932" s="9"/>
    </row>
    <row r="933">
      <c r="A933" s="9"/>
      <c r="D933" s="13"/>
      <c r="E933" s="9"/>
      <c r="J933" s="121"/>
      <c r="M933" s="9"/>
      <c r="N933" s="9"/>
      <c r="O933" s="9"/>
      <c r="Q933" s="9"/>
    </row>
    <row r="934">
      <c r="A934" s="9"/>
      <c r="D934" s="13"/>
      <c r="E934" s="9"/>
      <c r="J934" s="121"/>
      <c r="M934" s="9"/>
      <c r="N934" s="9"/>
      <c r="O934" s="9"/>
      <c r="Q934" s="9"/>
    </row>
    <row r="935">
      <c r="A935" s="9"/>
      <c r="D935" s="13"/>
      <c r="E935" s="9"/>
      <c r="J935" s="121"/>
      <c r="M935" s="9"/>
      <c r="N935" s="9"/>
      <c r="O935" s="9"/>
      <c r="Q935" s="9"/>
    </row>
    <row r="936">
      <c r="A936" s="9"/>
      <c r="D936" s="13"/>
      <c r="E936" s="9"/>
      <c r="J936" s="121"/>
      <c r="M936" s="9"/>
      <c r="N936" s="9"/>
      <c r="O936" s="9"/>
      <c r="Q936" s="9"/>
    </row>
    <row r="937">
      <c r="A937" s="9"/>
      <c r="D937" s="13"/>
      <c r="E937" s="9"/>
      <c r="J937" s="121"/>
      <c r="M937" s="9"/>
      <c r="N937" s="9"/>
      <c r="O937" s="9"/>
      <c r="Q937" s="9"/>
    </row>
    <row r="938">
      <c r="A938" s="9"/>
      <c r="D938" s="13"/>
      <c r="E938" s="9"/>
      <c r="J938" s="121"/>
      <c r="M938" s="9"/>
      <c r="N938" s="9"/>
      <c r="O938" s="9"/>
      <c r="Q938" s="9"/>
    </row>
    <row r="939">
      <c r="A939" s="9"/>
      <c r="D939" s="13"/>
      <c r="E939" s="9"/>
      <c r="J939" s="121"/>
      <c r="M939" s="9"/>
      <c r="N939" s="9"/>
      <c r="O939" s="9"/>
      <c r="Q939" s="9"/>
    </row>
    <row r="940">
      <c r="A940" s="9"/>
      <c r="D940" s="13"/>
      <c r="E940" s="9"/>
      <c r="J940" s="121"/>
      <c r="M940" s="9"/>
      <c r="N940" s="9"/>
      <c r="O940" s="9"/>
      <c r="Q940" s="9"/>
    </row>
    <row r="941">
      <c r="A941" s="9"/>
      <c r="D941" s="13"/>
      <c r="E941" s="9"/>
      <c r="J941" s="121"/>
      <c r="M941" s="9"/>
      <c r="N941" s="9"/>
      <c r="O941" s="9"/>
      <c r="Q941" s="9"/>
    </row>
    <row r="942">
      <c r="A942" s="9"/>
      <c r="D942" s="13"/>
      <c r="E942" s="9"/>
      <c r="J942" s="121"/>
      <c r="M942" s="9"/>
      <c r="N942" s="9"/>
      <c r="O942" s="9"/>
      <c r="Q942" s="9"/>
    </row>
    <row r="943">
      <c r="A943" s="9"/>
      <c r="D943" s="13"/>
      <c r="E943" s="9"/>
      <c r="J943" s="121"/>
      <c r="M943" s="9"/>
      <c r="N943" s="9"/>
      <c r="O943" s="9"/>
      <c r="Q943" s="9"/>
    </row>
    <row r="944">
      <c r="A944" s="9"/>
      <c r="D944" s="13"/>
      <c r="E944" s="9"/>
      <c r="J944" s="121"/>
      <c r="M944" s="9"/>
      <c r="N944" s="9"/>
      <c r="O944" s="9"/>
      <c r="Q944" s="9"/>
    </row>
    <row r="945">
      <c r="A945" s="9"/>
      <c r="D945" s="13"/>
      <c r="E945" s="9"/>
      <c r="J945" s="121"/>
      <c r="M945" s="9"/>
      <c r="N945" s="9"/>
      <c r="O945" s="9"/>
      <c r="Q945" s="9"/>
    </row>
    <row r="946">
      <c r="A946" s="9"/>
      <c r="D946" s="13"/>
      <c r="E946" s="9"/>
      <c r="J946" s="121"/>
      <c r="M946" s="9"/>
      <c r="N946" s="9"/>
      <c r="O946" s="9"/>
      <c r="Q946" s="9"/>
    </row>
    <row r="947">
      <c r="A947" s="9"/>
      <c r="D947" s="13"/>
      <c r="E947" s="9"/>
      <c r="J947" s="121"/>
      <c r="M947" s="9"/>
      <c r="N947" s="9"/>
      <c r="O947" s="9"/>
      <c r="Q947" s="9"/>
    </row>
    <row r="948">
      <c r="A948" s="9"/>
      <c r="D948" s="13"/>
      <c r="E948" s="9"/>
      <c r="J948" s="121"/>
      <c r="M948" s="9"/>
      <c r="N948" s="9"/>
      <c r="O948" s="9"/>
      <c r="Q948" s="9"/>
    </row>
    <row r="949">
      <c r="A949" s="9"/>
      <c r="D949" s="13"/>
      <c r="E949" s="9"/>
      <c r="J949" s="121"/>
      <c r="M949" s="9"/>
      <c r="N949" s="9"/>
      <c r="O949" s="9"/>
      <c r="Q949" s="9"/>
    </row>
    <row r="950">
      <c r="A950" s="9"/>
      <c r="D950" s="13"/>
      <c r="E950" s="9"/>
      <c r="J950" s="121"/>
      <c r="M950" s="9"/>
      <c r="N950" s="9"/>
      <c r="O950" s="9"/>
      <c r="Q950" s="9"/>
    </row>
    <row r="951">
      <c r="A951" s="9"/>
      <c r="D951" s="13"/>
      <c r="E951" s="9"/>
      <c r="J951" s="121"/>
      <c r="M951" s="9"/>
      <c r="N951" s="9"/>
      <c r="O951" s="9"/>
      <c r="Q951" s="9"/>
    </row>
    <row r="952">
      <c r="A952" s="9"/>
      <c r="D952" s="13"/>
      <c r="E952" s="9"/>
      <c r="J952" s="121"/>
      <c r="M952" s="9"/>
      <c r="N952" s="9"/>
      <c r="O952" s="9"/>
      <c r="Q952" s="9"/>
    </row>
    <row r="953">
      <c r="A953" s="9"/>
      <c r="D953" s="13"/>
      <c r="E953" s="9"/>
      <c r="J953" s="121"/>
      <c r="M953" s="9"/>
      <c r="N953" s="9"/>
      <c r="O953" s="9"/>
      <c r="Q953" s="9"/>
    </row>
    <row r="954">
      <c r="A954" s="9"/>
      <c r="D954" s="13"/>
      <c r="E954" s="9"/>
      <c r="J954" s="121"/>
      <c r="M954" s="9"/>
      <c r="N954" s="9"/>
      <c r="O954" s="9"/>
      <c r="Q954" s="9"/>
    </row>
    <row r="955">
      <c r="A955" s="9"/>
      <c r="D955" s="13"/>
      <c r="E955" s="9"/>
      <c r="J955" s="121"/>
      <c r="M955" s="9"/>
      <c r="N955" s="9"/>
      <c r="O955" s="9"/>
      <c r="Q955" s="9"/>
    </row>
    <row r="956">
      <c r="A956" s="9"/>
      <c r="D956" s="13"/>
      <c r="E956" s="9"/>
      <c r="J956" s="121"/>
      <c r="M956" s="9"/>
      <c r="N956" s="9"/>
      <c r="O956" s="9"/>
      <c r="Q956" s="9"/>
    </row>
    <row r="957">
      <c r="A957" s="9"/>
      <c r="D957" s="13"/>
      <c r="E957" s="9"/>
      <c r="J957" s="121"/>
      <c r="M957" s="9"/>
      <c r="N957" s="9"/>
      <c r="O957" s="9"/>
      <c r="Q957" s="9"/>
    </row>
    <row r="958">
      <c r="A958" s="9"/>
      <c r="D958" s="13"/>
      <c r="E958" s="9"/>
      <c r="J958" s="121"/>
      <c r="M958" s="9"/>
      <c r="N958" s="9"/>
      <c r="O958" s="9"/>
      <c r="Q958" s="9"/>
    </row>
    <row r="959">
      <c r="A959" s="9"/>
      <c r="D959" s="13"/>
      <c r="E959" s="9"/>
      <c r="J959" s="121"/>
      <c r="M959" s="9"/>
      <c r="N959" s="9"/>
      <c r="O959" s="9"/>
      <c r="Q959" s="9"/>
    </row>
    <row r="960">
      <c r="A960" s="9"/>
      <c r="D960" s="13"/>
      <c r="E960" s="9"/>
      <c r="J960" s="121"/>
      <c r="M960" s="9"/>
      <c r="N960" s="9"/>
      <c r="O960" s="9"/>
      <c r="Q960" s="9"/>
    </row>
    <row r="961">
      <c r="A961" s="9"/>
      <c r="D961" s="13"/>
      <c r="E961" s="9"/>
      <c r="J961" s="121"/>
      <c r="M961" s="9"/>
      <c r="N961" s="9"/>
      <c r="O961" s="9"/>
      <c r="Q961" s="9"/>
    </row>
    <row r="962">
      <c r="A962" s="9"/>
      <c r="D962" s="13"/>
      <c r="E962" s="9"/>
      <c r="J962" s="121"/>
      <c r="M962" s="9"/>
      <c r="N962" s="9"/>
      <c r="O962" s="9"/>
      <c r="Q962" s="9"/>
    </row>
    <row r="963">
      <c r="A963" s="9"/>
      <c r="D963" s="13"/>
      <c r="E963" s="9"/>
      <c r="J963" s="121"/>
      <c r="M963" s="9"/>
      <c r="N963" s="9"/>
      <c r="O963" s="9"/>
      <c r="Q963" s="9"/>
    </row>
    <row r="964">
      <c r="A964" s="9"/>
      <c r="D964" s="13"/>
      <c r="E964" s="9"/>
      <c r="J964" s="121"/>
      <c r="M964" s="9"/>
      <c r="N964" s="9"/>
      <c r="O964" s="9"/>
      <c r="Q964" s="9"/>
    </row>
    <row r="965">
      <c r="A965" s="9"/>
      <c r="D965" s="13"/>
      <c r="E965" s="9"/>
      <c r="J965" s="121"/>
      <c r="M965" s="9"/>
      <c r="N965" s="9"/>
      <c r="O965" s="9"/>
      <c r="Q965" s="9"/>
    </row>
    <row r="966">
      <c r="A966" s="9"/>
      <c r="D966" s="13"/>
      <c r="E966" s="9"/>
      <c r="J966" s="121"/>
      <c r="M966" s="9"/>
      <c r="N966" s="9"/>
      <c r="O966" s="9"/>
      <c r="Q966" s="9"/>
    </row>
    <row r="967">
      <c r="A967" s="9"/>
      <c r="D967" s="13"/>
      <c r="E967" s="9"/>
      <c r="J967" s="121"/>
      <c r="M967" s="9"/>
      <c r="N967" s="9"/>
      <c r="O967" s="9"/>
      <c r="Q967" s="9"/>
    </row>
    <row r="968">
      <c r="A968" s="9"/>
      <c r="D968" s="13"/>
      <c r="E968" s="9"/>
      <c r="J968" s="121"/>
      <c r="M968" s="9"/>
      <c r="N968" s="9"/>
      <c r="O968" s="9"/>
      <c r="Q968" s="9"/>
    </row>
    <row r="969">
      <c r="A969" s="9"/>
      <c r="D969" s="13"/>
      <c r="E969" s="9"/>
      <c r="J969" s="121"/>
      <c r="M969" s="9"/>
      <c r="N969" s="9"/>
      <c r="O969" s="9"/>
      <c r="Q969" s="9"/>
    </row>
    <row r="970">
      <c r="A970" s="9"/>
      <c r="D970" s="13"/>
      <c r="E970" s="9"/>
      <c r="J970" s="121"/>
      <c r="M970" s="9"/>
      <c r="N970" s="9"/>
      <c r="O970" s="9"/>
      <c r="Q970" s="9"/>
    </row>
    <row r="971">
      <c r="A971" s="9"/>
      <c r="D971" s="13"/>
      <c r="E971" s="9"/>
      <c r="J971" s="121"/>
      <c r="M971" s="9"/>
      <c r="N971" s="9"/>
      <c r="O971" s="9"/>
      <c r="Q971" s="9"/>
    </row>
    <row r="972">
      <c r="A972" s="9"/>
      <c r="D972" s="13"/>
      <c r="E972" s="9"/>
      <c r="J972" s="121"/>
      <c r="M972" s="9"/>
      <c r="N972" s="9"/>
      <c r="O972" s="9"/>
      <c r="Q972" s="9"/>
    </row>
    <row r="973">
      <c r="A973" s="9"/>
      <c r="D973" s="13"/>
      <c r="E973" s="9"/>
      <c r="J973" s="121"/>
      <c r="M973" s="9"/>
      <c r="N973" s="9"/>
      <c r="O973" s="9"/>
      <c r="Q973" s="9"/>
    </row>
    <row r="974">
      <c r="A974" s="9"/>
      <c r="D974" s="13"/>
      <c r="E974" s="9"/>
      <c r="J974" s="121"/>
      <c r="M974" s="9"/>
      <c r="N974" s="9"/>
      <c r="O974" s="9"/>
      <c r="Q974" s="9"/>
    </row>
    <row r="975">
      <c r="A975" s="9"/>
      <c r="D975" s="13"/>
      <c r="E975" s="9"/>
      <c r="J975" s="121"/>
      <c r="M975" s="9"/>
      <c r="N975" s="9"/>
      <c r="O975" s="9"/>
      <c r="Q975" s="9"/>
    </row>
    <row r="976">
      <c r="A976" s="9"/>
      <c r="D976" s="13"/>
      <c r="E976" s="9"/>
      <c r="J976" s="121"/>
      <c r="M976" s="9"/>
      <c r="N976" s="9"/>
      <c r="O976" s="9"/>
      <c r="Q976" s="9"/>
    </row>
    <row r="977">
      <c r="A977" s="9"/>
      <c r="D977" s="13"/>
      <c r="E977" s="9"/>
      <c r="J977" s="121"/>
      <c r="M977" s="9"/>
      <c r="N977" s="9"/>
      <c r="O977" s="9"/>
      <c r="Q977" s="9"/>
    </row>
    <row r="978">
      <c r="A978" s="9"/>
      <c r="D978" s="13"/>
      <c r="E978" s="9"/>
      <c r="J978" s="121"/>
      <c r="M978" s="9"/>
      <c r="N978" s="9"/>
      <c r="O978" s="9"/>
      <c r="Q978" s="9"/>
    </row>
    <row r="979">
      <c r="A979" s="9"/>
      <c r="D979" s="13"/>
      <c r="E979" s="9"/>
      <c r="J979" s="121"/>
      <c r="M979" s="9"/>
      <c r="N979" s="9"/>
      <c r="O979" s="9"/>
      <c r="Q979" s="9"/>
    </row>
    <row r="980">
      <c r="A980" s="9"/>
      <c r="D980" s="13"/>
      <c r="E980" s="9"/>
      <c r="J980" s="121"/>
      <c r="M980" s="9"/>
      <c r="N980" s="9"/>
      <c r="O980" s="9"/>
      <c r="Q980" s="9"/>
    </row>
    <row r="981">
      <c r="A981" s="9"/>
      <c r="D981" s="13"/>
      <c r="E981" s="9"/>
      <c r="J981" s="121"/>
      <c r="M981" s="9"/>
      <c r="N981" s="9"/>
      <c r="O981" s="9"/>
      <c r="Q981" s="9"/>
    </row>
    <row r="982">
      <c r="A982" s="9"/>
      <c r="D982" s="13"/>
      <c r="E982" s="9"/>
      <c r="J982" s="121"/>
      <c r="M982" s="9"/>
      <c r="N982" s="9"/>
      <c r="O982" s="9"/>
      <c r="Q982" s="9"/>
    </row>
    <row r="983">
      <c r="A983" s="9"/>
      <c r="D983" s="13"/>
      <c r="E983" s="9"/>
      <c r="J983" s="121"/>
      <c r="M983" s="9"/>
      <c r="N983" s="9"/>
      <c r="O983" s="9"/>
      <c r="Q983" s="9"/>
    </row>
    <row r="984">
      <c r="A984" s="9"/>
      <c r="D984" s="13"/>
      <c r="E984" s="9"/>
      <c r="J984" s="121"/>
      <c r="M984" s="9"/>
      <c r="N984" s="9"/>
      <c r="O984" s="9"/>
      <c r="Q984" s="9"/>
    </row>
    <row r="985">
      <c r="A985" s="9"/>
      <c r="D985" s="13"/>
      <c r="E985" s="9"/>
      <c r="J985" s="121"/>
      <c r="M985" s="9"/>
      <c r="N985" s="9"/>
      <c r="O985" s="9"/>
      <c r="Q985" s="9"/>
    </row>
    <row r="986">
      <c r="A986" s="9"/>
      <c r="D986" s="13"/>
      <c r="E986" s="9"/>
      <c r="J986" s="121"/>
      <c r="M986" s="9"/>
      <c r="N986" s="9"/>
      <c r="O986" s="9"/>
      <c r="Q986" s="9"/>
    </row>
    <row r="987">
      <c r="A987" s="9"/>
      <c r="D987" s="13"/>
      <c r="E987" s="9"/>
      <c r="J987" s="121"/>
      <c r="M987" s="9"/>
      <c r="N987" s="9"/>
      <c r="O987" s="9"/>
      <c r="Q987" s="9"/>
    </row>
    <row r="988">
      <c r="A988" s="9"/>
      <c r="D988" s="13"/>
      <c r="E988" s="9"/>
      <c r="J988" s="121"/>
      <c r="M988" s="9"/>
      <c r="N988" s="9"/>
      <c r="O988" s="9"/>
      <c r="Q988" s="9"/>
    </row>
    <row r="989">
      <c r="A989" s="9"/>
      <c r="D989" s="13"/>
      <c r="E989" s="9"/>
      <c r="J989" s="121"/>
      <c r="M989" s="9"/>
      <c r="N989" s="9"/>
      <c r="O989" s="9"/>
      <c r="Q989" s="9"/>
    </row>
    <row r="990">
      <c r="A990" s="9"/>
      <c r="D990" s="13"/>
      <c r="E990" s="9"/>
      <c r="J990" s="121"/>
      <c r="M990" s="9"/>
      <c r="N990" s="9"/>
      <c r="O990" s="9"/>
      <c r="Q990" s="9"/>
    </row>
  </sheetData>
  <mergeCells count="1">
    <mergeCell ref="A1:P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6.38"/>
    <col customWidth="1" min="3" max="3" width="24.63"/>
    <col customWidth="1" min="4" max="4" width="6.5"/>
    <col customWidth="1" min="5" max="5" width="5.0"/>
    <col customWidth="1" min="6" max="6" width="20.13"/>
    <col customWidth="1" min="7" max="7" width="10.25"/>
    <col customWidth="1" min="8" max="10" width="5.63"/>
    <col customWidth="1" min="11" max="11" width="8.25"/>
    <col customWidth="1" min="12" max="12" width="5.63"/>
    <col customWidth="1" min="13" max="13" width="6.88"/>
    <col customWidth="1" min="14" max="14" width="6.5"/>
    <col customWidth="1" min="15" max="15" width="6.25"/>
    <col customWidth="1" min="16" max="16" width="11.38"/>
    <col customWidth="1" min="17" max="17" width="5.88"/>
    <col customWidth="1" min="18" max="18" width="4.75"/>
    <col customWidth="1" min="19" max="19" width="7.5"/>
    <col customWidth="1" min="20" max="20" width="5.88"/>
    <col customWidth="1" min="21" max="21" width="8.13"/>
    <col customWidth="1" min="22" max="22" width="7.5"/>
    <col customWidth="1" min="23" max="23" width="5.88"/>
    <col customWidth="1" min="24" max="24" width="4.75"/>
    <col customWidth="1" min="25" max="25" width="7.5"/>
    <col customWidth="1" min="26" max="26" width="5.38"/>
  </cols>
  <sheetData>
    <row r="1">
      <c r="A1" s="4" t="s">
        <v>1359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2" t="s">
        <v>8</v>
      </c>
      <c r="B2" s="31" t="s">
        <v>9</v>
      </c>
      <c r="C2" s="31" t="s">
        <v>10</v>
      </c>
      <c r="D2" s="247" t="s">
        <v>11</v>
      </c>
      <c r="E2" s="32" t="s">
        <v>12</v>
      </c>
      <c r="F2" s="31" t="s">
        <v>13</v>
      </c>
      <c r="G2" s="31" t="s">
        <v>14</v>
      </c>
      <c r="H2" s="31" t="s">
        <v>248</v>
      </c>
      <c r="I2" s="32" t="s">
        <v>16</v>
      </c>
      <c r="J2" s="236" t="s">
        <v>17</v>
      </c>
      <c r="K2" s="31" t="s">
        <v>18</v>
      </c>
      <c r="L2" s="31" t="s">
        <v>19</v>
      </c>
      <c r="M2" s="32" t="s">
        <v>20</v>
      </c>
      <c r="N2" s="32" t="s">
        <v>249</v>
      </c>
      <c r="O2" s="32" t="s">
        <v>250</v>
      </c>
      <c r="P2" s="31" t="s">
        <v>23</v>
      </c>
      <c r="Q2" s="278" t="s">
        <v>251</v>
      </c>
      <c r="R2" s="210" t="s">
        <v>252</v>
      </c>
      <c r="S2" s="210" t="s">
        <v>253</v>
      </c>
      <c r="T2" s="210" t="s">
        <v>251</v>
      </c>
      <c r="U2" s="210" t="s">
        <v>252</v>
      </c>
      <c r="V2" s="210" t="s">
        <v>253</v>
      </c>
      <c r="W2" s="210" t="s">
        <v>251</v>
      </c>
      <c r="X2" s="210" t="s">
        <v>252</v>
      </c>
      <c r="Y2" s="210" t="s">
        <v>253</v>
      </c>
      <c r="Z2" s="10"/>
    </row>
    <row r="3">
      <c r="A3" s="5">
        <v>1.0</v>
      </c>
      <c r="B3" s="6" t="s">
        <v>1360</v>
      </c>
      <c r="C3" s="6" t="s">
        <v>1361</v>
      </c>
      <c r="D3" s="7" t="s">
        <v>1006</v>
      </c>
      <c r="E3" s="5">
        <v>1522.0</v>
      </c>
      <c r="F3" s="6" t="s">
        <v>568</v>
      </c>
      <c r="G3" s="6">
        <v>9.950860738E9</v>
      </c>
      <c r="I3" s="6">
        <v>19000.0</v>
      </c>
      <c r="J3" s="238">
        <v>9000.0</v>
      </c>
      <c r="L3" s="6">
        <v>3000.0</v>
      </c>
      <c r="M3" s="9">
        <f t="shared" ref="M3:M63" si="1">(H3+I3+J3+K3-L3)</f>
        <v>25000</v>
      </c>
      <c r="N3" s="9">
        <f t="shared" ref="N3:N63" si="2">sum(Q3,T3,W3)</f>
        <v>10000</v>
      </c>
      <c r="O3" s="9">
        <f t="shared" ref="O3:O63" si="3">(M3-N3)</f>
        <v>15000</v>
      </c>
      <c r="Q3" s="6">
        <v>10000.0</v>
      </c>
      <c r="R3" s="6">
        <v>3454.0</v>
      </c>
      <c r="S3" s="6" t="s">
        <v>1279</v>
      </c>
      <c r="Z3" s="210"/>
    </row>
    <row r="4">
      <c r="A4" s="5">
        <v>2.0</v>
      </c>
      <c r="B4" s="6" t="s">
        <v>1362</v>
      </c>
      <c r="C4" s="6" t="s">
        <v>1363</v>
      </c>
      <c r="D4" s="7" t="s">
        <v>1006</v>
      </c>
      <c r="E4" s="5">
        <v>1505.0</v>
      </c>
      <c r="G4" s="6">
        <v>8.955799861E9</v>
      </c>
      <c r="H4" s="242"/>
      <c r="I4" s="244">
        <v>19000.0</v>
      </c>
      <c r="J4" s="256"/>
      <c r="K4" s="242"/>
      <c r="L4" s="242"/>
      <c r="M4" s="9">
        <f t="shared" si="1"/>
        <v>19000</v>
      </c>
      <c r="N4" s="9">
        <f t="shared" si="2"/>
        <v>5000</v>
      </c>
      <c r="O4" s="9">
        <f t="shared" si="3"/>
        <v>14000</v>
      </c>
      <c r="P4" s="242"/>
      <c r="Q4" s="244">
        <v>5000.0</v>
      </c>
      <c r="R4" s="244">
        <v>3397.0</v>
      </c>
      <c r="S4" s="279">
        <v>45939.0</v>
      </c>
    </row>
    <row r="5">
      <c r="A5" s="5">
        <v>3.0</v>
      </c>
      <c r="B5" s="6" t="s">
        <v>1364</v>
      </c>
      <c r="C5" s="6" t="s">
        <v>1365</v>
      </c>
      <c r="D5" s="7" t="s">
        <v>1006</v>
      </c>
      <c r="E5" s="5">
        <v>1613.0</v>
      </c>
      <c r="F5" s="10" t="s">
        <v>354</v>
      </c>
      <c r="G5" s="15">
        <v>9.799128815E9</v>
      </c>
      <c r="H5" s="10"/>
      <c r="I5" s="6">
        <v>19000.0</v>
      </c>
      <c r="J5" s="228">
        <v>8000.0</v>
      </c>
      <c r="K5" s="10"/>
      <c r="L5" s="10"/>
      <c r="M5" s="9">
        <f t="shared" si="1"/>
        <v>27000</v>
      </c>
      <c r="N5" s="9">
        <f t="shared" si="2"/>
        <v>15000</v>
      </c>
      <c r="O5" s="9">
        <f t="shared" si="3"/>
        <v>12000</v>
      </c>
      <c r="P5" s="10"/>
      <c r="Q5" s="16">
        <v>15000.0</v>
      </c>
      <c r="R5" s="16">
        <v>3086.0</v>
      </c>
      <c r="S5" s="10" t="s">
        <v>1074</v>
      </c>
    </row>
    <row r="6">
      <c r="A6" s="5">
        <v>4.0</v>
      </c>
      <c r="B6" s="6" t="s">
        <v>1366</v>
      </c>
      <c r="C6" s="6" t="s">
        <v>1367</v>
      </c>
      <c r="D6" s="7" t="s">
        <v>1006</v>
      </c>
      <c r="E6" s="5">
        <v>1966.0</v>
      </c>
      <c r="G6" s="6">
        <v>9.672776722E9</v>
      </c>
      <c r="I6" s="6">
        <v>19000.0</v>
      </c>
      <c r="J6" s="121"/>
      <c r="M6" s="9">
        <f t="shared" si="1"/>
        <v>19000</v>
      </c>
      <c r="N6" s="9">
        <f t="shared" si="2"/>
        <v>5000</v>
      </c>
      <c r="O6" s="9">
        <f t="shared" si="3"/>
        <v>14000</v>
      </c>
      <c r="Q6" s="6">
        <v>5000.0</v>
      </c>
      <c r="R6" s="6">
        <v>3607.0</v>
      </c>
      <c r="S6" s="27">
        <v>45879.0</v>
      </c>
    </row>
    <row r="7">
      <c r="A7" s="5">
        <v>5.0</v>
      </c>
      <c r="B7" s="6" t="s">
        <v>1368</v>
      </c>
      <c r="C7" s="6" t="s">
        <v>1369</v>
      </c>
      <c r="D7" s="7" t="s">
        <v>1006</v>
      </c>
      <c r="E7" s="5">
        <v>1237.0</v>
      </c>
      <c r="F7" s="10" t="s">
        <v>188</v>
      </c>
      <c r="G7" s="15">
        <v>8.107083355E9</v>
      </c>
      <c r="H7" s="15">
        <v>0.0</v>
      </c>
      <c r="I7" s="6">
        <v>19000.0</v>
      </c>
      <c r="J7" s="16">
        <v>5000.0</v>
      </c>
      <c r="K7" s="10"/>
      <c r="L7" s="15">
        <v>4000.0</v>
      </c>
      <c r="M7" s="9">
        <f t="shared" si="1"/>
        <v>20000</v>
      </c>
      <c r="N7" s="9">
        <f t="shared" si="2"/>
        <v>7000</v>
      </c>
      <c r="O7" s="9">
        <f t="shared" si="3"/>
        <v>13000</v>
      </c>
      <c r="P7" s="10" t="s">
        <v>34</v>
      </c>
      <c r="Q7" s="6">
        <v>7000.0</v>
      </c>
      <c r="R7" s="6">
        <v>3468.0</v>
      </c>
      <c r="S7" s="27">
        <v>45726.0</v>
      </c>
    </row>
    <row r="8">
      <c r="A8" s="5">
        <v>6.0</v>
      </c>
      <c r="B8" s="6" t="s">
        <v>1370</v>
      </c>
      <c r="C8" s="6" t="s">
        <v>1371</v>
      </c>
      <c r="D8" s="7" t="s">
        <v>1006</v>
      </c>
      <c r="E8" s="5">
        <v>1229.0</v>
      </c>
      <c r="G8" s="6">
        <v>9.95048913E9</v>
      </c>
      <c r="I8" s="6">
        <v>19000.0</v>
      </c>
      <c r="J8" s="121"/>
      <c r="M8" s="9">
        <f t="shared" si="1"/>
        <v>19000</v>
      </c>
      <c r="N8" s="9">
        <f t="shared" si="2"/>
        <v>15000</v>
      </c>
      <c r="O8" s="9">
        <f t="shared" si="3"/>
        <v>4000</v>
      </c>
      <c r="Q8" s="6">
        <v>10000.0</v>
      </c>
      <c r="R8" s="6">
        <v>3266.0</v>
      </c>
      <c r="S8" s="6" t="s">
        <v>727</v>
      </c>
      <c r="T8" s="6">
        <v>5000.0</v>
      </c>
      <c r="U8" s="6">
        <v>3936.0</v>
      </c>
      <c r="V8" s="6" t="s">
        <v>132</v>
      </c>
    </row>
    <row r="9">
      <c r="A9" s="5">
        <v>7.0</v>
      </c>
      <c r="B9" s="6" t="s">
        <v>1372</v>
      </c>
      <c r="C9" s="6" t="s">
        <v>1373</v>
      </c>
      <c r="D9" s="7" t="s">
        <v>1006</v>
      </c>
      <c r="E9" s="5">
        <v>1504.0</v>
      </c>
      <c r="G9" s="6">
        <v>8.290700662E9</v>
      </c>
      <c r="I9" s="6">
        <v>19000.0</v>
      </c>
      <c r="J9" s="121"/>
      <c r="M9" s="9">
        <f t="shared" si="1"/>
        <v>19000</v>
      </c>
      <c r="N9" s="9">
        <f t="shared" si="2"/>
        <v>5000</v>
      </c>
      <c r="O9" s="9">
        <f t="shared" si="3"/>
        <v>14000</v>
      </c>
      <c r="Q9" s="6">
        <v>5000.0</v>
      </c>
      <c r="R9" s="6">
        <v>3664.0</v>
      </c>
      <c r="S9" s="27">
        <v>45910.0</v>
      </c>
    </row>
    <row r="10">
      <c r="A10" s="5">
        <v>8.0</v>
      </c>
      <c r="B10" s="6" t="s">
        <v>1374</v>
      </c>
      <c r="C10" s="6" t="s">
        <v>1375</v>
      </c>
      <c r="D10" s="7" t="s">
        <v>1006</v>
      </c>
      <c r="E10" s="5">
        <v>1410.0</v>
      </c>
      <c r="G10" s="6">
        <v>7.742390015E9</v>
      </c>
      <c r="I10" s="6">
        <v>19000.0</v>
      </c>
      <c r="J10" s="121"/>
      <c r="M10" s="9">
        <f t="shared" si="1"/>
        <v>19000</v>
      </c>
      <c r="N10" s="9">
        <f t="shared" si="2"/>
        <v>5000</v>
      </c>
      <c r="O10" s="9">
        <f t="shared" si="3"/>
        <v>14000</v>
      </c>
      <c r="Q10" s="6">
        <v>5000.0</v>
      </c>
      <c r="R10" s="6">
        <v>3679.0</v>
      </c>
      <c r="S10" s="27">
        <v>45910.0</v>
      </c>
    </row>
    <row r="11">
      <c r="A11" s="5">
        <v>9.0</v>
      </c>
      <c r="B11" s="6" t="s">
        <v>1376</v>
      </c>
      <c r="C11" s="6" t="s">
        <v>1377</v>
      </c>
      <c r="D11" s="7" t="s">
        <v>1006</v>
      </c>
      <c r="E11" s="5">
        <v>1036.0</v>
      </c>
      <c r="F11" s="6" t="s">
        <v>1378</v>
      </c>
      <c r="G11" s="6">
        <v>9.950482593E9</v>
      </c>
      <c r="I11" s="6">
        <v>19000.0</v>
      </c>
      <c r="J11" s="121"/>
      <c r="M11" s="9">
        <f t="shared" si="1"/>
        <v>19000</v>
      </c>
      <c r="N11" s="9">
        <f t="shared" si="2"/>
        <v>5000</v>
      </c>
      <c r="O11" s="9">
        <f t="shared" si="3"/>
        <v>14000</v>
      </c>
      <c r="Q11" s="6">
        <v>5000.0</v>
      </c>
      <c r="R11" s="6">
        <v>4028.0</v>
      </c>
      <c r="S11" s="6" t="s">
        <v>261</v>
      </c>
    </row>
    <row r="12">
      <c r="A12" s="5">
        <v>11.0</v>
      </c>
      <c r="B12" s="6" t="s">
        <v>1379</v>
      </c>
      <c r="C12" s="6" t="s">
        <v>1380</v>
      </c>
      <c r="D12" s="7" t="s">
        <v>2</v>
      </c>
      <c r="E12" s="5">
        <v>1051.0</v>
      </c>
      <c r="F12" s="10" t="s">
        <v>165</v>
      </c>
      <c r="G12" s="15">
        <v>8.233185344E9</v>
      </c>
      <c r="H12" s="15">
        <v>0.0</v>
      </c>
      <c r="I12" s="15">
        <v>22000.0</v>
      </c>
      <c r="J12" s="16">
        <v>7000.0</v>
      </c>
      <c r="K12" s="10"/>
      <c r="L12" s="15">
        <v>3000.0</v>
      </c>
      <c r="M12" s="9">
        <f t="shared" si="1"/>
        <v>26000</v>
      </c>
      <c r="N12" s="9">
        <f t="shared" si="2"/>
        <v>26000</v>
      </c>
      <c r="O12" s="9">
        <f t="shared" si="3"/>
        <v>0</v>
      </c>
      <c r="P12" s="10" t="s">
        <v>1381</v>
      </c>
      <c r="Q12" s="6">
        <v>26000.0</v>
      </c>
      <c r="R12" s="6">
        <v>3254.0</v>
      </c>
      <c r="S12" s="6" t="s">
        <v>727</v>
      </c>
    </row>
    <row r="13">
      <c r="A13" s="5">
        <v>13.0</v>
      </c>
      <c r="B13" s="6" t="s">
        <v>1382</v>
      </c>
      <c r="C13" s="6" t="s">
        <v>1383</v>
      </c>
      <c r="D13" s="7" t="s">
        <v>1006</v>
      </c>
      <c r="E13" s="5">
        <v>1918.0</v>
      </c>
      <c r="F13" s="10" t="s">
        <v>662</v>
      </c>
      <c r="G13" s="15">
        <v>9.929262009E9</v>
      </c>
      <c r="H13" s="15">
        <v>1000.0</v>
      </c>
      <c r="I13" s="26">
        <v>20050.0</v>
      </c>
      <c r="J13" s="16">
        <v>5000.0</v>
      </c>
      <c r="K13" s="10"/>
      <c r="L13" s="15">
        <v>4000.0</v>
      </c>
      <c r="M13" s="9">
        <f t="shared" si="1"/>
        <v>22050</v>
      </c>
      <c r="N13" s="9">
        <f t="shared" si="2"/>
        <v>22050</v>
      </c>
      <c r="O13" s="9">
        <f t="shared" si="3"/>
        <v>0</v>
      </c>
      <c r="P13" s="10" t="s">
        <v>44</v>
      </c>
      <c r="Q13" s="16">
        <v>22050.0</v>
      </c>
      <c r="R13" s="16">
        <v>3042.0</v>
      </c>
      <c r="S13" s="10" t="s">
        <v>422</v>
      </c>
    </row>
    <row r="14">
      <c r="A14" s="5">
        <v>14.0</v>
      </c>
      <c r="B14" s="6" t="s">
        <v>1384</v>
      </c>
      <c r="C14" s="6" t="s">
        <v>1385</v>
      </c>
      <c r="D14" s="7" t="s">
        <v>1006</v>
      </c>
      <c r="E14" s="5">
        <v>1426.0</v>
      </c>
      <c r="F14" s="14" t="s">
        <v>33</v>
      </c>
      <c r="G14" s="15">
        <v>9.660203936E9</v>
      </c>
      <c r="H14" s="15">
        <v>0.0</v>
      </c>
      <c r="I14" s="15">
        <v>19000.0</v>
      </c>
      <c r="J14" s="16">
        <v>5000.0</v>
      </c>
      <c r="K14" s="10"/>
      <c r="L14" s="15">
        <v>4000.0</v>
      </c>
      <c r="M14" s="9">
        <f t="shared" si="1"/>
        <v>20000</v>
      </c>
      <c r="N14" s="9">
        <f t="shared" si="2"/>
        <v>7000</v>
      </c>
      <c r="O14" s="9">
        <f t="shared" si="3"/>
        <v>13000</v>
      </c>
      <c r="P14" s="10" t="s">
        <v>34</v>
      </c>
      <c r="Q14" s="6">
        <v>7000.0</v>
      </c>
      <c r="R14" s="6">
        <v>3469.0</v>
      </c>
      <c r="S14" s="27">
        <v>45726.0</v>
      </c>
    </row>
    <row r="15">
      <c r="A15" s="5">
        <v>15.0</v>
      </c>
      <c r="B15" s="6" t="s">
        <v>1386</v>
      </c>
      <c r="C15" s="6" t="s">
        <v>1387</v>
      </c>
      <c r="D15" s="7" t="s">
        <v>1006</v>
      </c>
      <c r="E15" s="5">
        <v>1615.0</v>
      </c>
      <c r="G15" s="6">
        <v>7.413024576E9</v>
      </c>
      <c r="H15" s="242"/>
      <c r="I15" s="252">
        <v>19000.0</v>
      </c>
      <c r="J15" s="256"/>
      <c r="K15" s="242"/>
      <c r="L15" s="242"/>
      <c r="M15" s="9">
        <f t="shared" si="1"/>
        <v>19000</v>
      </c>
      <c r="N15" s="9">
        <f t="shared" si="2"/>
        <v>11000</v>
      </c>
      <c r="O15" s="9">
        <f t="shared" si="3"/>
        <v>8000</v>
      </c>
      <c r="P15" s="242"/>
      <c r="Q15" s="244">
        <v>6000.0</v>
      </c>
      <c r="R15" s="244">
        <v>3384.0</v>
      </c>
      <c r="S15" s="279">
        <v>45909.0</v>
      </c>
      <c r="T15" s="6">
        <v>5000.0</v>
      </c>
      <c r="U15" s="6">
        <v>4073.0</v>
      </c>
      <c r="V15" s="27">
        <v>45759.0</v>
      </c>
    </row>
    <row r="16">
      <c r="A16" s="5">
        <v>16.0</v>
      </c>
      <c r="B16" s="6" t="s">
        <v>1388</v>
      </c>
      <c r="C16" s="6" t="s">
        <v>1389</v>
      </c>
      <c r="D16" s="7" t="s">
        <v>1006</v>
      </c>
      <c r="E16" s="5">
        <v>1368.0</v>
      </c>
      <c r="F16" s="10" t="s">
        <v>474</v>
      </c>
      <c r="G16" s="15">
        <v>9.799919433E9</v>
      </c>
      <c r="H16" s="10"/>
      <c r="I16" s="15">
        <v>19000.0</v>
      </c>
      <c r="J16" s="228">
        <v>5000.0</v>
      </c>
      <c r="K16" s="10"/>
      <c r="L16" s="10"/>
      <c r="M16" s="9">
        <f t="shared" si="1"/>
        <v>24000</v>
      </c>
      <c r="N16" s="9">
        <f t="shared" si="2"/>
        <v>20000</v>
      </c>
      <c r="O16" s="9">
        <f t="shared" si="3"/>
        <v>4000</v>
      </c>
      <c r="P16" s="10"/>
      <c r="Q16" s="16">
        <v>10000.0</v>
      </c>
      <c r="R16" s="16">
        <v>3109.0</v>
      </c>
      <c r="S16" s="10" t="s">
        <v>490</v>
      </c>
      <c r="T16" s="6">
        <v>10000.0</v>
      </c>
      <c r="U16" s="6">
        <v>3791.0</v>
      </c>
      <c r="V16" s="27">
        <v>45880.0</v>
      </c>
    </row>
    <row r="17">
      <c r="A17" s="5">
        <v>17.0</v>
      </c>
      <c r="B17" s="6" t="s">
        <v>1390</v>
      </c>
      <c r="C17" s="6" t="s">
        <v>427</v>
      </c>
      <c r="D17" s="7" t="s">
        <v>1006</v>
      </c>
      <c r="E17" s="5">
        <v>1041.0</v>
      </c>
      <c r="F17" s="6" t="s">
        <v>130</v>
      </c>
      <c r="G17" s="6">
        <v>9.66075264E9</v>
      </c>
      <c r="I17" s="15">
        <v>19000.0</v>
      </c>
      <c r="J17" s="238">
        <v>5000.0</v>
      </c>
      <c r="L17" s="6">
        <v>6500.0</v>
      </c>
      <c r="M17" s="9">
        <f t="shared" si="1"/>
        <v>17500</v>
      </c>
      <c r="N17" s="9">
        <f t="shared" si="2"/>
        <v>17500</v>
      </c>
      <c r="O17" s="9">
        <f t="shared" si="3"/>
        <v>0</v>
      </c>
      <c r="P17" s="6" t="s">
        <v>131</v>
      </c>
      <c r="Q17" s="6">
        <v>17500.0</v>
      </c>
      <c r="R17" s="6">
        <v>4026.0</v>
      </c>
      <c r="S17" s="6" t="s">
        <v>261</v>
      </c>
    </row>
    <row r="18">
      <c r="A18" s="5">
        <v>18.0</v>
      </c>
      <c r="B18" s="10" t="s">
        <v>1391</v>
      </c>
      <c r="C18" s="10" t="s">
        <v>1392</v>
      </c>
      <c r="D18" s="254" t="s">
        <v>2</v>
      </c>
      <c r="F18" s="15" t="s">
        <v>1393</v>
      </c>
      <c r="G18" s="15">
        <v>9.079778576E9</v>
      </c>
      <c r="H18" s="15">
        <v>1000.0</v>
      </c>
      <c r="I18" s="15">
        <v>22000.0</v>
      </c>
      <c r="J18" s="16">
        <v>0.0</v>
      </c>
      <c r="K18" s="10"/>
      <c r="L18" s="15">
        <v>12000.0</v>
      </c>
      <c r="M18" s="9">
        <f t="shared" si="1"/>
        <v>11000</v>
      </c>
      <c r="N18" s="9">
        <f t="shared" si="2"/>
        <v>5000</v>
      </c>
      <c r="O18" s="9">
        <f t="shared" si="3"/>
        <v>6000</v>
      </c>
      <c r="P18" s="5" t="s">
        <v>131</v>
      </c>
      <c r="Q18" s="14">
        <v>5000.0</v>
      </c>
      <c r="R18" s="228">
        <v>3103.0</v>
      </c>
      <c r="S18" s="228" t="s">
        <v>496</v>
      </c>
      <c r="T18" s="10"/>
      <c r="U18" s="10"/>
      <c r="V18" s="10"/>
      <c r="W18" s="10"/>
      <c r="X18" s="10"/>
      <c r="Y18" s="10"/>
    </row>
    <row r="19">
      <c r="A19" s="5">
        <v>19.0</v>
      </c>
      <c r="B19" s="6" t="s">
        <v>1394</v>
      </c>
      <c r="C19" s="6" t="s">
        <v>1395</v>
      </c>
      <c r="D19" s="7" t="s">
        <v>2</v>
      </c>
      <c r="E19" s="5">
        <v>1610.0</v>
      </c>
      <c r="F19" s="10" t="s">
        <v>30</v>
      </c>
      <c r="G19" s="15">
        <v>8.81564987E9</v>
      </c>
      <c r="H19" s="15">
        <v>0.0</v>
      </c>
      <c r="I19" s="15">
        <v>22000.0</v>
      </c>
      <c r="J19" s="16">
        <v>9500.0</v>
      </c>
      <c r="K19" s="10"/>
      <c r="L19" s="15">
        <v>6500.0</v>
      </c>
      <c r="M19" s="9">
        <f t="shared" si="1"/>
        <v>25000</v>
      </c>
      <c r="N19" s="9">
        <f t="shared" si="2"/>
        <v>16000</v>
      </c>
      <c r="O19" s="9">
        <f t="shared" si="3"/>
        <v>9000</v>
      </c>
      <c r="P19" s="10" t="s">
        <v>131</v>
      </c>
      <c r="Q19" s="16">
        <v>1000.0</v>
      </c>
      <c r="R19" s="16">
        <v>2960.0</v>
      </c>
      <c r="S19" s="17">
        <v>45907.0</v>
      </c>
      <c r="T19" s="6">
        <v>5000.0</v>
      </c>
      <c r="U19" s="6">
        <v>3259.0</v>
      </c>
      <c r="V19" s="6" t="s">
        <v>727</v>
      </c>
      <c r="W19" s="6">
        <v>10000.0</v>
      </c>
      <c r="X19" s="6">
        <v>4018.0</v>
      </c>
      <c r="Y19" s="6" t="s">
        <v>132</v>
      </c>
    </row>
    <row r="20">
      <c r="A20" s="5">
        <v>20.0</v>
      </c>
      <c r="B20" s="6" t="s">
        <v>1396</v>
      </c>
      <c r="C20" s="6" t="s">
        <v>1206</v>
      </c>
      <c r="D20" s="7" t="s">
        <v>1006</v>
      </c>
      <c r="E20" s="5">
        <v>1524.0</v>
      </c>
      <c r="G20" s="6">
        <v>7.727911455E9</v>
      </c>
      <c r="I20" s="15">
        <v>19000.0</v>
      </c>
      <c r="J20" s="121"/>
      <c r="M20" s="9">
        <f t="shared" si="1"/>
        <v>19000</v>
      </c>
      <c r="N20" s="9">
        <f t="shared" si="2"/>
        <v>0</v>
      </c>
      <c r="O20" s="9">
        <f t="shared" si="3"/>
        <v>19000</v>
      </c>
    </row>
    <row r="21">
      <c r="A21" s="5">
        <v>21.0</v>
      </c>
      <c r="B21" s="6" t="s">
        <v>1397</v>
      </c>
      <c r="C21" s="6" t="s">
        <v>1398</v>
      </c>
      <c r="D21" s="7" t="s">
        <v>1006</v>
      </c>
      <c r="E21" s="5">
        <v>1235.0</v>
      </c>
      <c r="G21" s="6">
        <v>9.649631532E9</v>
      </c>
      <c r="I21" s="15">
        <v>19000.0</v>
      </c>
      <c r="J21" s="121"/>
      <c r="M21" s="9">
        <f t="shared" si="1"/>
        <v>19000</v>
      </c>
      <c r="N21" s="9">
        <f t="shared" si="2"/>
        <v>7500</v>
      </c>
      <c r="O21" s="9">
        <f t="shared" si="3"/>
        <v>11500</v>
      </c>
      <c r="Q21" s="6">
        <v>7500.0</v>
      </c>
      <c r="R21" s="6">
        <v>3734.0</v>
      </c>
      <c r="S21" s="240">
        <v>45971.0</v>
      </c>
    </row>
    <row r="22">
      <c r="A22" s="5">
        <v>22.0</v>
      </c>
      <c r="B22" s="6" t="s">
        <v>1399</v>
      </c>
      <c r="C22" s="6" t="s">
        <v>1345</v>
      </c>
      <c r="D22" s="7" t="s">
        <v>1006</v>
      </c>
      <c r="E22" s="5">
        <v>1037.0</v>
      </c>
      <c r="F22" s="6" t="s">
        <v>33</v>
      </c>
      <c r="G22" s="6">
        <v>6.350295018E9</v>
      </c>
      <c r="I22" s="15">
        <v>19000.0</v>
      </c>
      <c r="J22" s="238">
        <v>5000.0</v>
      </c>
      <c r="L22" s="6">
        <v>4000.0</v>
      </c>
      <c r="M22" s="9">
        <f t="shared" si="1"/>
        <v>20000</v>
      </c>
      <c r="N22" s="9">
        <f t="shared" si="2"/>
        <v>10000</v>
      </c>
      <c r="O22" s="9">
        <f t="shared" si="3"/>
        <v>10000</v>
      </c>
      <c r="P22" s="6" t="s">
        <v>44</v>
      </c>
      <c r="Q22" s="6">
        <v>5000.0</v>
      </c>
      <c r="S22" s="6" t="s">
        <v>331</v>
      </c>
      <c r="T22" s="6">
        <v>5000.0</v>
      </c>
      <c r="U22" s="6">
        <v>3418.0</v>
      </c>
      <c r="V22" s="6" t="s">
        <v>331</v>
      </c>
    </row>
    <row r="23">
      <c r="A23" s="5">
        <v>23.0</v>
      </c>
      <c r="B23" s="6" t="s">
        <v>1400</v>
      </c>
      <c r="C23" s="6" t="s">
        <v>1401</v>
      </c>
      <c r="D23" s="7" t="s">
        <v>1006</v>
      </c>
      <c r="E23" s="5">
        <v>1234.0</v>
      </c>
      <c r="G23" s="6">
        <v>9.950060147E9</v>
      </c>
      <c r="I23" s="15">
        <v>19000.0</v>
      </c>
      <c r="J23" s="121"/>
      <c r="M23" s="9">
        <f t="shared" si="1"/>
        <v>19000</v>
      </c>
      <c r="N23" s="9">
        <f t="shared" si="2"/>
        <v>0</v>
      </c>
      <c r="O23" s="9">
        <f t="shared" si="3"/>
        <v>19000</v>
      </c>
    </row>
    <row r="24">
      <c r="A24" s="271">
        <v>24.0</v>
      </c>
      <c r="B24" s="272" t="s">
        <v>1402</v>
      </c>
      <c r="C24" s="272" t="s">
        <v>1403</v>
      </c>
      <c r="D24" s="273" t="s">
        <v>1006</v>
      </c>
      <c r="E24" s="271">
        <v>1416.0</v>
      </c>
      <c r="F24" s="274"/>
      <c r="G24" s="272">
        <v>8.890472426E9</v>
      </c>
      <c r="H24" s="274"/>
      <c r="I24" s="276">
        <v>19000.0</v>
      </c>
      <c r="J24" s="275"/>
      <c r="K24" s="274"/>
      <c r="L24" s="272">
        <v>2500.0</v>
      </c>
      <c r="M24" s="277">
        <f t="shared" si="1"/>
        <v>16500</v>
      </c>
      <c r="N24" s="277">
        <f t="shared" si="2"/>
        <v>0</v>
      </c>
      <c r="O24" s="277">
        <f t="shared" si="3"/>
        <v>16500</v>
      </c>
      <c r="P24" s="274"/>
      <c r="Q24" s="274"/>
      <c r="R24" s="274"/>
      <c r="S24" s="274"/>
      <c r="T24" s="274"/>
      <c r="U24" s="274"/>
      <c r="V24" s="274"/>
      <c r="W24" s="274"/>
      <c r="X24" s="274"/>
      <c r="Y24" s="274"/>
      <c r="Z24" s="274"/>
    </row>
    <row r="25">
      <c r="A25" s="5">
        <v>25.0</v>
      </c>
      <c r="B25" s="6" t="s">
        <v>1404</v>
      </c>
      <c r="C25" s="6" t="s">
        <v>1405</v>
      </c>
      <c r="D25" s="7" t="s">
        <v>2</v>
      </c>
      <c r="E25" s="5">
        <v>957.0</v>
      </c>
      <c r="F25" s="10" t="s">
        <v>286</v>
      </c>
      <c r="G25" s="15">
        <v>7.357151211E9</v>
      </c>
      <c r="H25" s="15">
        <v>0.0</v>
      </c>
      <c r="I25" s="15">
        <v>22000.0</v>
      </c>
      <c r="J25" s="16"/>
      <c r="K25" s="10"/>
      <c r="L25" s="15">
        <v>3000.0</v>
      </c>
      <c r="M25" s="9">
        <f t="shared" si="1"/>
        <v>19000</v>
      </c>
      <c r="N25" s="9">
        <f t="shared" si="2"/>
        <v>11000</v>
      </c>
      <c r="O25" s="9">
        <f t="shared" si="3"/>
        <v>8000</v>
      </c>
      <c r="P25" s="10" t="s">
        <v>177</v>
      </c>
      <c r="Q25" s="16">
        <v>1000.0</v>
      </c>
      <c r="R25" s="16">
        <v>2937.0</v>
      </c>
      <c r="S25" s="17">
        <v>45876.0</v>
      </c>
      <c r="T25" s="6">
        <v>10000.0</v>
      </c>
      <c r="U25" s="6">
        <v>3984.0</v>
      </c>
      <c r="V25" s="6" t="s">
        <v>312</v>
      </c>
    </row>
    <row r="26">
      <c r="A26" s="5">
        <v>26.0</v>
      </c>
      <c r="B26" s="6" t="s">
        <v>1406</v>
      </c>
      <c r="C26" s="6" t="s">
        <v>1345</v>
      </c>
      <c r="D26" s="7" t="s">
        <v>1006</v>
      </c>
      <c r="E26" s="5">
        <v>1408.0</v>
      </c>
      <c r="F26" s="6" t="s">
        <v>33</v>
      </c>
      <c r="G26" s="6">
        <v>6.350295018E9</v>
      </c>
      <c r="I26" s="15">
        <v>19000.0</v>
      </c>
      <c r="J26" s="238">
        <v>5000.0</v>
      </c>
      <c r="L26" s="6">
        <v>4000.0</v>
      </c>
      <c r="M26" s="9">
        <f t="shared" si="1"/>
        <v>20000</v>
      </c>
      <c r="N26" s="9">
        <f t="shared" si="2"/>
        <v>5000</v>
      </c>
      <c r="O26" s="9">
        <f t="shared" si="3"/>
        <v>15000</v>
      </c>
      <c r="P26" s="6" t="s">
        <v>177</v>
      </c>
      <c r="Q26" s="6">
        <v>5000.0</v>
      </c>
      <c r="R26" s="6">
        <v>3419.0</v>
      </c>
      <c r="S26" s="6" t="s">
        <v>331</v>
      </c>
    </row>
    <row r="27">
      <c r="A27" s="5">
        <v>27.0</v>
      </c>
      <c r="B27" s="6" t="s">
        <v>1407</v>
      </c>
      <c r="C27" s="6" t="s">
        <v>1408</v>
      </c>
      <c r="D27" s="7" t="s">
        <v>1006</v>
      </c>
      <c r="E27" s="5">
        <v>1512.0</v>
      </c>
      <c r="F27" s="10" t="s">
        <v>130</v>
      </c>
      <c r="G27" s="15">
        <v>9.660772026E9</v>
      </c>
      <c r="H27" s="10"/>
      <c r="I27" s="15">
        <v>19000.0</v>
      </c>
      <c r="J27" s="228">
        <v>5000.0</v>
      </c>
      <c r="K27" s="10"/>
      <c r="L27" s="14">
        <v>10000.0</v>
      </c>
      <c r="M27" s="9">
        <f t="shared" si="1"/>
        <v>14000</v>
      </c>
      <c r="N27" s="9">
        <f t="shared" si="2"/>
        <v>10000</v>
      </c>
      <c r="O27" s="9">
        <f t="shared" si="3"/>
        <v>4000</v>
      </c>
      <c r="P27" s="14" t="s">
        <v>1409</v>
      </c>
      <c r="Q27" s="16">
        <v>5000.0</v>
      </c>
      <c r="R27" s="16">
        <v>3091.0</v>
      </c>
      <c r="S27" s="10" t="s">
        <v>206</v>
      </c>
      <c r="T27" s="6">
        <v>5000.0</v>
      </c>
      <c r="U27" s="6">
        <v>3997.0</v>
      </c>
      <c r="V27" s="6" t="s">
        <v>312</v>
      </c>
    </row>
    <row r="28">
      <c r="A28" s="5">
        <v>28.0</v>
      </c>
      <c r="B28" s="6" t="s">
        <v>660</v>
      </c>
      <c r="C28" s="6" t="s">
        <v>1291</v>
      </c>
      <c r="D28" s="7" t="s">
        <v>1006</v>
      </c>
      <c r="E28" s="5">
        <v>1232.0</v>
      </c>
      <c r="G28" s="6">
        <v>9.829446643E9</v>
      </c>
      <c r="I28" s="15">
        <v>19000.0</v>
      </c>
      <c r="J28" s="121"/>
      <c r="M28" s="9">
        <f t="shared" si="1"/>
        <v>19000</v>
      </c>
      <c r="N28" s="9">
        <f t="shared" si="2"/>
        <v>10000</v>
      </c>
      <c r="O28" s="9">
        <f t="shared" si="3"/>
        <v>9000</v>
      </c>
      <c r="Q28" s="6">
        <v>10000.0</v>
      </c>
      <c r="R28" s="6">
        <v>3680.0</v>
      </c>
      <c r="S28" s="27">
        <v>45910.0</v>
      </c>
    </row>
    <row r="29">
      <c r="A29" s="5">
        <v>29.0</v>
      </c>
      <c r="B29" s="6" t="s">
        <v>1410</v>
      </c>
      <c r="C29" s="6" t="s">
        <v>1032</v>
      </c>
      <c r="D29" s="7" t="s">
        <v>1006</v>
      </c>
      <c r="E29" s="5">
        <v>1742.0</v>
      </c>
      <c r="G29" s="6">
        <v>9.950892726E9</v>
      </c>
      <c r="I29" s="15">
        <v>19000.0</v>
      </c>
      <c r="J29" s="121"/>
      <c r="M29" s="9">
        <f t="shared" si="1"/>
        <v>19000</v>
      </c>
      <c r="N29" s="9">
        <f t="shared" si="2"/>
        <v>0</v>
      </c>
      <c r="O29" s="9">
        <f t="shared" si="3"/>
        <v>19000</v>
      </c>
    </row>
    <row r="30">
      <c r="A30" s="5">
        <v>31.0</v>
      </c>
      <c r="B30" s="6" t="s">
        <v>1411</v>
      </c>
      <c r="C30" s="6" t="s">
        <v>1412</v>
      </c>
      <c r="D30" s="7" t="s">
        <v>1006</v>
      </c>
      <c r="E30" s="5">
        <v>1560.0</v>
      </c>
      <c r="G30" s="6">
        <v>7.014722114E9</v>
      </c>
      <c r="I30" s="15">
        <v>19000.0</v>
      </c>
      <c r="J30" s="121"/>
      <c r="M30" s="9">
        <f t="shared" si="1"/>
        <v>19000</v>
      </c>
      <c r="N30" s="9">
        <f t="shared" si="2"/>
        <v>8000</v>
      </c>
      <c r="O30" s="9">
        <f t="shared" si="3"/>
        <v>11000</v>
      </c>
      <c r="Q30" s="6">
        <v>8000.0</v>
      </c>
      <c r="R30" s="6">
        <v>3764.0</v>
      </c>
      <c r="S30" s="27">
        <v>45727.0</v>
      </c>
    </row>
    <row r="31">
      <c r="A31" s="5">
        <v>32.0</v>
      </c>
      <c r="B31" s="6" t="s">
        <v>1413</v>
      </c>
      <c r="C31" s="6" t="s">
        <v>1172</v>
      </c>
      <c r="D31" s="7" t="s">
        <v>2</v>
      </c>
      <c r="E31" s="5">
        <v>1224.0</v>
      </c>
      <c r="F31" s="6" t="s">
        <v>1414</v>
      </c>
      <c r="G31" s="6">
        <v>9.784053059E9</v>
      </c>
      <c r="I31" s="5">
        <v>22000.0</v>
      </c>
      <c r="J31" s="238">
        <v>6000.0</v>
      </c>
      <c r="L31" s="6">
        <v>7250.0</v>
      </c>
      <c r="M31" s="9">
        <f t="shared" si="1"/>
        <v>20750</v>
      </c>
      <c r="N31" s="9">
        <f t="shared" si="2"/>
        <v>5000</v>
      </c>
      <c r="O31" s="9">
        <f t="shared" si="3"/>
        <v>15750</v>
      </c>
      <c r="P31" s="6" t="s">
        <v>44</v>
      </c>
      <c r="Q31" s="6">
        <v>5000.0</v>
      </c>
      <c r="R31" s="6">
        <v>3671.0</v>
      </c>
      <c r="S31" s="27">
        <v>45910.0</v>
      </c>
    </row>
    <row r="32">
      <c r="A32" s="5">
        <v>33.0</v>
      </c>
      <c r="B32" s="6" t="s">
        <v>1415</v>
      </c>
      <c r="C32" s="6" t="s">
        <v>1416</v>
      </c>
      <c r="D32" s="7" t="s">
        <v>1006</v>
      </c>
      <c r="E32" s="5">
        <v>1611.0</v>
      </c>
      <c r="F32" s="10" t="s">
        <v>1417</v>
      </c>
      <c r="G32" s="15">
        <v>8.875677424E9</v>
      </c>
      <c r="H32" s="15">
        <v>0.0</v>
      </c>
      <c r="I32" s="15">
        <v>19000.0</v>
      </c>
      <c r="J32" s="16">
        <v>6500.0</v>
      </c>
      <c r="K32" s="10"/>
      <c r="L32" s="15">
        <v>1500.0</v>
      </c>
      <c r="M32" s="9">
        <f t="shared" si="1"/>
        <v>24000</v>
      </c>
      <c r="N32" s="9">
        <f t="shared" si="2"/>
        <v>14000</v>
      </c>
      <c r="O32" s="9">
        <f t="shared" si="3"/>
        <v>10000</v>
      </c>
      <c r="P32" s="10" t="s">
        <v>44</v>
      </c>
      <c r="Q32" s="16">
        <v>5000.0</v>
      </c>
      <c r="R32" s="16">
        <v>2934.0</v>
      </c>
      <c r="S32" s="17">
        <v>45876.0</v>
      </c>
      <c r="T32" s="6">
        <v>5000.0</v>
      </c>
      <c r="U32" s="6">
        <v>3643.0</v>
      </c>
      <c r="V32" s="27">
        <v>45910.0</v>
      </c>
      <c r="W32" s="6">
        <v>4000.0</v>
      </c>
      <c r="X32" s="6">
        <v>4025.0</v>
      </c>
      <c r="Y32" s="6" t="s">
        <v>261</v>
      </c>
    </row>
    <row r="33">
      <c r="A33" s="5">
        <v>35.0</v>
      </c>
      <c r="B33" s="6" t="s">
        <v>1418</v>
      </c>
      <c r="C33" s="6" t="s">
        <v>1419</v>
      </c>
      <c r="D33" s="7" t="s">
        <v>1006</v>
      </c>
      <c r="E33" s="5">
        <v>1049.0</v>
      </c>
      <c r="G33" s="6">
        <v>9.928861295E9</v>
      </c>
      <c r="I33" s="15">
        <v>19000.0</v>
      </c>
      <c r="J33" s="121"/>
      <c r="M33" s="9">
        <f t="shared" si="1"/>
        <v>19000</v>
      </c>
      <c r="N33" s="9">
        <f t="shared" si="2"/>
        <v>0</v>
      </c>
      <c r="O33" s="9">
        <f t="shared" si="3"/>
        <v>19000</v>
      </c>
    </row>
    <row r="34">
      <c r="A34" s="5">
        <v>36.0</v>
      </c>
      <c r="B34" s="6" t="s">
        <v>1420</v>
      </c>
      <c r="C34" s="6" t="s">
        <v>1421</v>
      </c>
      <c r="D34" s="7" t="s">
        <v>1006</v>
      </c>
      <c r="E34" s="5">
        <v>1034.0</v>
      </c>
      <c r="G34" s="6">
        <v>8.239572247E9</v>
      </c>
      <c r="I34" s="15">
        <v>19000.0</v>
      </c>
      <c r="J34" s="121"/>
      <c r="M34" s="9">
        <f t="shared" si="1"/>
        <v>19000</v>
      </c>
      <c r="N34" s="9">
        <f t="shared" si="2"/>
        <v>7000</v>
      </c>
      <c r="O34" s="9">
        <f t="shared" si="3"/>
        <v>12000</v>
      </c>
      <c r="Q34" s="6">
        <v>7000.0</v>
      </c>
      <c r="R34" s="6">
        <v>3634.0</v>
      </c>
      <c r="S34" s="27">
        <v>45879.0</v>
      </c>
    </row>
    <row r="35">
      <c r="A35" s="5">
        <v>37.0</v>
      </c>
      <c r="B35" s="6" t="s">
        <v>1422</v>
      </c>
      <c r="C35" s="6" t="s">
        <v>844</v>
      </c>
      <c r="D35" s="7" t="s">
        <v>1006</v>
      </c>
      <c r="E35" s="5">
        <v>1968.0</v>
      </c>
      <c r="F35" s="10" t="s">
        <v>240</v>
      </c>
      <c r="G35" s="15">
        <v>8.769908425E9</v>
      </c>
      <c r="H35" s="15">
        <v>1000.0</v>
      </c>
      <c r="I35" s="15">
        <v>19000.0</v>
      </c>
      <c r="J35" s="16">
        <v>5000.0</v>
      </c>
      <c r="K35" s="10"/>
      <c r="L35" s="15">
        <v>4000.0</v>
      </c>
      <c r="M35" s="9">
        <f t="shared" si="1"/>
        <v>21000</v>
      </c>
      <c r="N35" s="9">
        <f t="shared" si="2"/>
        <v>6000</v>
      </c>
      <c r="O35" s="9">
        <f t="shared" si="3"/>
        <v>15000</v>
      </c>
      <c r="P35" s="10" t="s">
        <v>44</v>
      </c>
      <c r="Q35" s="16">
        <v>1000.0</v>
      </c>
      <c r="R35" s="16">
        <v>2936.0</v>
      </c>
      <c r="S35" s="17">
        <v>45876.0</v>
      </c>
      <c r="T35" s="6">
        <v>5000.0</v>
      </c>
      <c r="U35" s="6">
        <v>3909.0</v>
      </c>
      <c r="V35" s="6" t="s">
        <v>1319</v>
      </c>
    </row>
    <row r="36">
      <c r="A36" s="5">
        <v>38.0</v>
      </c>
      <c r="B36" s="6" t="s">
        <v>1423</v>
      </c>
      <c r="C36" s="6" t="s">
        <v>1421</v>
      </c>
      <c r="D36" s="7" t="s">
        <v>1006</v>
      </c>
      <c r="E36" s="5">
        <v>1035.0</v>
      </c>
      <c r="G36" s="6">
        <v>8.239572247E9</v>
      </c>
      <c r="I36" s="15">
        <v>19000.0</v>
      </c>
      <c r="J36" s="121"/>
      <c r="M36" s="9">
        <f t="shared" si="1"/>
        <v>19000</v>
      </c>
      <c r="N36" s="9">
        <f t="shared" si="2"/>
        <v>7000</v>
      </c>
      <c r="O36" s="9">
        <f t="shared" si="3"/>
        <v>12000</v>
      </c>
      <c r="Q36" s="6">
        <v>7000.0</v>
      </c>
      <c r="R36" s="6">
        <v>3633.0</v>
      </c>
      <c r="S36" s="27">
        <v>45879.0</v>
      </c>
    </row>
    <row r="37">
      <c r="A37" s="5">
        <v>39.0</v>
      </c>
      <c r="B37" s="6" t="s">
        <v>1424</v>
      </c>
      <c r="C37" s="6" t="s">
        <v>1106</v>
      </c>
      <c r="D37" s="7" t="s">
        <v>2</v>
      </c>
      <c r="E37" s="5">
        <v>1411.0</v>
      </c>
      <c r="G37" s="6">
        <v>9.929249414E9</v>
      </c>
      <c r="I37" s="5">
        <v>22000.0</v>
      </c>
      <c r="J37" s="121"/>
      <c r="M37" s="9">
        <f t="shared" si="1"/>
        <v>22000</v>
      </c>
      <c r="N37" s="9">
        <f t="shared" si="2"/>
        <v>0</v>
      </c>
      <c r="O37" s="9">
        <f t="shared" si="3"/>
        <v>22000</v>
      </c>
    </row>
    <row r="38">
      <c r="A38" s="5">
        <v>40.0</v>
      </c>
      <c r="B38" s="6" t="s">
        <v>1425</v>
      </c>
      <c r="C38" s="6" t="s">
        <v>1426</v>
      </c>
      <c r="D38" s="7" t="s">
        <v>1006</v>
      </c>
      <c r="E38" s="5">
        <v>1521.0</v>
      </c>
      <c r="F38" s="10" t="s">
        <v>130</v>
      </c>
      <c r="G38" s="15">
        <v>8.302148862E9</v>
      </c>
      <c r="H38" s="15">
        <v>0.0</v>
      </c>
      <c r="I38" s="15">
        <v>19000.0</v>
      </c>
      <c r="J38" s="16">
        <v>5000.0</v>
      </c>
      <c r="K38" s="10"/>
      <c r="L38" s="15">
        <v>5000.0</v>
      </c>
      <c r="M38" s="9">
        <f t="shared" si="1"/>
        <v>19000</v>
      </c>
      <c r="N38" s="9">
        <f t="shared" si="2"/>
        <v>4500</v>
      </c>
      <c r="O38" s="9">
        <f t="shared" si="3"/>
        <v>14500</v>
      </c>
      <c r="P38" s="10" t="s">
        <v>131</v>
      </c>
      <c r="Q38" s="6">
        <v>4500.0</v>
      </c>
      <c r="R38" s="6">
        <v>3878.0</v>
      </c>
      <c r="S38" s="240">
        <v>46002.0</v>
      </c>
    </row>
    <row r="39">
      <c r="A39" s="5">
        <v>41.0</v>
      </c>
      <c r="B39" s="6" t="s">
        <v>1427</v>
      </c>
      <c r="C39" s="6" t="s">
        <v>1428</v>
      </c>
      <c r="D39" s="7" t="s">
        <v>1006</v>
      </c>
      <c r="E39" s="5">
        <v>1406.0</v>
      </c>
      <c r="F39" s="10" t="s">
        <v>30</v>
      </c>
      <c r="G39" s="15">
        <v>9.784495528E9</v>
      </c>
      <c r="H39" s="10"/>
      <c r="I39" s="15">
        <v>19000.0</v>
      </c>
      <c r="J39" s="228">
        <v>9500.0</v>
      </c>
      <c r="K39" s="10"/>
      <c r="L39" s="14">
        <v>3500.0</v>
      </c>
      <c r="M39" s="9">
        <f t="shared" si="1"/>
        <v>25000</v>
      </c>
      <c r="N39" s="9">
        <f t="shared" si="2"/>
        <v>15000</v>
      </c>
      <c r="O39" s="9">
        <f t="shared" si="3"/>
        <v>10000</v>
      </c>
      <c r="P39" s="14" t="s">
        <v>44</v>
      </c>
      <c r="Q39" s="16">
        <v>15000.0</v>
      </c>
      <c r="R39" s="16">
        <v>3208.0</v>
      </c>
      <c r="S39" s="17">
        <v>45999.0</v>
      </c>
    </row>
    <row r="40">
      <c r="A40" s="5">
        <v>42.0</v>
      </c>
      <c r="B40" s="6" t="s">
        <v>1429</v>
      </c>
      <c r="C40" s="6" t="s">
        <v>1430</v>
      </c>
      <c r="D40" s="7" t="s">
        <v>1006</v>
      </c>
      <c r="E40" s="5">
        <v>1493.0</v>
      </c>
      <c r="F40" s="10" t="s">
        <v>1431</v>
      </c>
      <c r="G40" s="15">
        <v>9.95086607E9</v>
      </c>
      <c r="H40" s="10"/>
      <c r="I40" s="15">
        <v>19000.0</v>
      </c>
      <c r="J40" s="228">
        <v>5000.0</v>
      </c>
      <c r="K40" s="10"/>
      <c r="L40" s="10"/>
      <c r="M40" s="9">
        <f t="shared" si="1"/>
        <v>24000</v>
      </c>
      <c r="N40" s="9">
        <f t="shared" si="2"/>
        <v>15000</v>
      </c>
      <c r="O40" s="9">
        <f t="shared" si="3"/>
        <v>9000</v>
      </c>
      <c r="P40" s="10"/>
      <c r="Q40" s="16">
        <v>15000.0</v>
      </c>
      <c r="R40" s="16">
        <v>3113.0</v>
      </c>
      <c r="S40" s="10" t="s">
        <v>1432</v>
      </c>
    </row>
    <row r="41">
      <c r="A41" s="5">
        <v>44.0</v>
      </c>
      <c r="B41" s="6" t="s">
        <v>1433</v>
      </c>
      <c r="C41" s="6" t="s">
        <v>1434</v>
      </c>
      <c r="D41" s="7" t="s">
        <v>2</v>
      </c>
      <c r="E41" s="5">
        <v>1425.0</v>
      </c>
      <c r="G41" s="6">
        <v>9.829809116E9</v>
      </c>
      <c r="I41" s="5">
        <v>22000.0</v>
      </c>
      <c r="J41" s="121"/>
      <c r="M41" s="9">
        <f t="shared" si="1"/>
        <v>22000</v>
      </c>
      <c r="N41" s="9">
        <f t="shared" si="2"/>
        <v>5000</v>
      </c>
      <c r="O41" s="9">
        <f t="shared" si="3"/>
        <v>17000</v>
      </c>
      <c r="Q41" s="6">
        <v>5000.0</v>
      </c>
      <c r="R41" s="6">
        <v>3631.0</v>
      </c>
      <c r="S41" s="27">
        <v>45879.0</v>
      </c>
    </row>
    <row r="42">
      <c r="A42" s="271">
        <v>45.0</v>
      </c>
      <c r="B42" s="272" t="s">
        <v>1435</v>
      </c>
      <c r="C42" s="272" t="s">
        <v>1436</v>
      </c>
      <c r="D42" s="273" t="s">
        <v>1006</v>
      </c>
      <c r="E42" s="271">
        <v>1052.0</v>
      </c>
      <c r="F42" s="280" t="s">
        <v>474</v>
      </c>
      <c r="G42" s="276">
        <v>7.023234609E9</v>
      </c>
      <c r="H42" s="280"/>
      <c r="I42" s="276">
        <v>19000.0</v>
      </c>
      <c r="J42" s="281">
        <v>0.0</v>
      </c>
      <c r="K42" s="280"/>
      <c r="L42" s="280"/>
      <c r="M42" s="9">
        <f t="shared" si="1"/>
        <v>19000</v>
      </c>
      <c r="N42" s="9">
        <f t="shared" si="2"/>
        <v>4000</v>
      </c>
      <c r="O42" s="9">
        <f t="shared" si="3"/>
        <v>15000</v>
      </c>
      <c r="P42" s="280"/>
      <c r="Q42" s="282">
        <v>2000.0</v>
      </c>
      <c r="R42" s="282">
        <v>2991.0</v>
      </c>
      <c r="S42" s="283">
        <v>45998.0</v>
      </c>
      <c r="T42" s="272">
        <v>2000.0</v>
      </c>
      <c r="U42" s="272">
        <v>3542.0</v>
      </c>
      <c r="V42" s="284">
        <v>45818.0</v>
      </c>
      <c r="W42" s="274"/>
      <c r="X42" s="274"/>
      <c r="Y42" s="274"/>
      <c r="Z42" s="274"/>
    </row>
    <row r="43">
      <c r="A43" s="5">
        <v>46.0</v>
      </c>
      <c r="B43" s="6" t="s">
        <v>1437</v>
      </c>
      <c r="C43" s="6" t="s">
        <v>1438</v>
      </c>
      <c r="D43" s="7" t="s">
        <v>1006</v>
      </c>
      <c r="E43" s="5">
        <v>1794.0</v>
      </c>
      <c r="F43" s="10" t="s">
        <v>662</v>
      </c>
      <c r="G43" s="16">
        <v>9.929535394E9</v>
      </c>
      <c r="H43" s="10"/>
      <c r="I43" s="15">
        <v>19000.0</v>
      </c>
      <c r="J43" s="228">
        <v>6500.0</v>
      </c>
      <c r="K43" s="10"/>
      <c r="L43" s="14">
        <v>1500.0</v>
      </c>
      <c r="M43" s="9">
        <f t="shared" si="1"/>
        <v>24000</v>
      </c>
      <c r="N43" s="9">
        <f t="shared" si="2"/>
        <v>13000</v>
      </c>
      <c r="O43" s="9">
        <f t="shared" si="3"/>
        <v>11000</v>
      </c>
      <c r="P43" s="10"/>
      <c r="Q43" s="16">
        <v>6000.0</v>
      </c>
      <c r="R43" s="16">
        <v>3233.0</v>
      </c>
      <c r="S43" s="10" t="s">
        <v>220</v>
      </c>
      <c r="T43" s="6">
        <v>1000.0</v>
      </c>
      <c r="U43" s="6">
        <v>3529.0</v>
      </c>
      <c r="V43" s="6" t="s">
        <v>220</v>
      </c>
      <c r="W43" s="6">
        <v>6000.0</v>
      </c>
      <c r="X43" s="6">
        <v>3653.0</v>
      </c>
      <c r="Y43" s="27">
        <v>45910.0</v>
      </c>
    </row>
    <row r="44">
      <c r="A44" s="5">
        <v>48.0</v>
      </c>
      <c r="B44" s="6" t="s">
        <v>1439</v>
      </c>
      <c r="C44" s="6" t="s">
        <v>1100</v>
      </c>
      <c r="D44" s="7" t="s">
        <v>1006</v>
      </c>
      <c r="E44" s="5">
        <v>1055.0</v>
      </c>
      <c r="F44" s="10" t="s">
        <v>474</v>
      </c>
      <c r="G44" s="15">
        <v>9.602758124E9</v>
      </c>
      <c r="H44" s="15">
        <v>0.0</v>
      </c>
      <c r="I44" s="15">
        <v>19000.0</v>
      </c>
      <c r="J44" s="16">
        <v>5000.0</v>
      </c>
      <c r="K44" s="10"/>
      <c r="L44" s="15">
        <v>3500.0</v>
      </c>
      <c r="M44" s="9">
        <f t="shared" si="1"/>
        <v>20500</v>
      </c>
      <c r="N44" s="9">
        <f t="shared" si="2"/>
        <v>10000</v>
      </c>
      <c r="O44" s="9">
        <f t="shared" si="3"/>
        <v>10500</v>
      </c>
      <c r="P44" s="10" t="s">
        <v>44</v>
      </c>
      <c r="Q44" s="16">
        <v>6000.0</v>
      </c>
      <c r="R44" s="16">
        <v>2932.0</v>
      </c>
      <c r="S44" s="17">
        <v>45845.0</v>
      </c>
      <c r="T44" s="6">
        <v>4000.0</v>
      </c>
      <c r="U44" s="6">
        <v>3581.0</v>
      </c>
      <c r="V44" s="27">
        <v>45848.0</v>
      </c>
    </row>
    <row r="45">
      <c r="A45" s="5">
        <v>49.0</v>
      </c>
      <c r="B45" s="6" t="s">
        <v>1440</v>
      </c>
      <c r="C45" s="6" t="s">
        <v>1441</v>
      </c>
      <c r="D45" s="7" t="s">
        <v>1006</v>
      </c>
      <c r="E45" s="5">
        <v>1054.0</v>
      </c>
      <c r="F45" s="6" t="s">
        <v>33</v>
      </c>
      <c r="G45" s="15">
        <v>7.425980667E9</v>
      </c>
      <c r="H45" s="15">
        <v>1000.0</v>
      </c>
      <c r="I45" s="15">
        <v>19000.0</v>
      </c>
      <c r="J45" s="16">
        <v>5000.0</v>
      </c>
      <c r="K45" s="10"/>
      <c r="L45" s="15">
        <v>4000.0</v>
      </c>
      <c r="M45" s="9">
        <f t="shared" si="1"/>
        <v>21000</v>
      </c>
      <c r="N45" s="9">
        <f t="shared" si="2"/>
        <v>5000</v>
      </c>
      <c r="O45" s="9">
        <f t="shared" si="3"/>
        <v>16000</v>
      </c>
      <c r="P45" s="10" t="s">
        <v>44</v>
      </c>
      <c r="Q45" s="6">
        <v>5000.0</v>
      </c>
      <c r="R45" s="6">
        <v>3911.0</v>
      </c>
      <c r="S45" s="6" t="s">
        <v>171</v>
      </c>
    </row>
    <row r="46">
      <c r="A46" s="5">
        <v>50.0</v>
      </c>
      <c r="B46" s="6" t="s">
        <v>1442</v>
      </c>
      <c r="C46" s="6" t="s">
        <v>1178</v>
      </c>
      <c r="D46" s="7" t="s">
        <v>1006</v>
      </c>
      <c r="E46" s="5">
        <v>1039.0</v>
      </c>
      <c r="F46" s="10" t="s">
        <v>30</v>
      </c>
      <c r="G46" s="15">
        <v>8.824579027E9</v>
      </c>
      <c r="H46" s="10"/>
      <c r="I46" s="15">
        <v>19000.0</v>
      </c>
      <c r="J46" s="228">
        <v>9500.0</v>
      </c>
      <c r="K46" s="10"/>
      <c r="L46" s="10"/>
      <c r="M46" s="9">
        <f t="shared" si="1"/>
        <v>28500</v>
      </c>
      <c r="N46" s="9">
        <f t="shared" si="2"/>
        <v>7500</v>
      </c>
      <c r="O46" s="9">
        <f t="shared" si="3"/>
        <v>21000</v>
      </c>
      <c r="P46" s="10"/>
      <c r="Q46" s="16">
        <v>5000.0</v>
      </c>
      <c r="R46" s="16">
        <v>2905.0</v>
      </c>
      <c r="S46" s="17">
        <v>45845.0</v>
      </c>
      <c r="T46" s="6">
        <v>2500.0</v>
      </c>
      <c r="U46" s="6">
        <v>3989.0</v>
      </c>
      <c r="V46" s="6" t="s">
        <v>312</v>
      </c>
    </row>
    <row r="47">
      <c r="A47" s="5">
        <v>51.0</v>
      </c>
      <c r="B47" s="6" t="s">
        <v>1443</v>
      </c>
      <c r="C47" s="6" t="s">
        <v>1444</v>
      </c>
      <c r="D47" s="7" t="s">
        <v>2</v>
      </c>
      <c r="E47" s="5">
        <v>1057.0</v>
      </c>
      <c r="G47" s="6">
        <v>9.799897267E9</v>
      </c>
      <c r="I47" s="5">
        <v>22000.0</v>
      </c>
      <c r="J47" s="256"/>
      <c r="K47" s="242"/>
      <c r="L47" s="242"/>
      <c r="M47" s="9">
        <f t="shared" si="1"/>
        <v>22000</v>
      </c>
      <c r="N47" s="9">
        <f t="shared" si="2"/>
        <v>2000</v>
      </c>
      <c r="O47" s="9">
        <f t="shared" si="3"/>
        <v>20000</v>
      </c>
      <c r="P47" s="242"/>
      <c r="Q47" s="244">
        <v>2000.0</v>
      </c>
      <c r="R47" s="244">
        <v>3371.0</v>
      </c>
      <c r="S47" s="279">
        <v>45817.0</v>
      </c>
    </row>
    <row r="48">
      <c r="A48" s="5">
        <v>52.0</v>
      </c>
      <c r="B48" s="6" t="s">
        <v>1445</v>
      </c>
      <c r="C48" s="6" t="s">
        <v>1446</v>
      </c>
      <c r="D48" s="7" t="s">
        <v>2</v>
      </c>
      <c r="E48" s="5">
        <v>1607.0</v>
      </c>
      <c r="G48" s="6">
        <v>9.982606281E9</v>
      </c>
      <c r="I48" s="5">
        <v>22000.0</v>
      </c>
      <c r="J48" s="121"/>
      <c r="M48" s="9">
        <f t="shared" si="1"/>
        <v>22000</v>
      </c>
      <c r="N48" s="9">
        <f t="shared" si="2"/>
        <v>0</v>
      </c>
      <c r="O48" s="9">
        <f t="shared" si="3"/>
        <v>22000</v>
      </c>
    </row>
    <row r="49">
      <c r="A49" s="5">
        <v>53.0</v>
      </c>
      <c r="B49" s="6" t="s">
        <v>1447</v>
      </c>
      <c r="C49" s="6" t="s">
        <v>1448</v>
      </c>
      <c r="D49" s="7" t="s">
        <v>1006</v>
      </c>
      <c r="E49" s="5">
        <v>1508.0</v>
      </c>
      <c r="F49" s="10" t="s">
        <v>3</v>
      </c>
      <c r="G49" s="15">
        <v>9.024286684E9</v>
      </c>
      <c r="H49" s="10"/>
      <c r="I49" s="6">
        <v>18000.0</v>
      </c>
      <c r="J49" s="228">
        <v>6500.0</v>
      </c>
      <c r="K49" s="10"/>
      <c r="L49" s="10"/>
      <c r="M49" s="9">
        <f t="shared" si="1"/>
        <v>24500</v>
      </c>
      <c r="N49" s="9">
        <f t="shared" si="2"/>
        <v>3000</v>
      </c>
      <c r="O49" s="9">
        <f t="shared" si="3"/>
        <v>21500</v>
      </c>
      <c r="P49" s="10"/>
      <c r="Q49" s="15">
        <v>3000.0</v>
      </c>
      <c r="R49" s="16">
        <v>2881.0</v>
      </c>
      <c r="S49" s="17">
        <v>45723.0</v>
      </c>
    </row>
    <row r="50">
      <c r="A50" s="5">
        <v>54.0</v>
      </c>
      <c r="B50" s="6" t="s">
        <v>1449</v>
      </c>
      <c r="C50" s="6" t="s">
        <v>1084</v>
      </c>
      <c r="D50" s="7" t="s">
        <v>1006</v>
      </c>
      <c r="E50" s="5">
        <v>1923.0</v>
      </c>
      <c r="G50" s="6">
        <v>7.742549225E9</v>
      </c>
      <c r="H50" s="6">
        <v>1000.0</v>
      </c>
      <c r="I50" s="15">
        <v>19000.0</v>
      </c>
      <c r="J50" s="238">
        <v>7000.0</v>
      </c>
      <c r="L50" s="6">
        <v>2000.0</v>
      </c>
      <c r="M50" s="9">
        <f t="shared" si="1"/>
        <v>25000</v>
      </c>
      <c r="N50" s="9">
        <f t="shared" si="2"/>
        <v>5000</v>
      </c>
      <c r="O50" s="9">
        <f t="shared" si="3"/>
        <v>20000</v>
      </c>
      <c r="P50" s="6" t="s">
        <v>44</v>
      </c>
      <c r="Q50" s="6">
        <v>5000.0</v>
      </c>
      <c r="R50" s="6">
        <v>3462.0</v>
      </c>
      <c r="S50" s="27">
        <v>45726.0</v>
      </c>
    </row>
    <row r="51">
      <c r="A51" s="5">
        <v>55.0</v>
      </c>
      <c r="B51" s="6" t="s">
        <v>1450</v>
      </c>
      <c r="C51" s="6" t="s">
        <v>1451</v>
      </c>
      <c r="D51" s="7" t="s">
        <v>1006</v>
      </c>
      <c r="E51" s="5">
        <v>1481.0</v>
      </c>
      <c r="G51" s="6">
        <v>8.7698779E9</v>
      </c>
      <c r="I51" s="15">
        <v>19000.0</v>
      </c>
      <c r="J51" s="121"/>
      <c r="M51" s="9">
        <f t="shared" si="1"/>
        <v>19000</v>
      </c>
      <c r="N51" s="9">
        <f t="shared" si="2"/>
        <v>5000</v>
      </c>
      <c r="O51" s="9">
        <f t="shared" si="3"/>
        <v>14000</v>
      </c>
      <c r="Q51" s="6">
        <v>5000.0</v>
      </c>
      <c r="R51" s="6">
        <v>3660.0</v>
      </c>
      <c r="S51" s="27">
        <v>45910.0</v>
      </c>
    </row>
    <row r="52">
      <c r="A52" s="5">
        <v>56.0</v>
      </c>
      <c r="B52" s="6" t="s">
        <v>1452</v>
      </c>
      <c r="C52" s="6" t="s">
        <v>1453</v>
      </c>
      <c r="D52" s="7" t="s">
        <v>1006</v>
      </c>
      <c r="E52" s="5">
        <v>1227.0</v>
      </c>
      <c r="G52" s="6">
        <v>8.209029615E9</v>
      </c>
      <c r="I52" s="15">
        <v>19000.0</v>
      </c>
      <c r="J52" s="121"/>
      <c r="M52" s="9">
        <f t="shared" si="1"/>
        <v>19000</v>
      </c>
      <c r="N52" s="9">
        <f t="shared" si="2"/>
        <v>0</v>
      </c>
      <c r="O52" s="9">
        <f t="shared" si="3"/>
        <v>19000</v>
      </c>
    </row>
    <row r="53">
      <c r="A53" s="5">
        <v>57.0</v>
      </c>
      <c r="B53" s="6" t="s">
        <v>1454</v>
      </c>
      <c r="C53" s="6" t="s">
        <v>1455</v>
      </c>
      <c r="D53" s="7" t="s">
        <v>1006</v>
      </c>
      <c r="E53" s="5">
        <v>1231.0</v>
      </c>
      <c r="G53" s="6">
        <v>9.649877323E9</v>
      </c>
      <c r="I53" s="15">
        <v>19000.0</v>
      </c>
      <c r="J53" s="121"/>
      <c r="M53" s="9">
        <f t="shared" si="1"/>
        <v>19000</v>
      </c>
      <c r="N53" s="9">
        <f t="shared" si="2"/>
        <v>7500</v>
      </c>
      <c r="O53" s="9">
        <f t="shared" si="3"/>
        <v>11500</v>
      </c>
      <c r="Q53" s="6">
        <v>7500.0</v>
      </c>
      <c r="R53" s="6">
        <v>3733.0</v>
      </c>
      <c r="S53" s="240">
        <v>45971.0</v>
      </c>
    </row>
    <row r="54">
      <c r="A54" s="5">
        <v>58.0</v>
      </c>
      <c r="B54" s="6" t="s">
        <v>1456</v>
      </c>
      <c r="C54" s="6" t="s">
        <v>1457</v>
      </c>
      <c r="D54" s="7" t="s">
        <v>1006</v>
      </c>
      <c r="E54" s="5">
        <v>1367.0</v>
      </c>
      <c r="F54" s="10" t="s">
        <v>474</v>
      </c>
      <c r="G54" s="16">
        <v>9.799919435E9</v>
      </c>
      <c r="H54" s="10"/>
      <c r="I54" s="15">
        <v>19000.0</v>
      </c>
      <c r="J54" s="228">
        <v>5000.0</v>
      </c>
      <c r="K54" s="10"/>
      <c r="L54" s="10"/>
      <c r="M54" s="9">
        <f t="shared" si="1"/>
        <v>24000</v>
      </c>
      <c r="N54" s="9">
        <f t="shared" si="2"/>
        <v>20000</v>
      </c>
      <c r="O54" s="9">
        <f t="shared" si="3"/>
        <v>4000</v>
      </c>
      <c r="P54" s="10"/>
      <c r="Q54" s="16">
        <v>10000.0</v>
      </c>
      <c r="R54" s="16">
        <v>3110.0</v>
      </c>
      <c r="S54" s="10" t="s">
        <v>490</v>
      </c>
      <c r="T54" s="6">
        <v>10000.0</v>
      </c>
      <c r="U54" s="6">
        <v>3790.0</v>
      </c>
      <c r="V54" s="27">
        <v>45880.0</v>
      </c>
    </row>
    <row r="55">
      <c r="A55" s="5">
        <v>59.0</v>
      </c>
      <c r="B55" s="6" t="s">
        <v>1458</v>
      </c>
      <c r="C55" s="6" t="s">
        <v>1459</v>
      </c>
      <c r="D55" s="7" t="s">
        <v>1006</v>
      </c>
      <c r="E55" s="5">
        <v>1415.0</v>
      </c>
      <c r="G55" s="6">
        <v>7.976488359E9</v>
      </c>
      <c r="I55" s="15">
        <v>19000.0</v>
      </c>
      <c r="J55" s="121"/>
      <c r="M55" s="9">
        <f t="shared" si="1"/>
        <v>19000</v>
      </c>
      <c r="N55" s="9">
        <f t="shared" si="2"/>
        <v>0</v>
      </c>
      <c r="O55" s="9">
        <f t="shared" si="3"/>
        <v>19000</v>
      </c>
    </row>
    <row r="56">
      <c r="A56" s="5">
        <v>60.0</v>
      </c>
      <c r="B56" s="6" t="s">
        <v>1460</v>
      </c>
      <c r="C56" s="6" t="s">
        <v>1461</v>
      </c>
      <c r="D56" s="7" t="s">
        <v>1006</v>
      </c>
      <c r="E56" s="5">
        <v>1056.0</v>
      </c>
      <c r="F56" s="6" t="s">
        <v>33</v>
      </c>
      <c r="G56" s="6">
        <v>9.799901593E9</v>
      </c>
      <c r="I56" s="15">
        <v>19000.0</v>
      </c>
      <c r="J56" s="238">
        <v>5000.0</v>
      </c>
      <c r="L56" s="6">
        <v>4000.0</v>
      </c>
      <c r="M56" s="9">
        <f t="shared" si="1"/>
        <v>20000</v>
      </c>
      <c r="N56" s="9">
        <f t="shared" si="2"/>
        <v>20000</v>
      </c>
      <c r="O56" s="9">
        <f t="shared" si="3"/>
        <v>0</v>
      </c>
      <c r="P56" s="6" t="s">
        <v>159</v>
      </c>
      <c r="Q56" s="6">
        <v>20000.0</v>
      </c>
      <c r="R56" s="6">
        <v>3358.0</v>
      </c>
      <c r="S56" s="27">
        <v>45666.0</v>
      </c>
    </row>
    <row r="57">
      <c r="A57" s="5">
        <v>61.0</v>
      </c>
      <c r="B57" s="6" t="s">
        <v>1462</v>
      </c>
      <c r="C57" s="6" t="s">
        <v>1463</v>
      </c>
      <c r="D57" s="7" t="s">
        <v>1006</v>
      </c>
      <c r="E57" s="5">
        <v>2032.0</v>
      </c>
      <c r="F57" s="6" t="s">
        <v>126</v>
      </c>
      <c r="G57" s="6">
        <v>9.928637347E9</v>
      </c>
      <c r="H57" s="6">
        <v>1000.0</v>
      </c>
      <c r="I57" s="5">
        <v>19000.0</v>
      </c>
      <c r="J57" s="238">
        <v>5000.0</v>
      </c>
      <c r="M57" s="9">
        <f t="shared" si="1"/>
        <v>25000</v>
      </c>
      <c r="N57" s="9">
        <f t="shared" si="2"/>
        <v>3000</v>
      </c>
      <c r="O57" s="9">
        <f t="shared" si="3"/>
        <v>22000</v>
      </c>
      <c r="Q57" s="6">
        <v>3000.0</v>
      </c>
      <c r="R57" s="6">
        <v>3712.0</v>
      </c>
    </row>
    <row r="58">
      <c r="A58" s="5">
        <v>62.0</v>
      </c>
      <c r="B58" s="6" t="s">
        <v>1464</v>
      </c>
      <c r="C58" s="6" t="s">
        <v>1327</v>
      </c>
      <c r="D58" s="7" t="s">
        <v>1006</v>
      </c>
      <c r="E58" s="5">
        <v>2030.0</v>
      </c>
      <c r="G58" s="6">
        <v>6.367105416E9</v>
      </c>
      <c r="H58" s="6">
        <v>1000.0</v>
      </c>
      <c r="I58" s="5">
        <v>19000.0</v>
      </c>
      <c r="J58" s="121"/>
      <c r="M58" s="9">
        <f t="shared" si="1"/>
        <v>20000</v>
      </c>
      <c r="N58" s="9">
        <f t="shared" si="2"/>
        <v>0</v>
      </c>
      <c r="O58" s="9">
        <f t="shared" si="3"/>
        <v>20000</v>
      </c>
      <c r="P58" s="6" t="s">
        <v>131</v>
      </c>
    </row>
    <row r="59">
      <c r="A59" s="5">
        <v>63.0</v>
      </c>
      <c r="B59" s="6" t="s">
        <v>1465</v>
      </c>
      <c r="C59" s="6" t="s">
        <v>1466</v>
      </c>
      <c r="D59" s="7" t="s">
        <v>1006</v>
      </c>
      <c r="E59" s="5">
        <v>1423.0</v>
      </c>
      <c r="G59" s="6">
        <v>6.378341495E9</v>
      </c>
      <c r="I59" s="15">
        <v>19000.0</v>
      </c>
      <c r="J59" s="121"/>
      <c r="M59" s="9">
        <f t="shared" si="1"/>
        <v>19000</v>
      </c>
      <c r="N59" s="9">
        <f t="shared" si="2"/>
        <v>0</v>
      </c>
      <c r="O59" s="9">
        <f t="shared" si="3"/>
        <v>19000</v>
      </c>
    </row>
    <row r="60">
      <c r="A60" s="5">
        <v>64.0</v>
      </c>
      <c r="B60" s="6" t="s">
        <v>1467</v>
      </c>
      <c r="C60" s="6" t="s">
        <v>1468</v>
      </c>
      <c r="D60" s="7" t="s">
        <v>1006</v>
      </c>
      <c r="E60" s="5">
        <v>1228.0</v>
      </c>
      <c r="G60" s="6">
        <v>8.949853848E9</v>
      </c>
      <c r="I60" s="15">
        <v>19000.0</v>
      </c>
      <c r="J60" s="121"/>
      <c r="M60" s="9">
        <f t="shared" si="1"/>
        <v>19000</v>
      </c>
      <c r="N60" s="9">
        <f t="shared" si="2"/>
        <v>5000</v>
      </c>
      <c r="O60" s="9">
        <f t="shared" si="3"/>
        <v>14000</v>
      </c>
      <c r="Q60" s="6">
        <v>5000.0</v>
      </c>
      <c r="R60" s="6">
        <v>3655.0</v>
      </c>
      <c r="S60" s="27">
        <v>45910.0</v>
      </c>
    </row>
    <row r="61">
      <c r="A61" s="5">
        <v>65.0</v>
      </c>
      <c r="B61" s="6" t="s">
        <v>1469</v>
      </c>
      <c r="C61" s="6" t="s">
        <v>1102</v>
      </c>
      <c r="D61" s="7" t="s">
        <v>1006</v>
      </c>
      <c r="E61" s="5">
        <v>1429.0</v>
      </c>
      <c r="G61" s="6">
        <v>9.82984236E9</v>
      </c>
      <c r="I61" s="15">
        <v>19000.0</v>
      </c>
      <c r="J61" s="121"/>
      <c r="M61" s="9">
        <f t="shared" si="1"/>
        <v>19000</v>
      </c>
      <c r="N61" s="9">
        <f t="shared" si="2"/>
        <v>0</v>
      </c>
      <c r="O61" s="9">
        <f t="shared" si="3"/>
        <v>19000</v>
      </c>
    </row>
    <row r="62">
      <c r="A62" s="5">
        <v>66.0</v>
      </c>
      <c r="B62" s="6" t="s">
        <v>1470</v>
      </c>
      <c r="C62" s="6" t="s">
        <v>1471</v>
      </c>
      <c r="D62" s="7" t="s">
        <v>1006</v>
      </c>
      <c r="E62" s="5">
        <v>1223.0</v>
      </c>
      <c r="G62" s="6">
        <v>9.783834141E9</v>
      </c>
      <c r="I62" s="15">
        <v>19000.0</v>
      </c>
      <c r="J62" s="121"/>
      <c r="M62" s="9">
        <f t="shared" si="1"/>
        <v>19000</v>
      </c>
      <c r="N62" s="9">
        <f t="shared" si="2"/>
        <v>15000</v>
      </c>
      <c r="O62" s="9">
        <f t="shared" si="3"/>
        <v>4000</v>
      </c>
      <c r="Q62" s="6">
        <v>15000.0</v>
      </c>
      <c r="R62" s="6">
        <v>4021.0</v>
      </c>
      <c r="S62" s="6" t="s">
        <v>261</v>
      </c>
    </row>
    <row r="63">
      <c r="A63" s="5">
        <v>68.0</v>
      </c>
      <c r="B63" s="6" t="s">
        <v>1472</v>
      </c>
      <c r="C63" s="6" t="s">
        <v>1473</v>
      </c>
      <c r="D63" s="7" t="s">
        <v>2</v>
      </c>
      <c r="E63" s="5">
        <v>1050.0</v>
      </c>
      <c r="F63" s="6" t="s">
        <v>1474</v>
      </c>
      <c r="G63" s="6">
        <v>9.784526264E9</v>
      </c>
      <c r="I63" s="5">
        <v>22000.0</v>
      </c>
      <c r="J63" s="238">
        <v>7500.0</v>
      </c>
      <c r="L63" s="6">
        <v>2000.0</v>
      </c>
      <c r="M63" s="9">
        <f t="shared" si="1"/>
        <v>27500</v>
      </c>
      <c r="N63" s="9">
        <f t="shared" si="2"/>
        <v>0</v>
      </c>
      <c r="O63" s="9">
        <f t="shared" si="3"/>
        <v>27500</v>
      </c>
      <c r="P63" s="6" t="s">
        <v>44</v>
      </c>
    </row>
    <row r="64">
      <c r="A64" s="9"/>
      <c r="D64" s="13"/>
      <c r="E64" s="9"/>
      <c r="I64" s="9"/>
      <c r="J64" s="121"/>
      <c r="M64" s="9"/>
      <c r="N64" s="9"/>
      <c r="O64" s="9"/>
    </row>
    <row r="65">
      <c r="A65" s="9"/>
      <c r="D65" s="13"/>
      <c r="E65" s="9"/>
      <c r="I65" s="9"/>
      <c r="J65" s="121"/>
      <c r="M65" s="9"/>
      <c r="N65" s="9"/>
      <c r="O65" s="9"/>
    </row>
    <row r="66">
      <c r="A66" s="9"/>
      <c r="D66" s="13"/>
      <c r="E66" s="9"/>
      <c r="I66" s="9"/>
      <c r="J66" s="121"/>
      <c r="M66" s="9"/>
      <c r="N66" s="9"/>
      <c r="O66" s="9"/>
    </row>
    <row r="67">
      <c r="A67" s="9"/>
      <c r="D67" s="13"/>
      <c r="E67" s="9"/>
      <c r="I67" s="9"/>
      <c r="J67" s="121"/>
      <c r="M67" s="9"/>
      <c r="N67" s="9"/>
      <c r="O67" s="9"/>
    </row>
    <row r="68">
      <c r="A68" s="9"/>
      <c r="D68" s="13"/>
      <c r="E68" s="9"/>
      <c r="I68" s="9"/>
      <c r="J68" s="121"/>
      <c r="M68" s="9"/>
      <c r="N68" s="9"/>
      <c r="O68" s="9"/>
    </row>
    <row r="69">
      <c r="A69" s="9"/>
      <c r="D69" s="13"/>
      <c r="E69" s="9"/>
      <c r="I69" s="9"/>
      <c r="J69" s="121"/>
      <c r="M69" s="9"/>
      <c r="N69" s="9"/>
      <c r="O69" s="9"/>
    </row>
    <row r="70">
      <c r="A70" s="9"/>
      <c r="D70" s="13"/>
      <c r="E70" s="9"/>
      <c r="I70" s="9"/>
      <c r="J70" s="121"/>
      <c r="M70" s="9"/>
      <c r="N70" s="9"/>
      <c r="O70" s="9"/>
    </row>
    <row r="71">
      <c r="A71" s="9"/>
      <c r="D71" s="13"/>
      <c r="E71" s="9"/>
      <c r="I71" s="9"/>
      <c r="J71" s="121"/>
      <c r="M71" s="9"/>
      <c r="N71" s="9"/>
      <c r="O71" s="9"/>
    </row>
    <row r="72">
      <c r="A72" s="9"/>
      <c r="D72" s="13"/>
      <c r="E72" s="9"/>
      <c r="I72" s="9"/>
      <c r="J72" s="121"/>
      <c r="M72" s="9"/>
      <c r="N72" s="9"/>
      <c r="O72" s="9"/>
    </row>
    <row r="73">
      <c r="A73" s="9"/>
      <c r="D73" s="13"/>
      <c r="E73" s="9"/>
      <c r="I73" s="9"/>
      <c r="J73" s="121"/>
      <c r="M73" s="9"/>
      <c r="N73" s="9"/>
      <c r="O73" s="9"/>
    </row>
    <row r="74">
      <c r="A74" s="9"/>
      <c r="D74" s="13"/>
      <c r="E74" s="9"/>
      <c r="I74" s="9"/>
      <c r="J74" s="121"/>
      <c r="M74" s="9"/>
      <c r="N74" s="9"/>
      <c r="O74" s="9"/>
    </row>
    <row r="75">
      <c r="A75" s="9"/>
      <c r="D75" s="13"/>
      <c r="E75" s="9"/>
      <c r="I75" s="9"/>
      <c r="J75" s="121"/>
      <c r="M75" s="9"/>
      <c r="N75" s="9"/>
      <c r="O75" s="9"/>
    </row>
    <row r="76">
      <c r="A76" s="9"/>
      <c r="D76" s="13"/>
      <c r="E76" s="9"/>
      <c r="I76" s="9"/>
      <c r="J76" s="121"/>
      <c r="M76" s="9"/>
      <c r="N76" s="9"/>
      <c r="O76" s="9"/>
    </row>
    <row r="77">
      <c r="A77" s="9"/>
      <c r="D77" s="13"/>
      <c r="E77" s="9"/>
      <c r="I77" s="9"/>
      <c r="J77" s="121"/>
      <c r="M77" s="9"/>
      <c r="N77" s="9"/>
      <c r="O77" s="9"/>
    </row>
    <row r="78">
      <c r="A78" s="9"/>
      <c r="D78" s="13"/>
      <c r="E78" s="9"/>
      <c r="I78" s="9"/>
      <c r="J78" s="121"/>
      <c r="M78" s="9"/>
      <c r="N78" s="9"/>
      <c r="O78" s="9"/>
    </row>
    <row r="79">
      <c r="A79" s="9"/>
      <c r="D79" s="13"/>
      <c r="E79" s="9"/>
      <c r="I79" s="9"/>
      <c r="J79" s="121"/>
      <c r="M79" s="9"/>
      <c r="N79" s="9"/>
      <c r="O79" s="9"/>
    </row>
    <row r="80">
      <c r="A80" s="9"/>
      <c r="D80" s="13"/>
      <c r="E80" s="9"/>
      <c r="I80" s="9"/>
      <c r="J80" s="121"/>
      <c r="M80" s="9"/>
      <c r="N80" s="9"/>
      <c r="O80" s="9"/>
    </row>
    <row r="81">
      <c r="A81" s="9"/>
      <c r="D81" s="13"/>
      <c r="E81" s="9"/>
      <c r="I81" s="9"/>
      <c r="J81" s="121"/>
      <c r="M81" s="9"/>
      <c r="N81" s="9"/>
      <c r="O81" s="9"/>
    </row>
    <row r="82">
      <c r="A82" s="9"/>
      <c r="D82" s="13"/>
      <c r="E82" s="9"/>
      <c r="I82" s="9"/>
      <c r="J82" s="121"/>
      <c r="M82" s="9"/>
      <c r="N82" s="9"/>
      <c r="O82" s="9"/>
    </row>
    <row r="83">
      <c r="A83" s="9"/>
      <c r="D83" s="13"/>
      <c r="E83" s="9"/>
      <c r="I83" s="9"/>
      <c r="J83" s="121"/>
      <c r="M83" s="9"/>
      <c r="N83" s="9"/>
      <c r="O83" s="9"/>
    </row>
    <row r="84">
      <c r="A84" s="9"/>
      <c r="D84" s="13"/>
      <c r="E84" s="9"/>
      <c r="I84" s="9"/>
      <c r="J84" s="121"/>
      <c r="M84" s="9"/>
      <c r="N84" s="9"/>
      <c r="O84" s="9"/>
    </row>
    <row r="85">
      <c r="A85" s="9"/>
      <c r="D85" s="13"/>
      <c r="E85" s="9"/>
      <c r="I85" s="9"/>
      <c r="J85" s="121"/>
      <c r="M85" s="9"/>
      <c r="N85" s="9"/>
      <c r="O85" s="9"/>
    </row>
    <row r="86">
      <c r="A86" s="9"/>
      <c r="D86" s="13"/>
      <c r="E86" s="9"/>
      <c r="I86" s="9"/>
      <c r="J86" s="121"/>
      <c r="M86" s="9"/>
      <c r="N86" s="9"/>
      <c r="O86" s="9"/>
    </row>
    <row r="87">
      <c r="A87" s="9"/>
      <c r="D87" s="13"/>
      <c r="E87" s="9"/>
      <c r="I87" s="9"/>
      <c r="J87" s="121"/>
      <c r="M87" s="9"/>
      <c r="N87" s="9"/>
      <c r="O87" s="9"/>
    </row>
    <row r="88">
      <c r="A88" s="9"/>
      <c r="D88" s="13"/>
      <c r="E88" s="9"/>
      <c r="I88" s="9"/>
      <c r="J88" s="121"/>
      <c r="M88" s="9"/>
      <c r="N88" s="9"/>
      <c r="O88" s="9"/>
    </row>
    <row r="89">
      <c r="A89" s="9"/>
      <c r="D89" s="13"/>
      <c r="E89" s="9"/>
      <c r="I89" s="9"/>
      <c r="J89" s="121"/>
      <c r="M89" s="9"/>
      <c r="N89" s="9"/>
      <c r="O89" s="9"/>
    </row>
    <row r="90">
      <c r="A90" s="9"/>
      <c r="D90" s="13"/>
      <c r="E90" s="9"/>
      <c r="I90" s="9"/>
      <c r="J90" s="121"/>
      <c r="M90" s="9"/>
      <c r="N90" s="9"/>
      <c r="O90" s="9"/>
    </row>
    <row r="91">
      <c r="A91" s="9"/>
      <c r="D91" s="13"/>
      <c r="E91" s="9"/>
      <c r="I91" s="9"/>
      <c r="J91" s="121"/>
      <c r="M91" s="9"/>
      <c r="N91" s="9"/>
      <c r="O91" s="9"/>
    </row>
    <row r="92">
      <c r="A92" s="9"/>
      <c r="D92" s="13"/>
      <c r="E92" s="9"/>
      <c r="I92" s="9"/>
      <c r="J92" s="121"/>
      <c r="M92" s="9"/>
      <c r="N92" s="9"/>
      <c r="O92" s="9"/>
    </row>
    <row r="93">
      <c r="A93" s="9"/>
      <c r="D93" s="13"/>
      <c r="E93" s="9"/>
      <c r="I93" s="9"/>
      <c r="J93" s="121"/>
      <c r="M93" s="9"/>
      <c r="N93" s="9"/>
      <c r="O93" s="9"/>
    </row>
    <row r="94">
      <c r="A94" s="9"/>
      <c r="D94" s="13"/>
      <c r="E94" s="9"/>
      <c r="I94" s="9"/>
      <c r="J94" s="121"/>
      <c r="M94" s="9"/>
      <c r="N94" s="9"/>
      <c r="O94" s="9"/>
    </row>
    <row r="95">
      <c r="A95" s="9"/>
      <c r="D95" s="13"/>
      <c r="E95" s="9"/>
      <c r="I95" s="9"/>
      <c r="J95" s="121"/>
      <c r="M95" s="9"/>
      <c r="N95" s="9"/>
      <c r="O95" s="9"/>
    </row>
    <row r="96">
      <c r="A96" s="9"/>
      <c r="D96" s="13"/>
      <c r="E96" s="9"/>
      <c r="I96" s="9"/>
      <c r="J96" s="121"/>
      <c r="M96" s="9"/>
      <c r="N96" s="9"/>
      <c r="O96" s="9"/>
    </row>
    <row r="97">
      <c r="A97" s="9"/>
      <c r="D97" s="13"/>
      <c r="E97" s="9"/>
      <c r="I97" s="9"/>
      <c r="J97" s="121"/>
      <c r="M97" s="9"/>
      <c r="N97" s="9"/>
      <c r="O97" s="9"/>
    </row>
    <row r="98">
      <c r="A98" s="9"/>
      <c r="D98" s="13"/>
      <c r="E98" s="9"/>
      <c r="I98" s="9"/>
      <c r="J98" s="121"/>
      <c r="M98" s="9"/>
      <c r="N98" s="9"/>
      <c r="O98" s="9"/>
    </row>
    <row r="99">
      <c r="A99" s="9"/>
      <c r="D99" s="13"/>
      <c r="E99" s="9"/>
      <c r="I99" s="9"/>
      <c r="J99" s="121"/>
      <c r="M99" s="9"/>
      <c r="N99" s="9"/>
      <c r="O99" s="9"/>
    </row>
    <row r="100">
      <c r="A100" s="9"/>
      <c r="D100" s="13"/>
      <c r="E100" s="9"/>
      <c r="I100" s="9"/>
      <c r="J100" s="121"/>
      <c r="M100" s="9"/>
      <c r="N100" s="9"/>
      <c r="O100" s="9"/>
    </row>
    <row r="101">
      <c r="A101" s="9"/>
      <c r="D101" s="13"/>
      <c r="E101" s="9"/>
      <c r="I101" s="9"/>
      <c r="J101" s="121"/>
      <c r="M101" s="9"/>
      <c r="N101" s="9"/>
      <c r="O101" s="9"/>
    </row>
    <row r="102">
      <c r="A102" s="9"/>
      <c r="D102" s="13"/>
      <c r="E102" s="9"/>
      <c r="I102" s="9"/>
      <c r="J102" s="121"/>
      <c r="M102" s="9"/>
      <c r="N102" s="9"/>
      <c r="O102" s="9"/>
    </row>
    <row r="103">
      <c r="A103" s="9"/>
      <c r="D103" s="13"/>
      <c r="E103" s="9"/>
      <c r="I103" s="9"/>
      <c r="J103" s="121"/>
      <c r="M103" s="9"/>
      <c r="N103" s="9"/>
      <c r="O103" s="9"/>
    </row>
    <row r="104">
      <c r="A104" s="9"/>
      <c r="D104" s="13"/>
      <c r="E104" s="9"/>
      <c r="I104" s="9"/>
      <c r="J104" s="121"/>
      <c r="M104" s="9"/>
      <c r="N104" s="9"/>
      <c r="O104" s="9"/>
    </row>
    <row r="105">
      <c r="A105" s="9"/>
      <c r="D105" s="13"/>
      <c r="E105" s="9"/>
      <c r="I105" s="9"/>
      <c r="J105" s="121"/>
      <c r="M105" s="9"/>
      <c r="N105" s="9"/>
      <c r="O105" s="9"/>
    </row>
    <row r="106">
      <c r="A106" s="9"/>
      <c r="D106" s="13"/>
      <c r="E106" s="9"/>
      <c r="I106" s="9"/>
      <c r="J106" s="121"/>
      <c r="M106" s="9"/>
      <c r="N106" s="9"/>
      <c r="O106" s="9"/>
    </row>
    <row r="107">
      <c r="A107" s="9"/>
      <c r="D107" s="13"/>
      <c r="E107" s="9"/>
      <c r="I107" s="9"/>
      <c r="J107" s="121"/>
      <c r="M107" s="9"/>
      <c r="N107" s="9"/>
      <c r="O107" s="9"/>
    </row>
    <row r="108">
      <c r="A108" s="9"/>
      <c r="D108" s="13"/>
      <c r="E108" s="9"/>
      <c r="I108" s="9"/>
      <c r="J108" s="121"/>
      <c r="M108" s="9"/>
      <c r="N108" s="9"/>
      <c r="O108" s="9"/>
    </row>
    <row r="109">
      <c r="A109" s="9"/>
      <c r="D109" s="13"/>
      <c r="E109" s="9"/>
      <c r="I109" s="9"/>
      <c r="J109" s="121"/>
      <c r="M109" s="9"/>
      <c r="N109" s="9"/>
      <c r="O109" s="9"/>
    </row>
    <row r="110">
      <c r="A110" s="9"/>
      <c r="D110" s="13"/>
      <c r="E110" s="9"/>
      <c r="I110" s="9"/>
      <c r="J110" s="121"/>
      <c r="M110" s="9"/>
      <c r="N110" s="9"/>
      <c r="O110" s="9"/>
    </row>
    <row r="111">
      <c r="A111" s="9"/>
      <c r="D111" s="13"/>
      <c r="E111" s="9"/>
      <c r="I111" s="9"/>
      <c r="J111" s="121"/>
      <c r="M111" s="9"/>
      <c r="N111" s="9"/>
      <c r="O111" s="9"/>
    </row>
    <row r="112">
      <c r="A112" s="9"/>
      <c r="D112" s="13"/>
      <c r="E112" s="9"/>
      <c r="I112" s="9"/>
      <c r="J112" s="121"/>
      <c r="M112" s="9"/>
      <c r="N112" s="9"/>
      <c r="O112" s="9"/>
    </row>
    <row r="113">
      <c r="A113" s="9"/>
      <c r="D113" s="13"/>
      <c r="E113" s="9"/>
      <c r="I113" s="9"/>
      <c r="J113" s="121"/>
      <c r="M113" s="9"/>
      <c r="N113" s="9"/>
      <c r="O113" s="9"/>
    </row>
    <row r="114">
      <c r="A114" s="9"/>
      <c r="D114" s="13"/>
      <c r="E114" s="9"/>
      <c r="I114" s="9"/>
      <c r="J114" s="121"/>
      <c r="M114" s="9"/>
      <c r="N114" s="9"/>
      <c r="O114" s="9"/>
    </row>
    <row r="115">
      <c r="A115" s="9"/>
      <c r="D115" s="13"/>
      <c r="E115" s="9"/>
      <c r="I115" s="9"/>
      <c r="J115" s="121"/>
      <c r="M115" s="9"/>
      <c r="N115" s="9"/>
      <c r="O115" s="9"/>
    </row>
    <row r="116">
      <c r="A116" s="9"/>
      <c r="D116" s="13"/>
      <c r="E116" s="9"/>
      <c r="I116" s="9"/>
      <c r="J116" s="121"/>
      <c r="M116" s="9"/>
      <c r="N116" s="9"/>
      <c r="O116" s="9"/>
    </row>
    <row r="117">
      <c r="A117" s="9"/>
      <c r="D117" s="13"/>
      <c r="E117" s="9"/>
      <c r="I117" s="9"/>
      <c r="J117" s="121"/>
      <c r="M117" s="9"/>
      <c r="N117" s="9"/>
      <c r="O117" s="9"/>
    </row>
    <row r="118">
      <c r="A118" s="9"/>
      <c r="D118" s="13"/>
      <c r="E118" s="9"/>
      <c r="I118" s="9"/>
      <c r="J118" s="121"/>
      <c r="M118" s="9"/>
      <c r="N118" s="9"/>
      <c r="O118" s="9"/>
    </row>
    <row r="119">
      <c r="A119" s="9"/>
      <c r="D119" s="13"/>
      <c r="E119" s="9"/>
      <c r="I119" s="9"/>
      <c r="J119" s="121"/>
      <c r="M119" s="9"/>
      <c r="N119" s="9"/>
      <c r="O119" s="9"/>
    </row>
    <row r="120">
      <c r="A120" s="9"/>
      <c r="D120" s="13"/>
      <c r="E120" s="9"/>
      <c r="I120" s="9"/>
      <c r="J120" s="121"/>
      <c r="M120" s="9"/>
      <c r="N120" s="9"/>
      <c r="O120" s="9"/>
    </row>
    <row r="121">
      <c r="A121" s="9"/>
      <c r="D121" s="13"/>
      <c r="E121" s="9"/>
      <c r="I121" s="9"/>
      <c r="J121" s="121"/>
      <c r="M121" s="9"/>
      <c r="N121" s="9"/>
      <c r="O121" s="9"/>
    </row>
    <row r="122">
      <c r="A122" s="9"/>
      <c r="D122" s="13"/>
      <c r="E122" s="9"/>
      <c r="I122" s="9"/>
      <c r="J122" s="121"/>
      <c r="M122" s="9"/>
      <c r="N122" s="9"/>
      <c r="O122" s="9"/>
    </row>
    <row r="123">
      <c r="A123" s="9"/>
      <c r="D123" s="13"/>
      <c r="E123" s="9"/>
      <c r="I123" s="9"/>
      <c r="J123" s="121"/>
      <c r="M123" s="9"/>
      <c r="N123" s="9"/>
      <c r="O123" s="9"/>
    </row>
    <row r="124">
      <c r="A124" s="9"/>
      <c r="D124" s="13"/>
      <c r="E124" s="9"/>
      <c r="I124" s="9"/>
      <c r="J124" s="121"/>
      <c r="M124" s="9"/>
      <c r="N124" s="9"/>
      <c r="O124" s="9"/>
    </row>
    <row r="125">
      <c r="A125" s="9"/>
      <c r="D125" s="13"/>
      <c r="E125" s="9"/>
      <c r="I125" s="9"/>
      <c r="J125" s="121"/>
      <c r="M125" s="9"/>
      <c r="N125" s="9"/>
      <c r="O125" s="9"/>
    </row>
    <row r="126">
      <c r="A126" s="9"/>
      <c r="D126" s="13"/>
      <c r="E126" s="9"/>
      <c r="I126" s="9"/>
      <c r="J126" s="121"/>
      <c r="M126" s="9"/>
      <c r="N126" s="9"/>
      <c r="O126" s="9"/>
    </row>
    <row r="127">
      <c r="A127" s="9"/>
      <c r="D127" s="13"/>
      <c r="E127" s="9"/>
      <c r="I127" s="9"/>
      <c r="J127" s="121"/>
      <c r="M127" s="9"/>
      <c r="N127" s="9"/>
      <c r="O127" s="9"/>
    </row>
    <row r="128">
      <c r="A128" s="9"/>
      <c r="D128" s="13"/>
      <c r="E128" s="9"/>
      <c r="I128" s="9"/>
      <c r="J128" s="121"/>
      <c r="M128" s="9"/>
      <c r="N128" s="9"/>
      <c r="O128" s="9"/>
    </row>
    <row r="129">
      <c r="A129" s="9"/>
      <c r="D129" s="13"/>
      <c r="E129" s="9"/>
      <c r="I129" s="9"/>
      <c r="J129" s="121"/>
      <c r="M129" s="9"/>
      <c r="N129" s="9"/>
      <c r="O129" s="9"/>
    </row>
    <row r="130">
      <c r="A130" s="9"/>
      <c r="D130" s="13"/>
      <c r="E130" s="9"/>
      <c r="I130" s="9"/>
      <c r="J130" s="121"/>
      <c r="M130" s="9"/>
      <c r="N130" s="9"/>
      <c r="O130" s="9"/>
    </row>
    <row r="131">
      <c r="A131" s="9"/>
      <c r="D131" s="13"/>
      <c r="E131" s="9"/>
      <c r="I131" s="9"/>
      <c r="J131" s="121"/>
      <c r="M131" s="9"/>
      <c r="N131" s="9"/>
      <c r="O131" s="9"/>
    </row>
    <row r="132">
      <c r="A132" s="9"/>
      <c r="D132" s="13"/>
      <c r="E132" s="9"/>
      <c r="I132" s="9"/>
      <c r="J132" s="121"/>
      <c r="M132" s="9"/>
      <c r="N132" s="9"/>
      <c r="O132" s="9"/>
    </row>
    <row r="133">
      <c r="A133" s="9"/>
      <c r="D133" s="13"/>
      <c r="E133" s="9"/>
      <c r="I133" s="9"/>
      <c r="J133" s="121"/>
      <c r="M133" s="9"/>
      <c r="N133" s="9"/>
      <c r="O133" s="9"/>
    </row>
    <row r="134">
      <c r="A134" s="9"/>
      <c r="D134" s="13"/>
      <c r="E134" s="9"/>
      <c r="I134" s="9"/>
      <c r="J134" s="121"/>
      <c r="M134" s="9"/>
      <c r="N134" s="9"/>
      <c r="O134" s="9"/>
    </row>
    <row r="135">
      <c r="A135" s="9"/>
      <c r="D135" s="13"/>
      <c r="E135" s="9"/>
      <c r="I135" s="9"/>
      <c r="J135" s="121"/>
      <c r="M135" s="9"/>
      <c r="N135" s="9"/>
      <c r="O135" s="9"/>
    </row>
    <row r="136">
      <c r="A136" s="9"/>
      <c r="D136" s="13"/>
      <c r="E136" s="9"/>
      <c r="I136" s="9"/>
      <c r="J136" s="121"/>
      <c r="M136" s="9"/>
      <c r="N136" s="9"/>
      <c r="O136" s="9"/>
    </row>
    <row r="137">
      <c r="A137" s="9"/>
      <c r="D137" s="13"/>
      <c r="E137" s="9"/>
      <c r="I137" s="9"/>
      <c r="J137" s="121"/>
      <c r="M137" s="9"/>
      <c r="N137" s="9"/>
      <c r="O137" s="9"/>
    </row>
    <row r="138">
      <c r="A138" s="9"/>
      <c r="D138" s="13"/>
      <c r="E138" s="9"/>
      <c r="I138" s="9"/>
      <c r="J138" s="121"/>
      <c r="M138" s="9"/>
      <c r="N138" s="9"/>
      <c r="O138" s="9"/>
    </row>
    <row r="139">
      <c r="A139" s="9"/>
      <c r="D139" s="13"/>
      <c r="E139" s="9"/>
      <c r="I139" s="9"/>
      <c r="J139" s="121"/>
      <c r="M139" s="9"/>
      <c r="N139" s="9"/>
      <c r="O139" s="9"/>
    </row>
    <row r="140">
      <c r="A140" s="9"/>
      <c r="D140" s="13"/>
      <c r="E140" s="9"/>
      <c r="I140" s="9"/>
      <c r="J140" s="121"/>
      <c r="M140" s="9"/>
      <c r="N140" s="9"/>
      <c r="O140" s="9"/>
    </row>
    <row r="141">
      <c r="A141" s="9"/>
      <c r="D141" s="13"/>
      <c r="E141" s="9"/>
      <c r="I141" s="9"/>
      <c r="J141" s="121"/>
      <c r="M141" s="9"/>
      <c r="N141" s="9"/>
      <c r="O141" s="9"/>
    </row>
    <row r="142">
      <c r="A142" s="9"/>
      <c r="D142" s="13"/>
      <c r="E142" s="9"/>
      <c r="I142" s="9"/>
      <c r="J142" s="121"/>
      <c r="M142" s="9"/>
      <c r="N142" s="9"/>
      <c r="O142" s="9"/>
    </row>
    <row r="143">
      <c r="A143" s="9"/>
      <c r="D143" s="13"/>
      <c r="E143" s="9"/>
      <c r="I143" s="9"/>
      <c r="J143" s="121"/>
      <c r="M143" s="9"/>
      <c r="N143" s="9"/>
      <c r="O143" s="9"/>
    </row>
    <row r="144">
      <c r="A144" s="9"/>
      <c r="D144" s="13"/>
      <c r="E144" s="9"/>
      <c r="I144" s="9"/>
      <c r="J144" s="121"/>
      <c r="M144" s="9"/>
      <c r="N144" s="9"/>
      <c r="O144" s="9"/>
    </row>
    <row r="145">
      <c r="A145" s="9"/>
      <c r="D145" s="13"/>
      <c r="E145" s="9"/>
      <c r="I145" s="9"/>
      <c r="J145" s="121"/>
      <c r="M145" s="9"/>
      <c r="N145" s="9"/>
      <c r="O145" s="9"/>
    </row>
    <row r="146">
      <c r="A146" s="9"/>
      <c r="D146" s="13"/>
      <c r="E146" s="9"/>
      <c r="I146" s="9"/>
      <c r="J146" s="121"/>
      <c r="M146" s="9"/>
      <c r="N146" s="9"/>
      <c r="O146" s="9"/>
    </row>
    <row r="147">
      <c r="A147" s="9"/>
      <c r="D147" s="13"/>
      <c r="E147" s="9"/>
      <c r="I147" s="9"/>
      <c r="J147" s="121"/>
      <c r="M147" s="9"/>
      <c r="N147" s="9"/>
      <c r="O147" s="9"/>
    </row>
    <row r="148">
      <c r="A148" s="9"/>
      <c r="D148" s="13"/>
      <c r="E148" s="9"/>
      <c r="I148" s="9"/>
      <c r="J148" s="121"/>
      <c r="M148" s="9"/>
      <c r="N148" s="9"/>
      <c r="O148" s="9"/>
    </row>
    <row r="149">
      <c r="A149" s="9"/>
      <c r="D149" s="13"/>
      <c r="E149" s="9"/>
      <c r="I149" s="9"/>
      <c r="J149" s="121"/>
      <c r="M149" s="9"/>
      <c r="N149" s="9"/>
      <c r="O149" s="9"/>
    </row>
    <row r="150">
      <c r="A150" s="9"/>
      <c r="D150" s="13"/>
      <c r="E150" s="9"/>
      <c r="I150" s="9"/>
      <c r="J150" s="121"/>
      <c r="M150" s="9"/>
      <c r="N150" s="9"/>
      <c r="O150" s="9"/>
    </row>
    <row r="151">
      <c r="A151" s="9"/>
      <c r="D151" s="13"/>
      <c r="E151" s="9"/>
      <c r="I151" s="9"/>
      <c r="J151" s="121"/>
      <c r="M151" s="9"/>
      <c r="N151" s="9"/>
      <c r="O151" s="9"/>
    </row>
    <row r="152">
      <c r="A152" s="9"/>
      <c r="D152" s="13"/>
      <c r="E152" s="9"/>
      <c r="I152" s="9"/>
      <c r="J152" s="121"/>
      <c r="M152" s="9"/>
      <c r="N152" s="9"/>
      <c r="O152" s="9"/>
    </row>
    <row r="153">
      <c r="A153" s="9"/>
      <c r="D153" s="13"/>
      <c r="E153" s="9"/>
      <c r="I153" s="9"/>
      <c r="J153" s="121"/>
      <c r="M153" s="9"/>
      <c r="N153" s="9"/>
      <c r="O153" s="9"/>
    </row>
    <row r="154">
      <c r="A154" s="9"/>
      <c r="D154" s="13"/>
      <c r="E154" s="9"/>
      <c r="I154" s="9"/>
      <c r="J154" s="121"/>
      <c r="M154" s="9"/>
      <c r="N154" s="9"/>
      <c r="O154" s="9"/>
    </row>
    <row r="155">
      <c r="A155" s="9"/>
      <c r="D155" s="13"/>
      <c r="E155" s="9"/>
      <c r="I155" s="9"/>
      <c r="J155" s="121"/>
      <c r="M155" s="9"/>
      <c r="N155" s="9"/>
      <c r="O155" s="9"/>
    </row>
    <row r="156">
      <c r="A156" s="9"/>
      <c r="D156" s="13"/>
      <c r="E156" s="9"/>
      <c r="I156" s="9"/>
      <c r="J156" s="121"/>
      <c r="M156" s="9"/>
      <c r="N156" s="9"/>
      <c r="O156" s="9"/>
    </row>
    <row r="157">
      <c r="A157" s="9"/>
      <c r="D157" s="13"/>
      <c r="E157" s="9"/>
      <c r="I157" s="9"/>
      <c r="J157" s="121"/>
      <c r="M157" s="9"/>
      <c r="N157" s="9"/>
      <c r="O157" s="9"/>
    </row>
    <row r="158">
      <c r="A158" s="9"/>
      <c r="D158" s="13"/>
      <c r="E158" s="9"/>
      <c r="I158" s="9"/>
      <c r="J158" s="121"/>
      <c r="M158" s="9"/>
      <c r="N158" s="9"/>
      <c r="O158" s="9"/>
    </row>
    <row r="159">
      <c r="A159" s="9"/>
      <c r="D159" s="13"/>
      <c r="E159" s="9"/>
      <c r="I159" s="9"/>
      <c r="J159" s="121"/>
      <c r="M159" s="9"/>
      <c r="N159" s="9"/>
      <c r="O159" s="9"/>
    </row>
    <row r="160">
      <c r="A160" s="9"/>
      <c r="D160" s="13"/>
      <c r="E160" s="9"/>
      <c r="I160" s="9"/>
      <c r="J160" s="121"/>
      <c r="M160" s="9"/>
      <c r="N160" s="9"/>
      <c r="O160" s="9"/>
    </row>
    <row r="161">
      <c r="A161" s="9"/>
      <c r="D161" s="13"/>
      <c r="E161" s="9"/>
      <c r="I161" s="9"/>
      <c r="J161" s="121"/>
      <c r="M161" s="9"/>
      <c r="N161" s="9"/>
      <c r="O161" s="9"/>
    </row>
    <row r="162">
      <c r="A162" s="9"/>
      <c r="D162" s="13"/>
      <c r="E162" s="9"/>
      <c r="I162" s="9"/>
      <c r="J162" s="121"/>
      <c r="M162" s="9"/>
      <c r="N162" s="9"/>
      <c r="O162" s="9"/>
    </row>
    <row r="163">
      <c r="A163" s="9"/>
      <c r="D163" s="13"/>
      <c r="E163" s="9"/>
      <c r="I163" s="9"/>
      <c r="J163" s="121"/>
      <c r="M163" s="9"/>
      <c r="N163" s="9"/>
      <c r="O163" s="9"/>
    </row>
    <row r="164">
      <c r="A164" s="9"/>
      <c r="D164" s="13"/>
      <c r="E164" s="9"/>
      <c r="I164" s="9"/>
      <c r="J164" s="121"/>
      <c r="M164" s="9"/>
      <c r="N164" s="9"/>
      <c r="O164" s="9"/>
    </row>
    <row r="165">
      <c r="A165" s="9"/>
      <c r="D165" s="13"/>
      <c r="E165" s="9"/>
      <c r="I165" s="9"/>
      <c r="J165" s="121"/>
      <c r="M165" s="9"/>
      <c r="N165" s="9"/>
      <c r="O165" s="9"/>
    </row>
    <row r="166">
      <c r="A166" s="9"/>
      <c r="D166" s="13"/>
      <c r="E166" s="9"/>
      <c r="I166" s="9"/>
      <c r="J166" s="121"/>
      <c r="M166" s="9"/>
      <c r="N166" s="9"/>
      <c r="O166" s="9"/>
    </row>
    <row r="167">
      <c r="A167" s="9"/>
      <c r="D167" s="13"/>
      <c r="E167" s="9"/>
      <c r="I167" s="9"/>
      <c r="J167" s="121"/>
      <c r="M167" s="9"/>
      <c r="N167" s="9"/>
      <c r="O167" s="9"/>
    </row>
    <row r="168">
      <c r="A168" s="9"/>
      <c r="D168" s="13"/>
      <c r="E168" s="9"/>
      <c r="I168" s="9"/>
      <c r="J168" s="121"/>
      <c r="M168" s="9"/>
      <c r="N168" s="9"/>
      <c r="O168" s="9"/>
    </row>
    <row r="169">
      <c r="A169" s="9"/>
      <c r="D169" s="13"/>
      <c r="E169" s="9"/>
      <c r="I169" s="9"/>
      <c r="J169" s="121"/>
      <c r="M169" s="9"/>
      <c r="N169" s="9"/>
      <c r="O169" s="9"/>
    </row>
    <row r="170">
      <c r="A170" s="9"/>
      <c r="D170" s="13"/>
      <c r="E170" s="9"/>
      <c r="I170" s="9"/>
      <c r="J170" s="121"/>
      <c r="M170" s="9"/>
      <c r="N170" s="9"/>
      <c r="O170" s="9"/>
    </row>
    <row r="171">
      <c r="A171" s="9"/>
      <c r="D171" s="13"/>
      <c r="E171" s="9"/>
      <c r="I171" s="9"/>
      <c r="J171" s="121"/>
      <c r="M171" s="9"/>
      <c r="N171" s="9"/>
      <c r="O171" s="9"/>
    </row>
    <row r="172">
      <c r="A172" s="9"/>
      <c r="D172" s="13"/>
      <c r="E172" s="9"/>
      <c r="I172" s="9"/>
      <c r="J172" s="121"/>
      <c r="M172" s="9"/>
      <c r="N172" s="9"/>
      <c r="O172" s="9"/>
    </row>
    <row r="173">
      <c r="A173" s="9"/>
      <c r="D173" s="13"/>
      <c r="E173" s="9"/>
      <c r="I173" s="9"/>
      <c r="J173" s="121"/>
      <c r="M173" s="9"/>
      <c r="N173" s="9"/>
      <c r="O173" s="9"/>
    </row>
    <row r="174">
      <c r="A174" s="9"/>
      <c r="D174" s="13"/>
      <c r="E174" s="9"/>
      <c r="I174" s="9"/>
      <c r="J174" s="121"/>
      <c r="M174" s="9"/>
      <c r="N174" s="9"/>
      <c r="O174" s="9"/>
    </row>
    <row r="175">
      <c r="A175" s="9"/>
      <c r="D175" s="13"/>
      <c r="E175" s="9"/>
      <c r="I175" s="9"/>
      <c r="J175" s="121"/>
      <c r="M175" s="9"/>
      <c r="N175" s="9"/>
      <c r="O175" s="9"/>
    </row>
    <row r="176">
      <c r="A176" s="9"/>
      <c r="D176" s="13"/>
      <c r="E176" s="9"/>
      <c r="I176" s="9"/>
      <c r="J176" s="121"/>
      <c r="M176" s="9"/>
      <c r="N176" s="9"/>
      <c r="O176" s="9"/>
    </row>
    <row r="177">
      <c r="A177" s="9"/>
      <c r="D177" s="13"/>
      <c r="E177" s="9"/>
      <c r="I177" s="9"/>
      <c r="J177" s="121"/>
      <c r="M177" s="9"/>
      <c r="N177" s="9"/>
      <c r="O177" s="9"/>
    </row>
    <row r="178">
      <c r="A178" s="9"/>
      <c r="D178" s="13"/>
      <c r="E178" s="9"/>
      <c r="I178" s="9"/>
      <c r="J178" s="121"/>
      <c r="M178" s="9"/>
      <c r="N178" s="9"/>
      <c r="O178" s="9"/>
    </row>
    <row r="179">
      <c r="A179" s="9"/>
      <c r="D179" s="13"/>
      <c r="E179" s="9"/>
      <c r="I179" s="9"/>
      <c r="J179" s="121"/>
      <c r="M179" s="9"/>
      <c r="N179" s="9"/>
      <c r="O179" s="9"/>
    </row>
    <row r="180">
      <c r="A180" s="9"/>
      <c r="D180" s="13"/>
      <c r="E180" s="9"/>
      <c r="I180" s="9"/>
      <c r="J180" s="121"/>
      <c r="M180" s="9"/>
      <c r="N180" s="9"/>
      <c r="O180" s="9"/>
    </row>
    <row r="181">
      <c r="A181" s="9"/>
      <c r="D181" s="13"/>
      <c r="E181" s="9"/>
      <c r="I181" s="9"/>
      <c r="J181" s="121"/>
      <c r="M181" s="9"/>
      <c r="N181" s="9"/>
      <c r="O181" s="9"/>
    </row>
    <row r="182">
      <c r="A182" s="9"/>
      <c r="D182" s="13"/>
      <c r="E182" s="9"/>
      <c r="I182" s="9"/>
      <c r="J182" s="121"/>
      <c r="M182" s="9"/>
      <c r="N182" s="9"/>
      <c r="O182" s="9"/>
    </row>
    <row r="183">
      <c r="A183" s="9"/>
      <c r="D183" s="13"/>
      <c r="E183" s="9"/>
      <c r="I183" s="9"/>
      <c r="J183" s="121"/>
      <c r="M183" s="9"/>
      <c r="N183" s="9"/>
      <c r="O183" s="9"/>
    </row>
    <row r="184">
      <c r="A184" s="9"/>
      <c r="D184" s="13"/>
      <c r="E184" s="9"/>
      <c r="I184" s="9"/>
      <c r="J184" s="121"/>
      <c r="M184" s="9"/>
      <c r="N184" s="9"/>
      <c r="O184" s="9"/>
    </row>
    <row r="185">
      <c r="A185" s="9"/>
      <c r="D185" s="13"/>
      <c r="E185" s="9"/>
      <c r="I185" s="9"/>
      <c r="J185" s="121"/>
      <c r="M185" s="9"/>
      <c r="N185" s="9"/>
      <c r="O185" s="9"/>
    </row>
    <row r="186">
      <c r="A186" s="9"/>
      <c r="D186" s="13"/>
      <c r="E186" s="9"/>
      <c r="I186" s="9"/>
      <c r="J186" s="121"/>
      <c r="M186" s="9"/>
      <c r="N186" s="9"/>
      <c r="O186" s="9"/>
    </row>
    <row r="187">
      <c r="A187" s="9"/>
      <c r="D187" s="13"/>
      <c r="E187" s="9"/>
      <c r="I187" s="9"/>
      <c r="J187" s="121"/>
      <c r="M187" s="9"/>
      <c r="N187" s="9"/>
      <c r="O187" s="9"/>
    </row>
    <row r="188">
      <c r="A188" s="9"/>
      <c r="D188" s="13"/>
      <c r="E188" s="9"/>
      <c r="I188" s="9"/>
      <c r="J188" s="121"/>
      <c r="M188" s="9"/>
      <c r="N188" s="9"/>
      <c r="O188" s="9"/>
    </row>
    <row r="189">
      <c r="A189" s="9"/>
      <c r="D189" s="13"/>
      <c r="E189" s="9"/>
      <c r="I189" s="9"/>
      <c r="J189" s="121"/>
      <c r="M189" s="9"/>
      <c r="N189" s="9"/>
      <c r="O189" s="9"/>
    </row>
    <row r="190">
      <c r="A190" s="9"/>
      <c r="D190" s="13"/>
      <c r="E190" s="9"/>
      <c r="I190" s="9"/>
      <c r="J190" s="121"/>
      <c r="M190" s="9"/>
      <c r="N190" s="9"/>
      <c r="O190" s="9"/>
    </row>
    <row r="191">
      <c r="A191" s="9"/>
      <c r="D191" s="13"/>
      <c r="E191" s="9"/>
      <c r="I191" s="9"/>
      <c r="J191" s="121"/>
      <c r="M191" s="9"/>
      <c r="N191" s="9"/>
      <c r="O191" s="9"/>
    </row>
    <row r="192">
      <c r="A192" s="9"/>
      <c r="D192" s="13"/>
      <c r="E192" s="9"/>
      <c r="I192" s="9"/>
      <c r="J192" s="121"/>
      <c r="M192" s="9"/>
      <c r="N192" s="9"/>
      <c r="O192" s="9"/>
    </row>
    <row r="193">
      <c r="A193" s="9"/>
      <c r="D193" s="13"/>
      <c r="E193" s="9"/>
      <c r="I193" s="9"/>
      <c r="J193" s="121"/>
      <c r="M193" s="9"/>
      <c r="N193" s="9"/>
      <c r="O193" s="9"/>
    </row>
    <row r="194">
      <c r="A194" s="9"/>
      <c r="D194" s="13"/>
      <c r="E194" s="9"/>
      <c r="I194" s="9"/>
      <c r="J194" s="121"/>
      <c r="M194" s="9"/>
      <c r="N194" s="9"/>
      <c r="O194" s="9"/>
    </row>
    <row r="195">
      <c r="A195" s="9"/>
      <c r="D195" s="13"/>
      <c r="E195" s="9"/>
      <c r="I195" s="9"/>
      <c r="J195" s="121"/>
      <c r="M195" s="9"/>
      <c r="N195" s="9"/>
      <c r="O195" s="9"/>
    </row>
    <row r="196">
      <c r="A196" s="9"/>
      <c r="D196" s="13"/>
      <c r="E196" s="9"/>
      <c r="I196" s="9"/>
      <c r="J196" s="121"/>
      <c r="M196" s="9"/>
      <c r="N196" s="9"/>
      <c r="O196" s="9"/>
    </row>
    <row r="197">
      <c r="A197" s="9"/>
      <c r="D197" s="13"/>
      <c r="E197" s="9"/>
      <c r="I197" s="9"/>
      <c r="J197" s="121"/>
      <c r="M197" s="9"/>
      <c r="N197" s="9"/>
      <c r="O197" s="9"/>
    </row>
    <row r="198">
      <c r="A198" s="9"/>
      <c r="D198" s="13"/>
      <c r="E198" s="9"/>
      <c r="I198" s="9"/>
      <c r="J198" s="121"/>
      <c r="M198" s="9"/>
      <c r="N198" s="9"/>
      <c r="O198" s="9"/>
    </row>
    <row r="199">
      <c r="A199" s="9"/>
      <c r="D199" s="13"/>
      <c r="E199" s="9"/>
      <c r="I199" s="9"/>
      <c r="J199" s="121"/>
      <c r="M199" s="9"/>
      <c r="N199" s="9"/>
      <c r="O199" s="9"/>
    </row>
    <row r="200">
      <c r="A200" s="9"/>
      <c r="D200" s="13"/>
      <c r="E200" s="9"/>
      <c r="I200" s="9"/>
      <c r="J200" s="121"/>
      <c r="M200" s="9"/>
      <c r="N200" s="9"/>
      <c r="O200" s="9"/>
    </row>
    <row r="201">
      <c r="A201" s="9"/>
      <c r="D201" s="13"/>
      <c r="E201" s="9"/>
      <c r="I201" s="9"/>
      <c r="J201" s="121"/>
      <c r="M201" s="9"/>
      <c r="N201" s="9"/>
      <c r="O201" s="9"/>
    </row>
    <row r="202">
      <c r="A202" s="9"/>
      <c r="D202" s="13"/>
      <c r="E202" s="9"/>
      <c r="I202" s="9"/>
      <c r="J202" s="121"/>
      <c r="M202" s="9"/>
      <c r="N202" s="9"/>
      <c r="O202" s="9"/>
    </row>
    <row r="203">
      <c r="A203" s="9"/>
      <c r="D203" s="13"/>
      <c r="E203" s="9"/>
      <c r="I203" s="9"/>
      <c r="J203" s="121"/>
      <c r="M203" s="9"/>
      <c r="N203" s="9"/>
      <c r="O203" s="9"/>
    </row>
    <row r="204">
      <c r="A204" s="9"/>
      <c r="D204" s="13"/>
      <c r="E204" s="9"/>
      <c r="I204" s="9"/>
      <c r="J204" s="121"/>
      <c r="M204" s="9"/>
      <c r="N204" s="9"/>
      <c r="O204" s="9"/>
    </row>
    <row r="205">
      <c r="A205" s="9"/>
      <c r="D205" s="13"/>
      <c r="E205" s="9"/>
      <c r="I205" s="9"/>
      <c r="J205" s="121"/>
      <c r="M205" s="9"/>
      <c r="N205" s="9"/>
      <c r="O205" s="9"/>
    </row>
    <row r="206">
      <c r="A206" s="9"/>
      <c r="D206" s="13"/>
      <c r="E206" s="9"/>
      <c r="I206" s="9"/>
      <c r="J206" s="121"/>
      <c r="M206" s="9"/>
      <c r="N206" s="9"/>
      <c r="O206" s="9"/>
    </row>
    <row r="207">
      <c r="A207" s="9"/>
      <c r="D207" s="13"/>
      <c r="E207" s="9"/>
      <c r="I207" s="9"/>
      <c r="J207" s="121"/>
      <c r="M207" s="9"/>
      <c r="N207" s="9"/>
      <c r="O207" s="9"/>
    </row>
    <row r="208">
      <c r="A208" s="9"/>
      <c r="D208" s="13"/>
      <c r="E208" s="9"/>
      <c r="I208" s="9"/>
      <c r="J208" s="121"/>
      <c r="M208" s="9"/>
      <c r="N208" s="9"/>
      <c r="O208" s="9"/>
    </row>
    <row r="209">
      <c r="A209" s="9"/>
      <c r="D209" s="13"/>
      <c r="E209" s="9"/>
      <c r="I209" s="9"/>
      <c r="J209" s="121"/>
      <c r="M209" s="9"/>
      <c r="N209" s="9"/>
      <c r="O209" s="9"/>
    </row>
    <row r="210">
      <c r="A210" s="9"/>
      <c r="D210" s="13"/>
      <c r="E210" s="9"/>
      <c r="I210" s="9"/>
      <c r="J210" s="121"/>
      <c r="M210" s="9"/>
      <c r="N210" s="9"/>
      <c r="O210" s="9"/>
    </row>
    <row r="211">
      <c r="A211" s="9"/>
      <c r="D211" s="13"/>
      <c r="E211" s="9"/>
      <c r="I211" s="9"/>
      <c r="J211" s="121"/>
      <c r="M211" s="9"/>
      <c r="N211" s="9"/>
      <c r="O211" s="9"/>
    </row>
    <row r="212">
      <c r="A212" s="9"/>
      <c r="D212" s="13"/>
      <c r="E212" s="9"/>
      <c r="I212" s="9"/>
      <c r="J212" s="121"/>
      <c r="M212" s="9"/>
      <c r="N212" s="9"/>
      <c r="O212" s="9"/>
    </row>
    <row r="213">
      <c r="A213" s="9"/>
      <c r="D213" s="13"/>
      <c r="E213" s="9"/>
      <c r="I213" s="9"/>
      <c r="J213" s="121"/>
      <c r="M213" s="9"/>
      <c r="N213" s="9"/>
      <c r="O213" s="9"/>
    </row>
    <row r="214">
      <c r="A214" s="9"/>
      <c r="D214" s="13"/>
      <c r="E214" s="9"/>
      <c r="I214" s="9"/>
      <c r="J214" s="121"/>
      <c r="M214" s="9"/>
      <c r="N214" s="9"/>
      <c r="O214" s="9"/>
    </row>
    <row r="215">
      <c r="A215" s="9"/>
      <c r="D215" s="13"/>
      <c r="E215" s="9"/>
      <c r="I215" s="9"/>
      <c r="J215" s="121"/>
      <c r="M215" s="9"/>
      <c r="N215" s="9"/>
      <c r="O215" s="9"/>
    </row>
    <row r="216">
      <c r="A216" s="9"/>
      <c r="D216" s="13"/>
      <c r="E216" s="9"/>
      <c r="I216" s="9"/>
      <c r="J216" s="121"/>
      <c r="M216" s="9"/>
      <c r="N216" s="9"/>
      <c r="O216" s="9"/>
    </row>
    <row r="217">
      <c r="A217" s="9"/>
      <c r="D217" s="13"/>
      <c r="E217" s="9"/>
      <c r="I217" s="9"/>
      <c r="J217" s="121"/>
      <c r="M217" s="9"/>
      <c r="N217" s="9"/>
      <c r="O217" s="9"/>
    </row>
    <row r="218">
      <c r="A218" s="9"/>
      <c r="D218" s="13"/>
      <c r="E218" s="9"/>
      <c r="I218" s="9"/>
      <c r="J218" s="121"/>
      <c r="M218" s="9"/>
      <c r="N218" s="9"/>
      <c r="O218" s="9"/>
    </row>
    <row r="219">
      <c r="A219" s="9"/>
      <c r="D219" s="13"/>
      <c r="E219" s="9"/>
      <c r="I219" s="9"/>
      <c r="J219" s="121"/>
      <c r="M219" s="9"/>
      <c r="N219" s="9"/>
      <c r="O219" s="9"/>
    </row>
    <row r="220">
      <c r="A220" s="9"/>
      <c r="D220" s="13"/>
      <c r="E220" s="9"/>
      <c r="I220" s="9"/>
      <c r="J220" s="121"/>
      <c r="M220" s="9"/>
      <c r="N220" s="9"/>
      <c r="O220" s="9"/>
    </row>
    <row r="221">
      <c r="A221" s="9"/>
      <c r="D221" s="13"/>
      <c r="E221" s="9"/>
      <c r="I221" s="9"/>
      <c r="J221" s="121"/>
      <c r="M221" s="9"/>
      <c r="N221" s="9"/>
      <c r="O221" s="9"/>
    </row>
    <row r="222">
      <c r="A222" s="9"/>
      <c r="D222" s="13"/>
      <c r="E222" s="9"/>
      <c r="I222" s="9"/>
      <c r="J222" s="121"/>
      <c r="M222" s="9"/>
      <c r="N222" s="9"/>
      <c r="O222" s="9"/>
    </row>
    <row r="223">
      <c r="A223" s="9"/>
      <c r="D223" s="13"/>
      <c r="E223" s="9"/>
      <c r="I223" s="9"/>
      <c r="J223" s="121"/>
      <c r="M223" s="9"/>
      <c r="N223" s="9"/>
      <c r="O223" s="9"/>
    </row>
    <row r="224">
      <c r="A224" s="9"/>
      <c r="D224" s="13"/>
      <c r="E224" s="9"/>
      <c r="I224" s="9"/>
      <c r="J224" s="121"/>
      <c r="M224" s="9"/>
      <c r="N224" s="9"/>
      <c r="O224" s="9"/>
    </row>
    <row r="225">
      <c r="A225" s="9"/>
      <c r="D225" s="13"/>
      <c r="E225" s="9"/>
      <c r="I225" s="9"/>
      <c r="J225" s="121"/>
      <c r="M225" s="9"/>
      <c r="N225" s="9"/>
      <c r="O225" s="9"/>
    </row>
    <row r="226">
      <c r="A226" s="9"/>
      <c r="D226" s="13"/>
      <c r="E226" s="9"/>
      <c r="I226" s="9"/>
      <c r="J226" s="121"/>
      <c r="M226" s="9"/>
      <c r="N226" s="9"/>
      <c r="O226" s="9"/>
    </row>
    <row r="227">
      <c r="A227" s="9"/>
      <c r="D227" s="13"/>
      <c r="E227" s="9"/>
      <c r="I227" s="9"/>
      <c r="J227" s="121"/>
      <c r="M227" s="9"/>
      <c r="N227" s="9"/>
      <c r="O227" s="9"/>
    </row>
    <row r="228">
      <c r="A228" s="9"/>
      <c r="D228" s="13"/>
      <c r="E228" s="9"/>
      <c r="I228" s="9"/>
      <c r="J228" s="121"/>
      <c r="M228" s="9"/>
      <c r="N228" s="9"/>
      <c r="O228" s="9"/>
    </row>
    <row r="229">
      <c r="A229" s="9"/>
      <c r="D229" s="13"/>
      <c r="E229" s="9"/>
      <c r="I229" s="9"/>
      <c r="J229" s="121"/>
      <c r="M229" s="9"/>
      <c r="N229" s="9"/>
      <c r="O229" s="9"/>
    </row>
    <row r="230">
      <c r="A230" s="9"/>
      <c r="D230" s="13"/>
      <c r="E230" s="9"/>
      <c r="I230" s="9"/>
      <c r="J230" s="121"/>
      <c r="M230" s="9"/>
      <c r="N230" s="9"/>
      <c r="O230" s="9"/>
    </row>
    <row r="231">
      <c r="A231" s="9"/>
      <c r="D231" s="13"/>
      <c r="E231" s="9"/>
      <c r="I231" s="9"/>
      <c r="J231" s="121"/>
      <c r="M231" s="9"/>
      <c r="N231" s="9"/>
      <c r="O231" s="9"/>
    </row>
    <row r="232">
      <c r="A232" s="9"/>
      <c r="D232" s="13"/>
      <c r="E232" s="9"/>
      <c r="I232" s="9"/>
      <c r="J232" s="121"/>
      <c r="M232" s="9"/>
      <c r="N232" s="9"/>
      <c r="O232" s="9"/>
    </row>
    <row r="233">
      <c r="A233" s="9"/>
      <c r="D233" s="13"/>
      <c r="E233" s="9"/>
      <c r="I233" s="9"/>
      <c r="J233" s="121"/>
      <c r="M233" s="9"/>
      <c r="N233" s="9"/>
      <c r="O233" s="9"/>
    </row>
    <row r="234">
      <c r="A234" s="9"/>
      <c r="D234" s="13"/>
      <c r="E234" s="9"/>
      <c r="I234" s="9"/>
      <c r="J234" s="121"/>
      <c r="M234" s="9"/>
      <c r="N234" s="9"/>
      <c r="O234" s="9"/>
    </row>
    <row r="235">
      <c r="A235" s="9"/>
      <c r="D235" s="13"/>
      <c r="E235" s="9"/>
      <c r="I235" s="9"/>
      <c r="J235" s="121"/>
      <c r="M235" s="9"/>
      <c r="N235" s="9"/>
      <c r="O235" s="9"/>
    </row>
    <row r="236">
      <c r="A236" s="9"/>
      <c r="D236" s="13"/>
      <c r="E236" s="9"/>
      <c r="I236" s="9"/>
      <c r="J236" s="121"/>
      <c r="M236" s="9"/>
      <c r="N236" s="9"/>
      <c r="O236" s="9"/>
    </row>
    <row r="237">
      <c r="A237" s="9"/>
      <c r="D237" s="13"/>
      <c r="E237" s="9"/>
      <c r="I237" s="9"/>
      <c r="J237" s="121"/>
      <c r="M237" s="9"/>
      <c r="N237" s="9"/>
      <c r="O237" s="9"/>
    </row>
    <row r="238">
      <c r="A238" s="9"/>
      <c r="D238" s="13"/>
      <c r="E238" s="9"/>
      <c r="I238" s="9"/>
      <c r="J238" s="121"/>
      <c r="M238" s="9"/>
      <c r="N238" s="9"/>
      <c r="O238" s="9"/>
    </row>
    <row r="239">
      <c r="A239" s="9"/>
      <c r="D239" s="13"/>
      <c r="E239" s="9"/>
      <c r="I239" s="9"/>
      <c r="J239" s="121"/>
      <c r="M239" s="9"/>
      <c r="N239" s="9"/>
      <c r="O239" s="9"/>
    </row>
    <row r="240">
      <c r="A240" s="9"/>
      <c r="D240" s="13"/>
      <c r="E240" s="9"/>
      <c r="I240" s="9"/>
      <c r="J240" s="121"/>
      <c r="M240" s="9"/>
      <c r="N240" s="9"/>
      <c r="O240" s="9"/>
    </row>
    <row r="241">
      <c r="A241" s="9"/>
      <c r="D241" s="13"/>
      <c r="E241" s="9"/>
      <c r="I241" s="9"/>
      <c r="J241" s="121"/>
      <c r="M241" s="9"/>
      <c r="N241" s="9"/>
      <c r="O241" s="9"/>
    </row>
    <row r="242">
      <c r="A242" s="9"/>
      <c r="D242" s="13"/>
      <c r="E242" s="9"/>
      <c r="I242" s="9"/>
      <c r="J242" s="121"/>
      <c r="M242" s="9"/>
      <c r="N242" s="9"/>
      <c r="O242" s="9"/>
    </row>
    <row r="243">
      <c r="A243" s="9"/>
      <c r="D243" s="13"/>
      <c r="E243" s="9"/>
      <c r="I243" s="9"/>
      <c r="J243" s="121"/>
      <c r="M243" s="9"/>
      <c r="N243" s="9"/>
      <c r="O243" s="9"/>
    </row>
    <row r="244">
      <c r="A244" s="9"/>
      <c r="D244" s="13"/>
      <c r="E244" s="9"/>
      <c r="I244" s="9"/>
      <c r="J244" s="121"/>
      <c r="M244" s="9"/>
      <c r="N244" s="9"/>
      <c r="O244" s="9"/>
    </row>
    <row r="245">
      <c r="A245" s="9"/>
      <c r="D245" s="13"/>
      <c r="E245" s="9"/>
      <c r="I245" s="9"/>
      <c r="J245" s="121"/>
      <c r="M245" s="9"/>
      <c r="N245" s="9"/>
      <c r="O245" s="9"/>
    </row>
    <row r="246">
      <c r="A246" s="9"/>
      <c r="D246" s="13"/>
      <c r="E246" s="9"/>
      <c r="I246" s="9"/>
      <c r="J246" s="121"/>
      <c r="M246" s="9"/>
      <c r="N246" s="9"/>
      <c r="O246" s="9"/>
    </row>
    <row r="247">
      <c r="A247" s="9"/>
      <c r="D247" s="13"/>
      <c r="E247" s="9"/>
      <c r="I247" s="9"/>
      <c r="J247" s="121"/>
      <c r="M247" s="9"/>
      <c r="N247" s="9"/>
      <c r="O247" s="9"/>
    </row>
    <row r="248">
      <c r="A248" s="9"/>
      <c r="D248" s="13"/>
      <c r="E248" s="9"/>
      <c r="I248" s="9"/>
      <c r="J248" s="121"/>
      <c r="M248" s="9"/>
      <c r="N248" s="9"/>
      <c r="O248" s="9"/>
    </row>
    <row r="249">
      <c r="A249" s="9"/>
      <c r="D249" s="13"/>
      <c r="E249" s="9"/>
      <c r="I249" s="9"/>
      <c r="J249" s="121"/>
      <c r="M249" s="9"/>
      <c r="N249" s="9"/>
      <c r="O249" s="9"/>
    </row>
    <row r="250">
      <c r="A250" s="9"/>
      <c r="D250" s="13"/>
      <c r="E250" s="9"/>
      <c r="I250" s="9"/>
      <c r="J250" s="121"/>
      <c r="M250" s="9"/>
      <c r="N250" s="9"/>
      <c r="O250" s="9"/>
    </row>
    <row r="251">
      <c r="A251" s="9"/>
      <c r="D251" s="13"/>
      <c r="E251" s="9"/>
      <c r="I251" s="9"/>
      <c r="J251" s="121"/>
      <c r="M251" s="9"/>
      <c r="N251" s="9"/>
      <c r="O251" s="9"/>
    </row>
    <row r="252">
      <c r="A252" s="9"/>
      <c r="D252" s="13"/>
      <c r="E252" s="9"/>
      <c r="I252" s="9"/>
      <c r="J252" s="121"/>
      <c r="M252" s="9"/>
      <c r="N252" s="9"/>
      <c r="O252" s="9"/>
    </row>
    <row r="253">
      <c r="A253" s="9"/>
      <c r="D253" s="13"/>
      <c r="E253" s="9"/>
      <c r="I253" s="9"/>
      <c r="J253" s="121"/>
      <c r="M253" s="9"/>
      <c r="N253" s="9"/>
      <c r="O253" s="9"/>
    </row>
    <row r="254">
      <c r="A254" s="9"/>
      <c r="D254" s="13"/>
      <c r="E254" s="9"/>
      <c r="I254" s="9"/>
      <c r="J254" s="121"/>
      <c r="M254" s="9"/>
      <c r="N254" s="9"/>
      <c r="O254" s="9"/>
    </row>
    <row r="255">
      <c r="A255" s="9"/>
      <c r="D255" s="13"/>
      <c r="E255" s="9"/>
      <c r="I255" s="9"/>
      <c r="J255" s="121"/>
      <c r="M255" s="9"/>
      <c r="N255" s="9"/>
      <c r="O255" s="9"/>
    </row>
    <row r="256">
      <c r="A256" s="9"/>
      <c r="D256" s="13"/>
      <c r="E256" s="9"/>
      <c r="I256" s="9"/>
      <c r="J256" s="121"/>
      <c r="M256" s="9"/>
      <c r="N256" s="9"/>
      <c r="O256" s="9"/>
    </row>
    <row r="257">
      <c r="A257" s="9"/>
      <c r="D257" s="13"/>
      <c r="E257" s="9"/>
      <c r="I257" s="9"/>
      <c r="J257" s="121"/>
      <c r="M257" s="9"/>
      <c r="N257" s="9"/>
      <c r="O257" s="9"/>
    </row>
    <row r="258">
      <c r="A258" s="9"/>
      <c r="D258" s="13"/>
      <c r="E258" s="9"/>
      <c r="I258" s="9"/>
      <c r="J258" s="121"/>
      <c r="M258" s="9"/>
      <c r="N258" s="9"/>
      <c r="O258" s="9"/>
    </row>
    <row r="259">
      <c r="A259" s="9"/>
      <c r="D259" s="13"/>
      <c r="E259" s="9"/>
      <c r="I259" s="9"/>
      <c r="J259" s="121"/>
      <c r="M259" s="9"/>
      <c r="N259" s="9"/>
      <c r="O259" s="9"/>
    </row>
    <row r="260">
      <c r="A260" s="9"/>
      <c r="D260" s="13"/>
      <c r="E260" s="9"/>
      <c r="I260" s="9"/>
      <c r="J260" s="121"/>
      <c r="M260" s="9"/>
      <c r="N260" s="9"/>
      <c r="O260" s="9"/>
    </row>
    <row r="261">
      <c r="A261" s="9"/>
      <c r="D261" s="13"/>
      <c r="E261" s="9"/>
      <c r="I261" s="9"/>
      <c r="J261" s="121"/>
      <c r="M261" s="9"/>
      <c r="N261" s="9"/>
      <c r="O261" s="9"/>
    </row>
    <row r="262">
      <c r="A262" s="9"/>
      <c r="D262" s="13"/>
      <c r="E262" s="9"/>
      <c r="I262" s="9"/>
      <c r="J262" s="121"/>
      <c r="M262" s="9"/>
      <c r="N262" s="9"/>
      <c r="O262" s="9"/>
    </row>
    <row r="263">
      <c r="A263" s="9"/>
      <c r="D263" s="13"/>
      <c r="E263" s="9"/>
      <c r="I263" s="9"/>
      <c r="J263" s="121"/>
      <c r="M263" s="9"/>
      <c r="N263" s="9"/>
      <c r="O263" s="9"/>
    </row>
    <row r="264">
      <c r="A264" s="9"/>
      <c r="D264" s="13"/>
      <c r="E264" s="9"/>
      <c r="I264" s="9"/>
      <c r="J264" s="121"/>
      <c r="M264" s="9"/>
      <c r="N264" s="9"/>
      <c r="O264" s="9"/>
    </row>
    <row r="265">
      <c r="A265" s="9"/>
      <c r="D265" s="13"/>
      <c r="E265" s="9"/>
      <c r="I265" s="9"/>
      <c r="J265" s="121"/>
      <c r="M265" s="9"/>
      <c r="N265" s="9"/>
      <c r="O265" s="9"/>
    </row>
    <row r="266">
      <c r="A266" s="9"/>
      <c r="D266" s="13"/>
      <c r="E266" s="9"/>
      <c r="I266" s="9"/>
      <c r="J266" s="121"/>
      <c r="M266" s="9"/>
      <c r="N266" s="9"/>
      <c r="O266" s="9"/>
    </row>
    <row r="267">
      <c r="A267" s="9"/>
      <c r="D267" s="13"/>
      <c r="E267" s="9"/>
      <c r="I267" s="9"/>
      <c r="J267" s="121"/>
      <c r="M267" s="9"/>
      <c r="N267" s="9"/>
      <c r="O267" s="9"/>
    </row>
    <row r="268">
      <c r="A268" s="9"/>
      <c r="D268" s="13"/>
      <c r="E268" s="9"/>
      <c r="I268" s="9"/>
      <c r="J268" s="121"/>
      <c r="M268" s="9"/>
      <c r="N268" s="9"/>
      <c r="O268" s="9"/>
    </row>
    <row r="269">
      <c r="A269" s="9"/>
      <c r="D269" s="13"/>
      <c r="E269" s="9"/>
      <c r="I269" s="9"/>
      <c r="J269" s="121"/>
      <c r="M269" s="9"/>
      <c r="N269" s="9"/>
      <c r="O269" s="9"/>
    </row>
    <row r="270">
      <c r="A270" s="9"/>
      <c r="D270" s="13"/>
      <c r="E270" s="9"/>
      <c r="I270" s="9"/>
      <c r="J270" s="121"/>
      <c r="M270" s="9"/>
      <c r="N270" s="9"/>
      <c r="O270" s="9"/>
    </row>
    <row r="271">
      <c r="A271" s="9"/>
      <c r="D271" s="13"/>
      <c r="E271" s="9"/>
      <c r="I271" s="9"/>
      <c r="J271" s="121"/>
      <c r="M271" s="9"/>
      <c r="N271" s="9"/>
      <c r="O271" s="9"/>
    </row>
    <row r="272">
      <c r="A272" s="9"/>
      <c r="D272" s="13"/>
      <c r="E272" s="9"/>
      <c r="I272" s="9"/>
      <c r="J272" s="121"/>
      <c r="M272" s="9"/>
      <c r="N272" s="9"/>
      <c r="O272" s="9"/>
    </row>
    <row r="273">
      <c r="A273" s="9"/>
      <c r="D273" s="13"/>
      <c r="E273" s="9"/>
      <c r="I273" s="9"/>
      <c r="J273" s="121"/>
      <c r="M273" s="9"/>
      <c r="N273" s="9"/>
      <c r="O273" s="9"/>
    </row>
    <row r="274">
      <c r="A274" s="9"/>
      <c r="D274" s="13"/>
      <c r="E274" s="9"/>
      <c r="I274" s="9"/>
      <c r="J274" s="121"/>
      <c r="M274" s="9"/>
      <c r="N274" s="9"/>
      <c r="O274" s="9"/>
    </row>
    <row r="275">
      <c r="A275" s="9"/>
      <c r="D275" s="13"/>
      <c r="E275" s="9"/>
      <c r="I275" s="9"/>
      <c r="J275" s="121"/>
      <c r="M275" s="9"/>
      <c r="N275" s="9"/>
      <c r="O275" s="9"/>
    </row>
    <row r="276">
      <c r="A276" s="9"/>
      <c r="D276" s="13"/>
      <c r="E276" s="9"/>
      <c r="I276" s="9"/>
      <c r="J276" s="121"/>
      <c r="M276" s="9"/>
      <c r="N276" s="9"/>
      <c r="O276" s="9"/>
    </row>
    <row r="277">
      <c r="A277" s="9"/>
      <c r="D277" s="13"/>
      <c r="E277" s="9"/>
      <c r="I277" s="9"/>
      <c r="J277" s="121"/>
      <c r="M277" s="9"/>
      <c r="N277" s="9"/>
      <c r="O277" s="9"/>
    </row>
    <row r="278">
      <c r="A278" s="9"/>
      <c r="D278" s="13"/>
      <c r="E278" s="9"/>
      <c r="I278" s="9"/>
      <c r="J278" s="121"/>
      <c r="M278" s="9"/>
      <c r="N278" s="9"/>
      <c r="O278" s="9"/>
    </row>
    <row r="279">
      <c r="A279" s="9"/>
      <c r="D279" s="13"/>
      <c r="E279" s="9"/>
      <c r="I279" s="9"/>
      <c r="J279" s="121"/>
      <c r="M279" s="9"/>
      <c r="N279" s="9"/>
      <c r="O279" s="9"/>
    </row>
    <row r="280">
      <c r="A280" s="9"/>
      <c r="D280" s="13"/>
      <c r="E280" s="9"/>
      <c r="I280" s="9"/>
      <c r="J280" s="121"/>
      <c r="M280" s="9"/>
      <c r="N280" s="9"/>
      <c r="O280" s="9"/>
    </row>
    <row r="281">
      <c r="A281" s="9"/>
      <c r="D281" s="13"/>
      <c r="E281" s="9"/>
      <c r="I281" s="9"/>
      <c r="J281" s="121"/>
      <c r="M281" s="9"/>
      <c r="N281" s="9"/>
      <c r="O281" s="9"/>
    </row>
    <row r="282">
      <c r="A282" s="9"/>
      <c r="D282" s="13"/>
      <c r="E282" s="9"/>
      <c r="I282" s="9"/>
      <c r="J282" s="121"/>
      <c r="M282" s="9"/>
      <c r="N282" s="9"/>
      <c r="O282" s="9"/>
    </row>
    <row r="283">
      <c r="A283" s="9"/>
      <c r="D283" s="13"/>
      <c r="E283" s="9"/>
      <c r="I283" s="9"/>
      <c r="J283" s="121"/>
      <c r="M283" s="9"/>
      <c r="N283" s="9"/>
      <c r="O283" s="9"/>
    </row>
    <row r="284">
      <c r="A284" s="9"/>
      <c r="D284" s="13"/>
      <c r="E284" s="9"/>
      <c r="I284" s="9"/>
      <c r="J284" s="121"/>
      <c r="M284" s="9"/>
      <c r="N284" s="9"/>
      <c r="O284" s="9"/>
    </row>
    <row r="285">
      <c r="A285" s="9"/>
      <c r="D285" s="13"/>
      <c r="E285" s="9"/>
      <c r="I285" s="9"/>
      <c r="J285" s="121"/>
      <c r="M285" s="9"/>
      <c r="N285" s="9"/>
      <c r="O285" s="9"/>
    </row>
    <row r="286">
      <c r="A286" s="9"/>
      <c r="D286" s="13"/>
      <c r="E286" s="9"/>
      <c r="I286" s="9"/>
      <c r="J286" s="121"/>
      <c r="M286" s="9"/>
      <c r="N286" s="9"/>
      <c r="O286" s="9"/>
    </row>
    <row r="287">
      <c r="A287" s="9"/>
      <c r="D287" s="13"/>
      <c r="E287" s="9"/>
      <c r="I287" s="9"/>
      <c r="J287" s="121"/>
      <c r="M287" s="9"/>
      <c r="N287" s="9"/>
      <c r="O287" s="9"/>
    </row>
    <row r="288">
      <c r="A288" s="9"/>
      <c r="D288" s="13"/>
      <c r="E288" s="9"/>
      <c r="I288" s="9"/>
      <c r="J288" s="121"/>
      <c r="M288" s="9"/>
      <c r="N288" s="9"/>
      <c r="O288" s="9"/>
    </row>
    <row r="289">
      <c r="A289" s="9"/>
      <c r="D289" s="13"/>
      <c r="E289" s="9"/>
      <c r="I289" s="9"/>
      <c r="J289" s="121"/>
      <c r="M289" s="9"/>
      <c r="N289" s="9"/>
      <c r="O289" s="9"/>
    </row>
    <row r="290">
      <c r="A290" s="9"/>
      <c r="D290" s="13"/>
      <c r="E290" s="9"/>
      <c r="I290" s="9"/>
      <c r="J290" s="121"/>
      <c r="M290" s="9"/>
      <c r="N290" s="9"/>
      <c r="O290" s="9"/>
    </row>
    <row r="291">
      <c r="A291" s="9"/>
      <c r="D291" s="13"/>
      <c r="E291" s="9"/>
      <c r="I291" s="9"/>
      <c r="J291" s="121"/>
      <c r="M291" s="9"/>
      <c r="N291" s="9"/>
      <c r="O291" s="9"/>
    </row>
    <row r="292">
      <c r="A292" s="9"/>
      <c r="D292" s="13"/>
      <c r="E292" s="9"/>
      <c r="I292" s="9"/>
      <c r="J292" s="121"/>
      <c r="M292" s="9"/>
      <c r="N292" s="9"/>
      <c r="O292" s="9"/>
    </row>
    <row r="293">
      <c r="A293" s="9"/>
      <c r="D293" s="13"/>
      <c r="E293" s="9"/>
      <c r="I293" s="9"/>
      <c r="J293" s="121"/>
      <c r="M293" s="9"/>
      <c r="N293" s="9"/>
      <c r="O293" s="9"/>
    </row>
    <row r="294">
      <c r="A294" s="9"/>
      <c r="D294" s="13"/>
      <c r="E294" s="9"/>
      <c r="I294" s="9"/>
      <c r="J294" s="121"/>
      <c r="M294" s="9"/>
      <c r="N294" s="9"/>
      <c r="O294" s="9"/>
    </row>
    <row r="295">
      <c r="A295" s="9"/>
      <c r="D295" s="13"/>
      <c r="E295" s="9"/>
      <c r="I295" s="9"/>
      <c r="J295" s="121"/>
      <c r="M295" s="9"/>
      <c r="N295" s="9"/>
      <c r="O295" s="9"/>
    </row>
    <row r="296">
      <c r="A296" s="9"/>
      <c r="D296" s="13"/>
      <c r="E296" s="9"/>
      <c r="I296" s="9"/>
      <c r="J296" s="121"/>
      <c r="M296" s="9"/>
      <c r="N296" s="9"/>
      <c r="O296" s="9"/>
    </row>
    <row r="297">
      <c r="A297" s="9"/>
      <c r="D297" s="13"/>
      <c r="E297" s="9"/>
      <c r="I297" s="9"/>
      <c r="J297" s="121"/>
      <c r="M297" s="9"/>
      <c r="N297" s="9"/>
      <c r="O297" s="9"/>
    </row>
    <row r="298">
      <c r="A298" s="9"/>
      <c r="D298" s="13"/>
      <c r="E298" s="9"/>
      <c r="I298" s="9"/>
      <c r="J298" s="121"/>
      <c r="M298" s="9"/>
      <c r="N298" s="9"/>
      <c r="O298" s="9"/>
    </row>
    <row r="299">
      <c r="A299" s="9"/>
      <c r="D299" s="13"/>
      <c r="E299" s="9"/>
      <c r="I299" s="9"/>
      <c r="J299" s="121"/>
      <c r="M299" s="9"/>
      <c r="N299" s="9"/>
      <c r="O299" s="9"/>
    </row>
    <row r="300">
      <c r="A300" s="9"/>
      <c r="D300" s="13"/>
      <c r="E300" s="9"/>
      <c r="I300" s="9"/>
      <c r="J300" s="121"/>
      <c r="M300" s="9"/>
      <c r="N300" s="9"/>
      <c r="O300" s="9"/>
    </row>
    <row r="301">
      <c r="A301" s="9"/>
      <c r="D301" s="13"/>
      <c r="E301" s="9"/>
      <c r="I301" s="9"/>
      <c r="J301" s="121"/>
      <c r="M301" s="9"/>
      <c r="N301" s="9"/>
      <c r="O301" s="9"/>
    </row>
    <row r="302">
      <c r="A302" s="9"/>
      <c r="D302" s="13"/>
      <c r="E302" s="9"/>
      <c r="I302" s="9"/>
      <c r="J302" s="121"/>
      <c r="M302" s="9"/>
      <c r="N302" s="9"/>
      <c r="O302" s="9"/>
    </row>
    <row r="303">
      <c r="A303" s="9"/>
      <c r="D303" s="13"/>
      <c r="E303" s="9"/>
      <c r="I303" s="9"/>
      <c r="J303" s="121"/>
      <c r="M303" s="9"/>
      <c r="N303" s="9"/>
      <c r="O303" s="9"/>
    </row>
    <row r="304">
      <c r="A304" s="9"/>
      <c r="D304" s="13"/>
      <c r="E304" s="9"/>
      <c r="I304" s="9"/>
      <c r="J304" s="121"/>
      <c r="M304" s="9"/>
      <c r="N304" s="9"/>
      <c r="O304" s="9"/>
    </row>
    <row r="305">
      <c r="A305" s="9"/>
      <c r="D305" s="13"/>
      <c r="E305" s="9"/>
      <c r="I305" s="9"/>
      <c r="J305" s="121"/>
      <c r="M305" s="9"/>
      <c r="N305" s="9"/>
      <c r="O305" s="9"/>
    </row>
    <row r="306">
      <c r="A306" s="9"/>
      <c r="D306" s="13"/>
      <c r="E306" s="9"/>
      <c r="I306" s="9"/>
      <c r="J306" s="121"/>
      <c r="M306" s="9"/>
      <c r="N306" s="9"/>
      <c r="O306" s="9"/>
    </row>
    <row r="307">
      <c r="A307" s="9"/>
      <c r="D307" s="13"/>
      <c r="E307" s="9"/>
      <c r="I307" s="9"/>
      <c r="J307" s="121"/>
      <c r="M307" s="9"/>
      <c r="N307" s="9"/>
      <c r="O307" s="9"/>
    </row>
    <row r="308">
      <c r="A308" s="9"/>
      <c r="D308" s="13"/>
      <c r="E308" s="9"/>
      <c r="I308" s="9"/>
      <c r="J308" s="121"/>
      <c r="M308" s="9"/>
      <c r="N308" s="9"/>
      <c r="O308" s="9"/>
    </row>
    <row r="309">
      <c r="A309" s="9"/>
      <c r="D309" s="13"/>
      <c r="E309" s="9"/>
      <c r="I309" s="9"/>
      <c r="J309" s="121"/>
      <c r="M309" s="9"/>
      <c r="N309" s="9"/>
      <c r="O309" s="9"/>
    </row>
    <row r="310">
      <c r="A310" s="9"/>
      <c r="D310" s="13"/>
      <c r="E310" s="9"/>
      <c r="I310" s="9"/>
      <c r="J310" s="121"/>
      <c r="M310" s="9"/>
      <c r="N310" s="9"/>
      <c r="O310" s="9"/>
    </row>
    <row r="311">
      <c r="A311" s="9"/>
      <c r="D311" s="13"/>
      <c r="E311" s="9"/>
      <c r="I311" s="9"/>
      <c r="J311" s="121"/>
      <c r="M311" s="9"/>
      <c r="N311" s="9"/>
      <c r="O311" s="9"/>
    </row>
    <row r="312">
      <c r="A312" s="9"/>
      <c r="D312" s="13"/>
      <c r="E312" s="9"/>
      <c r="I312" s="9"/>
      <c r="J312" s="121"/>
      <c r="M312" s="9"/>
      <c r="N312" s="9"/>
      <c r="O312" s="9"/>
    </row>
    <row r="313">
      <c r="A313" s="9"/>
      <c r="D313" s="13"/>
      <c r="E313" s="9"/>
      <c r="I313" s="9"/>
      <c r="J313" s="121"/>
      <c r="M313" s="9"/>
      <c r="N313" s="9"/>
      <c r="O313" s="9"/>
    </row>
    <row r="314">
      <c r="A314" s="9"/>
      <c r="D314" s="13"/>
      <c r="E314" s="9"/>
      <c r="I314" s="9"/>
      <c r="J314" s="121"/>
      <c r="M314" s="9"/>
      <c r="N314" s="9"/>
      <c r="O314" s="9"/>
    </row>
    <row r="315">
      <c r="A315" s="9"/>
      <c r="D315" s="13"/>
      <c r="E315" s="9"/>
      <c r="I315" s="9"/>
      <c r="J315" s="121"/>
      <c r="M315" s="9"/>
      <c r="N315" s="9"/>
      <c r="O315" s="9"/>
    </row>
    <row r="316">
      <c r="A316" s="9"/>
      <c r="D316" s="13"/>
      <c r="E316" s="9"/>
      <c r="I316" s="9"/>
      <c r="J316" s="121"/>
      <c r="M316" s="9"/>
      <c r="N316" s="9"/>
      <c r="O316" s="9"/>
    </row>
    <row r="317">
      <c r="A317" s="9"/>
      <c r="D317" s="13"/>
      <c r="E317" s="9"/>
      <c r="I317" s="9"/>
      <c r="J317" s="121"/>
      <c r="M317" s="9"/>
      <c r="N317" s="9"/>
      <c r="O317" s="9"/>
    </row>
    <row r="318">
      <c r="A318" s="9"/>
      <c r="D318" s="13"/>
      <c r="E318" s="9"/>
      <c r="I318" s="9"/>
      <c r="J318" s="121"/>
      <c r="M318" s="9"/>
      <c r="N318" s="9"/>
      <c r="O318" s="9"/>
    </row>
    <row r="319">
      <c r="A319" s="9"/>
      <c r="D319" s="13"/>
      <c r="E319" s="9"/>
      <c r="I319" s="9"/>
      <c r="J319" s="121"/>
      <c r="M319" s="9"/>
      <c r="N319" s="9"/>
      <c r="O319" s="9"/>
    </row>
    <row r="320">
      <c r="A320" s="9"/>
      <c r="D320" s="13"/>
      <c r="E320" s="9"/>
      <c r="I320" s="9"/>
      <c r="J320" s="121"/>
      <c r="M320" s="9"/>
      <c r="N320" s="9"/>
      <c r="O320" s="9"/>
    </row>
    <row r="321">
      <c r="A321" s="9"/>
      <c r="D321" s="13"/>
      <c r="E321" s="9"/>
      <c r="I321" s="9"/>
      <c r="J321" s="121"/>
      <c r="M321" s="9"/>
      <c r="N321" s="9"/>
      <c r="O321" s="9"/>
    </row>
    <row r="322">
      <c r="A322" s="9"/>
      <c r="D322" s="13"/>
      <c r="E322" s="9"/>
      <c r="I322" s="9"/>
      <c r="J322" s="121"/>
      <c r="M322" s="9"/>
      <c r="N322" s="9"/>
      <c r="O322" s="9"/>
    </row>
    <row r="323">
      <c r="A323" s="9"/>
      <c r="D323" s="13"/>
      <c r="E323" s="9"/>
      <c r="I323" s="9"/>
      <c r="J323" s="121"/>
      <c r="M323" s="9"/>
      <c r="N323" s="9"/>
      <c r="O323" s="9"/>
    </row>
    <row r="324">
      <c r="A324" s="9"/>
      <c r="D324" s="13"/>
      <c r="E324" s="9"/>
      <c r="I324" s="9"/>
      <c r="J324" s="121"/>
      <c r="M324" s="9"/>
      <c r="N324" s="9"/>
      <c r="O324" s="9"/>
    </row>
    <row r="325">
      <c r="A325" s="9"/>
      <c r="D325" s="13"/>
      <c r="E325" s="9"/>
      <c r="I325" s="9"/>
      <c r="J325" s="121"/>
      <c r="M325" s="9"/>
      <c r="N325" s="9"/>
      <c r="O325" s="9"/>
    </row>
    <row r="326">
      <c r="A326" s="9"/>
      <c r="D326" s="13"/>
      <c r="E326" s="9"/>
      <c r="I326" s="9"/>
      <c r="J326" s="121"/>
      <c r="M326" s="9"/>
      <c r="N326" s="9"/>
      <c r="O326" s="9"/>
    </row>
    <row r="327">
      <c r="A327" s="9"/>
      <c r="D327" s="13"/>
      <c r="E327" s="9"/>
      <c r="I327" s="9"/>
      <c r="J327" s="121"/>
      <c r="M327" s="9"/>
      <c r="N327" s="9"/>
      <c r="O327" s="9"/>
    </row>
    <row r="328">
      <c r="A328" s="9"/>
      <c r="D328" s="13"/>
      <c r="E328" s="9"/>
      <c r="I328" s="9"/>
      <c r="J328" s="121"/>
      <c r="M328" s="9"/>
      <c r="N328" s="9"/>
      <c r="O328" s="9"/>
    </row>
    <row r="329">
      <c r="A329" s="9"/>
      <c r="D329" s="13"/>
      <c r="E329" s="9"/>
      <c r="I329" s="9"/>
      <c r="J329" s="121"/>
      <c r="M329" s="9"/>
      <c r="N329" s="9"/>
      <c r="O329" s="9"/>
    </row>
    <row r="330">
      <c r="A330" s="9"/>
      <c r="D330" s="13"/>
      <c r="E330" s="9"/>
      <c r="I330" s="9"/>
      <c r="J330" s="121"/>
      <c r="M330" s="9"/>
      <c r="N330" s="9"/>
      <c r="O330" s="9"/>
    </row>
    <row r="331">
      <c r="A331" s="9"/>
      <c r="D331" s="13"/>
      <c r="E331" s="9"/>
      <c r="I331" s="9"/>
      <c r="J331" s="121"/>
      <c r="M331" s="9"/>
      <c r="N331" s="9"/>
      <c r="O331" s="9"/>
    </row>
    <row r="332">
      <c r="A332" s="9"/>
      <c r="D332" s="13"/>
      <c r="E332" s="9"/>
      <c r="I332" s="9"/>
      <c r="J332" s="121"/>
      <c r="M332" s="9"/>
      <c r="N332" s="9"/>
      <c r="O332" s="9"/>
    </row>
    <row r="333">
      <c r="A333" s="9"/>
      <c r="D333" s="13"/>
      <c r="E333" s="9"/>
      <c r="I333" s="9"/>
      <c r="J333" s="121"/>
      <c r="M333" s="9"/>
      <c r="N333" s="9"/>
      <c r="O333" s="9"/>
    </row>
    <row r="334">
      <c r="A334" s="9"/>
      <c r="D334" s="13"/>
      <c r="E334" s="9"/>
      <c r="I334" s="9"/>
      <c r="J334" s="121"/>
      <c r="M334" s="9"/>
      <c r="N334" s="9"/>
      <c r="O334" s="9"/>
    </row>
    <row r="335">
      <c r="A335" s="9"/>
      <c r="D335" s="13"/>
      <c r="E335" s="9"/>
      <c r="I335" s="9"/>
      <c r="J335" s="121"/>
      <c r="M335" s="9"/>
      <c r="N335" s="9"/>
      <c r="O335" s="9"/>
    </row>
    <row r="336">
      <c r="A336" s="9"/>
      <c r="D336" s="13"/>
      <c r="E336" s="9"/>
      <c r="I336" s="9"/>
      <c r="J336" s="121"/>
      <c r="M336" s="9"/>
      <c r="N336" s="9"/>
      <c r="O336" s="9"/>
    </row>
    <row r="337">
      <c r="A337" s="9"/>
      <c r="D337" s="13"/>
      <c r="E337" s="9"/>
      <c r="I337" s="9"/>
      <c r="J337" s="121"/>
      <c r="M337" s="9"/>
      <c r="N337" s="9"/>
      <c r="O337" s="9"/>
    </row>
    <row r="338">
      <c r="A338" s="9"/>
      <c r="D338" s="13"/>
      <c r="E338" s="9"/>
      <c r="I338" s="9"/>
      <c r="J338" s="121"/>
      <c r="M338" s="9"/>
      <c r="N338" s="9"/>
      <c r="O338" s="9"/>
    </row>
    <row r="339">
      <c r="A339" s="9"/>
      <c r="D339" s="13"/>
      <c r="E339" s="9"/>
      <c r="I339" s="9"/>
      <c r="J339" s="121"/>
      <c r="M339" s="9"/>
      <c r="N339" s="9"/>
      <c r="O339" s="9"/>
    </row>
    <row r="340">
      <c r="A340" s="9"/>
      <c r="D340" s="13"/>
      <c r="E340" s="9"/>
      <c r="I340" s="9"/>
      <c r="J340" s="121"/>
      <c r="M340" s="9"/>
      <c r="N340" s="9"/>
      <c r="O340" s="9"/>
    </row>
    <row r="341">
      <c r="A341" s="9"/>
      <c r="D341" s="13"/>
      <c r="E341" s="9"/>
      <c r="I341" s="9"/>
      <c r="J341" s="121"/>
      <c r="M341" s="9"/>
      <c r="N341" s="9"/>
      <c r="O341" s="9"/>
    </row>
    <row r="342">
      <c r="A342" s="9"/>
      <c r="D342" s="13"/>
      <c r="E342" s="9"/>
      <c r="I342" s="9"/>
      <c r="J342" s="121"/>
      <c r="M342" s="9"/>
      <c r="N342" s="9"/>
      <c r="O342" s="9"/>
    </row>
    <row r="343">
      <c r="A343" s="9"/>
      <c r="D343" s="13"/>
      <c r="E343" s="9"/>
      <c r="I343" s="9"/>
      <c r="J343" s="121"/>
      <c r="M343" s="9"/>
      <c r="N343" s="9"/>
      <c r="O343" s="9"/>
    </row>
    <row r="344">
      <c r="A344" s="9"/>
      <c r="D344" s="13"/>
      <c r="E344" s="9"/>
      <c r="I344" s="9"/>
      <c r="J344" s="121"/>
      <c r="M344" s="9"/>
      <c r="N344" s="9"/>
      <c r="O344" s="9"/>
    </row>
    <row r="345">
      <c r="A345" s="9"/>
      <c r="D345" s="13"/>
      <c r="E345" s="9"/>
      <c r="I345" s="9"/>
      <c r="J345" s="121"/>
      <c r="M345" s="9"/>
      <c r="N345" s="9"/>
      <c r="O345" s="9"/>
    </row>
    <row r="346">
      <c r="A346" s="9"/>
      <c r="D346" s="13"/>
      <c r="E346" s="9"/>
      <c r="I346" s="9"/>
      <c r="J346" s="121"/>
      <c r="M346" s="9"/>
      <c r="N346" s="9"/>
      <c r="O346" s="9"/>
    </row>
    <row r="347">
      <c r="A347" s="9"/>
      <c r="D347" s="13"/>
      <c r="E347" s="9"/>
      <c r="I347" s="9"/>
      <c r="J347" s="121"/>
      <c r="M347" s="9"/>
      <c r="N347" s="9"/>
      <c r="O347" s="9"/>
    </row>
    <row r="348">
      <c r="A348" s="9"/>
      <c r="D348" s="13"/>
      <c r="E348" s="9"/>
      <c r="I348" s="9"/>
      <c r="J348" s="121"/>
      <c r="M348" s="9"/>
      <c r="N348" s="9"/>
      <c r="O348" s="9"/>
    </row>
    <row r="349">
      <c r="A349" s="9"/>
      <c r="D349" s="13"/>
      <c r="E349" s="9"/>
      <c r="I349" s="9"/>
      <c r="J349" s="121"/>
      <c r="M349" s="9"/>
      <c r="N349" s="9"/>
      <c r="O349" s="9"/>
    </row>
    <row r="350">
      <c r="A350" s="9"/>
      <c r="D350" s="13"/>
      <c r="E350" s="9"/>
      <c r="I350" s="9"/>
      <c r="J350" s="121"/>
      <c r="M350" s="9"/>
      <c r="N350" s="9"/>
      <c r="O350" s="9"/>
    </row>
    <row r="351">
      <c r="A351" s="9"/>
      <c r="D351" s="13"/>
      <c r="E351" s="9"/>
      <c r="I351" s="9"/>
      <c r="J351" s="121"/>
      <c r="M351" s="9"/>
      <c r="N351" s="9"/>
      <c r="O351" s="9"/>
    </row>
    <row r="352">
      <c r="A352" s="9"/>
      <c r="D352" s="13"/>
      <c r="E352" s="9"/>
      <c r="I352" s="9"/>
      <c r="J352" s="121"/>
      <c r="M352" s="9"/>
      <c r="N352" s="9"/>
      <c r="O352" s="9"/>
    </row>
    <row r="353">
      <c r="A353" s="9"/>
      <c r="D353" s="13"/>
      <c r="E353" s="9"/>
      <c r="I353" s="9"/>
      <c r="J353" s="121"/>
      <c r="M353" s="9"/>
      <c r="N353" s="9"/>
      <c r="O353" s="9"/>
    </row>
    <row r="354">
      <c r="A354" s="9"/>
      <c r="D354" s="13"/>
      <c r="E354" s="9"/>
      <c r="I354" s="9"/>
      <c r="J354" s="121"/>
      <c r="M354" s="9"/>
      <c r="N354" s="9"/>
      <c r="O354" s="9"/>
    </row>
    <row r="355">
      <c r="A355" s="9"/>
      <c r="D355" s="13"/>
      <c r="E355" s="9"/>
      <c r="I355" s="9"/>
      <c r="J355" s="121"/>
      <c r="M355" s="9"/>
      <c r="N355" s="9"/>
      <c r="O355" s="9"/>
    </row>
    <row r="356">
      <c r="A356" s="9"/>
      <c r="D356" s="13"/>
      <c r="E356" s="9"/>
      <c r="I356" s="9"/>
      <c r="J356" s="121"/>
      <c r="M356" s="9"/>
      <c r="N356" s="9"/>
      <c r="O356" s="9"/>
    </row>
    <row r="357">
      <c r="A357" s="9"/>
      <c r="D357" s="13"/>
      <c r="E357" s="9"/>
      <c r="I357" s="9"/>
      <c r="J357" s="121"/>
      <c r="M357" s="9"/>
      <c r="N357" s="9"/>
      <c r="O357" s="9"/>
    </row>
    <row r="358">
      <c r="A358" s="9"/>
      <c r="D358" s="13"/>
      <c r="E358" s="9"/>
      <c r="I358" s="9"/>
      <c r="J358" s="121"/>
      <c r="M358" s="9"/>
      <c r="N358" s="9"/>
      <c r="O358" s="9"/>
    </row>
    <row r="359">
      <c r="A359" s="9"/>
      <c r="D359" s="13"/>
      <c r="E359" s="9"/>
      <c r="I359" s="9"/>
      <c r="J359" s="121"/>
      <c r="M359" s="9"/>
      <c r="N359" s="9"/>
      <c r="O359" s="9"/>
    </row>
    <row r="360">
      <c r="A360" s="9"/>
      <c r="D360" s="13"/>
      <c r="E360" s="9"/>
      <c r="I360" s="9"/>
      <c r="J360" s="121"/>
      <c r="M360" s="9"/>
      <c r="N360" s="9"/>
      <c r="O360" s="9"/>
    </row>
    <row r="361">
      <c r="A361" s="9"/>
      <c r="D361" s="13"/>
      <c r="E361" s="9"/>
      <c r="I361" s="9"/>
      <c r="J361" s="121"/>
      <c r="M361" s="9"/>
      <c r="N361" s="9"/>
      <c r="O361" s="9"/>
    </row>
    <row r="362">
      <c r="A362" s="9"/>
      <c r="D362" s="13"/>
      <c r="E362" s="9"/>
      <c r="I362" s="9"/>
      <c r="J362" s="121"/>
      <c r="M362" s="9"/>
      <c r="N362" s="9"/>
      <c r="O362" s="9"/>
    </row>
    <row r="363">
      <c r="A363" s="9"/>
      <c r="D363" s="13"/>
      <c r="E363" s="9"/>
      <c r="I363" s="9"/>
      <c r="J363" s="121"/>
      <c r="M363" s="9"/>
      <c r="N363" s="9"/>
      <c r="O363" s="9"/>
    </row>
    <row r="364">
      <c r="A364" s="9"/>
      <c r="D364" s="13"/>
      <c r="E364" s="9"/>
      <c r="I364" s="9"/>
      <c r="J364" s="121"/>
      <c r="M364" s="9"/>
      <c r="N364" s="9"/>
      <c r="O364" s="9"/>
    </row>
    <row r="365">
      <c r="A365" s="9"/>
      <c r="D365" s="13"/>
      <c r="E365" s="9"/>
      <c r="I365" s="9"/>
      <c r="J365" s="121"/>
      <c r="M365" s="9"/>
      <c r="N365" s="9"/>
      <c r="O365" s="9"/>
    </row>
    <row r="366">
      <c r="A366" s="9"/>
      <c r="D366" s="13"/>
      <c r="E366" s="9"/>
      <c r="I366" s="9"/>
      <c r="J366" s="121"/>
      <c r="M366" s="9"/>
      <c r="N366" s="9"/>
      <c r="O366" s="9"/>
    </row>
    <row r="367">
      <c r="A367" s="9"/>
      <c r="D367" s="13"/>
      <c r="E367" s="9"/>
      <c r="I367" s="9"/>
      <c r="J367" s="121"/>
      <c r="M367" s="9"/>
      <c r="N367" s="9"/>
      <c r="O367" s="9"/>
    </row>
    <row r="368">
      <c r="A368" s="9"/>
      <c r="D368" s="13"/>
      <c r="E368" s="9"/>
      <c r="I368" s="9"/>
      <c r="J368" s="121"/>
      <c r="M368" s="9"/>
      <c r="N368" s="9"/>
      <c r="O368" s="9"/>
    </row>
    <row r="369">
      <c r="A369" s="9"/>
      <c r="D369" s="13"/>
      <c r="E369" s="9"/>
      <c r="I369" s="9"/>
      <c r="J369" s="121"/>
      <c r="M369" s="9"/>
      <c r="N369" s="9"/>
      <c r="O369" s="9"/>
    </row>
    <row r="370">
      <c r="A370" s="9"/>
      <c r="D370" s="13"/>
      <c r="E370" s="9"/>
      <c r="I370" s="9"/>
      <c r="J370" s="121"/>
      <c r="M370" s="9"/>
      <c r="N370" s="9"/>
      <c r="O370" s="9"/>
    </row>
    <row r="371">
      <c r="A371" s="9"/>
      <c r="D371" s="13"/>
      <c r="E371" s="9"/>
      <c r="I371" s="9"/>
      <c r="J371" s="121"/>
      <c r="M371" s="9"/>
      <c r="N371" s="9"/>
      <c r="O371" s="9"/>
    </row>
    <row r="372">
      <c r="A372" s="9"/>
      <c r="D372" s="13"/>
      <c r="E372" s="9"/>
      <c r="I372" s="9"/>
      <c r="J372" s="121"/>
      <c r="M372" s="9"/>
      <c r="N372" s="9"/>
      <c r="O372" s="9"/>
    </row>
    <row r="373">
      <c r="A373" s="9"/>
      <c r="D373" s="13"/>
      <c r="E373" s="9"/>
      <c r="I373" s="9"/>
      <c r="J373" s="121"/>
      <c r="M373" s="9"/>
      <c r="N373" s="9"/>
      <c r="O373" s="9"/>
    </row>
    <row r="374">
      <c r="A374" s="9"/>
      <c r="D374" s="13"/>
      <c r="E374" s="9"/>
      <c r="I374" s="9"/>
      <c r="J374" s="121"/>
      <c r="M374" s="9"/>
      <c r="N374" s="9"/>
      <c r="O374" s="9"/>
    </row>
    <row r="375">
      <c r="A375" s="9"/>
      <c r="D375" s="13"/>
      <c r="E375" s="9"/>
      <c r="I375" s="9"/>
      <c r="J375" s="121"/>
      <c r="M375" s="9"/>
      <c r="N375" s="9"/>
      <c r="O375" s="9"/>
    </row>
    <row r="376">
      <c r="A376" s="9"/>
      <c r="D376" s="13"/>
      <c r="E376" s="9"/>
      <c r="I376" s="9"/>
      <c r="J376" s="121"/>
      <c r="M376" s="9"/>
      <c r="N376" s="9"/>
      <c r="O376" s="9"/>
    </row>
    <row r="377">
      <c r="A377" s="9"/>
      <c r="D377" s="13"/>
      <c r="E377" s="9"/>
      <c r="I377" s="9"/>
      <c r="J377" s="121"/>
      <c r="M377" s="9"/>
      <c r="N377" s="9"/>
      <c r="O377" s="9"/>
    </row>
    <row r="378">
      <c r="A378" s="9"/>
      <c r="D378" s="13"/>
      <c r="E378" s="9"/>
      <c r="I378" s="9"/>
      <c r="J378" s="121"/>
      <c r="M378" s="9"/>
      <c r="N378" s="9"/>
      <c r="O378" s="9"/>
    </row>
    <row r="379">
      <c r="A379" s="9"/>
      <c r="D379" s="13"/>
      <c r="E379" s="9"/>
      <c r="I379" s="9"/>
      <c r="J379" s="121"/>
      <c r="M379" s="9"/>
      <c r="N379" s="9"/>
      <c r="O379" s="9"/>
    </row>
    <row r="380">
      <c r="A380" s="9"/>
      <c r="D380" s="13"/>
      <c r="E380" s="9"/>
      <c r="I380" s="9"/>
      <c r="J380" s="121"/>
      <c r="M380" s="9"/>
      <c r="N380" s="9"/>
      <c r="O380" s="9"/>
    </row>
    <row r="381">
      <c r="A381" s="9"/>
      <c r="D381" s="13"/>
      <c r="E381" s="9"/>
      <c r="I381" s="9"/>
      <c r="J381" s="121"/>
      <c r="M381" s="9"/>
      <c r="N381" s="9"/>
      <c r="O381" s="9"/>
    </row>
    <row r="382">
      <c r="A382" s="9"/>
      <c r="D382" s="13"/>
      <c r="E382" s="9"/>
      <c r="I382" s="9"/>
      <c r="J382" s="121"/>
      <c r="M382" s="9"/>
      <c r="N382" s="9"/>
      <c r="O382" s="9"/>
    </row>
    <row r="383">
      <c r="A383" s="9"/>
      <c r="D383" s="13"/>
      <c r="E383" s="9"/>
      <c r="I383" s="9"/>
      <c r="J383" s="121"/>
      <c r="M383" s="9"/>
      <c r="N383" s="9"/>
      <c r="O383" s="9"/>
    </row>
    <row r="384">
      <c r="A384" s="9"/>
      <c r="D384" s="13"/>
      <c r="E384" s="9"/>
      <c r="I384" s="9"/>
      <c r="J384" s="121"/>
      <c r="M384" s="9"/>
      <c r="N384" s="9"/>
      <c r="O384" s="9"/>
    </row>
    <row r="385">
      <c r="A385" s="9"/>
      <c r="D385" s="13"/>
      <c r="E385" s="9"/>
      <c r="I385" s="9"/>
      <c r="J385" s="121"/>
      <c r="M385" s="9"/>
      <c r="N385" s="9"/>
      <c r="O385" s="9"/>
    </row>
    <row r="386">
      <c r="A386" s="9"/>
      <c r="D386" s="13"/>
      <c r="E386" s="9"/>
      <c r="I386" s="9"/>
      <c r="J386" s="121"/>
      <c r="M386" s="9"/>
      <c r="N386" s="9"/>
      <c r="O386" s="9"/>
    </row>
    <row r="387">
      <c r="A387" s="9"/>
      <c r="D387" s="13"/>
      <c r="E387" s="9"/>
      <c r="I387" s="9"/>
      <c r="J387" s="121"/>
      <c r="M387" s="9"/>
      <c r="N387" s="9"/>
      <c r="O387" s="9"/>
    </row>
    <row r="388">
      <c r="A388" s="9"/>
      <c r="D388" s="13"/>
      <c r="E388" s="9"/>
      <c r="I388" s="9"/>
      <c r="J388" s="121"/>
      <c r="M388" s="9"/>
      <c r="N388" s="9"/>
      <c r="O388" s="9"/>
    </row>
    <row r="389">
      <c r="A389" s="9"/>
      <c r="D389" s="13"/>
      <c r="E389" s="9"/>
      <c r="I389" s="9"/>
      <c r="J389" s="121"/>
      <c r="M389" s="9"/>
      <c r="N389" s="9"/>
      <c r="O389" s="9"/>
    </row>
    <row r="390">
      <c r="A390" s="9"/>
      <c r="D390" s="13"/>
      <c r="E390" s="9"/>
      <c r="I390" s="9"/>
      <c r="J390" s="121"/>
      <c r="M390" s="9"/>
      <c r="N390" s="9"/>
      <c r="O390" s="9"/>
    </row>
    <row r="391">
      <c r="A391" s="9"/>
      <c r="D391" s="13"/>
      <c r="E391" s="9"/>
      <c r="I391" s="9"/>
      <c r="J391" s="121"/>
      <c r="M391" s="9"/>
      <c r="N391" s="9"/>
      <c r="O391" s="9"/>
    </row>
    <row r="392">
      <c r="A392" s="9"/>
      <c r="D392" s="13"/>
      <c r="E392" s="9"/>
      <c r="I392" s="9"/>
      <c r="J392" s="121"/>
      <c r="M392" s="9"/>
      <c r="N392" s="9"/>
      <c r="O392" s="9"/>
    </row>
    <row r="393">
      <c r="A393" s="9"/>
      <c r="D393" s="13"/>
      <c r="E393" s="9"/>
      <c r="I393" s="9"/>
      <c r="J393" s="121"/>
      <c r="M393" s="9"/>
      <c r="N393" s="9"/>
      <c r="O393" s="9"/>
    </row>
    <row r="394">
      <c r="A394" s="9"/>
      <c r="D394" s="13"/>
      <c r="E394" s="9"/>
      <c r="I394" s="9"/>
      <c r="J394" s="121"/>
      <c r="M394" s="9"/>
      <c r="N394" s="9"/>
      <c r="O394" s="9"/>
    </row>
    <row r="395">
      <c r="A395" s="9"/>
      <c r="D395" s="13"/>
      <c r="E395" s="9"/>
      <c r="I395" s="9"/>
      <c r="J395" s="121"/>
      <c r="M395" s="9"/>
      <c r="N395" s="9"/>
      <c r="O395" s="9"/>
    </row>
    <row r="396">
      <c r="A396" s="9"/>
      <c r="D396" s="13"/>
      <c r="E396" s="9"/>
      <c r="I396" s="9"/>
      <c r="J396" s="121"/>
      <c r="M396" s="9"/>
      <c r="N396" s="9"/>
      <c r="O396" s="9"/>
    </row>
    <row r="397">
      <c r="A397" s="9"/>
      <c r="D397" s="13"/>
      <c r="E397" s="9"/>
      <c r="I397" s="9"/>
      <c r="J397" s="121"/>
      <c r="M397" s="9"/>
      <c r="N397" s="9"/>
      <c r="O397" s="9"/>
    </row>
    <row r="398">
      <c r="A398" s="9"/>
      <c r="D398" s="13"/>
      <c r="E398" s="9"/>
      <c r="I398" s="9"/>
      <c r="J398" s="121"/>
      <c r="M398" s="9"/>
      <c r="N398" s="9"/>
      <c r="O398" s="9"/>
    </row>
    <row r="399">
      <c r="A399" s="9"/>
      <c r="D399" s="13"/>
      <c r="E399" s="9"/>
      <c r="I399" s="9"/>
      <c r="J399" s="121"/>
      <c r="M399" s="9"/>
      <c r="N399" s="9"/>
      <c r="O399" s="9"/>
    </row>
    <row r="400">
      <c r="A400" s="9"/>
      <c r="D400" s="13"/>
      <c r="E400" s="9"/>
      <c r="I400" s="9"/>
      <c r="J400" s="121"/>
      <c r="M400" s="9"/>
      <c r="N400" s="9"/>
      <c r="O400" s="9"/>
    </row>
    <row r="401">
      <c r="A401" s="9"/>
      <c r="D401" s="13"/>
      <c r="E401" s="9"/>
      <c r="I401" s="9"/>
      <c r="J401" s="121"/>
      <c r="M401" s="9"/>
      <c r="N401" s="9"/>
      <c r="O401" s="9"/>
    </row>
    <row r="402">
      <c r="A402" s="9"/>
      <c r="D402" s="13"/>
      <c r="E402" s="9"/>
      <c r="I402" s="9"/>
      <c r="J402" s="121"/>
      <c r="M402" s="9"/>
      <c r="N402" s="9"/>
      <c r="O402" s="9"/>
    </row>
    <row r="403">
      <c r="A403" s="9"/>
      <c r="D403" s="13"/>
      <c r="E403" s="9"/>
      <c r="I403" s="9"/>
      <c r="J403" s="121"/>
      <c r="M403" s="9"/>
      <c r="N403" s="9"/>
      <c r="O403" s="9"/>
    </row>
    <row r="404">
      <c r="A404" s="9"/>
      <c r="D404" s="13"/>
      <c r="E404" s="9"/>
      <c r="I404" s="9"/>
      <c r="J404" s="121"/>
      <c r="M404" s="9"/>
      <c r="N404" s="9"/>
      <c r="O404" s="9"/>
    </row>
    <row r="405">
      <c r="A405" s="9"/>
      <c r="D405" s="13"/>
      <c r="E405" s="9"/>
      <c r="I405" s="9"/>
      <c r="J405" s="121"/>
      <c r="M405" s="9"/>
      <c r="N405" s="9"/>
      <c r="O405" s="9"/>
    </row>
    <row r="406">
      <c r="A406" s="9"/>
      <c r="D406" s="13"/>
      <c r="E406" s="9"/>
      <c r="I406" s="9"/>
      <c r="J406" s="121"/>
      <c r="M406" s="9"/>
      <c r="N406" s="9"/>
      <c r="O406" s="9"/>
    </row>
    <row r="407">
      <c r="A407" s="9"/>
      <c r="D407" s="13"/>
      <c r="E407" s="9"/>
      <c r="I407" s="9"/>
      <c r="J407" s="121"/>
      <c r="M407" s="9"/>
      <c r="N407" s="9"/>
      <c r="O407" s="9"/>
    </row>
    <row r="408">
      <c r="A408" s="9"/>
      <c r="D408" s="13"/>
      <c r="E408" s="9"/>
      <c r="I408" s="9"/>
      <c r="J408" s="121"/>
      <c r="M408" s="9"/>
      <c r="N408" s="9"/>
      <c r="O408" s="9"/>
    </row>
    <row r="409">
      <c r="A409" s="9"/>
      <c r="D409" s="13"/>
      <c r="E409" s="9"/>
      <c r="I409" s="9"/>
      <c r="J409" s="121"/>
      <c r="M409" s="9"/>
      <c r="N409" s="9"/>
      <c r="O409" s="9"/>
    </row>
    <row r="410">
      <c r="A410" s="9"/>
      <c r="D410" s="13"/>
      <c r="E410" s="9"/>
      <c r="I410" s="9"/>
      <c r="J410" s="121"/>
      <c r="M410" s="9"/>
      <c r="N410" s="9"/>
      <c r="O410" s="9"/>
    </row>
    <row r="411">
      <c r="A411" s="9"/>
      <c r="D411" s="13"/>
      <c r="E411" s="9"/>
      <c r="I411" s="9"/>
      <c r="J411" s="121"/>
      <c r="M411" s="9"/>
      <c r="N411" s="9"/>
      <c r="O411" s="9"/>
    </row>
    <row r="412">
      <c r="A412" s="9"/>
      <c r="D412" s="13"/>
      <c r="E412" s="9"/>
      <c r="I412" s="9"/>
      <c r="J412" s="121"/>
      <c r="M412" s="9"/>
      <c r="N412" s="9"/>
      <c r="O412" s="9"/>
    </row>
    <row r="413">
      <c r="A413" s="9"/>
      <c r="D413" s="13"/>
      <c r="E413" s="9"/>
      <c r="I413" s="9"/>
      <c r="J413" s="121"/>
      <c r="M413" s="9"/>
      <c r="N413" s="9"/>
      <c r="O413" s="9"/>
    </row>
    <row r="414">
      <c r="A414" s="9"/>
      <c r="D414" s="13"/>
      <c r="E414" s="9"/>
      <c r="I414" s="9"/>
      <c r="J414" s="121"/>
      <c r="M414" s="9"/>
      <c r="N414" s="9"/>
      <c r="O414" s="9"/>
    </row>
    <row r="415">
      <c r="A415" s="9"/>
      <c r="D415" s="13"/>
      <c r="E415" s="9"/>
      <c r="I415" s="9"/>
      <c r="J415" s="121"/>
      <c r="M415" s="9"/>
      <c r="N415" s="9"/>
      <c r="O415" s="9"/>
    </row>
    <row r="416">
      <c r="A416" s="9"/>
      <c r="D416" s="13"/>
      <c r="E416" s="9"/>
      <c r="I416" s="9"/>
      <c r="J416" s="121"/>
      <c r="M416" s="9"/>
      <c r="N416" s="9"/>
      <c r="O416" s="9"/>
    </row>
    <row r="417">
      <c r="A417" s="9"/>
      <c r="D417" s="13"/>
      <c r="E417" s="9"/>
      <c r="I417" s="9"/>
      <c r="J417" s="121"/>
      <c r="M417" s="9"/>
      <c r="N417" s="9"/>
      <c r="O417" s="9"/>
    </row>
    <row r="418">
      <c r="A418" s="9"/>
      <c r="D418" s="13"/>
      <c r="E418" s="9"/>
      <c r="I418" s="9"/>
      <c r="J418" s="121"/>
      <c r="M418" s="9"/>
      <c r="N418" s="9"/>
      <c r="O418" s="9"/>
    </row>
    <row r="419">
      <c r="A419" s="9"/>
      <c r="D419" s="13"/>
      <c r="E419" s="9"/>
      <c r="I419" s="9"/>
      <c r="J419" s="121"/>
      <c r="M419" s="9"/>
      <c r="N419" s="9"/>
      <c r="O419" s="9"/>
    </row>
    <row r="420">
      <c r="A420" s="9"/>
      <c r="D420" s="13"/>
      <c r="E420" s="9"/>
      <c r="I420" s="9"/>
      <c r="J420" s="121"/>
      <c r="M420" s="9"/>
      <c r="N420" s="9"/>
      <c r="O420" s="9"/>
    </row>
    <row r="421">
      <c r="A421" s="9"/>
      <c r="D421" s="13"/>
      <c r="E421" s="9"/>
      <c r="I421" s="9"/>
      <c r="J421" s="121"/>
      <c r="M421" s="9"/>
      <c r="N421" s="9"/>
      <c r="O421" s="9"/>
    </row>
    <row r="422">
      <c r="A422" s="9"/>
      <c r="D422" s="13"/>
      <c r="E422" s="9"/>
      <c r="I422" s="9"/>
      <c r="J422" s="121"/>
      <c r="M422" s="9"/>
      <c r="N422" s="9"/>
      <c r="O422" s="9"/>
    </row>
    <row r="423">
      <c r="A423" s="9"/>
      <c r="D423" s="13"/>
      <c r="E423" s="9"/>
      <c r="I423" s="9"/>
      <c r="J423" s="121"/>
      <c r="M423" s="9"/>
      <c r="N423" s="9"/>
      <c r="O423" s="9"/>
    </row>
    <row r="424">
      <c r="A424" s="9"/>
      <c r="D424" s="13"/>
      <c r="E424" s="9"/>
      <c r="I424" s="9"/>
      <c r="J424" s="121"/>
      <c r="M424" s="9"/>
      <c r="N424" s="9"/>
      <c r="O424" s="9"/>
    </row>
    <row r="425">
      <c r="A425" s="9"/>
      <c r="D425" s="13"/>
      <c r="E425" s="9"/>
      <c r="I425" s="9"/>
      <c r="J425" s="121"/>
      <c r="M425" s="9"/>
      <c r="N425" s="9"/>
      <c r="O425" s="9"/>
    </row>
    <row r="426">
      <c r="A426" s="9"/>
      <c r="D426" s="13"/>
      <c r="E426" s="9"/>
      <c r="I426" s="9"/>
      <c r="J426" s="121"/>
      <c r="M426" s="9"/>
      <c r="N426" s="9"/>
      <c r="O426" s="9"/>
    </row>
    <row r="427">
      <c r="A427" s="9"/>
      <c r="D427" s="13"/>
      <c r="E427" s="9"/>
      <c r="I427" s="9"/>
      <c r="J427" s="121"/>
      <c r="M427" s="9"/>
      <c r="N427" s="9"/>
      <c r="O427" s="9"/>
    </row>
    <row r="428">
      <c r="A428" s="9"/>
      <c r="D428" s="13"/>
      <c r="E428" s="9"/>
      <c r="I428" s="9"/>
      <c r="J428" s="121"/>
      <c r="M428" s="9"/>
      <c r="N428" s="9"/>
      <c r="O428" s="9"/>
    </row>
    <row r="429">
      <c r="A429" s="9"/>
      <c r="D429" s="13"/>
      <c r="E429" s="9"/>
      <c r="I429" s="9"/>
      <c r="J429" s="121"/>
      <c r="M429" s="9"/>
      <c r="N429" s="9"/>
      <c r="O429" s="9"/>
    </row>
    <row r="430">
      <c r="A430" s="9"/>
      <c r="D430" s="13"/>
      <c r="E430" s="9"/>
      <c r="I430" s="9"/>
      <c r="J430" s="121"/>
      <c r="M430" s="9"/>
      <c r="N430" s="9"/>
      <c r="O430" s="9"/>
    </row>
    <row r="431">
      <c r="A431" s="9"/>
      <c r="D431" s="13"/>
      <c r="E431" s="9"/>
      <c r="I431" s="9"/>
      <c r="J431" s="121"/>
      <c r="M431" s="9"/>
      <c r="N431" s="9"/>
      <c r="O431" s="9"/>
    </row>
    <row r="432">
      <c r="A432" s="9"/>
      <c r="D432" s="13"/>
      <c r="E432" s="9"/>
      <c r="I432" s="9"/>
      <c r="J432" s="121"/>
      <c r="M432" s="9"/>
      <c r="N432" s="9"/>
      <c r="O432" s="9"/>
    </row>
    <row r="433">
      <c r="A433" s="9"/>
      <c r="D433" s="13"/>
      <c r="E433" s="9"/>
      <c r="I433" s="9"/>
      <c r="J433" s="121"/>
      <c r="M433" s="9"/>
      <c r="N433" s="9"/>
      <c r="O433" s="9"/>
    </row>
    <row r="434">
      <c r="A434" s="9"/>
      <c r="D434" s="13"/>
      <c r="E434" s="9"/>
      <c r="I434" s="9"/>
      <c r="J434" s="121"/>
      <c r="M434" s="9"/>
      <c r="N434" s="9"/>
      <c r="O434" s="9"/>
    </row>
    <row r="435">
      <c r="A435" s="9"/>
      <c r="D435" s="13"/>
      <c r="E435" s="9"/>
      <c r="I435" s="9"/>
      <c r="J435" s="121"/>
      <c r="M435" s="9"/>
      <c r="N435" s="9"/>
      <c r="O435" s="9"/>
    </row>
    <row r="436">
      <c r="A436" s="9"/>
      <c r="D436" s="13"/>
      <c r="E436" s="9"/>
      <c r="I436" s="9"/>
      <c r="J436" s="121"/>
      <c r="M436" s="9"/>
      <c r="N436" s="9"/>
      <c r="O436" s="9"/>
    </row>
    <row r="437">
      <c r="A437" s="9"/>
      <c r="D437" s="13"/>
      <c r="E437" s="9"/>
      <c r="I437" s="9"/>
      <c r="J437" s="121"/>
      <c r="M437" s="9"/>
      <c r="N437" s="9"/>
      <c r="O437" s="9"/>
    </row>
    <row r="438">
      <c r="A438" s="9"/>
      <c r="D438" s="13"/>
      <c r="E438" s="9"/>
      <c r="I438" s="9"/>
      <c r="J438" s="121"/>
      <c r="M438" s="9"/>
      <c r="N438" s="9"/>
      <c r="O438" s="9"/>
    </row>
    <row r="439">
      <c r="A439" s="9"/>
      <c r="D439" s="13"/>
      <c r="E439" s="9"/>
      <c r="I439" s="9"/>
      <c r="J439" s="121"/>
      <c r="M439" s="9"/>
      <c r="N439" s="9"/>
      <c r="O439" s="9"/>
    </row>
    <row r="440">
      <c r="A440" s="9"/>
      <c r="D440" s="13"/>
      <c r="E440" s="9"/>
      <c r="I440" s="9"/>
      <c r="J440" s="121"/>
      <c r="M440" s="9"/>
      <c r="N440" s="9"/>
      <c r="O440" s="9"/>
    </row>
    <row r="441">
      <c r="A441" s="9"/>
      <c r="D441" s="13"/>
      <c r="E441" s="9"/>
      <c r="I441" s="9"/>
      <c r="J441" s="121"/>
      <c r="M441" s="9"/>
      <c r="N441" s="9"/>
      <c r="O441" s="9"/>
    </row>
    <row r="442">
      <c r="A442" s="9"/>
      <c r="D442" s="13"/>
      <c r="E442" s="9"/>
      <c r="I442" s="9"/>
      <c r="J442" s="121"/>
      <c r="M442" s="9"/>
      <c r="N442" s="9"/>
      <c r="O442" s="9"/>
    </row>
    <row r="443">
      <c r="A443" s="9"/>
      <c r="D443" s="13"/>
      <c r="E443" s="9"/>
      <c r="I443" s="9"/>
      <c r="J443" s="121"/>
      <c r="M443" s="9"/>
      <c r="N443" s="9"/>
      <c r="O443" s="9"/>
    </row>
    <row r="444">
      <c r="A444" s="9"/>
      <c r="D444" s="13"/>
      <c r="E444" s="9"/>
      <c r="I444" s="9"/>
      <c r="J444" s="121"/>
      <c r="M444" s="9"/>
      <c r="N444" s="9"/>
      <c r="O444" s="9"/>
    </row>
    <row r="445">
      <c r="A445" s="9"/>
      <c r="D445" s="13"/>
      <c r="E445" s="9"/>
      <c r="I445" s="9"/>
      <c r="J445" s="121"/>
      <c r="M445" s="9"/>
      <c r="N445" s="9"/>
      <c r="O445" s="9"/>
    </row>
    <row r="446">
      <c r="A446" s="9"/>
      <c r="D446" s="13"/>
      <c r="E446" s="9"/>
      <c r="I446" s="9"/>
      <c r="J446" s="121"/>
      <c r="M446" s="9"/>
      <c r="N446" s="9"/>
      <c r="O446" s="9"/>
    </row>
    <row r="447">
      <c r="A447" s="9"/>
      <c r="D447" s="13"/>
      <c r="E447" s="9"/>
      <c r="I447" s="9"/>
      <c r="J447" s="121"/>
      <c r="M447" s="9"/>
      <c r="N447" s="9"/>
      <c r="O447" s="9"/>
    </row>
    <row r="448">
      <c r="A448" s="9"/>
      <c r="D448" s="13"/>
      <c r="E448" s="9"/>
      <c r="I448" s="9"/>
      <c r="J448" s="121"/>
      <c r="M448" s="9"/>
      <c r="N448" s="9"/>
      <c r="O448" s="9"/>
    </row>
    <row r="449">
      <c r="A449" s="9"/>
      <c r="D449" s="13"/>
      <c r="E449" s="9"/>
      <c r="I449" s="9"/>
      <c r="J449" s="121"/>
      <c r="M449" s="9"/>
      <c r="N449" s="9"/>
      <c r="O449" s="9"/>
    </row>
    <row r="450">
      <c r="A450" s="9"/>
      <c r="D450" s="13"/>
      <c r="E450" s="9"/>
      <c r="I450" s="9"/>
      <c r="J450" s="121"/>
      <c r="M450" s="9"/>
      <c r="N450" s="9"/>
      <c r="O450" s="9"/>
    </row>
    <row r="451">
      <c r="A451" s="9"/>
      <c r="D451" s="13"/>
      <c r="E451" s="9"/>
      <c r="I451" s="9"/>
      <c r="J451" s="121"/>
      <c r="M451" s="9"/>
      <c r="N451" s="9"/>
      <c r="O451" s="9"/>
    </row>
    <row r="452">
      <c r="A452" s="9"/>
      <c r="D452" s="13"/>
      <c r="E452" s="9"/>
      <c r="I452" s="9"/>
      <c r="J452" s="121"/>
      <c r="M452" s="9"/>
      <c r="N452" s="9"/>
      <c r="O452" s="9"/>
    </row>
    <row r="453">
      <c r="A453" s="9"/>
      <c r="D453" s="13"/>
      <c r="E453" s="9"/>
      <c r="I453" s="9"/>
      <c r="J453" s="121"/>
      <c r="M453" s="9"/>
      <c r="N453" s="9"/>
      <c r="O453" s="9"/>
    </row>
    <row r="454">
      <c r="A454" s="9"/>
      <c r="D454" s="13"/>
      <c r="E454" s="9"/>
      <c r="I454" s="9"/>
      <c r="J454" s="121"/>
      <c r="M454" s="9"/>
      <c r="N454" s="9"/>
      <c r="O454" s="9"/>
    </row>
    <row r="455">
      <c r="A455" s="9"/>
      <c r="D455" s="13"/>
      <c r="E455" s="9"/>
      <c r="I455" s="9"/>
      <c r="J455" s="121"/>
      <c r="M455" s="9"/>
      <c r="N455" s="9"/>
      <c r="O455" s="9"/>
    </row>
    <row r="456">
      <c r="A456" s="9"/>
      <c r="D456" s="13"/>
      <c r="E456" s="9"/>
      <c r="I456" s="9"/>
      <c r="J456" s="121"/>
      <c r="M456" s="9"/>
      <c r="N456" s="9"/>
      <c r="O456" s="9"/>
    </row>
    <row r="457">
      <c r="A457" s="9"/>
      <c r="D457" s="13"/>
      <c r="E457" s="9"/>
      <c r="I457" s="9"/>
      <c r="J457" s="121"/>
      <c r="M457" s="9"/>
      <c r="N457" s="9"/>
      <c r="O457" s="9"/>
    </row>
    <row r="458">
      <c r="A458" s="9"/>
      <c r="D458" s="13"/>
      <c r="E458" s="9"/>
      <c r="I458" s="9"/>
      <c r="J458" s="121"/>
      <c r="M458" s="9"/>
      <c r="N458" s="9"/>
      <c r="O458" s="9"/>
    </row>
    <row r="459">
      <c r="A459" s="9"/>
      <c r="D459" s="13"/>
      <c r="E459" s="9"/>
      <c r="I459" s="9"/>
      <c r="J459" s="121"/>
      <c r="M459" s="9"/>
      <c r="N459" s="9"/>
      <c r="O459" s="9"/>
    </row>
    <row r="460">
      <c r="A460" s="9"/>
      <c r="D460" s="13"/>
      <c r="E460" s="9"/>
      <c r="I460" s="9"/>
      <c r="J460" s="121"/>
      <c r="M460" s="9"/>
      <c r="N460" s="9"/>
      <c r="O460" s="9"/>
    </row>
    <row r="461">
      <c r="A461" s="9"/>
      <c r="D461" s="13"/>
      <c r="E461" s="9"/>
      <c r="I461" s="9"/>
      <c r="J461" s="121"/>
      <c r="M461" s="9"/>
      <c r="N461" s="9"/>
      <c r="O461" s="9"/>
    </row>
    <row r="462">
      <c r="A462" s="9"/>
      <c r="D462" s="13"/>
      <c r="E462" s="9"/>
      <c r="I462" s="9"/>
      <c r="J462" s="121"/>
      <c r="M462" s="9"/>
      <c r="N462" s="9"/>
      <c r="O462" s="9"/>
    </row>
    <row r="463">
      <c r="A463" s="9"/>
      <c r="D463" s="13"/>
      <c r="E463" s="9"/>
      <c r="I463" s="9"/>
      <c r="J463" s="121"/>
      <c r="M463" s="9"/>
      <c r="N463" s="9"/>
      <c r="O463" s="9"/>
    </row>
    <row r="464">
      <c r="A464" s="9"/>
      <c r="D464" s="13"/>
      <c r="E464" s="9"/>
      <c r="I464" s="9"/>
      <c r="J464" s="121"/>
      <c r="M464" s="9"/>
      <c r="N464" s="9"/>
      <c r="O464" s="9"/>
    </row>
    <row r="465">
      <c r="A465" s="9"/>
      <c r="D465" s="13"/>
      <c r="E465" s="9"/>
      <c r="I465" s="9"/>
      <c r="J465" s="121"/>
      <c r="M465" s="9"/>
      <c r="N465" s="9"/>
      <c r="O465" s="9"/>
    </row>
    <row r="466">
      <c r="A466" s="9"/>
      <c r="D466" s="13"/>
      <c r="E466" s="9"/>
      <c r="I466" s="9"/>
      <c r="J466" s="121"/>
      <c r="M466" s="9"/>
      <c r="N466" s="9"/>
      <c r="O466" s="9"/>
    </row>
    <row r="467">
      <c r="A467" s="9"/>
      <c r="D467" s="13"/>
      <c r="E467" s="9"/>
      <c r="I467" s="9"/>
      <c r="J467" s="121"/>
      <c r="M467" s="9"/>
      <c r="N467" s="9"/>
      <c r="O467" s="9"/>
    </row>
    <row r="468">
      <c r="A468" s="9"/>
      <c r="D468" s="13"/>
      <c r="E468" s="9"/>
      <c r="I468" s="9"/>
      <c r="J468" s="121"/>
      <c r="M468" s="9"/>
      <c r="N468" s="9"/>
      <c r="O468" s="9"/>
    </row>
    <row r="469">
      <c r="A469" s="9"/>
      <c r="D469" s="13"/>
      <c r="E469" s="9"/>
      <c r="I469" s="9"/>
      <c r="J469" s="121"/>
      <c r="M469" s="9"/>
      <c r="N469" s="9"/>
      <c r="O469" s="9"/>
    </row>
    <row r="470">
      <c r="A470" s="9"/>
      <c r="D470" s="13"/>
      <c r="E470" s="9"/>
      <c r="I470" s="9"/>
      <c r="J470" s="121"/>
      <c r="M470" s="9"/>
      <c r="N470" s="9"/>
      <c r="O470" s="9"/>
    </row>
    <row r="471">
      <c r="A471" s="9"/>
      <c r="D471" s="13"/>
      <c r="E471" s="9"/>
      <c r="I471" s="9"/>
      <c r="J471" s="121"/>
      <c r="M471" s="9"/>
      <c r="N471" s="9"/>
      <c r="O471" s="9"/>
    </row>
    <row r="472">
      <c r="A472" s="9"/>
      <c r="D472" s="13"/>
      <c r="E472" s="9"/>
      <c r="I472" s="9"/>
      <c r="J472" s="121"/>
      <c r="M472" s="9"/>
      <c r="N472" s="9"/>
      <c r="O472" s="9"/>
    </row>
    <row r="473">
      <c r="A473" s="9"/>
      <c r="D473" s="13"/>
      <c r="E473" s="9"/>
      <c r="I473" s="9"/>
      <c r="J473" s="121"/>
      <c r="M473" s="9"/>
      <c r="N473" s="9"/>
      <c r="O473" s="9"/>
    </row>
    <row r="474">
      <c r="A474" s="9"/>
      <c r="D474" s="13"/>
      <c r="E474" s="9"/>
      <c r="I474" s="9"/>
      <c r="J474" s="121"/>
      <c r="M474" s="9"/>
      <c r="N474" s="9"/>
      <c r="O474" s="9"/>
    </row>
    <row r="475">
      <c r="A475" s="9"/>
      <c r="D475" s="13"/>
      <c r="E475" s="9"/>
      <c r="I475" s="9"/>
      <c r="J475" s="121"/>
      <c r="M475" s="9"/>
      <c r="N475" s="9"/>
      <c r="O475" s="9"/>
    </row>
    <row r="476">
      <c r="A476" s="9"/>
      <c r="D476" s="13"/>
      <c r="E476" s="9"/>
      <c r="I476" s="9"/>
      <c r="J476" s="121"/>
      <c r="M476" s="9"/>
      <c r="N476" s="9"/>
      <c r="O476" s="9"/>
    </row>
    <row r="477">
      <c r="A477" s="9"/>
      <c r="D477" s="13"/>
      <c r="E477" s="9"/>
      <c r="I477" s="9"/>
      <c r="J477" s="121"/>
      <c r="M477" s="9"/>
      <c r="N477" s="9"/>
      <c r="O477" s="9"/>
    </row>
    <row r="478">
      <c r="A478" s="9"/>
      <c r="D478" s="13"/>
      <c r="E478" s="9"/>
      <c r="I478" s="9"/>
      <c r="J478" s="121"/>
      <c r="M478" s="9"/>
      <c r="N478" s="9"/>
      <c r="O478" s="9"/>
    </row>
    <row r="479">
      <c r="A479" s="9"/>
      <c r="D479" s="13"/>
      <c r="E479" s="9"/>
      <c r="I479" s="9"/>
      <c r="J479" s="121"/>
      <c r="M479" s="9"/>
      <c r="N479" s="9"/>
      <c r="O479" s="9"/>
    </row>
    <row r="480">
      <c r="A480" s="9"/>
      <c r="D480" s="13"/>
      <c r="E480" s="9"/>
      <c r="I480" s="9"/>
      <c r="J480" s="121"/>
      <c r="M480" s="9"/>
      <c r="N480" s="9"/>
      <c r="O480" s="9"/>
    </row>
    <row r="481">
      <c r="A481" s="9"/>
      <c r="D481" s="13"/>
      <c r="E481" s="9"/>
      <c r="I481" s="9"/>
      <c r="J481" s="121"/>
      <c r="M481" s="9"/>
      <c r="N481" s="9"/>
      <c r="O481" s="9"/>
    </row>
    <row r="482">
      <c r="A482" s="9"/>
      <c r="D482" s="13"/>
      <c r="E482" s="9"/>
      <c r="I482" s="9"/>
      <c r="J482" s="121"/>
      <c r="M482" s="9"/>
      <c r="N482" s="9"/>
      <c r="O482" s="9"/>
    </row>
    <row r="483">
      <c r="A483" s="9"/>
      <c r="D483" s="13"/>
      <c r="E483" s="9"/>
      <c r="I483" s="9"/>
      <c r="J483" s="121"/>
      <c r="M483" s="9"/>
      <c r="N483" s="9"/>
      <c r="O483" s="9"/>
    </row>
    <row r="484">
      <c r="A484" s="9"/>
      <c r="D484" s="13"/>
      <c r="E484" s="9"/>
      <c r="I484" s="9"/>
      <c r="J484" s="121"/>
      <c r="M484" s="9"/>
      <c r="N484" s="9"/>
      <c r="O484" s="9"/>
    </row>
    <row r="485">
      <c r="A485" s="9"/>
      <c r="D485" s="13"/>
      <c r="E485" s="9"/>
      <c r="I485" s="9"/>
      <c r="J485" s="121"/>
      <c r="M485" s="9"/>
      <c r="N485" s="9"/>
      <c r="O485" s="9"/>
    </row>
    <row r="486">
      <c r="A486" s="9"/>
      <c r="D486" s="13"/>
      <c r="E486" s="9"/>
      <c r="I486" s="9"/>
      <c r="J486" s="121"/>
      <c r="M486" s="9"/>
      <c r="N486" s="9"/>
      <c r="O486" s="9"/>
    </row>
    <row r="487">
      <c r="A487" s="9"/>
      <c r="D487" s="13"/>
      <c r="E487" s="9"/>
      <c r="I487" s="9"/>
      <c r="J487" s="121"/>
      <c r="M487" s="9"/>
      <c r="N487" s="9"/>
      <c r="O487" s="9"/>
    </row>
    <row r="488">
      <c r="A488" s="9"/>
      <c r="D488" s="13"/>
      <c r="E488" s="9"/>
      <c r="I488" s="9"/>
      <c r="J488" s="121"/>
      <c r="M488" s="9"/>
      <c r="N488" s="9"/>
      <c r="O488" s="9"/>
    </row>
    <row r="489">
      <c r="A489" s="9"/>
      <c r="D489" s="13"/>
      <c r="E489" s="9"/>
      <c r="I489" s="9"/>
      <c r="J489" s="121"/>
      <c r="M489" s="9"/>
      <c r="N489" s="9"/>
      <c r="O489" s="9"/>
    </row>
    <row r="490">
      <c r="A490" s="9"/>
      <c r="D490" s="13"/>
      <c r="E490" s="9"/>
      <c r="I490" s="9"/>
      <c r="J490" s="121"/>
      <c r="M490" s="9"/>
      <c r="N490" s="9"/>
      <c r="O490" s="9"/>
    </row>
    <row r="491">
      <c r="A491" s="9"/>
      <c r="D491" s="13"/>
      <c r="E491" s="9"/>
      <c r="I491" s="9"/>
      <c r="J491" s="121"/>
      <c r="M491" s="9"/>
      <c r="N491" s="9"/>
      <c r="O491" s="9"/>
    </row>
    <row r="492">
      <c r="A492" s="9"/>
      <c r="D492" s="13"/>
      <c r="E492" s="9"/>
      <c r="I492" s="9"/>
      <c r="J492" s="121"/>
      <c r="M492" s="9"/>
      <c r="N492" s="9"/>
      <c r="O492" s="9"/>
    </row>
    <row r="493">
      <c r="A493" s="9"/>
      <c r="D493" s="13"/>
      <c r="E493" s="9"/>
      <c r="I493" s="9"/>
      <c r="J493" s="121"/>
      <c r="M493" s="9"/>
      <c r="N493" s="9"/>
      <c r="O493" s="9"/>
    </row>
    <row r="494">
      <c r="A494" s="9"/>
      <c r="D494" s="13"/>
      <c r="E494" s="9"/>
      <c r="I494" s="9"/>
      <c r="J494" s="121"/>
      <c r="M494" s="9"/>
      <c r="N494" s="9"/>
      <c r="O494" s="9"/>
    </row>
    <row r="495">
      <c r="A495" s="9"/>
      <c r="D495" s="13"/>
      <c r="E495" s="9"/>
      <c r="I495" s="9"/>
      <c r="J495" s="121"/>
      <c r="M495" s="9"/>
      <c r="N495" s="9"/>
      <c r="O495" s="9"/>
    </row>
    <row r="496">
      <c r="A496" s="9"/>
      <c r="D496" s="13"/>
      <c r="E496" s="9"/>
      <c r="I496" s="9"/>
      <c r="J496" s="121"/>
      <c r="M496" s="9"/>
      <c r="N496" s="9"/>
      <c r="O496" s="9"/>
    </row>
    <row r="497">
      <c r="A497" s="9"/>
      <c r="D497" s="13"/>
      <c r="E497" s="9"/>
      <c r="I497" s="9"/>
      <c r="J497" s="121"/>
      <c r="M497" s="9"/>
      <c r="N497" s="9"/>
      <c r="O497" s="9"/>
    </row>
    <row r="498">
      <c r="A498" s="9"/>
      <c r="D498" s="13"/>
      <c r="E498" s="9"/>
      <c r="I498" s="9"/>
      <c r="J498" s="121"/>
      <c r="M498" s="9"/>
      <c r="N498" s="9"/>
      <c r="O498" s="9"/>
    </row>
    <row r="499">
      <c r="A499" s="9"/>
      <c r="D499" s="13"/>
      <c r="E499" s="9"/>
      <c r="I499" s="9"/>
      <c r="J499" s="121"/>
      <c r="M499" s="9"/>
      <c r="N499" s="9"/>
      <c r="O499" s="9"/>
    </row>
    <row r="500">
      <c r="A500" s="9"/>
      <c r="D500" s="13"/>
      <c r="E500" s="9"/>
      <c r="I500" s="9"/>
      <c r="J500" s="121"/>
      <c r="M500" s="9"/>
      <c r="N500" s="9"/>
      <c r="O500" s="9"/>
    </row>
    <row r="501">
      <c r="A501" s="9"/>
      <c r="D501" s="13"/>
      <c r="E501" s="9"/>
      <c r="I501" s="9"/>
      <c r="J501" s="121"/>
      <c r="M501" s="9"/>
      <c r="N501" s="9"/>
      <c r="O501" s="9"/>
    </row>
    <row r="502">
      <c r="A502" s="9"/>
      <c r="D502" s="13"/>
      <c r="E502" s="9"/>
      <c r="I502" s="9"/>
      <c r="J502" s="121"/>
      <c r="M502" s="9"/>
      <c r="N502" s="9"/>
      <c r="O502" s="9"/>
    </row>
    <row r="503">
      <c r="A503" s="9"/>
      <c r="D503" s="13"/>
      <c r="E503" s="9"/>
      <c r="I503" s="9"/>
      <c r="J503" s="121"/>
      <c r="M503" s="9"/>
      <c r="N503" s="9"/>
      <c r="O503" s="9"/>
    </row>
    <row r="504">
      <c r="A504" s="9"/>
      <c r="D504" s="13"/>
      <c r="E504" s="9"/>
      <c r="I504" s="9"/>
      <c r="J504" s="121"/>
      <c r="M504" s="9"/>
      <c r="N504" s="9"/>
      <c r="O504" s="9"/>
    </row>
    <row r="505">
      <c r="A505" s="9"/>
      <c r="D505" s="13"/>
      <c r="E505" s="9"/>
      <c r="I505" s="9"/>
      <c r="J505" s="121"/>
      <c r="M505" s="9"/>
      <c r="N505" s="9"/>
      <c r="O505" s="9"/>
    </row>
    <row r="506">
      <c r="A506" s="9"/>
      <c r="D506" s="13"/>
      <c r="E506" s="9"/>
      <c r="I506" s="9"/>
      <c r="J506" s="121"/>
      <c r="M506" s="9"/>
      <c r="N506" s="9"/>
      <c r="O506" s="9"/>
    </row>
    <row r="507">
      <c r="A507" s="9"/>
      <c r="D507" s="13"/>
      <c r="E507" s="9"/>
      <c r="I507" s="9"/>
      <c r="J507" s="121"/>
      <c r="M507" s="9"/>
      <c r="N507" s="9"/>
      <c r="O507" s="9"/>
    </row>
    <row r="508">
      <c r="A508" s="9"/>
      <c r="D508" s="13"/>
      <c r="E508" s="9"/>
      <c r="I508" s="9"/>
      <c r="J508" s="121"/>
      <c r="M508" s="9"/>
      <c r="N508" s="9"/>
      <c r="O508" s="9"/>
    </row>
    <row r="509">
      <c r="A509" s="9"/>
      <c r="D509" s="13"/>
      <c r="E509" s="9"/>
      <c r="I509" s="9"/>
      <c r="J509" s="121"/>
      <c r="M509" s="9"/>
      <c r="N509" s="9"/>
      <c r="O509" s="9"/>
    </row>
    <row r="510">
      <c r="A510" s="9"/>
      <c r="D510" s="13"/>
      <c r="E510" s="9"/>
      <c r="I510" s="9"/>
      <c r="J510" s="121"/>
      <c r="M510" s="9"/>
      <c r="N510" s="9"/>
      <c r="O510" s="9"/>
    </row>
    <row r="511">
      <c r="A511" s="9"/>
      <c r="D511" s="13"/>
      <c r="E511" s="9"/>
      <c r="I511" s="9"/>
      <c r="J511" s="121"/>
      <c r="M511" s="9"/>
      <c r="N511" s="9"/>
      <c r="O511" s="9"/>
    </row>
    <row r="512">
      <c r="A512" s="9"/>
      <c r="D512" s="13"/>
      <c r="E512" s="9"/>
      <c r="I512" s="9"/>
      <c r="J512" s="121"/>
      <c r="M512" s="9"/>
      <c r="N512" s="9"/>
      <c r="O512" s="9"/>
    </row>
    <row r="513">
      <c r="A513" s="9"/>
      <c r="D513" s="13"/>
      <c r="E513" s="9"/>
      <c r="I513" s="9"/>
      <c r="J513" s="121"/>
      <c r="M513" s="9"/>
      <c r="N513" s="9"/>
      <c r="O513" s="9"/>
    </row>
    <row r="514">
      <c r="A514" s="9"/>
      <c r="D514" s="13"/>
      <c r="E514" s="9"/>
      <c r="I514" s="9"/>
      <c r="J514" s="121"/>
      <c r="M514" s="9"/>
      <c r="N514" s="9"/>
      <c r="O514" s="9"/>
    </row>
    <row r="515">
      <c r="A515" s="9"/>
      <c r="D515" s="13"/>
      <c r="E515" s="9"/>
      <c r="I515" s="9"/>
      <c r="J515" s="121"/>
      <c r="M515" s="9"/>
      <c r="N515" s="9"/>
      <c r="O515" s="9"/>
    </row>
    <row r="516">
      <c r="A516" s="9"/>
      <c r="D516" s="13"/>
      <c r="E516" s="9"/>
      <c r="I516" s="9"/>
      <c r="J516" s="121"/>
      <c r="M516" s="9"/>
      <c r="N516" s="9"/>
      <c r="O516" s="9"/>
    </row>
    <row r="517">
      <c r="A517" s="9"/>
      <c r="D517" s="13"/>
      <c r="E517" s="9"/>
      <c r="I517" s="9"/>
      <c r="J517" s="121"/>
      <c r="M517" s="9"/>
      <c r="N517" s="9"/>
      <c r="O517" s="9"/>
    </row>
    <row r="518">
      <c r="A518" s="9"/>
      <c r="D518" s="13"/>
      <c r="E518" s="9"/>
      <c r="I518" s="9"/>
      <c r="J518" s="121"/>
      <c r="M518" s="9"/>
      <c r="N518" s="9"/>
      <c r="O518" s="9"/>
    </row>
    <row r="519">
      <c r="A519" s="9"/>
      <c r="D519" s="13"/>
      <c r="E519" s="9"/>
      <c r="I519" s="9"/>
      <c r="J519" s="121"/>
      <c r="M519" s="9"/>
      <c r="N519" s="9"/>
      <c r="O519" s="9"/>
    </row>
    <row r="520">
      <c r="A520" s="9"/>
      <c r="D520" s="13"/>
      <c r="E520" s="9"/>
      <c r="I520" s="9"/>
      <c r="J520" s="121"/>
      <c r="M520" s="9"/>
      <c r="N520" s="9"/>
      <c r="O520" s="9"/>
    </row>
    <row r="521">
      <c r="A521" s="9"/>
      <c r="D521" s="13"/>
      <c r="E521" s="9"/>
      <c r="I521" s="9"/>
      <c r="J521" s="121"/>
      <c r="M521" s="9"/>
      <c r="N521" s="9"/>
      <c r="O521" s="9"/>
    </row>
    <row r="522">
      <c r="A522" s="9"/>
      <c r="D522" s="13"/>
      <c r="E522" s="9"/>
      <c r="I522" s="9"/>
      <c r="J522" s="121"/>
      <c r="M522" s="9"/>
      <c r="N522" s="9"/>
      <c r="O522" s="9"/>
    </row>
    <row r="523">
      <c r="A523" s="9"/>
      <c r="D523" s="13"/>
      <c r="E523" s="9"/>
      <c r="I523" s="9"/>
      <c r="J523" s="121"/>
      <c r="M523" s="9"/>
      <c r="N523" s="9"/>
      <c r="O523" s="9"/>
    </row>
    <row r="524">
      <c r="A524" s="9"/>
      <c r="D524" s="13"/>
      <c r="E524" s="9"/>
      <c r="I524" s="9"/>
      <c r="J524" s="121"/>
      <c r="M524" s="9"/>
      <c r="N524" s="9"/>
      <c r="O524" s="9"/>
    </row>
    <row r="525">
      <c r="A525" s="9"/>
      <c r="D525" s="13"/>
      <c r="E525" s="9"/>
      <c r="I525" s="9"/>
      <c r="J525" s="121"/>
      <c r="M525" s="9"/>
      <c r="N525" s="9"/>
      <c r="O525" s="9"/>
    </row>
    <row r="526">
      <c r="A526" s="9"/>
      <c r="D526" s="13"/>
      <c r="E526" s="9"/>
      <c r="I526" s="9"/>
      <c r="J526" s="121"/>
      <c r="M526" s="9"/>
      <c r="N526" s="9"/>
      <c r="O526" s="9"/>
    </row>
    <row r="527">
      <c r="A527" s="9"/>
      <c r="D527" s="13"/>
      <c r="E527" s="9"/>
      <c r="I527" s="9"/>
      <c r="J527" s="121"/>
      <c r="M527" s="9"/>
      <c r="N527" s="9"/>
      <c r="O527" s="9"/>
    </row>
    <row r="528">
      <c r="A528" s="9"/>
      <c r="D528" s="13"/>
      <c r="E528" s="9"/>
      <c r="I528" s="9"/>
      <c r="J528" s="121"/>
      <c r="M528" s="9"/>
      <c r="N528" s="9"/>
      <c r="O528" s="9"/>
    </row>
    <row r="529">
      <c r="A529" s="9"/>
      <c r="D529" s="13"/>
      <c r="E529" s="9"/>
      <c r="I529" s="9"/>
      <c r="J529" s="121"/>
      <c r="M529" s="9"/>
      <c r="N529" s="9"/>
      <c r="O529" s="9"/>
    </row>
    <row r="530">
      <c r="A530" s="9"/>
      <c r="D530" s="13"/>
      <c r="E530" s="9"/>
      <c r="I530" s="9"/>
      <c r="J530" s="121"/>
      <c r="M530" s="9"/>
      <c r="N530" s="9"/>
      <c r="O530" s="9"/>
    </row>
    <row r="531">
      <c r="A531" s="9"/>
      <c r="D531" s="13"/>
      <c r="E531" s="9"/>
      <c r="I531" s="9"/>
      <c r="J531" s="121"/>
      <c r="M531" s="9"/>
      <c r="N531" s="9"/>
      <c r="O531" s="9"/>
    </row>
    <row r="532">
      <c r="A532" s="9"/>
      <c r="D532" s="13"/>
      <c r="E532" s="9"/>
      <c r="I532" s="9"/>
      <c r="J532" s="121"/>
      <c r="M532" s="9"/>
      <c r="N532" s="9"/>
      <c r="O532" s="9"/>
    </row>
    <row r="533">
      <c r="A533" s="9"/>
      <c r="D533" s="13"/>
      <c r="E533" s="9"/>
      <c r="I533" s="9"/>
      <c r="J533" s="121"/>
      <c r="M533" s="9"/>
      <c r="N533" s="9"/>
      <c r="O533" s="9"/>
    </row>
    <row r="534">
      <c r="A534" s="9"/>
      <c r="D534" s="13"/>
      <c r="E534" s="9"/>
      <c r="I534" s="9"/>
      <c r="J534" s="121"/>
      <c r="M534" s="9"/>
      <c r="N534" s="9"/>
      <c r="O534" s="9"/>
    </row>
    <row r="535">
      <c r="A535" s="9"/>
      <c r="D535" s="13"/>
      <c r="E535" s="9"/>
      <c r="I535" s="9"/>
      <c r="J535" s="121"/>
      <c r="M535" s="9"/>
      <c r="N535" s="9"/>
      <c r="O535" s="9"/>
    </row>
    <row r="536">
      <c r="A536" s="9"/>
      <c r="D536" s="13"/>
      <c r="E536" s="9"/>
      <c r="I536" s="9"/>
      <c r="J536" s="121"/>
      <c r="M536" s="9"/>
      <c r="N536" s="9"/>
      <c r="O536" s="9"/>
    </row>
    <row r="537">
      <c r="A537" s="9"/>
      <c r="D537" s="13"/>
      <c r="E537" s="9"/>
      <c r="I537" s="9"/>
      <c r="J537" s="121"/>
      <c r="M537" s="9"/>
      <c r="N537" s="9"/>
      <c r="O537" s="9"/>
    </row>
    <row r="538">
      <c r="A538" s="9"/>
      <c r="D538" s="13"/>
      <c r="E538" s="9"/>
      <c r="I538" s="9"/>
      <c r="J538" s="121"/>
      <c r="M538" s="9"/>
      <c r="N538" s="9"/>
      <c r="O538" s="9"/>
    </row>
    <row r="539">
      <c r="A539" s="9"/>
      <c r="D539" s="13"/>
      <c r="E539" s="9"/>
      <c r="I539" s="9"/>
      <c r="J539" s="121"/>
      <c r="M539" s="9"/>
      <c r="N539" s="9"/>
      <c r="O539" s="9"/>
    </row>
    <row r="540">
      <c r="A540" s="9"/>
      <c r="D540" s="13"/>
      <c r="E540" s="9"/>
      <c r="I540" s="9"/>
      <c r="J540" s="121"/>
      <c r="M540" s="9"/>
      <c r="N540" s="9"/>
      <c r="O540" s="9"/>
    </row>
    <row r="541">
      <c r="A541" s="9"/>
      <c r="D541" s="13"/>
      <c r="E541" s="9"/>
      <c r="I541" s="9"/>
      <c r="J541" s="121"/>
      <c r="M541" s="9"/>
      <c r="N541" s="9"/>
      <c r="O541" s="9"/>
    </row>
    <row r="542">
      <c r="A542" s="9"/>
      <c r="D542" s="13"/>
      <c r="E542" s="9"/>
      <c r="I542" s="9"/>
      <c r="J542" s="121"/>
      <c r="M542" s="9"/>
      <c r="N542" s="9"/>
      <c r="O542" s="9"/>
    </row>
    <row r="543">
      <c r="A543" s="9"/>
      <c r="D543" s="13"/>
      <c r="E543" s="9"/>
      <c r="I543" s="9"/>
      <c r="J543" s="121"/>
      <c r="M543" s="9"/>
      <c r="N543" s="9"/>
      <c r="O543" s="9"/>
    </row>
    <row r="544">
      <c r="A544" s="9"/>
      <c r="D544" s="13"/>
      <c r="E544" s="9"/>
      <c r="I544" s="9"/>
      <c r="J544" s="121"/>
      <c r="M544" s="9"/>
      <c r="N544" s="9"/>
      <c r="O544" s="9"/>
    </row>
    <row r="545">
      <c r="A545" s="9"/>
      <c r="D545" s="13"/>
      <c r="E545" s="9"/>
      <c r="I545" s="9"/>
      <c r="J545" s="121"/>
      <c r="M545" s="9"/>
      <c r="N545" s="9"/>
      <c r="O545" s="9"/>
    </row>
    <row r="546">
      <c r="A546" s="9"/>
      <c r="D546" s="13"/>
      <c r="E546" s="9"/>
      <c r="I546" s="9"/>
      <c r="J546" s="121"/>
      <c r="M546" s="9"/>
      <c r="N546" s="9"/>
      <c r="O546" s="9"/>
    </row>
    <row r="547">
      <c r="A547" s="9"/>
      <c r="D547" s="13"/>
      <c r="E547" s="9"/>
      <c r="I547" s="9"/>
      <c r="J547" s="121"/>
      <c r="M547" s="9"/>
      <c r="N547" s="9"/>
      <c r="O547" s="9"/>
    </row>
    <row r="548">
      <c r="A548" s="9"/>
      <c r="D548" s="13"/>
      <c r="E548" s="9"/>
      <c r="I548" s="9"/>
      <c r="J548" s="121"/>
      <c r="M548" s="9"/>
      <c r="N548" s="9"/>
      <c r="O548" s="9"/>
    </row>
    <row r="549">
      <c r="A549" s="9"/>
      <c r="D549" s="13"/>
      <c r="E549" s="9"/>
      <c r="I549" s="9"/>
      <c r="J549" s="121"/>
      <c r="M549" s="9"/>
      <c r="N549" s="9"/>
      <c r="O549" s="9"/>
    </row>
    <row r="550">
      <c r="A550" s="9"/>
      <c r="D550" s="13"/>
      <c r="E550" s="9"/>
      <c r="I550" s="9"/>
      <c r="J550" s="121"/>
      <c r="M550" s="9"/>
      <c r="N550" s="9"/>
      <c r="O550" s="9"/>
    </row>
    <row r="551">
      <c r="A551" s="9"/>
      <c r="D551" s="13"/>
      <c r="E551" s="9"/>
      <c r="I551" s="9"/>
      <c r="J551" s="121"/>
      <c r="M551" s="9"/>
      <c r="N551" s="9"/>
      <c r="O551" s="9"/>
    </row>
    <row r="552">
      <c r="A552" s="9"/>
      <c r="D552" s="13"/>
      <c r="E552" s="9"/>
      <c r="I552" s="9"/>
      <c r="J552" s="121"/>
      <c r="M552" s="9"/>
      <c r="N552" s="9"/>
      <c r="O552" s="9"/>
    </row>
    <row r="553">
      <c r="A553" s="9"/>
      <c r="D553" s="13"/>
      <c r="E553" s="9"/>
      <c r="I553" s="9"/>
      <c r="J553" s="121"/>
      <c r="M553" s="9"/>
      <c r="N553" s="9"/>
      <c r="O553" s="9"/>
    </row>
    <row r="554">
      <c r="A554" s="9"/>
      <c r="D554" s="13"/>
      <c r="E554" s="9"/>
      <c r="I554" s="9"/>
      <c r="J554" s="121"/>
      <c r="M554" s="9"/>
      <c r="N554" s="9"/>
      <c r="O554" s="9"/>
    </row>
    <row r="555">
      <c r="A555" s="9"/>
      <c r="D555" s="13"/>
      <c r="E555" s="9"/>
      <c r="I555" s="9"/>
      <c r="J555" s="121"/>
      <c r="M555" s="9"/>
      <c r="N555" s="9"/>
      <c r="O555" s="9"/>
    </row>
    <row r="556">
      <c r="A556" s="9"/>
      <c r="D556" s="13"/>
      <c r="E556" s="9"/>
      <c r="I556" s="9"/>
      <c r="J556" s="121"/>
      <c r="M556" s="9"/>
      <c r="N556" s="9"/>
      <c r="O556" s="9"/>
    </row>
    <row r="557">
      <c r="A557" s="9"/>
      <c r="D557" s="13"/>
      <c r="E557" s="9"/>
      <c r="I557" s="9"/>
      <c r="J557" s="121"/>
      <c r="M557" s="9"/>
      <c r="N557" s="9"/>
      <c r="O557" s="9"/>
    </row>
    <row r="558">
      <c r="A558" s="9"/>
      <c r="D558" s="13"/>
      <c r="E558" s="9"/>
      <c r="I558" s="9"/>
      <c r="J558" s="121"/>
      <c r="M558" s="9"/>
      <c r="N558" s="9"/>
      <c r="O558" s="9"/>
    </row>
    <row r="559">
      <c r="A559" s="9"/>
      <c r="D559" s="13"/>
      <c r="E559" s="9"/>
      <c r="I559" s="9"/>
      <c r="J559" s="121"/>
      <c r="M559" s="9"/>
      <c r="N559" s="9"/>
      <c r="O559" s="9"/>
    </row>
    <row r="560">
      <c r="A560" s="9"/>
      <c r="D560" s="13"/>
      <c r="E560" s="9"/>
      <c r="I560" s="9"/>
      <c r="J560" s="121"/>
      <c r="M560" s="9"/>
      <c r="N560" s="9"/>
      <c r="O560" s="9"/>
    </row>
    <row r="561">
      <c r="A561" s="9"/>
      <c r="D561" s="13"/>
      <c r="E561" s="9"/>
      <c r="I561" s="9"/>
      <c r="J561" s="121"/>
      <c r="M561" s="9"/>
      <c r="N561" s="9"/>
      <c r="O561" s="9"/>
    </row>
    <row r="562">
      <c r="A562" s="9"/>
      <c r="D562" s="13"/>
      <c r="E562" s="9"/>
      <c r="I562" s="9"/>
      <c r="J562" s="121"/>
      <c r="M562" s="9"/>
      <c r="N562" s="9"/>
      <c r="O562" s="9"/>
    </row>
    <row r="563">
      <c r="A563" s="9"/>
      <c r="D563" s="13"/>
      <c r="E563" s="9"/>
      <c r="I563" s="9"/>
      <c r="J563" s="121"/>
      <c r="M563" s="9"/>
      <c r="N563" s="9"/>
      <c r="O563" s="9"/>
    </row>
    <row r="564">
      <c r="A564" s="9"/>
      <c r="D564" s="13"/>
      <c r="E564" s="9"/>
      <c r="I564" s="9"/>
      <c r="J564" s="121"/>
      <c r="M564" s="9"/>
      <c r="N564" s="9"/>
      <c r="O564" s="9"/>
    </row>
    <row r="565">
      <c r="A565" s="9"/>
      <c r="D565" s="13"/>
      <c r="E565" s="9"/>
      <c r="I565" s="9"/>
      <c r="J565" s="121"/>
      <c r="M565" s="9"/>
      <c r="N565" s="9"/>
      <c r="O565" s="9"/>
    </row>
    <row r="566">
      <c r="A566" s="9"/>
      <c r="D566" s="13"/>
      <c r="E566" s="9"/>
      <c r="I566" s="9"/>
      <c r="J566" s="121"/>
      <c r="M566" s="9"/>
      <c r="N566" s="9"/>
      <c r="O566" s="9"/>
    </row>
    <row r="567">
      <c r="A567" s="9"/>
      <c r="D567" s="13"/>
      <c r="E567" s="9"/>
      <c r="I567" s="9"/>
      <c r="J567" s="121"/>
      <c r="M567" s="9"/>
      <c r="N567" s="9"/>
      <c r="O567" s="9"/>
    </row>
    <row r="568">
      <c r="A568" s="9"/>
      <c r="D568" s="13"/>
      <c r="E568" s="9"/>
      <c r="I568" s="9"/>
      <c r="J568" s="121"/>
      <c r="M568" s="9"/>
      <c r="N568" s="9"/>
      <c r="O568" s="9"/>
    </row>
    <row r="569">
      <c r="A569" s="9"/>
      <c r="D569" s="13"/>
      <c r="E569" s="9"/>
      <c r="I569" s="9"/>
      <c r="J569" s="121"/>
      <c r="M569" s="9"/>
      <c r="N569" s="9"/>
      <c r="O569" s="9"/>
    </row>
    <row r="570">
      <c r="A570" s="9"/>
      <c r="D570" s="13"/>
      <c r="E570" s="9"/>
      <c r="I570" s="9"/>
      <c r="J570" s="121"/>
      <c r="M570" s="9"/>
      <c r="N570" s="9"/>
      <c r="O570" s="9"/>
    </row>
    <row r="571">
      <c r="A571" s="9"/>
      <c r="D571" s="13"/>
      <c r="E571" s="9"/>
      <c r="I571" s="9"/>
      <c r="J571" s="121"/>
      <c r="M571" s="9"/>
      <c r="N571" s="9"/>
      <c r="O571" s="9"/>
    </row>
    <row r="572">
      <c r="A572" s="9"/>
      <c r="D572" s="13"/>
      <c r="E572" s="9"/>
      <c r="I572" s="9"/>
      <c r="J572" s="121"/>
      <c r="M572" s="9"/>
      <c r="N572" s="9"/>
      <c r="O572" s="9"/>
    </row>
    <row r="573">
      <c r="A573" s="9"/>
      <c r="D573" s="13"/>
      <c r="E573" s="9"/>
      <c r="I573" s="9"/>
      <c r="J573" s="121"/>
      <c r="M573" s="9"/>
      <c r="N573" s="9"/>
      <c r="O573" s="9"/>
    </row>
    <row r="574">
      <c r="A574" s="9"/>
      <c r="D574" s="13"/>
      <c r="E574" s="9"/>
      <c r="I574" s="9"/>
      <c r="J574" s="121"/>
      <c r="M574" s="9"/>
      <c r="N574" s="9"/>
      <c r="O574" s="9"/>
    </row>
    <row r="575">
      <c r="A575" s="9"/>
      <c r="D575" s="13"/>
      <c r="E575" s="9"/>
      <c r="I575" s="9"/>
      <c r="J575" s="121"/>
      <c r="M575" s="9"/>
      <c r="N575" s="9"/>
      <c r="O575" s="9"/>
    </row>
    <row r="576">
      <c r="A576" s="9"/>
      <c r="D576" s="13"/>
      <c r="E576" s="9"/>
      <c r="I576" s="9"/>
      <c r="J576" s="121"/>
      <c r="M576" s="9"/>
      <c r="N576" s="9"/>
      <c r="O576" s="9"/>
    </row>
    <row r="577">
      <c r="A577" s="9"/>
      <c r="D577" s="13"/>
      <c r="E577" s="9"/>
      <c r="I577" s="9"/>
      <c r="J577" s="121"/>
      <c r="M577" s="9"/>
      <c r="N577" s="9"/>
      <c r="O577" s="9"/>
    </row>
    <row r="578">
      <c r="A578" s="9"/>
      <c r="D578" s="13"/>
      <c r="E578" s="9"/>
      <c r="I578" s="9"/>
      <c r="J578" s="121"/>
      <c r="M578" s="9"/>
      <c r="N578" s="9"/>
      <c r="O578" s="9"/>
    </row>
    <row r="579">
      <c r="A579" s="9"/>
      <c r="D579" s="13"/>
      <c r="E579" s="9"/>
      <c r="I579" s="9"/>
      <c r="J579" s="121"/>
      <c r="M579" s="9"/>
      <c r="N579" s="9"/>
      <c r="O579" s="9"/>
    </row>
    <row r="580">
      <c r="A580" s="9"/>
      <c r="D580" s="13"/>
      <c r="E580" s="9"/>
      <c r="I580" s="9"/>
      <c r="J580" s="121"/>
      <c r="M580" s="9"/>
      <c r="N580" s="9"/>
      <c r="O580" s="9"/>
    </row>
    <row r="581">
      <c r="A581" s="9"/>
      <c r="D581" s="13"/>
      <c r="E581" s="9"/>
      <c r="I581" s="9"/>
      <c r="J581" s="121"/>
      <c r="M581" s="9"/>
      <c r="N581" s="9"/>
      <c r="O581" s="9"/>
    </row>
    <row r="582">
      <c r="A582" s="9"/>
      <c r="D582" s="13"/>
      <c r="E582" s="9"/>
      <c r="I582" s="9"/>
      <c r="J582" s="121"/>
      <c r="M582" s="9"/>
      <c r="N582" s="9"/>
      <c r="O582" s="9"/>
    </row>
    <row r="583">
      <c r="A583" s="9"/>
      <c r="D583" s="13"/>
      <c r="E583" s="9"/>
      <c r="I583" s="9"/>
      <c r="J583" s="121"/>
      <c r="M583" s="9"/>
      <c r="N583" s="9"/>
      <c r="O583" s="9"/>
    </row>
    <row r="584">
      <c r="A584" s="9"/>
      <c r="D584" s="13"/>
      <c r="E584" s="9"/>
      <c r="I584" s="9"/>
      <c r="J584" s="121"/>
      <c r="M584" s="9"/>
      <c r="N584" s="9"/>
      <c r="O584" s="9"/>
    </row>
    <row r="585">
      <c r="A585" s="9"/>
      <c r="D585" s="13"/>
      <c r="E585" s="9"/>
      <c r="I585" s="9"/>
      <c r="J585" s="121"/>
      <c r="M585" s="9"/>
      <c r="N585" s="9"/>
      <c r="O585" s="9"/>
    </row>
    <row r="586">
      <c r="A586" s="9"/>
      <c r="D586" s="13"/>
      <c r="E586" s="9"/>
      <c r="I586" s="9"/>
      <c r="J586" s="121"/>
      <c r="M586" s="9"/>
      <c r="N586" s="9"/>
      <c r="O586" s="9"/>
    </row>
    <row r="587">
      <c r="A587" s="9"/>
      <c r="D587" s="13"/>
      <c r="E587" s="9"/>
      <c r="I587" s="9"/>
      <c r="J587" s="121"/>
      <c r="M587" s="9"/>
      <c r="N587" s="9"/>
      <c r="O587" s="9"/>
    </row>
    <row r="588">
      <c r="A588" s="9"/>
      <c r="D588" s="13"/>
      <c r="E588" s="9"/>
      <c r="I588" s="9"/>
      <c r="J588" s="121"/>
      <c r="M588" s="9"/>
      <c r="N588" s="9"/>
      <c r="O588" s="9"/>
    </row>
    <row r="589">
      <c r="A589" s="9"/>
      <c r="D589" s="13"/>
      <c r="E589" s="9"/>
      <c r="I589" s="9"/>
      <c r="J589" s="121"/>
      <c r="M589" s="9"/>
      <c r="N589" s="9"/>
      <c r="O589" s="9"/>
    </row>
    <row r="590">
      <c r="A590" s="9"/>
      <c r="D590" s="13"/>
      <c r="E590" s="9"/>
      <c r="I590" s="9"/>
      <c r="J590" s="121"/>
      <c r="M590" s="9"/>
      <c r="N590" s="9"/>
      <c r="O590" s="9"/>
    </row>
    <row r="591">
      <c r="A591" s="9"/>
      <c r="D591" s="13"/>
      <c r="E591" s="9"/>
      <c r="I591" s="9"/>
      <c r="J591" s="121"/>
      <c r="M591" s="9"/>
      <c r="N591" s="9"/>
      <c r="O591" s="9"/>
    </row>
    <row r="592">
      <c r="A592" s="9"/>
      <c r="D592" s="13"/>
      <c r="E592" s="9"/>
      <c r="I592" s="9"/>
      <c r="J592" s="121"/>
      <c r="M592" s="9"/>
      <c r="N592" s="9"/>
      <c r="O592" s="9"/>
    </row>
    <row r="593">
      <c r="A593" s="9"/>
      <c r="D593" s="13"/>
      <c r="E593" s="9"/>
      <c r="I593" s="9"/>
      <c r="J593" s="121"/>
      <c r="M593" s="9"/>
      <c r="N593" s="9"/>
      <c r="O593" s="9"/>
    </row>
    <row r="594">
      <c r="A594" s="9"/>
      <c r="D594" s="13"/>
      <c r="E594" s="9"/>
      <c r="I594" s="9"/>
      <c r="J594" s="121"/>
      <c r="M594" s="9"/>
      <c r="N594" s="9"/>
      <c r="O594" s="9"/>
    </row>
    <row r="595">
      <c r="A595" s="9"/>
      <c r="D595" s="13"/>
      <c r="E595" s="9"/>
      <c r="I595" s="9"/>
      <c r="J595" s="121"/>
      <c r="M595" s="9"/>
      <c r="N595" s="9"/>
      <c r="O595" s="9"/>
    </row>
    <row r="596">
      <c r="A596" s="9"/>
      <c r="D596" s="13"/>
      <c r="E596" s="9"/>
      <c r="I596" s="9"/>
      <c r="J596" s="121"/>
      <c r="M596" s="9"/>
      <c r="N596" s="9"/>
      <c r="O596" s="9"/>
    </row>
    <row r="597">
      <c r="A597" s="9"/>
      <c r="D597" s="13"/>
      <c r="E597" s="9"/>
      <c r="I597" s="9"/>
      <c r="J597" s="121"/>
      <c r="M597" s="9"/>
      <c r="N597" s="9"/>
      <c r="O597" s="9"/>
    </row>
    <row r="598">
      <c r="A598" s="9"/>
      <c r="D598" s="13"/>
      <c r="E598" s="9"/>
      <c r="I598" s="9"/>
      <c r="J598" s="121"/>
      <c r="M598" s="9"/>
      <c r="N598" s="9"/>
      <c r="O598" s="9"/>
    </row>
    <row r="599">
      <c r="A599" s="9"/>
      <c r="D599" s="13"/>
      <c r="E599" s="9"/>
      <c r="I599" s="9"/>
      <c r="J599" s="121"/>
      <c r="M599" s="9"/>
      <c r="N599" s="9"/>
      <c r="O599" s="9"/>
    </row>
    <row r="600">
      <c r="A600" s="9"/>
      <c r="D600" s="13"/>
      <c r="E600" s="9"/>
      <c r="I600" s="9"/>
      <c r="J600" s="121"/>
      <c r="M600" s="9"/>
      <c r="N600" s="9"/>
      <c r="O600" s="9"/>
    </row>
    <row r="601">
      <c r="A601" s="9"/>
      <c r="D601" s="13"/>
      <c r="E601" s="9"/>
      <c r="I601" s="9"/>
      <c r="J601" s="121"/>
      <c r="M601" s="9"/>
      <c r="N601" s="9"/>
      <c r="O601" s="9"/>
    </row>
    <row r="602">
      <c r="A602" s="9"/>
      <c r="D602" s="13"/>
      <c r="E602" s="9"/>
      <c r="I602" s="9"/>
      <c r="J602" s="121"/>
      <c r="M602" s="9"/>
      <c r="N602" s="9"/>
      <c r="O602" s="9"/>
    </row>
    <row r="603">
      <c r="A603" s="9"/>
      <c r="D603" s="13"/>
      <c r="E603" s="9"/>
      <c r="I603" s="9"/>
      <c r="J603" s="121"/>
      <c r="M603" s="9"/>
      <c r="N603" s="9"/>
      <c r="O603" s="9"/>
    </row>
    <row r="604">
      <c r="A604" s="9"/>
      <c r="D604" s="13"/>
      <c r="E604" s="9"/>
      <c r="I604" s="9"/>
      <c r="J604" s="121"/>
      <c r="M604" s="9"/>
      <c r="N604" s="9"/>
      <c r="O604" s="9"/>
    </row>
    <row r="605">
      <c r="A605" s="9"/>
      <c r="D605" s="13"/>
      <c r="E605" s="9"/>
      <c r="I605" s="9"/>
      <c r="J605" s="121"/>
      <c r="M605" s="9"/>
      <c r="N605" s="9"/>
      <c r="O605" s="9"/>
    </row>
    <row r="606">
      <c r="A606" s="9"/>
      <c r="D606" s="13"/>
      <c r="E606" s="9"/>
      <c r="I606" s="9"/>
      <c r="J606" s="121"/>
      <c r="M606" s="9"/>
      <c r="N606" s="9"/>
      <c r="O606" s="9"/>
    </row>
    <row r="607">
      <c r="A607" s="9"/>
      <c r="D607" s="13"/>
      <c r="E607" s="9"/>
      <c r="I607" s="9"/>
      <c r="J607" s="121"/>
      <c r="M607" s="9"/>
      <c r="N607" s="9"/>
      <c r="O607" s="9"/>
    </row>
    <row r="608">
      <c r="A608" s="9"/>
      <c r="D608" s="13"/>
      <c r="E608" s="9"/>
      <c r="I608" s="9"/>
      <c r="J608" s="121"/>
      <c r="M608" s="9"/>
      <c r="N608" s="9"/>
      <c r="O608" s="9"/>
    </row>
    <row r="609">
      <c r="A609" s="9"/>
      <c r="D609" s="13"/>
      <c r="E609" s="9"/>
      <c r="I609" s="9"/>
      <c r="J609" s="121"/>
      <c r="M609" s="9"/>
      <c r="N609" s="9"/>
      <c r="O609" s="9"/>
    </row>
    <row r="610">
      <c r="A610" s="9"/>
      <c r="D610" s="13"/>
      <c r="E610" s="9"/>
      <c r="I610" s="9"/>
      <c r="J610" s="121"/>
      <c r="M610" s="9"/>
      <c r="N610" s="9"/>
      <c r="O610" s="9"/>
    </row>
    <row r="611">
      <c r="A611" s="9"/>
      <c r="D611" s="13"/>
      <c r="E611" s="9"/>
      <c r="I611" s="9"/>
      <c r="J611" s="121"/>
      <c r="M611" s="9"/>
      <c r="N611" s="9"/>
      <c r="O611" s="9"/>
    </row>
    <row r="612">
      <c r="A612" s="9"/>
      <c r="D612" s="13"/>
      <c r="E612" s="9"/>
      <c r="I612" s="9"/>
      <c r="J612" s="121"/>
      <c r="M612" s="9"/>
      <c r="N612" s="9"/>
      <c r="O612" s="9"/>
    </row>
    <row r="613">
      <c r="A613" s="9"/>
      <c r="D613" s="13"/>
      <c r="E613" s="9"/>
      <c r="I613" s="9"/>
      <c r="J613" s="121"/>
      <c r="M613" s="9"/>
      <c r="N613" s="9"/>
      <c r="O613" s="9"/>
    </row>
    <row r="614">
      <c r="A614" s="9"/>
      <c r="D614" s="13"/>
      <c r="E614" s="9"/>
      <c r="I614" s="9"/>
      <c r="J614" s="121"/>
      <c r="M614" s="9"/>
      <c r="N614" s="9"/>
      <c r="O614" s="9"/>
    </row>
    <row r="615">
      <c r="A615" s="9"/>
      <c r="D615" s="13"/>
      <c r="E615" s="9"/>
      <c r="I615" s="9"/>
      <c r="J615" s="121"/>
      <c r="M615" s="9"/>
      <c r="N615" s="9"/>
      <c r="O615" s="9"/>
    </row>
    <row r="616">
      <c r="A616" s="9"/>
      <c r="D616" s="13"/>
      <c r="E616" s="9"/>
      <c r="I616" s="9"/>
      <c r="J616" s="121"/>
      <c r="M616" s="9"/>
      <c r="N616" s="9"/>
      <c r="O616" s="9"/>
    </row>
    <row r="617">
      <c r="A617" s="9"/>
      <c r="D617" s="13"/>
      <c r="E617" s="9"/>
      <c r="I617" s="9"/>
      <c r="J617" s="121"/>
      <c r="M617" s="9"/>
      <c r="N617" s="9"/>
      <c r="O617" s="9"/>
    </row>
    <row r="618">
      <c r="A618" s="9"/>
      <c r="D618" s="13"/>
      <c r="E618" s="9"/>
      <c r="I618" s="9"/>
      <c r="J618" s="121"/>
      <c r="M618" s="9"/>
      <c r="N618" s="9"/>
      <c r="O618" s="9"/>
    </row>
    <row r="619">
      <c r="A619" s="9"/>
      <c r="D619" s="13"/>
      <c r="E619" s="9"/>
      <c r="I619" s="9"/>
      <c r="J619" s="121"/>
      <c r="M619" s="9"/>
      <c r="N619" s="9"/>
      <c r="O619" s="9"/>
    </row>
    <row r="620">
      <c r="A620" s="9"/>
      <c r="D620" s="13"/>
      <c r="E620" s="9"/>
      <c r="I620" s="9"/>
      <c r="J620" s="121"/>
      <c r="M620" s="9"/>
      <c r="N620" s="9"/>
      <c r="O620" s="9"/>
    </row>
    <row r="621">
      <c r="A621" s="9"/>
      <c r="D621" s="13"/>
      <c r="E621" s="9"/>
      <c r="I621" s="9"/>
      <c r="J621" s="121"/>
      <c r="M621" s="9"/>
      <c r="N621" s="9"/>
      <c r="O621" s="9"/>
    </row>
    <row r="622">
      <c r="A622" s="9"/>
      <c r="D622" s="13"/>
      <c r="E622" s="9"/>
      <c r="I622" s="9"/>
      <c r="J622" s="121"/>
      <c r="M622" s="9"/>
      <c r="N622" s="9"/>
      <c r="O622" s="9"/>
    </row>
    <row r="623">
      <c r="A623" s="9"/>
      <c r="D623" s="13"/>
      <c r="E623" s="9"/>
      <c r="I623" s="9"/>
      <c r="J623" s="121"/>
      <c r="M623" s="9"/>
      <c r="N623" s="9"/>
      <c r="O623" s="9"/>
    </row>
    <row r="624">
      <c r="A624" s="9"/>
      <c r="D624" s="13"/>
      <c r="E624" s="9"/>
      <c r="I624" s="9"/>
      <c r="J624" s="121"/>
      <c r="M624" s="9"/>
      <c r="N624" s="9"/>
      <c r="O624" s="9"/>
    </row>
    <row r="625">
      <c r="A625" s="9"/>
      <c r="D625" s="13"/>
      <c r="E625" s="9"/>
      <c r="I625" s="9"/>
      <c r="J625" s="121"/>
      <c r="M625" s="9"/>
      <c r="N625" s="9"/>
      <c r="O625" s="9"/>
    </row>
    <row r="626">
      <c r="A626" s="9"/>
      <c r="D626" s="13"/>
      <c r="E626" s="9"/>
      <c r="I626" s="9"/>
      <c r="J626" s="121"/>
      <c r="M626" s="9"/>
      <c r="N626" s="9"/>
      <c r="O626" s="9"/>
    </row>
    <row r="627">
      <c r="A627" s="9"/>
      <c r="D627" s="13"/>
      <c r="E627" s="9"/>
      <c r="I627" s="9"/>
      <c r="J627" s="121"/>
      <c r="M627" s="9"/>
      <c r="N627" s="9"/>
      <c r="O627" s="9"/>
    </row>
    <row r="628">
      <c r="A628" s="9"/>
      <c r="D628" s="13"/>
      <c r="E628" s="9"/>
      <c r="I628" s="9"/>
      <c r="J628" s="121"/>
      <c r="M628" s="9"/>
      <c r="N628" s="9"/>
      <c r="O628" s="9"/>
    </row>
    <row r="629">
      <c r="A629" s="9"/>
      <c r="D629" s="13"/>
      <c r="E629" s="9"/>
      <c r="I629" s="9"/>
      <c r="J629" s="121"/>
      <c r="M629" s="9"/>
      <c r="N629" s="9"/>
      <c r="O629" s="9"/>
    </row>
    <row r="630">
      <c r="A630" s="9"/>
      <c r="D630" s="13"/>
      <c r="E630" s="9"/>
      <c r="I630" s="9"/>
      <c r="J630" s="121"/>
      <c r="M630" s="9"/>
      <c r="N630" s="9"/>
      <c r="O630" s="9"/>
    </row>
    <row r="631">
      <c r="A631" s="9"/>
      <c r="D631" s="13"/>
      <c r="E631" s="9"/>
      <c r="I631" s="9"/>
      <c r="J631" s="121"/>
      <c r="M631" s="9"/>
      <c r="N631" s="9"/>
      <c r="O631" s="9"/>
    </row>
    <row r="632">
      <c r="A632" s="9"/>
      <c r="D632" s="13"/>
      <c r="E632" s="9"/>
      <c r="I632" s="9"/>
      <c r="J632" s="121"/>
      <c r="M632" s="9"/>
      <c r="N632" s="9"/>
      <c r="O632" s="9"/>
    </row>
    <row r="633">
      <c r="A633" s="9"/>
      <c r="D633" s="13"/>
      <c r="E633" s="9"/>
      <c r="I633" s="9"/>
      <c r="J633" s="121"/>
      <c r="M633" s="9"/>
      <c r="N633" s="9"/>
      <c r="O633" s="9"/>
    </row>
    <row r="634">
      <c r="A634" s="9"/>
      <c r="D634" s="13"/>
      <c r="E634" s="9"/>
      <c r="I634" s="9"/>
      <c r="J634" s="121"/>
      <c r="M634" s="9"/>
      <c r="N634" s="9"/>
      <c r="O634" s="9"/>
    </row>
    <row r="635">
      <c r="A635" s="9"/>
      <c r="D635" s="13"/>
      <c r="E635" s="9"/>
      <c r="I635" s="9"/>
      <c r="J635" s="121"/>
      <c r="M635" s="9"/>
      <c r="N635" s="9"/>
      <c r="O635" s="9"/>
    </row>
    <row r="636">
      <c r="A636" s="9"/>
      <c r="D636" s="13"/>
      <c r="E636" s="9"/>
      <c r="I636" s="9"/>
      <c r="J636" s="121"/>
      <c r="M636" s="9"/>
      <c r="N636" s="9"/>
      <c r="O636" s="9"/>
    </row>
    <row r="637">
      <c r="A637" s="9"/>
      <c r="D637" s="13"/>
      <c r="E637" s="9"/>
      <c r="I637" s="9"/>
      <c r="J637" s="121"/>
      <c r="M637" s="9"/>
      <c r="N637" s="9"/>
      <c r="O637" s="9"/>
    </row>
    <row r="638">
      <c r="A638" s="9"/>
      <c r="D638" s="13"/>
      <c r="E638" s="9"/>
      <c r="I638" s="9"/>
      <c r="J638" s="121"/>
      <c r="M638" s="9"/>
      <c r="N638" s="9"/>
      <c r="O638" s="9"/>
    </row>
    <row r="639">
      <c r="A639" s="9"/>
      <c r="D639" s="13"/>
      <c r="E639" s="9"/>
      <c r="I639" s="9"/>
      <c r="J639" s="121"/>
      <c r="M639" s="9"/>
      <c r="N639" s="9"/>
      <c r="O639" s="9"/>
    </row>
    <row r="640">
      <c r="A640" s="9"/>
      <c r="D640" s="13"/>
      <c r="E640" s="9"/>
      <c r="I640" s="9"/>
      <c r="J640" s="121"/>
      <c r="M640" s="9"/>
      <c r="N640" s="9"/>
      <c r="O640" s="9"/>
    </row>
    <row r="641">
      <c r="A641" s="9"/>
      <c r="D641" s="13"/>
      <c r="E641" s="9"/>
      <c r="I641" s="9"/>
      <c r="J641" s="121"/>
      <c r="M641" s="9"/>
      <c r="N641" s="9"/>
      <c r="O641" s="9"/>
    </row>
    <row r="642">
      <c r="A642" s="9"/>
      <c r="D642" s="13"/>
      <c r="E642" s="9"/>
      <c r="I642" s="9"/>
      <c r="J642" s="121"/>
      <c r="M642" s="9"/>
      <c r="N642" s="9"/>
      <c r="O642" s="9"/>
    </row>
    <row r="643">
      <c r="A643" s="9"/>
      <c r="D643" s="13"/>
      <c r="E643" s="9"/>
      <c r="I643" s="9"/>
      <c r="J643" s="121"/>
      <c r="M643" s="9"/>
      <c r="N643" s="9"/>
      <c r="O643" s="9"/>
    </row>
    <row r="644">
      <c r="A644" s="9"/>
      <c r="D644" s="13"/>
      <c r="E644" s="9"/>
      <c r="I644" s="9"/>
      <c r="J644" s="121"/>
      <c r="M644" s="9"/>
      <c r="N644" s="9"/>
      <c r="O644" s="9"/>
    </row>
    <row r="645">
      <c r="A645" s="9"/>
      <c r="D645" s="13"/>
      <c r="E645" s="9"/>
      <c r="I645" s="9"/>
      <c r="J645" s="121"/>
      <c r="M645" s="9"/>
      <c r="N645" s="9"/>
      <c r="O645" s="9"/>
    </row>
    <row r="646">
      <c r="A646" s="9"/>
      <c r="D646" s="13"/>
      <c r="E646" s="9"/>
      <c r="I646" s="9"/>
      <c r="J646" s="121"/>
      <c r="M646" s="9"/>
      <c r="N646" s="9"/>
      <c r="O646" s="9"/>
    </row>
    <row r="647">
      <c r="A647" s="9"/>
      <c r="D647" s="13"/>
      <c r="E647" s="9"/>
      <c r="I647" s="9"/>
      <c r="J647" s="121"/>
      <c r="M647" s="9"/>
      <c r="N647" s="9"/>
      <c r="O647" s="9"/>
    </row>
    <row r="648">
      <c r="A648" s="9"/>
      <c r="D648" s="13"/>
      <c r="E648" s="9"/>
      <c r="I648" s="9"/>
      <c r="J648" s="121"/>
      <c r="M648" s="9"/>
      <c r="N648" s="9"/>
      <c r="O648" s="9"/>
    </row>
    <row r="649">
      <c r="A649" s="9"/>
      <c r="D649" s="13"/>
      <c r="E649" s="9"/>
      <c r="I649" s="9"/>
      <c r="J649" s="121"/>
      <c r="M649" s="9"/>
      <c r="N649" s="9"/>
      <c r="O649" s="9"/>
    </row>
    <row r="650">
      <c r="A650" s="9"/>
      <c r="D650" s="13"/>
      <c r="E650" s="9"/>
      <c r="I650" s="9"/>
      <c r="J650" s="121"/>
      <c r="M650" s="9"/>
      <c r="N650" s="9"/>
      <c r="O650" s="9"/>
    </row>
    <row r="651">
      <c r="A651" s="9"/>
      <c r="D651" s="13"/>
      <c r="E651" s="9"/>
      <c r="I651" s="9"/>
      <c r="J651" s="121"/>
      <c r="M651" s="9"/>
      <c r="N651" s="9"/>
      <c r="O651" s="9"/>
    </row>
    <row r="652">
      <c r="A652" s="9"/>
      <c r="D652" s="13"/>
      <c r="E652" s="9"/>
      <c r="I652" s="9"/>
      <c r="J652" s="121"/>
      <c r="M652" s="9"/>
      <c r="N652" s="9"/>
      <c r="O652" s="9"/>
    </row>
    <row r="653">
      <c r="A653" s="9"/>
      <c r="D653" s="13"/>
      <c r="E653" s="9"/>
      <c r="I653" s="9"/>
      <c r="J653" s="121"/>
      <c r="M653" s="9"/>
      <c r="N653" s="9"/>
      <c r="O653" s="9"/>
    </row>
    <row r="654">
      <c r="A654" s="9"/>
      <c r="D654" s="13"/>
      <c r="E654" s="9"/>
      <c r="I654" s="9"/>
      <c r="J654" s="121"/>
      <c r="M654" s="9"/>
      <c r="N654" s="9"/>
      <c r="O654" s="9"/>
    </row>
    <row r="655">
      <c r="A655" s="9"/>
      <c r="D655" s="13"/>
      <c r="E655" s="9"/>
      <c r="I655" s="9"/>
      <c r="J655" s="121"/>
      <c r="M655" s="9"/>
      <c r="N655" s="9"/>
      <c r="O655" s="9"/>
    </row>
    <row r="656">
      <c r="A656" s="9"/>
      <c r="D656" s="13"/>
      <c r="E656" s="9"/>
      <c r="I656" s="9"/>
      <c r="J656" s="121"/>
      <c r="M656" s="9"/>
      <c r="N656" s="9"/>
      <c r="O656" s="9"/>
    </row>
    <row r="657">
      <c r="A657" s="9"/>
      <c r="D657" s="13"/>
      <c r="E657" s="9"/>
      <c r="I657" s="9"/>
      <c r="J657" s="121"/>
      <c r="M657" s="9"/>
      <c r="N657" s="9"/>
      <c r="O657" s="9"/>
    </row>
    <row r="658">
      <c r="A658" s="9"/>
      <c r="D658" s="13"/>
      <c r="E658" s="9"/>
      <c r="I658" s="9"/>
      <c r="J658" s="121"/>
      <c r="M658" s="9"/>
      <c r="N658" s="9"/>
      <c r="O658" s="9"/>
    </row>
    <row r="659">
      <c r="A659" s="9"/>
      <c r="D659" s="13"/>
      <c r="E659" s="9"/>
      <c r="I659" s="9"/>
      <c r="J659" s="121"/>
      <c r="M659" s="9"/>
      <c r="N659" s="9"/>
      <c r="O659" s="9"/>
    </row>
    <row r="660">
      <c r="A660" s="9"/>
      <c r="D660" s="13"/>
      <c r="E660" s="9"/>
      <c r="I660" s="9"/>
      <c r="J660" s="121"/>
      <c r="M660" s="9"/>
      <c r="N660" s="9"/>
      <c r="O660" s="9"/>
    </row>
    <row r="661">
      <c r="A661" s="9"/>
      <c r="D661" s="13"/>
      <c r="E661" s="9"/>
      <c r="I661" s="9"/>
      <c r="J661" s="121"/>
      <c r="M661" s="9"/>
      <c r="N661" s="9"/>
      <c r="O661" s="9"/>
    </row>
    <row r="662">
      <c r="A662" s="9"/>
      <c r="D662" s="13"/>
      <c r="E662" s="9"/>
      <c r="I662" s="9"/>
      <c r="J662" s="121"/>
      <c r="M662" s="9"/>
      <c r="N662" s="9"/>
      <c r="O662" s="9"/>
    </row>
    <row r="663">
      <c r="A663" s="9"/>
      <c r="D663" s="13"/>
      <c r="E663" s="9"/>
      <c r="I663" s="9"/>
      <c r="J663" s="121"/>
      <c r="M663" s="9"/>
      <c r="N663" s="9"/>
      <c r="O663" s="9"/>
    </row>
    <row r="664">
      <c r="A664" s="9"/>
      <c r="D664" s="13"/>
      <c r="E664" s="9"/>
      <c r="I664" s="9"/>
      <c r="J664" s="121"/>
      <c r="M664" s="9"/>
      <c r="N664" s="9"/>
      <c r="O664" s="9"/>
    </row>
    <row r="665">
      <c r="A665" s="9"/>
      <c r="D665" s="13"/>
      <c r="E665" s="9"/>
      <c r="I665" s="9"/>
      <c r="J665" s="121"/>
      <c r="M665" s="9"/>
      <c r="N665" s="9"/>
      <c r="O665" s="9"/>
    </row>
    <row r="666">
      <c r="A666" s="9"/>
      <c r="D666" s="13"/>
      <c r="E666" s="9"/>
      <c r="I666" s="9"/>
      <c r="J666" s="121"/>
      <c r="M666" s="9"/>
      <c r="N666" s="9"/>
      <c r="O666" s="9"/>
    </row>
    <row r="667">
      <c r="A667" s="9"/>
      <c r="D667" s="13"/>
      <c r="E667" s="9"/>
      <c r="I667" s="9"/>
      <c r="J667" s="121"/>
      <c r="M667" s="9"/>
      <c r="N667" s="9"/>
      <c r="O667" s="9"/>
    </row>
    <row r="668">
      <c r="A668" s="9"/>
      <c r="D668" s="13"/>
      <c r="E668" s="9"/>
      <c r="I668" s="9"/>
      <c r="J668" s="121"/>
      <c r="M668" s="9"/>
      <c r="N668" s="9"/>
      <c r="O668" s="9"/>
    </row>
    <row r="669">
      <c r="A669" s="9"/>
      <c r="D669" s="13"/>
      <c r="E669" s="9"/>
      <c r="I669" s="9"/>
      <c r="J669" s="121"/>
      <c r="M669" s="9"/>
      <c r="N669" s="9"/>
      <c r="O669" s="9"/>
    </row>
    <row r="670">
      <c r="A670" s="9"/>
      <c r="D670" s="13"/>
      <c r="E670" s="9"/>
      <c r="I670" s="9"/>
      <c r="J670" s="121"/>
      <c r="M670" s="9"/>
      <c r="N670" s="9"/>
      <c r="O670" s="9"/>
    </row>
    <row r="671">
      <c r="A671" s="9"/>
      <c r="D671" s="13"/>
      <c r="E671" s="9"/>
      <c r="I671" s="9"/>
      <c r="J671" s="121"/>
      <c r="M671" s="9"/>
      <c r="N671" s="9"/>
      <c r="O671" s="9"/>
    </row>
    <row r="672">
      <c r="A672" s="9"/>
      <c r="D672" s="13"/>
      <c r="E672" s="9"/>
      <c r="I672" s="9"/>
      <c r="J672" s="121"/>
      <c r="M672" s="9"/>
      <c r="N672" s="9"/>
      <c r="O672" s="9"/>
    </row>
    <row r="673">
      <c r="A673" s="9"/>
      <c r="D673" s="13"/>
      <c r="E673" s="9"/>
      <c r="I673" s="9"/>
      <c r="J673" s="121"/>
      <c r="M673" s="9"/>
      <c r="N673" s="9"/>
      <c r="O673" s="9"/>
    </row>
    <row r="674">
      <c r="A674" s="9"/>
      <c r="D674" s="13"/>
      <c r="E674" s="9"/>
      <c r="I674" s="9"/>
      <c r="J674" s="121"/>
      <c r="M674" s="9"/>
      <c r="N674" s="9"/>
      <c r="O674" s="9"/>
    </row>
    <row r="675">
      <c r="A675" s="9"/>
      <c r="D675" s="13"/>
      <c r="E675" s="9"/>
      <c r="I675" s="9"/>
      <c r="J675" s="121"/>
      <c r="M675" s="9"/>
      <c r="N675" s="9"/>
      <c r="O675" s="9"/>
    </row>
    <row r="676">
      <c r="A676" s="9"/>
      <c r="D676" s="13"/>
      <c r="E676" s="9"/>
      <c r="I676" s="9"/>
      <c r="J676" s="121"/>
      <c r="M676" s="9"/>
      <c r="N676" s="9"/>
      <c r="O676" s="9"/>
    </row>
    <row r="677">
      <c r="A677" s="9"/>
      <c r="D677" s="13"/>
      <c r="E677" s="9"/>
      <c r="I677" s="9"/>
      <c r="J677" s="121"/>
      <c r="M677" s="9"/>
      <c r="N677" s="9"/>
      <c r="O677" s="9"/>
    </row>
    <row r="678">
      <c r="A678" s="9"/>
      <c r="D678" s="13"/>
      <c r="E678" s="9"/>
      <c r="I678" s="9"/>
      <c r="J678" s="121"/>
      <c r="M678" s="9"/>
      <c r="N678" s="9"/>
      <c r="O678" s="9"/>
    </row>
    <row r="679">
      <c r="A679" s="9"/>
      <c r="D679" s="13"/>
      <c r="E679" s="9"/>
      <c r="I679" s="9"/>
      <c r="J679" s="121"/>
      <c r="M679" s="9"/>
      <c r="N679" s="9"/>
      <c r="O679" s="9"/>
    </row>
    <row r="680">
      <c r="A680" s="9"/>
      <c r="D680" s="13"/>
      <c r="E680" s="9"/>
      <c r="I680" s="9"/>
      <c r="J680" s="121"/>
      <c r="M680" s="9"/>
      <c r="N680" s="9"/>
      <c r="O680" s="9"/>
    </row>
    <row r="681">
      <c r="A681" s="9"/>
      <c r="D681" s="13"/>
      <c r="E681" s="9"/>
      <c r="I681" s="9"/>
      <c r="J681" s="121"/>
      <c r="M681" s="9"/>
      <c r="N681" s="9"/>
      <c r="O681" s="9"/>
    </row>
    <row r="682">
      <c r="A682" s="9"/>
      <c r="D682" s="13"/>
      <c r="E682" s="9"/>
      <c r="I682" s="9"/>
      <c r="J682" s="121"/>
      <c r="M682" s="9"/>
      <c r="N682" s="9"/>
      <c r="O682" s="9"/>
    </row>
    <row r="683">
      <c r="A683" s="9"/>
      <c r="D683" s="13"/>
      <c r="E683" s="9"/>
      <c r="I683" s="9"/>
      <c r="J683" s="121"/>
      <c r="M683" s="9"/>
      <c r="N683" s="9"/>
      <c r="O683" s="9"/>
    </row>
    <row r="684">
      <c r="A684" s="9"/>
      <c r="D684" s="13"/>
      <c r="E684" s="9"/>
      <c r="I684" s="9"/>
      <c r="J684" s="121"/>
      <c r="M684" s="9"/>
      <c r="N684" s="9"/>
      <c r="O684" s="9"/>
    </row>
    <row r="685">
      <c r="A685" s="9"/>
      <c r="D685" s="13"/>
      <c r="E685" s="9"/>
      <c r="I685" s="9"/>
      <c r="J685" s="121"/>
      <c r="M685" s="9"/>
      <c r="N685" s="9"/>
      <c r="O685" s="9"/>
    </row>
    <row r="686">
      <c r="A686" s="9"/>
      <c r="D686" s="13"/>
      <c r="E686" s="9"/>
      <c r="I686" s="9"/>
      <c r="J686" s="121"/>
      <c r="M686" s="9"/>
      <c r="N686" s="9"/>
      <c r="O686" s="9"/>
    </row>
    <row r="687">
      <c r="A687" s="9"/>
      <c r="D687" s="13"/>
      <c r="E687" s="9"/>
      <c r="I687" s="9"/>
      <c r="J687" s="121"/>
      <c r="M687" s="9"/>
      <c r="N687" s="9"/>
      <c r="O687" s="9"/>
    </row>
    <row r="688">
      <c r="A688" s="9"/>
      <c r="D688" s="13"/>
      <c r="E688" s="9"/>
      <c r="I688" s="9"/>
      <c r="J688" s="121"/>
      <c r="M688" s="9"/>
      <c r="N688" s="9"/>
      <c r="O688" s="9"/>
    </row>
    <row r="689">
      <c r="A689" s="9"/>
      <c r="D689" s="13"/>
      <c r="E689" s="9"/>
      <c r="I689" s="9"/>
      <c r="J689" s="121"/>
      <c r="M689" s="9"/>
      <c r="N689" s="9"/>
      <c r="O689" s="9"/>
    </row>
    <row r="690">
      <c r="A690" s="9"/>
      <c r="D690" s="13"/>
      <c r="E690" s="9"/>
      <c r="I690" s="9"/>
      <c r="J690" s="121"/>
      <c r="M690" s="9"/>
      <c r="N690" s="9"/>
      <c r="O690" s="9"/>
    </row>
    <row r="691">
      <c r="A691" s="9"/>
      <c r="D691" s="13"/>
      <c r="E691" s="9"/>
      <c r="I691" s="9"/>
      <c r="J691" s="121"/>
      <c r="M691" s="9"/>
      <c r="N691" s="9"/>
      <c r="O691" s="9"/>
    </row>
    <row r="692">
      <c r="A692" s="9"/>
      <c r="D692" s="13"/>
      <c r="E692" s="9"/>
      <c r="I692" s="9"/>
      <c r="J692" s="121"/>
      <c r="M692" s="9"/>
      <c r="N692" s="9"/>
      <c r="O692" s="9"/>
    </row>
    <row r="693">
      <c r="A693" s="9"/>
      <c r="D693" s="13"/>
      <c r="E693" s="9"/>
      <c r="I693" s="9"/>
      <c r="J693" s="121"/>
      <c r="M693" s="9"/>
      <c r="N693" s="9"/>
      <c r="O693" s="9"/>
    </row>
    <row r="694">
      <c r="A694" s="9"/>
      <c r="D694" s="13"/>
      <c r="E694" s="9"/>
      <c r="I694" s="9"/>
      <c r="J694" s="121"/>
      <c r="M694" s="9"/>
      <c r="N694" s="9"/>
      <c r="O694" s="9"/>
    </row>
    <row r="695">
      <c r="A695" s="9"/>
      <c r="D695" s="13"/>
      <c r="E695" s="9"/>
      <c r="I695" s="9"/>
      <c r="J695" s="121"/>
      <c r="M695" s="9"/>
      <c r="N695" s="9"/>
      <c r="O695" s="9"/>
    </row>
    <row r="696">
      <c r="A696" s="9"/>
      <c r="D696" s="13"/>
      <c r="E696" s="9"/>
      <c r="I696" s="9"/>
      <c r="J696" s="121"/>
      <c r="M696" s="9"/>
      <c r="N696" s="9"/>
      <c r="O696" s="9"/>
    </row>
    <row r="697">
      <c r="A697" s="9"/>
      <c r="D697" s="13"/>
      <c r="E697" s="9"/>
      <c r="I697" s="9"/>
      <c r="J697" s="121"/>
      <c r="M697" s="9"/>
      <c r="N697" s="9"/>
      <c r="O697" s="9"/>
    </row>
    <row r="698">
      <c r="A698" s="9"/>
      <c r="D698" s="13"/>
      <c r="E698" s="9"/>
      <c r="I698" s="9"/>
      <c r="J698" s="121"/>
      <c r="M698" s="9"/>
      <c r="N698" s="9"/>
      <c r="O698" s="9"/>
    </row>
    <row r="699">
      <c r="A699" s="9"/>
      <c r="D699" s="13"/>
      <c r="E699" s="9"/>
      <c r="I699" s="9"/>
      <c r="J699" s="121"/>
      <c r="M699" s="9"/>
      <c r="N699" s="9"/>
      <c r="O699" s="9"/>
    </row>
    <row r="700">
      <c r="A700" s="9"/>
      <c r="D700" s="13"/>
      <c r="E700" s="9"/>
      <c r="I700" s="9"/>
      <c r="J700" s="121"/>
      <c r="M700" s="9"/>
      <c r="N700" s="9"/>
      <c r="O700" s="9"/>
    </row>
    <row r="701">
      <c r="A701" s="9"/>
      <c r="D701" s="13"/>
      <c r="E701" s="9"/>
      <c r="I701" s="9"/>
      <c r="J701" s="121"/>
      <c r="M701" s="9"/>
      <c r="N701" s="9"/>
      <c r="O701" s="9"/>
    </row>
    <row r="702">
      <c r="A702" s="9"/>
      <c r="D702" s="13"/>
      <c r="E702" s="9"/>
      <c r="I702" s="9"/>
      <c r="J702" s="121"/>
      <c r="M702" s="9"/>
      <c r="N702" s="9"/>
      <c r="O702" s="9"/>
    </row>
    <row r="703">
      <c r="A703" s="9"/>
      <c r="D703" s="13"/>
      <c r="E703" s="9"/>
      <c r="I703" s="9"/>
      <c r="J703" s="121"/>
      <c r="M703" s="9"/>
      <c r="N703" s="9"/>
      <c r="O703" s="9"/>
    </row>
    <row r="704">
      <c r="A704" s="9"/>
      <c r="D704" s="13"/>
      <c r="E704" s="9"/>
      <c r="I704" s="9"/>
      <c r="J704" s="121"/>
      <c r="M704" s="9"/>
      <c r="N704" s="9"/>
      <c r="O704" s="9"/>
    </row>
    <row r="705">
      <c r="A705" s="9"/>
      <c r="D705" s="13"/>
      <c r="E705" s="9"/>
      <c r="I705" s="9"/>
      <c r="J705" s="121"/>
      <c r="M705" s="9"/>
      <c r="N705" s="9"/>
      <c r="O705" s="9"/>
    </row>
    <row r="706">
      <c r="A706" s="9"/>
      <c r="D706" s="13"/>
      <c r="E706" s="9"/>
      <c r="I706" s="9"/>
      <c r="J706" s="121"/>
      <c r="M706" s="9"/>
      <c r="N706" s="9"/>
      <c r="O706" s="9"/>
    </row>
    <row r="707">
      <c r="A707" s="9"/>
      <c r="D707" s="13"/>
      <c r="E707" s="9"/>
      <c r="I707" s="9"/>
      <c r="J707" s="121"/>
      <c r="M707" s="9"/>
      <c r="N707" s="9"/>
      <c r="O707" s="9"/>
    </row>
    <row r="708">
      <c r="A708" s="9"/>
      <c r="D708" s="13"/>
      <c r="E708" s="9"/>
      <c r="I708" s="9"/>
      <c r="J708" s="121"/>
      <c r="M708" s="9"/>
      <c r="N708" s="9"/>
      <c r="O708" s="9"/>
    </row>
    <row r="709">
      <c r="A709" s="9"/>
      <c r="D709" s="13"/>
      <c r="E709" s="9"/>
      <c r="I709" s="9"/>
      <c r="J709" s="121"/>
      <c r="M709" s="9"/>
      <c r="N709" s="9"/>
      <c r="O709" s="9"/>
    </row>
    <row r="710">
      <c r="A710" s="9"/>
      <c r="D710" s="13"/>
      <c r="E710" s="9"/>
      <c r="I710" s="9"/>
      <c r="J710" s="121"/>
      <c r="M710" s="9"/>
      <c r="N710" s="9"/>
      <c r="O710" s="9"/>
    </row>
    <row r="711">
      <c r="A711" s="9"/>
      <c r="D711" s="13"/>
      <c r="E711" s="9"/>
      <c r="I711" s="9"/>
      <c r="J711" s="121"/>
      <c r="M711" s="9"/>
      <c r="N711" s="9"/>
      <c r="O711" s="9"/>
    </row>
    <row r="712">
      <c r="A712" s="9"/>
      <c r="D712" s="13"/>
      <c r="E712" s="9"/>
      <c r="I712" s="9"/>
      <c r="J712" s="121"/>
      <c r="M712" s="9"/>
      <c r="N712" s="9"/>
      <c r="O712" s="9"/>
    </row>
    <row r="713">
      <c r="A713" s="9"/>
      <c r="D713" s="13"/>
      <c r="E713" s="9"/>
      <c r="I713" s="9"/>
      <c r="J713" s="121"/>
      <c r="M713" s="9"/>
      <c r="N713" s="9"/>
      <c r="O713" s="9"/>
    </row>
    <row r="714">
      <c r="A714" s="9"/>
      <c r="D714" s="13"/>
      <c r="E714" s="9"/>
      <c r="I714" s="9"/>
      <c r="J714" s="121"/>
      <c r="M714" s="9"/>
      <c r="N714" s="9"/>
      <c r="O714" s="9"/>
    </row>
    <row r="715">
      <c r="A715" s="9"/>
      <c r="D715" s="13"/>
      <c r="E715" s="9"/>
      <c r="I715" s="9"/>
      <c r="J715" s="121"/>
      <c r="M715" s="9"/>
      <c r="N715" s="9"/>
      <c r="O715" s="9"/>
    </row>
    <row r="716">
      <c r="A716" s="9"/>
      <c r="D716" s="13"/>
      <c r="E716" s="9"/>
      <c r="I716" s="9"/>
      <c r="J716" s="121"/>
      <c r="M716" s="9"/>
      <c r="N716" s="9"/>
      <c r="O716" s="9"/>
    </row>
    <row r="717">
      <c r="A717" s="9"/>
      <c r="D717" s="13"/>
      <c r="E717" s="9"/>
      <c r="I717" s="9"/>
      <c r="J717" s="121"/>
      <c r="M717" s="9"/>
      <c r="N717" s="9"/>
      <c r="O717" s="9"/>
    </row>
    <row r="718">
      <c r="A718" s="9"/>
      <c r="D718" s="13"/>
      <c r="E718" s="9"/>
      <c r="I718" s="9"/>
      <c r="J718" s="121"/>
      <c r="M718" s="9"/>
      <c r="N718" s="9"/>
      <c r="O718" s="9"/>
    </row>
    <row r="719">
      <c r="A719" s="9"/>
      <c r="D719" s="13"/>
      <c r="E719" s="9"/>
      <c r="I719" s="9"/>
      <c r="J719" s="121"/>
      <c r="M719" s="9"/>
      <c r="N719" s="9"/>
      <c r="O719" s="9"/>
    </row>
    <row r="720">
      <c r="A720" s="9"/>
      <c r="D720" s="13"/>
      <c r="E720" s="9"/>
      <c r="I720" s="9"/>
      <c r="J720" s="121"/>
      <c r="M720" s="9"/>
      <c r="N720" s="9"/>
      <c r="O720" s="9"/>
    </row>
    <row r="721">
      <c r="A721" s="9"/>
      <c r="D721" s="13"/>
      <c r="E721" s="9"/>
      <c r="I721" s="9"/>
      <c r="J721" s="121"/>
      <c r="M721" s="9"/>
      <c r="N721" s="9"/>
      <c r="O721" s="9"/>
    </row>
    <row r="722">
      <c r="A722" s="9"/>
      <c r="D722" s="13"/>
      <c r="E722" s="9"/>
      <c r="I722" s="9"/>
      <c r="J722" s="121"/>
      <c r="M722" s="9"/>
      <c r="N722" s="9"/>
      <c r="O722" s="9"/>
    </row>
    <row r="723">
      <c r="A723" s="9"/>
      <c r="D723" s="13"/>
      <c r="E723" s="9"/>
      <c r="I723" s="9"/>
      <c r="J723" s="121"/>
      <c r="M723" s="9"/>
      <c r="N723" s="9"/>
      <c r="O723" s="9"/>
    </row>
    <row r="724">
      <c r="A724" s="9"/>
      <c r="D724" s="13"/>
      <c r="E724" s="9"/>
      <c r="I724" s="9"/>
      <c r="J724" s="121"/>
      <c r="M724" s="9"/>
      <c r="N724" s="9"/>
      <c r="O724" s="9"/>
    </row>
    <row r="725">
      <c r="A725" s="9"/>
      <c r="D725" s="13"/>
      <c r="E725" s="9"/>
      <c r="I725" s="9"/>
      <c r="J725" s="121"/>
      <c r="M725" s="9"/>
      <c r="N725" s="9"/>
      <c r="O725" s="9"/>
    </row>
    <row r="726">
      <c r="A726" s="9"/>
      <c r="D726" s="13"/>
      <c r="E726" s="9"/>
      <c r="I726" s="9"/>
      <c r="J726" s="121"/>
      <c r="M726" s="9"/>
      <c r="N726" s="9"/>
      <c r="O726" s="9"/>
    </row>
    <row r="727">
      <c r="A727" s="9"/>
      <c r="D727" s="13"/>
      <c r="E727" s="9"/>
      <c r="I727" s="9"/>
      <c r="J727" s="121"/>
      <c r="M727" s="9"/>
      <c r="N727" s="9"/>
      <c r="O727" s="9"/>
    </row>
    <row r="728">
      <c r="A728" s="9"/>
      <c r="D728" s="13"/>
      <c r="E728" s="9"/>
      <c r="I728" s="9"/>
      <c r="J728" s="121"/>
      <c r="M728" s="9"/>
      <c r="N728" s="9"/>
      <c r="O728" s="9"/>
    </row>
    <row r="729">
      <c r="A729" s="9"/>
      <c r="D729" s="13"/>
      <c r="E729" s="9"/>
      <c r="I729" s="9"/>
      <c r="J729" s="121"/>
      <c r="M729" s="9"/>
      <c r="N729" s="9"/>
      <c r="O729" s="9"/>
    </row>
    <row r="730">
      <c r="A730" s="9"/>
      <c r="D730" s="13"/>
      <c r="E730" s="9"/>
      <c r="I730" s="9"/>
      <c r="J730" s="121"/>
      <c r="M730" s="9"/>
      <c r="N730" s="9"/>
      <c r="O730" s="9"/>
    </row>
    <row r="731">
      <c r="A731" s="9"/>
      <c r="D731" s="13"/>
      <c r="E731" s="9"/>
      <c r="I731" s="9"/>
      <c r="J731" s="121"/>
      <c r="M731" s="9"/>
      <c r="N731" s="9"/>
      <c r="O731" s="9"/>
    </row>
    <row r="732">
      <c r="A732" s="9"/>
      <c r="D732" s="13"/>
      <c r="E732" s="9"/>
      <c r="I732" s="9"/>
      <c r="J732" s="121"/>
      <c r="M732" s="9"/>
      <c r="N732" s="9"/>
      <c r="O732" s="9"/>
    </row>
    <row r="733">
      <c r="A733" s="9"/>
      <c r="D733" s="13"/>
      <c r="E733" s="9"/>
      <c r="I733" s="9"/>
      <c r="J733" s="121"/>
      <c r="M733" s="9"/>
      <c r="N733" s="9"/>
      <c r="O733" s="9"/>
    </row>
    <row r="734">
      <c r="A734" s="9"/>
      <c r="D734" s="13"/>
      <c r="E734" s="9"/>
      <c r="I734" s="9"/>
      <c r="J734" s="121"/>
      <c r="M734" s="9"/>
      <c r="N734" s="9"/>
      <c r="O734" s="9"/>
    </row>
    <row r="735">
      <c r="A735" s="9"/>
      <c r="D735" s="13"/>
      <c r="E735" s="9"/>
      <c r="I735" s="9"/>
      <c r="J735" s="121"/>
      <c r="M735" s="9"/>
      <c r="N735" s="9"/>
      <c r="O735" s="9"/>
    </row>
    <row r="736">
      <c r="A736" s="9"/>
      <c r="D736" s="13"/>
      <c r="E736" s="9"/>
      <c r="I736" s="9"/>
      <c r="J736" s="121"/>
      <c r="M736" s="9"/>
      <c r="N736" s="9"/>
      <c r="O736" s="9"/>
    </row>
    <row r="737">
      <c r="A737" s="9"/>
      <c r="D737" s="13"/>
      <c r="E737" s="9"/>
      <c r="I737" s="9"/>
      <c r="J737" s="121"/>
      <c r="M737" s="9"/>
      <c r="N737" s="9"/>
      <c r="O737" s="9"/>
    </row>
    <row r="738">
      <c r="A738" s="9"/>
      <c r="D738" s="13"/>
      <c r="E738" s="9"/>
      <c r="I738" s="9"/>
      <c r="J738" s="121"/>
      <c r="M738" s="9"/>
      <c r="N738" s="9"/>
      <c r="O738" s="9"/>
    </row>
    <row r="739">
      <c r="A739" s="9"/>
      <c r="D739" s="13"/>
      <c r="E739" s="9"/>
      <c r="I739" s="9"/>
      <c r="J739" s="121"/>
      <c r="M739" s="9"/>
      <c r="N739" s="9"/>
      <c r="O739" s="9"/>
    </row>
    <row r="740">
      <c r="A740" s="9"/>
      <c r="D740" s="13"/>
      <c r="E740" s="9"/>
      <c r="I740" s="9"/>
      <c r="J740" s="121"/>
      <c r="M740" s="9"/>
      <c r="N740" s="9"/>
      <c r="O740" s="9"/>
    </row>
    <row r="741">
      <c r="A741" s="9"/>
      <c r="D741" s="13"/>
      <c r="E741" s="9"/>
      <c r="I741" s="9"/>
      <c r="J741" s="121"/>
      <c r="M741" s="9"/>
      <c r="N741" s="9"/>
      <c r="O741" s="9"/>
    </row>
    <row r="742">
      <c r="A742" s="9"/>
      <c r="D742" s="13"/>
      <c r="E742" s="9"/>
      <c r="I742" s="9"/>
      <c r="J742" s="121"/>
      <c r="M742" s="9"/>
      <c r="N742" s="9"/>
      <c r="O742" s="9"/>
    </row>
    <row r="743">
      <c r="A743" s="9"/>
      <c r="D743" s="13"/>
      <c r="E743" s="9"/>
      <c r="I743" s="9"/>
      <c r="J743" s="121"/>
      <c r="M743" s="9"/>
      <c r="N743" s="9"/>
      <c r="O743" s="9"/>
    </row>
    <row r="744">
      <c r="A744" s="9"/>
      <c r="D744" s="13"/>
      <c r="E744" s="9"/>
      <c r="I744" s="9"/>
      <c r="J744" s="121"/>
      <c r="M744" s="9"/>
      <c r="N744" s="9"/>
      <c r="O744" s="9"/>
    </row>
    <row r="745">
      <c r="A745" s="9"/>
      <c r="D745" s="13"/>
      <c r="E745" s="9"/>
      <c r="I745" s="9"/>
      <c r="J745" s="121"/>
      <c r="M745" s="9"/>
      <c r="N745" s="9"/>
      <c r="O745" s="9"/>
    </row>
    <row r="746">
      <c r="A746" s="9"/>
      <c r="D746" s="13"/>
      <c r="E746" s="9"/>
      <c r="I746" s="9"/>
      <c r="J746" s="121"/>
      <c r="M746" s="9"/>
      <c r="N746" s="9"/>
      <c r="O746" s="9"/>
    </row>
    <row r="747">
      <c r="A747" s="9"/>
      <c r="D747" s="13"/>
      <c r="E747" s="9"/>
      <c r="I747" s="9"/>
      <c r="J747" s="121"/>
      <c r="M747" s="9"/>
      <c r="N747" s="9"/>
      <c r="O747" s="9"/>
    </row>
    <row r="748">
      <c r="A748" s="9"/>
      <c r="D748" s="13"/>
      <c r="E748" s="9"/>
      <c r="I748" s="9"/>
      <c r="J748" s="121"/>
      <c r="M748" s="9"/>
      <c r="N748" s="9"/>
      <c r="O748" s="9"/>
    </row>
    <row r="749">
      <c r="A749" s="9"/>
      <c r="D749" s="13"/>
      <c r="E749" s="9"/>
      <c r="I749" s="9"/>
      <c r="J749" s="121"/>
      <c r="M749" s="9"/>
      <c r="N749" s="9"/>
      <c r="O749" s="9"/>
    </row>
    <row r="750">
      <c r="A750" s="9"/>
      <c r="D750" s="13"/>
      <c r="E750" s="9"/>
      <c r="I750" s="9"/>
      <c r="J750" s="121"/>
      <c r="M750" s="9"/>
      <c r="N750" s="9"/>
      <c r="O750" s="9"/>
    </row>
    <row r="751">
      <c r="A751" s="9"/>
      <c r="D751" s="13"/>
      <c r="E751" s="9"/>
      <c r="I751" s="9"/>
      <c r="J751" s="121"/>
      <c r="M751" s="9"/>
      <c r="N751" s="9"/>
      <c r="O751" s="9"/>
    </row>
    <row r="752">
      <c r="A752" s="9"/>
      <c r="D752" s="13"/>
      <c r="E752" s="9"/>
      <c r="I752" s="9"/>
      <c r="J752" s="121"/>
      <c r="M752" s="9"/>
      <c r="N752" s="9"/>
      <c r="O752" s="9"/>
    </row>
    <row r="753">
      <c r="A753" s="9"/>
      <c r="D753" s="13"/>
      <c r="E753" s="9"/>
      <c r="I753" s="9"/>
      <c r="J753" s="121"/>
      <c r="M753" s="9"/>
      <c r="N753" s="9"/>
      <c r="O753" s="9"/>
    </row>
    <row r="754">
      <c r="A754" s="9"/>
      <c r="D754" s="13"/>
      <c r="E754" s="9"/>
      <c r="I754" s="9"/>
      <c r="J754" s="121"/>
      <c r="M754" s="9"/>
      <c r="N754" s="9"/>
      <c r="O754" s="9"/>
    </row>
    <row r="755">
      <c r="A755" s="9"/>
      <c r="D755" s="13"/>
      <c r="E755" s="9"/>
      <c r="I755" s="9"/>
      <c r="J755" s="121"/>
      <c r="M755" s="9"/>
      <c r="N755" s="9"/>
      <c r="O755" s="9"/>
    </row>
    <row r="756">
      <c r="A756" s="9"/>
      <c r="D756" s="13"/>
      <c r="E756" s="9"/>
      <c r="I756" s="9"/>
      <c r="J756" s="121"/>
      <c r="M756" s="9"/>
      <c r="N756" s="9"/>
      <c r="O756" s="9"/>
    </row>
    <row r="757">
      <c r="A757" s="9"/>
      <c r="D757" s="13"/>
      <c r="E757" s="9"/>
      <c r="I757" s="9"/>
      <c r="J757" s="121"/>
      <c r="M757" s="9"/>
      <c r="N757" s="9"/>
      <c r="O757" s="9"/>
    </row>
    <row r="758">
      <c r="A758" s="9"/>
      <c r="D758" s="13"/>
      <c r="E758" s="9"/>
      <c r="I758" s="9"/>
      <c r="J758" s="121"/>
      <c r="M758" s="9"/>
      <c r="N758" s="9"/>
      <c r="O758" s="9"/>
    </row>
    <row r="759">
      <c r="A759" s="9"/>
      <c r="D759" s="13"/>
      <c r="E759" s="9"/>
      <c r="I759" s="9"/>
      <c r="J759" s="121"/>
      <c r="M759" s="9"/>
      <c r="N759" s="9"/>
      <c r="O759" s="9"/>
    </row>
    <row r="760">
      <c r="A760" s="9"/>
      <c r="D760" s="13"/>
      <c r="E760" s="9"/>
      <c r="I760" s="9"/>
      <c r="J760" s="121"/>
      <c r="M760" s="9"/>
      <c r="N760" s="9"/>
      <c r="O760" s="9"/>
    </row>
    <row r="761">
      <c r="A761" s="9"/>
      <c r="D761" s="13"/>
      <c r="E761" s="9"/>
      <c r="I761" s="9"/>
      <c r="J761" s="121"/>
      <c r="M761" s="9"/>
      <c r="N761" s="9"/>
      <c r="O761" s="9"/>
    </row>
    <row r="762">
      <c r="A762" s="9"/>
      <c r="D762" s="13"/>
      <c r="E762" s="9"/>
      <c r="I762" s="9"/>
      <c r="J762" s="121"/>
      <c r="M762" s="9"/>
      <c r="N762" s="9"/>
      <c r="O762" s="9"/>
    </row>
    <row r="763">
      <c r="A763" s="9"/>
      <c r="D763" s="13"/>
      <c r="E763" s="9"/>
      <c r="I763" s="9"/>
      <c r="J763" s="121"/>
      <c r="M763" s="9"/>
      <c r="N763" s="9"/>
      <c r="O763" s="9"/>
    </row>
    <row r="764">
      <c r="A764" s="9"/>
      <c r="D764" s="13"/>
      <c r="E764" s="9"/>
      <c r="I764" s="9"/>
      <c r="J764" s="121"/>
      <c r="M764" s="9"/>
      <c r="N764" s="9"/>
      <c r="O764" s="9"/>
    </row>
    <row r="765">
      <c r="A765" s="9"/>
      <c r="D765" s="13"/>
      <c r="E765" s="9"/>
      <c r="I765" s="9"/>
      <c r="J765" s="121"/>
      <c r="M765" s="9"/>
      <c r="N765" s="9"/>
      <c r="O765" s="9"/>
    </row>
    <row r="766">
      <c r="A766" s="9"/>
      <c r="D766" s="13"/>
      <c r="E766" s="9"/>
      <c r="I766" s="9"/>
      <c r="J766" s="121"/>
      <c r="M766" s="9"/>
      <c r="N766" s="9"/>
      <c r="O766" s="9"/>
    </row>
    <row r="767">
      <c r="A767" s="9"/>
      <c r="D767" s="13"/>
      <c r="E767" s="9"/>
      <c r="I767" s="9"/>
      <c r="J767" s="121"/>
      <c r="M767" s="9"/>
      <c r="N767" s="9"/>
      <c r="O767" s="9"/>
    </row>
    <row r="768">
      <c r="A768" s="9"/>
      <c r="D768" s="13"/>
      <c r="E768" s="9"/>
      <c r="I768" s="9"/>
      <c r="J768" s="121"/>
      <c r="M768" s="9"/>
      <c r="N768" s="9"/>
      <c r="O768" s="9"/>
    </row>
    <row r="769">
      <c r="A769" s="9"/>
      <c r="D769" s="13"/>
      <c r="E769" s="9"/>
      <c r="I769" s="9"/>
      <c r="J769" s="121"/>
      <c r="M769" s="9"/>
      <c r="N769" s="9"/>
      <c r="O769" s="9"/>
    </row>
    <row r="770">
      <c r="A770" s="9"/>
      <c r="D770" s="13"/>
      <c r="E770" s="9"/>
      <c r="I770" s="9"/>
      <c r="J770" s="121"/>
      <c r="M770" s="9"/>
      <c r="N770" s="9"/>
      <c r="O770" s="9"/>
    </row>
    <row r="771">
      <c r="A771" s="9"/>
      <c r="D771" s="13"/>
      <c r="E771" s="9"/>
      <c r="I771" s="9"/>
      <c r="J771" s="121"/>
      <c r="M771" s="9"/>
      <c r="N771" s="9"/>
      <c r="O771" s="9"/>
    </row>
    <row r="772">
      <c r="A772" s="9"/>
      <c r="D772" s="13"/>
      <c r="E772" s="9"/>
      <c r="I772" s="9"/>
      <c r="J772" s="121"/>
      <c r="M772" s="9"/>
      <c r="N772" s="9"/>
      <c r="O772" s="9"/>
    </row>
    <row r="773">
      <c r="A773" s="9"/>
      <c r="D773" s="13"/>
      <c r="E773" s="9"/>
      <c r="I773" s="9"/>
      <c r="J773" s="121"/>
      <c r="M773" s="9"/>
      <c r="N773" s="9"/>
      <c r="O773" s="9"/>
    </row>
    <row r="774">
      <c r="A774" s="9"/>
      <c r="D774" s="13"/>
      <c r="E774" s="9"/>
      <c r="I774" s="9"/>
      <c r="J774" s="121"/>
      <c r="M774" s="9"/>
      <c r="N774" s="9"/>
      <c r="O774" s="9"/>
    </row>
    <row r="775">
      <c r="A775" s="9"/>
      <c r="D775" s="13"/>
      <c r="E775" s="9"/>
      <c r="I775" s="9"/>
      <c r="J775" s="121"/>
      <c r="M775" s="9"/>
      <c r="N775" s="9"/>
      <c r="O775" s="9"/>
    </row>
    <row r="776">
      <c r="A776" s="9"/>
      <c r="D776" s="13"/>
      <c r="E776" s="9"/>
      <c r="I776" s="9"/>
      <c r="J776" s="121"/>
      <c r="M776" s="9"/>
      <c r="N776" s="9"/>
      <c r="O776" s="9"/>
    </row>
    <row r="777">
      <c r="A777" s="9"/>
      <c r="D777" s="13"/>
      <c r="E777" s="9"/>
      <c r="I777" s="9"/>
      <c r="J777" s="121"/>
      <c r="M777" s="9"/>
      <c r="N777" s="9"/>
      <c r="O777" s="9"/>
    </row>
    <row r="778">
      <c r="A778" s="9"/>
      <c r="D778" s="13"/>
      <c r="E778" s="9"/>
      <c r="I778" s="9"/>
      <c r="J778" s="121"/>
      <c r="M778" s="9"/>
      <c r="N778" s="9"/>
      <c r="O778" s="9"/>
    </row>
    <row r="779">
      <c r="A779" s="9"/>
      <c r="D779" s="13"/>
      <c r="E779" s="9"/>
      <c r="I779" s="9"/>
      <c r="J779" s="121"/>
      <c r="M779" s="9"/>
      <c r="N779" s="9"/>
      <c r="O779" s="9"/>
    </row>
    <row r="780">
      <c r="A780" s="9"/>
      <c r="D780" s="13"/>
      <c r="E780" s="9"/>
      <c r="I780" s="9"/>
      <c r="J780" s="121"/>
      <c r="M780" s="9"/>
      <c r="N780" s="9"/>
      <c r="O780" s="9"/>
    </row>
    <row r="781">
      <c r="A781" s="9"/>
      <c r="D781" s="13"/>
      <c r="E781" s="9"/>
      <c r="I781" s="9"/>
      <c r="J781" s="121"/>
      <c r="M781" s="9"/>
      <c r="N781" s="9"/>
      <c r="O781" s="9"/>
    </row>
    <row r="782">
      <c r="A782" s="9"/>
      <c r="D782" s="13"/>
      <c r="E782" s="9"/>
      <c r="I782" s="9"/>
      <c r="J782" s="121"/>
      <c r="M782" s="9"/>
      <c r="N782" s="9"/>
      <c r="O782" s="9"/>
    </row>
    <row r="783">
      <c r="A783" s="9"/>
      <c r="D783" s="13"/>
      <c r="E783" s="9"/>
      <c r="I783" s="9"/>
      <c r="J783" s="121"/>
      <c r="M783" s="9"/>
      <c r="N783" s="9"/>
      <c r="O783" s="9"/>
    </row>
    <row r="784">
      <c r="A784" s="9"/>
      <c r="D784" s="13"/>
      <c r="E784" s="9"/>
      <c r="I784" s="9"/>
      <c r="J784" s="121"/>
      <c r="M784" s="9"/>
      <c r="N784" s="9"/>
      <c r="O784" s="9"/>
    </row>
    <row r="785">
      <c r="A785" s="9"/>
      <c r="D785" s="13"/>
      <c r="E785" s="9"/>
      <c r="I785" s="9"/>
      <c r="J785" s="121"/>
      <c r="M785" s="9"/>
      <c r="N785" s="9"/>
      <c r="O785" s="9"/>
    </row>
    <row r="786">
      <c r="A786" s="9"/>
      <c r="D786" s="13"/>
      <c r="E786" s="9"/>
      <c r="I786" s="9"/>
      <c r="J786" s="121"/>
      <c r="M786" s="9"/>
      <c r="N786" s="9"/>
      <c r="O786" s="9"/>
    </row>
    <row r="787">
      <c r="A787" s="9"/>
      <c r="D787" s="13"/>
      <c r="E787" s="9"/>
      <c r="I787" s="9"/>
      <c r="J787" s="121"/>
      <c r="M787" s="9"/>
      <c r="N787" s="9"/>
      <c r="O787" s="9"/>
    </row>
    <row r="788">
      <c r="A788" s="9"/>
      <c r="D788" s="13"/>
      <c r="E788" s="9"/>
      <c r="I788" s="9"/>
      <c r="J788" s="121"/>
      <c r="M788" s="9"/>
      <c r="N788" s="9"/>
      <c r="O788" s="9"/>
    </row>
    <row r="789">
      <c r="A789" s="9"/>
      <c r="D789" s="13"/>
      <c r="E789" s="9"/>
      <c r="I789" s="9"/>
      <c r="J789" s="121"/>
      <c r="M789" s="9"/>
      <c r="N789" s="9"/>
      <c r="O789" s="9"/>
    </row>
    <row r="790">
      <c r="A790" s="9"/>
      <c r="D790" s="13"/>
      <c r="E790" s="9"/>
      <c r="I790" s="9"/>
      <c r="J790" s="121"/>
      <c r="M790" s="9"/>
      <c r="N790" s="9"/>
      <c r="O790" s="9"/>
    </row>
    <row r="791">
      <c r="A791" s="9"/>
      <c r="D791" s="13"/>
      <c r="E791" s="9"/>
      <c r="I791" s="9"/>
      <c r="J791" s="121"/>
      <c r="M791" s="9"/>
      <c r="N791" s="9"/>
      <c r="O791" s="9"/>
    </row>
    <row r="792">
      <c r="A792" s="9"/>
      <c r="D792" s="13"/>
      <c r="E792" s="9"/>
      <c r="I792" s="9"/>
      <c r="J792" s="121"/>
      <c r="M792" s="9"/>
      <c r="N792" s="9"/>
      <c r="O792" s="9"/>
    </row>
    <row r="793">
      <c r="A793" s="9"/>
      <c r="D793" s="13"/>
      <c r="E793" s="9"/>
      <c r="I793" s="9"/>
      <c r="J793" s="121"/>
      <c r="M793" s="9"/>
      <c r="N793" s="9"/>
      <c r="O793" s="9"/>
    </row>
    <row r="794">
      <c r="A794" s="9"/>
      <c r="D794" s="13"/>
      <c r="E794" s="9"/>
      <c r="I794" s="9"/>
      <c r="J794" s="121"/>
      <c r="M794" s="9"/>
      <c r="N794" s="9"/>
      <c r="O794" s="9"/>
    </row>
    <row r="795">
      <c r="A795" s="9"/>
      <c r="D795" s="13"/>
      <c r="E795" s="9"/>
      <c r="I795" s="9"/>
      <c r="J795" s="121"/>
      <c r="M795" s="9"/>
      <c r="N795" s="9"/>
      <c r="O795" s="9"/>
    </row>
    <row r="796">
      <c r="A796" s="9"/>
      <c r="D796" s="13"/>
      <c r="E796" s="9"/>
      <c r="I796" s="9"/>
      <c r="J796" s="121"/>
      <c r="M796" s="9"/>
      <c r="N796" s="9"/>
      <c r="O796" s="9"/>
    </row>
    <row r="797">
      <c r="A797" s="9"/>
      <c r="D797" s="13"/>
      <c r="E797" s="9"/>
      <c r="I797" s="9"/>
      <c r="J797" s="121"/>
      <c r="M797" s="9"/>
      <c r="N797" s="9"/>
      <c r="O797" s="9"/>
    </row>
    <row r="798">
      <c r="A798" s="9"/>
      <c r="D798" s="13"/>
      <c r="E798" s="9"/>
      <c r="I798" s="9"/>
      <c r="J798" s="121"/>
      <c r="M798" s="9"/>
      <c r="N798" s="9"/>
      <c r="O798" s="9"/>
    </row>
    <row r="799">
      <c r="A799" s="9"/>
      <c r="D799" s="13"/>
      <c r="E799" s="9"/>
      <c r="I799" s="9"/>
      <c r="J799" s="121"/>
      <c r="M799" s="9"/>
      <c r="N799" s="9"/>
      <c r="O799" s="9"/>
    </row>
    <row r="800">
      <c r="A800" s="9"/>
      <c r="D800" s="13"/>
      <c r="E800" s="9"/>
      <c r="I800" s="9"/>
      <c r="J800" s="121"/>
      <c r="M800" s="9"/>
      <c r="N800" s="9"/>
      <c r="O800" s="9"/>
    </row>
    <row r="801">
      <c r="A801" s="9"/>
      <c r="D801" s="13"/>
      <c r="E801" s="9"/>
      <c r="I801" s="9"/>
      <c r="J801" s="121"/>
      <c r="M801" s="9"/>
      <c r="N801" s="9"/>
      <c r="O801" s="9"/>
    </row>
    <row r="802">
      <c r="A802" s="9"/>
      <c r="D802" s="13"/>
      <c r="E802" s="9"/>
      <c r="I802" s="9"/>
      <c r="J802" s="121"/>
      <c r="M802" s="9"/>
      <c r="N802" s="9"/>
      <c r="O802" s="9"/>
    </row>
    <row r="803">
      <c r="A803" s="9"/>
      <c r="D803" s="13"/>
      <c r="E803" s="9"/>
      <c r="I803" s="9"/>
      <c r="J803" s="121"/>
      <c r="M803" s="9"/>
      <c r="N803" s="9"/>
      <c r="O803" s="9"/>
    </row>
    <row r="804">
      <c r="A804" s="9"/>
      <c r="D804" s="13"/>
      <c r="E804" s="9"/>
      <c r="I804" s="9"/>
      <c r="J804" s="121"/>
      <c r="M804" s="9"/>
      <c r="N804" s="9"/>
      <c r="O804" s="9"/>
    </row>
    <row r="805">
      <c r="A805" s="9"/>
      <c r="D805" s="13"/>
      <c r="E805" s="9"/>
      <c r="I805" s="9"/>
      <c r="J805" s="121"/>
      <c r="M805" s="9"/>
      <c r="N805" s="9"/>
      <c r="O805" s="9"/>
    </row>
    <row r="806">
      <c r="A806" s="9"/>
      <c r="D806" s="13"/>
      <c r="E806" s="9"/>
      <c r="I806" s="9"/>
      <c r="J806" s="121"/>
      <c r="M806" s="9"/>
      <c r="N806" s="9"/>
      <c r="O806" s="9"/>
    </row>
    <row r="807">
      <c r="A807" s="9"/>
      <c r="D807" s="13"/>
      <c r="E807" s="9"/>
      <c r="I807" s="9"/>
      <c r="J807" s="121"/>
      <c r="M807" s="9"/>
      <c r="N807" s="9"/>
      <c r="O807" s="9"/>
    </row>
    <row r="808">
      <c r="A808" s="9"/>
      <c r="D808" s="13"/>
      <c r="E808" s="9"/>
      <c r="I808" s="9"/>
      <c r="J808" s="121"/>
      <c r="M808" s="9"/>
      <c r="N808" s="9"/>
      <c r="O808" s="9"/>
    </row>
    <row r="809">
      <c r="A809" s="9"/>
      <c r="D809" s="13"/>
      <c r="E809" s="9"/>
      <c r="I809" s="9"/>
      <c r="J809" s="121"/>
      <c r="M809" s="9"/>
      <c r="N809" s="9"/>
      <c r="O809" s="9"/>
    </row>
    <row r="810">
      <c r="A810" s="9"/>
      <c r="D810" s="13"/>
      <c r="E810" s="9"/>
      <c r="I810" s="9"/>
      <c r="J810" s="121"/>
      <c r="M810" s="9"/>
      <c r="N810" s="9"/>
      <c r="O810" s="9"/>
    </row>
    <row r="811">
      <c r="A811" s="9"/>
      <c r="D811" s="13"/>
      <c r="E811" s="9"/>
      <c r="I811" s="9"/>
      <c r="J811" s="121"/>
      <c r="M811" s="9"/>
      <c r="N811" s="9"/>
      <c r="O811" s="9"/>
    </row>
    <row r="812">
      <c r="A812" s="9"/>
      <c r="D812" s="13"/>
      <c r="E812" s="9"/>
      <c r="I812" s="9"/>
      <c r="J812" s="121"/>
      <c r="M812" s="9"/>
      <c r="N812" s="9"/>
      <c r="O812" s="9"/>
    </row>
    <row r="813">
      <c r="A813" s="9"/>
      <c r="D813" s="13"/>
      <c r="E813" s="9"/>
      <c r="I813" s="9"/>
      <c r="J813" s="121"/>
      <c r="M813" s="9"/>
      <c r="N813" s="9"/>
      <c r="O813" s="9"/>
    </row>
    <row r="814">
      <c r="A814" s="9"/>
      <c r="D814" s="13"/>
      <c r="E814" s="9"/>
      <c r="I814" s="9"/>
      <c r="J814" s="121"/>
      <c r="M814" s="9"/>
      <c r="N814" s="9"/>
      <c r="O814" s="9"/>
    </row>
    <row r="815">
      <c r="A815" s="9"/>
      <c r="D815" s="13"/>
      <c r="E815" s="9"/>
      <c r="I815" s="9"/>
      <c r="J815" s="121"/>
      <c r="M815" s="9"/>
      <c r="N815" s="9"/>
      <c r="O815" s="9"/>
    </row>
    <row r="816">
      <c r="A816" s="9"/>
      <c r="D816" s="13"/>
      <c r="E816" s="9"/>
      <c r="I816" s="9"/>
      <c r="J816" s="121"/>
      <c r="M816" s="9"/>
      <c r="N816" s="9"/>
      <c r="O816" s="9"/>
    </row>
    <row r="817">
      <c r="A817" s="9"/>
      <c r="D817" s="13"/>
      <c r="E817" s="9"/>
      <c r="I817" s="9"/>
      <c r="J817" s="121"/>
      <c r="M817" s="9"/>
      <c r="N817" s="9"/>
      <c r="O817" s="9"/>
    </row>
    <row r="818">
      <c r="A818" s="9"/>
      <c r="D818" s="13"/>
      <c r="E818" s="9"/>
      <c r="I818" s="9"/>
      <c r="J818" s="121"/>
      <c r="M818" s="9"/>
      <c r="N818" s="9"/>
      <c r="O818" s="9"/>
    </row>
    <row r="819">
      <c r="A819" s="9"/>
      <c r="D819" s="13"/>
      <c r="E819" s="9"/>
      <c r="I819" s="9"/>
      <c r="J819" s="121"/>
      <c r="M819" s="9"/>
      <c r="N819" s="9"/>
      <c r="O819" s="9"/>
    </row>
    <row r="820">
      <c r="A820" s="9"/>
      <c r="D820" s="13"/>
      <c r="E820" s="9"/>
      <c r="I820" s="9"/>
      <c r="J820" s="121"/>
      <c r="M820" s="9"/>
      <c r="N820" s="9"/>
      <c r="O820" s="9"/>
    </row>
    <row r="821">
      <c r="A821" s="9"/>
      <c r="D821" s="13"/>
      <c r="E821" s="9"/>
      <c r="I821" s="9"/>
      <c r="J821" s="121"/>
      <c r="M821" s="9"/>
      <c r="N821" s="9"/>
      <c r="O821" s="9"/>
    </row>
    <row r="822">
      <c r="A822" s="9"/>
      <c r="D822" s="13"/>
      <c r="E822" s="9"/>
      <c r="I822" s="9"/>
      <c r="J822" s="121"/>
      <c r="M822" s="9"/>
      <c r="N822" s="9"/>
      <c r="O822" s="9"/>
    </row>
    <row r="823">
      <c r="A823" s="9"/>
      <c r="D823" s="13"/>
      <c r="E823" s="9"/>
      <c r="I823" s="9"/>
      <c r="J823" s="121"/>
      <c r="M823" s="9"/>
      <c r="N823" s="9"/>
      <c r="O823" s="9"/>
    </row>
    <row r="824">
      <c r="A824" s="9"/>
      <c r="D824" s="13"/>
      <c r="E824" s="9"/>
      <c r="I824" s="9"/>
      <c r="J824" s="121"/>
      <c r="M824" s="9"/>
      <c r="N824" s="9"/>
      <c r="O824" s="9"/>
    </row>
    <row r="825">
      <c r="A825" s="9"/>
      <c r="D825" s="13"/>
      <c r="E825" s="9"/>
      <c r="I825" s="9"/>
      <c r="J825" s="121"/>
      <c r="M825" s="9"/>
      <c r="N825" s="9"/>
      <c r="O825" s="9"/>
    </row>
    <row r="826">
      <c r="A826" s="9"/>
      <c r="D826" s="13"/>
      <c r="E826" s="9"/>
      <c r="I826" s="9"/>
      <c r="J826" s="121"/>
      <c r="M826" s="9"/>
      <c r="N826" s="9"/>
      <c r="O826" s="9"/>
    </row>
    <row r="827">
      <c r="A827" s="9"/>
      <c r="D827" s="13"/>
      <c r="E827" s="9"/>
      <c r="I827" s="9"/>
      <c r="J827" s="121"/>
      <c r="M827" s="9"/>
      <c r="N827" s="9"/>
      <c r="O827" s="9"/>
    </row>
    <row r="828">
      <c r="A828" s="9"/>
      <c r="D828" s="13"/>
      <c r="E828" s="9"/>
      <c r="I828" s="9"/>
      <c r="J828" s="121"/>
      <c r="M828" s="9"/>
      <c r="N828" s="9"/>
      <c r="O828" s="9"/>
    </row>
    <row r="829">
      <c r="A829" s="9"/>
      <c r="D829" s="13"/>
      <c r="E829" s="9"/>
      <c r="I829" s="9"/>
      <c r="J829" s="121"/>
      <c r="M829" s="9"/>
      <c r="N829" s="9"/>
      <c r="O829" s="9"/>
    </row>
    <row r="830">
      <c r="A830" s="9"/>
      <c r="D830" s="13"/>
      <c r="E830" s="9"/>
      <c r="I830" s="9"/>
      <c r="J830" s="121"/>
      <c r="M830" s="9"/>
      <c r="N830" s="9"/>
      <c r="O830" s="9"/>
    </row>
    <row r="831">
      <c r="A831" s="9"/>
      <c r="D831" s="13"/>
      <c r="E831" s="9"/>
      <c r="I831" s="9"/>
      <c r="J831" s="121"/>
      <c r="M831" s="9"/>
      <c r="N831" s="9"/>
      <c r="O831" s="9"/>
    </row>
    <row r="832">
      <c r="A832" s="9"/>
      <c r="D832" s="13"/>
      <c r="E832" s="9"/>
      <c r="I832" s="9"/>
      <c r="J832" s="121"/>
      <c r="M832" s="9"/>
      <c r="N832" s="9"/>
      <c r="O832" s="9"/>
    </row>
    <row r="833">
      <c r="A833" s="9"/>
      <c r="D833" s="13"/>
      <c r="E833" s="9"/>
      <c r="I833" s="9"/>
      <c r="J833" s="121"/>
      <c r="M833" s="9"/>
      <c r="N833" s="9"/>
      <c r="O833" s="9"/>
    </row>
    <row r="834">
      <c r="A834" s="9"/>
      <c r="D834" s="13"/>
      <c r="E834" s="9"/>
      <c r="I834" s="9"/>
      <c r="J834" s="121"/>
      <c r="M834" s="9"/>
      <c r="N834" s="9"/>
      <c r="O834" s="9"/>
    </row>
    <row r="835">
      <c r="A835" s="9"/>
      <c r="D835" s="13"/>
      <c r="E835" s="9"/>
      <c r="I835" s="9"/>
      <c r="J835" s="121"/>
      <c r="M835" s="9"/>
      <c r="N835" s="9"/>
      <c r="O835" s="9"/>
    </row>
    <row r="836">
      <c r="A836" s="9"/>
      <c r="D836" s="13"/>
      <c r="E836" s="9"/>
      <c r="I836" s="9"/>
      <c r="J836" s="121"/>
      <c r="M836" s="9"/>
      <c r="N836" s="9"/>
      <c r="O836" s="9"/>
    </row>
    <row r="837">
      <c r="A837" s="9"/>
      <c r="D837" s="13"/>
      <c r="E837" s="9"/>
      <c r="I837" s="9"/>
      <c r="J837" s="121"/>
      <c r="M837" s="9"/>
      <c r="N837" s="9"/>
      <c r="O837" s="9"/>
    </row>
    <row r="838">
      <c r="A838" s="9"/>
      <c r="D838" s="13"/>
      <c r="E838" s="9"/>
      <c r="I838" s="9"/>
      <c r="J838" s="121"/>
      <c r="M838" s="9"/>
      <c r="N838" s="9"/>
      <c r="O838" s="9"/>
    </row>
    <row r="839">
      <c r="A839" s="9"/>
      <c r="D839" s="13"/>
      <c r="E839" s="9"/>
      <c r="I839" s="9"/>
      <c r="J839" s="121"/>
      <c r="M839" s="9"/>
      <c r="N839" s="9"/>
      <c r="O839" s="9"/>
    </row>
    <row r="840">
      <c r="A840" s="9"/>
      <c r="D840" s="13"/>
      <c r="E840" s="9"/>
      <c r="I840" s="9"/>
      <c r="J840" s="121"/>
      <c r="M840" s="9"/>
      <c r="N840" s="9"/>
      <c r="O840" s="9"/>
    </row>
    <row r="841">
      <c r="A841" s="9"/>
      <c r="D841" s="13"/>
      <c r="E841" s="9"/>
      <c r="I841" s="9"/>
      <c r="J841" s="121"/>
      <c r="M841" s="9"/>
      <c r="N841" s="9"/>
      <c r="O841" s="9"/>
    </row>
    <row r="842">
      <c r="A842" s="9"/>
      <c r="D842" s="13"/>
      <c r="E842" s="9"/>
      <c r="I842" s="9"/>
      <c r="J842" s="121"/>
      <c r="M842" s="9"/>
      <c r="N842" s="9"/>
      <c r="O842" s="9"/>
    </row>
    <row r="843">
      <c r="A843" s="9"/>
      <c r="D843" s="13"/>
      <c r="E843" s="9"/>
      <c r="I843" s="9"/>
      <c r="J843" s="121"/>
      <c r="M843" s="9"/>
      <c r="N843" s="9"/>
      <c r="O843" s="9"/>
    </row>
    <row r="844">
      <c r="A844" s="9"/>
      <c r="D844" s="13"/>
      <c r="E844" s="9"/>
      <c r="I844" s="9"/>
      <c r="J844" s="121"/>
      <c r="M844" s="9"/>
      <c r="N844" s="9"/>
      <c r="O844" s="9"/>
    </row>
    <row r="845">
      <c r="A845" s="9"/>
      <c r="D845" s="13"/>
      <c r="E845" s="9"/>
      <c r="I845" s="9"/>
      <c r="J845" s="121"/>
      <c r="M845" s="9"/>
      <c r="N845" s="9"/>
      <c r="O845" s="9"/>
    </row>
    <row r="846">
      <c r="A846" s="9"/>
      <c r="D846" s="13"/>
      <c r="E846" s="9"/>
      <c r="I846" s="9"/>
      <c r="J846" s="121"/>
      <c r="M846" s="9"/>
      <c r="N846" s="9"/>
      <c r="O846" s="9"/>
    </row>
    <row r="847">
      <c r="A847" s="9"/>
      <c r="D847" s="13"/>
      <c r="E847" s="9"/>
      <c r="I847" s="9"/>
      <c r="J847" s="121"/>
      <c r="M847" s="9"/>
      <c r="N847" s="9"/>
      <c r="O847" s="9"/>
    </row>
    <row r="848">
      <c r="A848" s="9"/>
      <c r="D848" s="13"/>
      <c r="E848" s="9"/>
      <c r="I848" s="9"/>
      <c r="J848" s="121"/>
      <c r="M848" s="9"/>
      <c r="N848" s="9"/>
      <c r="O848" s="9"/>
    </row>
    <row r="849">
      <c r="A849" s="9"/>
      <c r="D849" s="13"/>
      <c r="E849" s="9"/>
      <c r="I849" s="9"/>
      <c r="J849" s="121"/>
      <c r="M849" s="9"/>
      <c r="N849" s="9"/>
      <c r="O849" s="9"/>
    </row>
    <row r="850">
      <c r="A850" s="9"/>
      <c r="D850" s="13"/>
      <c r="E850" s="9"/>
      <c r="I850" s="9"/>
      <c r="J850" s="121"/>
      <c r="M850" s="9"/>
      <c r="N850" s="9"/>
      <c r="O850" s="9"/>
    </row>
    <row r="851">
      <c r="A851" s="9"/>
      <c r="D851" s="13"/>
      <c r="E851" s="9"/>
      <c r="I851" s="9"/>
      <c r="J851" s="121"/>
      <c r="M851" s="9"/>
      <c r="N851" s="9"/>
      <c r="O851" s="9"/>
    </row>
    <row r="852">
      <c r="A852" s="9"/>
      <c r="D852" s="13"/>
      <c r="E852" s="9"/>
      <c r="I852" s="9"/>
      <c r="J852" s="121"/>
      <c r="M852" s="9"/>
      <c r="N852" s="9"/>
      <c r="O852" s="9"/>
    </row>
    <row r="853">
      <c r="A853" s="9"/>
      <c r="D853" s="13"/>
      <c r="E853" s="9"/>
      <c r="I853" s="9"/>
      <c r="J853" s="121"/>
      <c r="M853" s="9"/>
      <c r="N853" s="9"/>
      <c r="O853" s="9"/>
    </row>
    <row r="854">
      <c r="A854" s="9"/>
      <c r="D854" s="13"/>
      <c r="E854" s="9"/>
      <c r="I854" s="9"/>
      <c r="J854" s="121"/>
      <c r="M854" s="9"/>
      <c r="N854" s="9"/>
      <c r="O854" s="9"/>
    </row>
    <row r="855">
      <c r="A855" s="9"/>
      <c r="D855" s="13"/>
      <c r="E855" s="9"/>
      <c r="I855" s="9"/>
      <c r="J855" s="121"/>
      <c r="M855" s="9"/>
      <c r="N855" s="9"/>
      <c r="O855" s="9"/>
    </row>
    <row r="856">
      <c r="A856" s="9"/>
      <c r="D856" s="13"/>
      <c r="E856" s="9"/>
      <c r="I856" s="9"/>
      <c r="J856" s="121"/>
      <c r="M856" s="9"/>
      <c r="N856" s="9"/>
      <c r="O856" s="9"/>
    </row>
    <row r="857">
      <c r="A857" s="9"/>
      <c r="D857" s="13"/>
      <c r="E857" s="9"/>
      <c r="I857" s="9"/>
      <c r="J857" s="121"/>
      <c r="M857" s="9"/>
      <c r="N857" s="9"/>
      <c r="O857" s="9"/>
    </row>
    <row r="858">
      <c r="A858" s="9"/>
      <c r="D858" s="13"/>
      <c r="E858" s="9"/>
      <c r="I858" s="9"/>
      <c r="J858" s="121"/>
      <c r="M858" s="9"/>
      <c r="N858" s="9"/>
      <c r="O858" s="9"/>
    </row>
    <row r="859">
      <c r="A859" s="9"/>
      <c r="D859" s="13"/>
      <c r="E859" s="9"/>
      <c r="I859" s="9"/>
      <c r="J859" s="121"/>
      <c r="M859" s="9"/>
      <c r="N859" s="9"/>
      <c r="O859" s="9"/>
    </row>
    <row r="860">
      <c r="A860" s="9"/>
      <c r="D860" s="13"/>
      <c r="E860" s="9"/>
      <c r="I860" s="9"/>
      <c r="J860" s="121"/>
      <c r="M860" s="9"/>
      <c r="N860" s="9"/>
      <c r="O860" s="9"/>
    </row>
    <row r="861">
      <c r="A861" s="9"/>
      <c r="D861" s="13"/>
      <c r="E861" s="9"/>
      <c r="I861" s="9"/>
      <c r="J861" s="121"/>
      <c r="M861" s="9"/>
      <c r="N861" s="9"/>
      <c r="O861" s="9"/>
    </row>
    <row r="862">
      <c r="A862" s="9"/>
      <c r="D862" s="13"/>
      <c r="E862" s="9"/>
      <c r="I862" s="9"/>
      <c r="J862" s="121"/>
      <c r="M862" s="9"/>
      <c r="N862" s="9"/>
      <c r="O862" s="9"/>
    </row>
    <row r="863">
      <c r="A863" s="9"/>
      <c r="D863" s="13"/>
      <c r="E863" s="9"/>
      <c r="I863" s="9"/>
      <c r="J863" s="121"/>
      <c r="M863" s="9"/>
      <c r="N863" s="9"/>
      <c r="O863" s="9"/>
    </row>
    <row r="864">
      <c r="A864" s="9"/>
      <c r="D864" s="13"/>
      <c r="E864" s="9"/>
      <c r="I864" s="9"/>
      <c r="J864" s="121"/>
      <c r="M864" s="9"/>
      <c r="N864" s="9"/>
      <c r="O864" s="9"/>
    </row>
    <row r="865">
      <c r="A865" s="9"/>
      <c r="D865" s="13"/>
      <c r="E865" s="9"/>
      <c r="I865" s="9"/>
      <c r="J865" s="121"/>
      <c r="M865" s="9"/>
      <c r="N865" s="9"/>
      <c r="O865" s="9"/>
    </row>
    <row r="866">
      <c r="A866" s="9"/>
      <c r="D866" s="13"/>
      <c r="E866" s="9"/>
      <c r="I866" s="9"/>
      <c r="J866" s="121"/>
      <c r="M866" s="9"/>
      <c r="N866" s="9"/>
      <c r="O866" s="9"/>
    </row>
    <row r="867">
      <c r="A867" s="9"/>
      <c r="D867" s="13"/>
      <c r="E867" s="9"/>
      <c r="I867" s="9"/>
      <c r="J867" s="121"/>
      <c r="M867" s="9"/>
      <c r="N867" s="9"/>
      <c r="O867" s="9"/>
    </row>
    <row r="868">
      <c r="A868" s="9"/>
      <c r="D868" s="13"/>
      <c r="E868" s="9"/>
      <c r="I868" s="9"/>
      <c r="J868" s="121"/>
      <c r="M868" s="9"/>
      <c r="N868" s="9"/>
      <c r="O868" s="9"/>
    </row>
    <row r="869">
      <c r="A869" s="9"/>
      <c r="D869" s="13"/>
      <c r="E869" s="9"/>
      <c r="I869" s="9"/>
      <c r="J869" s="121"/>
      <c r="M869" s="9"/>
      <c r="N869" s="9"/>
      <c r="O869" s="9"/>
    </row>
    <row r="870">
      <c r="A870" s="9"/>
      <c r="D870" s="13"/>
      <c r="E870" s="9"/>
      <c r="I870" s="9"/>
      <c r="J870" s="121"/>
      <c r="M870" s="9"/>
      <c r="N870" s="9"/>
      <c r="O870" s="9"/>
    </row>
    <row r="871">
      <c r="A871" s="9"/>
      <c r="D871" s="13"/>
      <c r="E871" s="9"/>
      <c r="I871" s="9"/>
      <c r="J871" s="121"/>
      <c r="M871" s="9"/>
      <c r="N871" s="9"/>
      <c r="O871" s="9"/>
    </row>
    <row r="872">
      <c r="A872" s="9"/>
      <c r="D872" s="13"/>
      <c r="E872" s="9"/>
      <c r="I872" s="9"/>
      <c r="J872" s="121"/>
      <c r="M872" s="9"/>
      <c r="N872" s="9"/>
      <c r="O872" s="9"/>
    </row>
    <row r="873">
      <c r="A873" s="9"/>
      <c r="D873" s="13"/>
      <c r="E873" s="9"/>
      <c r="I873" s="9"/>
      <c r="J873" s="121"/>
      <c r="M873" s="9"/>
      <c r="N873" s="9"/>
      <c r="O873" s="9"/>
    </row>
    <row r="874">
      <c r="A874" s="9"/>
      <c r="D874" s="13"/>
      <c r="E874" s="9"/>
      <c r="I874" s="9"/>
      <c r="J874" s="121"/>
      <c r="M874" s="9"/>
      <c r="N874" s="9"/>
      <c r="O874" s="9"/>
    </row>
    <row r="875">
      <c r="A875" s="9"/>
      <c r="D875" s="13"/>
      <c r="E875" s="9"/>
      <c r="I875" s="9"/>
      <c r="J875" s="121"/>
      <c r="M875" s="9"/>
      <c r="N875" s="9"/>
      <c r="O875" s="9"/>
    </row>
    <row r="876">
      <c r="A876" s="9"/>
      <c r="D876" s="13"/>
      <c r="E876" s="9"/>
      <c r="I876" s="9"/>
      <c r="J876" s="121"/>
      <c r="M876" s="9"/>
      <c r="N876" s="9"/>
      <c r="O876" s="9"/>
    </row>
    <row r="877">
      <c r="A877" s="9"/>
      <c r="D877" s="13"/>
      <c r="E877" s="9"/>
      <c r="I877" s="9"/>
      <c r="J877" s="121"/>
      <c r="M877" s="9"/>
      <c r="N877" s="9"/>
      <c r="O877" s="9"/>
    </row>
    <row r="878">
      <c r="A878" s="9"/>
      <c r="D878" s="13"/>
      <c r="E878" s="9"/>
      <c r="I878" s="9"/>
      <c r="J878" s="121"/>
      <c r="M878" s="9"/>
      <c r="N878" s="9"/>
      <c r="O878" s="9"/>
    </row>
    <row r="879">
      <c r="A879" s="9"/>
      <c r="D879" s="13"/>
      <c r="E879" s="9"/>
      <c r="I879" s="9"/>
      <c r="J879" s="121"/>
      <c r="M879" s="9"/>
      <c r="N879" s="9"/>
      <c r="O879" s="9"/>
    </row>
    <row r="880">
      <c r="A880" s="9"/>
      <c r="D880" s="13"/>
      <c r="E880" s="9"/>
      <c r="I880" s="9"/>
      <c r="J880" s="121"/>
      <c r="M880" s="9"/>
      <c r="N880" s="9"/>
      <c r="O880" s="9"/>
    </row>
    <row r="881">
      <c r="A881" s="9"/>
      <c r="D881" s="13"/>
      <c r="E881" s="9"/>
      <c r="I881" s="9"/>
      <c r="J881" s="121"/>
      <c r="M881" s="9"/>
      <c r="N881" s="9"/>
      <c r="O881" s="9"/>
    </row>
    <row r="882">
      <c r="A882" s="9"/>
      <c r="D882" s="13"/>
      <c r="E882" s="9"/>
      <c r="I882" s="9"/>
      <c r="J882" s="121"/>
      <c r="M882" s="9"/>
      <c r="N882" s="9"/>
      <c r="O882" s="9"/>
    </row>
    <row r="883">
      <c r="A883" s="9"/>
      <c r="D883" s="13"/>
      <c r="E883" s="9"/>
      <c r="I883" s="9"/>
      <c r="J883" s="121"/>
      <c r="M883" s="9"/>
      <c r="N883" s="9"/>
      <c r="O883" s="9"/>
    </row>
    <row r="884">
      <c r="A884" s="9"/>
      <c r="D884" s="13"/>
      <c r="E884" s="9"/>
      <c r="I884" s="9"/>
      <c r="J884" s="121"/>
      <c r="M884" s="9"/>
      <c r="N884" s="9"/>
      <c r="O884" s="9"/>
    </row>
    <row r="885">
      <c r="A885" s="9"/>
      <c r="D885" s="13"/>
      <c r="E885" s="9"/>
      <c r="I885" s="9"/>
      <c r="J885" s="121"/>
      <c r="M885" s="9"/>
      <c r="N885" s="9"/>
      <c r="O885" s="9"/>
    </row>
    <row r="886">
      <c r="A886" s="9"/>
      <c r="D886" s="13"/>
      <c r="E886" s="9"/>
      <c r="I886" s="9"/>
      <c r="J886" s="121"/>
      <c r="M886" s="9"/>
      <c r="N886" s="9"/>
      <c r="O886" s="9"/>
    </row>
    <row r="887">
      <c r="A887" s="9"/>
      <c r="D887" s="13"/>
      <c r="E887" s="9"/>
      <c r="I887" s="9"/>
      <c r="J887" s="121"/>
      <c r="M887" s="9"/>
      <c r="N887" s="9"/>
      <c r="O887" s="9"/>
    </row>
    <row r="888">
      <c r="A888" s="9"/>
      <c r="D888" s="13"/>
      <c r="E888" s="9"/>
      <c r="I888" s="9"/>
      <c r="J888" s="121"/>
      <c r="M888" s="9"/>
      <c r="N888" s="9"/>
      <c r="O888" s="9"/>
    </row>
    <row r="889">
      <c r="A889" s="9"/>
      <c r="D889" s="13"/>
      <c r="E889" s="9"/>
      <c r="I889" s="9"/>
      <c r="J889" s="121"/>
      <c r="M889" s="9"/>
      <c r="N889" s="9"/>
      <c r="O889" s="9"/>
    </row>
    <row r="890">
      <c r="A890" s="9"/>
      <c r="D890" s="13"/>
      <c r="E890" s="9"/>
      <c r="I890" s="9"/>
      <c r="J890" s="121"/>
      <c r="M890" s="9"/>
      <c r="N890" s="9"/>
      <c r="O890" s="9"/>
    </row>
    <row r="891">
      <c r="A891" s="9"/>
      <c r="D891" s="13"/>
      <c r="E891" s="9"/>
      <c r="I891" s="9"/>
      <c r="J891" s="121"/>
      <c r="M891" s="9"/>
      <c r="N891" s="9"/>
      <c r="O891" s="9"/>
    </row>
    <row r="892">
      <c r="A892" s="9"/>
      <c r="D892" s="13"/>
      <c r="E892" s="9"/>
      <c r="I892" s="9"/>
      <c r="J892" s="121"/>
      <c r="M892" s="9"/>
      <c r="N892" s="9"/>
      <c r="O892" s="9"/>
    </row>
    <row r="893">
      <c r="A893" s="9"/>
      <c r="D893" s="13"/>
      <c r="E893" s="9"/>
      <c r="I893" s="9"/>
      <c r="J893" s="121"/>
      <c r="M893" s="9"/>
      <c r="N893" s="9"/>
      <c r="O893" s="9"/>
    </row>
    <row r="894">
      <c r="A894" s="9"/>
      <c r="D894" s="13"/>
      <c r="E894" s="9"/>
      <c r="I894" s="9"/>
      <c r="J894" s="121"/>
      <c r="M894" s="9"/>
      <c r="N894" s="9"/>
      <c r="O894" s="9"/>
    </row>
    <row r="895">
      <c r="A895" s="9"/>
      <c r="D895" s="13"/>
      <c r="E895" s="9"/>
      <c r="I895" s="9"/>
      <c r="J895" s="121"/>
      <c r="M895" s="9"/>
      <c r="N895" s="9"/>
      <c r="O895" s="9"/>
    </row>
    <row r="896">
      <c r="A896" s="9"/>
      <c r="D896" s="13"/>
      <c r="E896" s="9"/>
      <c r="I896" s="9"/>
      <c r="J896" s="121"/>
      <c r="M896" s="9"/>
      <c r="N896" s="9"/>
      <c r="O896" s="9"/>
    </row>
    <row r="897">
      <c r="A897" s="9"/>
      <c r="D897" s="13"/>
      <c r="E897" s="9"/>
      <c r="I897" s="9"/>
      <c r="J897" s="121"/>
      <c r="M897" s="9"/>
      <c r="N897" s="9"/>
      <c r="O897" s="9"/>
    </row>
    <row r="898">
      <c r="A898" s="9"/>
      <c r="D898" s="13"/>
      <c r="E898" s="9"/>
      <c r="I898" s="9"/>
      <c r="J898" s="121"/>
      <c r="M898" s="9"/>
      <c r="N898" s="9"/>
      <c r="O898" s="9"/>
    </row>
    <row r="899">
      <c r="A899" s="9"/>
      <c r="D899" s="13"/>
      <c r="E899" s="9"/>
      <c r="I899" s="9"/>
      <c r="J899" s="121"/>
      <c r="M899" s="9"/>
      <c r="N899" s="9"/>
      <c r="O899" s="9"/>
    </row>
    <row r="900">
      <c r="A900" s="9"/>
      <c r="D900" s="13"/>
      <c r="E900" s="9"/>
      <c r="I900" s="9"/>
      <c r="J900" s="121"/>
      <c r="M900" s="9"/>
      <c r="N900" s="9"/>
      <c r="O900" s="9"/>
    </row>
    <row r="901">
      <c r="A901" s="9"/>
      <c r="D901" s="13"/>
      <c r="E901" s="9"/>
      <c r="I901" s="9"/>
      <c r="J901" s="121"/>
      <c r="M901" s="9"/>
      <c r="N901" s="9"/>
      <c r="O901" s="9"/>
    </row>
    <row r="902">
      <c r="A902" s="9"/>
      <c r="D902" s="13"/>
      <c r="E902" s="9"/>
      <c r="I902" s="9"/>
      <c r="J902" s="121"/>
      <c r="M902" s="9"/>
      <c r="N902" s="9"/>
      <c r="O902" s="9"/>
    </row>
    <row r="903">
      <c r="A903" s="9"/>
      <c r="D903" s="13"/>
      <c r="E903" s="9"/>
      <c r="I903" s="9"/>
      <c r="J903" s="121"/>
      <c r="M903" s="9"/>
      <c r="N903" s="9"/>
      <c r="O903" s="9"/>
    </row>
    <row r="904">
      <c r="A904" s="9"/>
      <c r="D904" s="13"/>
      <c r="E904" s="9"/>
      <c r="I904" s="9"/>
      <c r="J904" s="121"/>
      <c r="M904" s="9"/>
      <c r="N904" s="9"/>
      <c r="O904" s="9"/>
    </row>
    <row r="905">
      <c r="A905" s="9"/>
      <c r="D905" s="13"/>
      <c r="E905" s="9"/>
      <c r="I905" s="9"/>
      <c r="J905" s="121"/>
      <c r="M905" s="9"/>
      <c r="N905" s="9"/>
      <c r="O905" s="9"/>
    </row>
    <row r="906">
      <c r="A906" s="9"/>
      <c r="D906" s="13"/>
      <c r="E906" s="9"/>
      <c r="I906" s="9"/>
      <c r="J906" s="121"/>
      <c r="M906" s="9"/>
      <c r="N906" s="9"/>
      <c r="O906" s="9"/>
    </row>
    <row r="907">
      <c r="A907" s="9"/>
      <c r="D907" s="13"/>
      <c r="E907" s="9"/>
      <c r="I907" s="9"/>
      <c r="J907" s="121"/>
      <c r="M907" s="9"/>
      <c r="N907" s="9"/>
      <c r="O907" s="9"/>
    </row>
    <row r="908">
      <c r="A908" s="9"/>
      <c r="D908" s="13"/>
      <c r="E908" s="9"/>
      <c r="I908" s="9"/>
      <c r="J908" s="121"/>
      <c r="M908" s="9"/>
      <c r="N908" s="9"/>
      <c r="O908" s="9"/>
    </row>
    <row r="909">
      <c r="A909" s="9"/>
      <c r="D909" s="13"/>
      <c r="E909" s="9"/>
      <c r="I909" s="9"/>
      <c r="J909" s="121"/>
      <c r="M909" s="9"/>
      <c r="N909" s="9"/>
      <c r="O909" s="9"/>
    </row>
    <row r="910">
      <c r="A910" s="9"/>
      <c r="D910" s="13"/>
      <c r="E910" s="9"/>
      <c r="I910" s="9"/>
      <c r="J910" s="121"/>
      <c r="M910" s="9"/>
      <c r="N910" s="9"/>
      <c r="O910" s="9"/>
    </row>
    <row r="911">
      <c r="A911" s="9"/>
      <c r="D911" s="13"/>
      <c r="E911" s="9"/>
      <c r="I911" s="9"/>
      <c r="J911" s="121"/>
      <c r="M911" s="9"/>
      <c r="N911" s="9"/>
      <c r="O911" s="9"/>
    </row>
    <row r="912">
      <c r="A912" s="9"/>
      <c r="D912" s="13"/>
      <c r="E912" s="9"/>
      <c r="I912" s="9"/>
      <c r="J912" s="121"/>
      <c r="M912" s="9"/>
      <c r="N912" s="9"/>
      <c r="O912" s="9"/>
    </row>
    <row r="913">
      <c r="A913" s="9"/>
      <c r="D913" s="13"/>
      <c r="E913" s="9"/>
      <c r="I913" s="9"/>
      <c r="J913" s="121"/>
      <c r="M913" s="9"/>
      <c r="N913" s="9"/>
      <c r="O913" s="9"/>
    </row>
    <row r="914">
      <c r="A914" s="9"/>
      <c r="D914" s="13"/>
      <c r="E914" s="9"/>
      <c r="I914" s="9"/>
      <c r="J914" s="121"/>
      <c r="M914" s="9"/>
      <c r="N914" s="9"/>
      <c r="O914" s="9"/>
    </row>
    <row r="915">
      <c r="A915" s="9"/>
      <c r="D915" s="13"/>
      <c r="E915" s="9"/>
      <c r="I915" s="9"/>
      <c r="J915" s="121"/>
      <c r="M915" s="9"/>
      <c r="N915" s="9"/>
      <c r="O915" s="9"/>
    </row>
    <row r="916">
      <c r="A916" s="9"/>
      <c r="D916" s="13"/>
      <c r="E916" s="9"/>
      <c r="I916" s="9"/>
      <c r="J916" s="121"/>
      <c r="M916" s="9"/>
      <c r="N916" s="9"/>
      <c r="O916" s="9"/>
    </row>
    <row r="917">
      <c r="A917" s="9"/>
      <c r="D917" s="13"/>
      <c r="E917" s="9"/>
      <c r="I917" s="9"/>
      <c r="J917" s="121"/>
      <c r="M917" s="9"/>
      <c r="N917" s="9"/>
      <c r="O917" s="9"/>
    </row>
    <row r="918">
      <c r="A918" s="9"/>
      <c r="D918" s="13"/>
      <c r="E918" s="9"/>
      <c r="I918" s="9"/>
      <c r="J918" s="121"/>
      <c r="M918" s="9"/>
      <c r="N918" s="9"/>
      <c r="O918" s="9"/>
    </row>
    <row r="919">
      <c r="A919" s="9"/>
      <c r="D919" s="13"/>
      <c r="E919" s="9"/>
      <c r="I919" s="9"/>
      <c r="J919" s="121"/>
      <c r="M919" s="9"/>
      <c r="N919" s="9"/>
      <c r="O919" s="9"/>
    </row>
    <row r="920">
      <c r="A920" s="9"/>
      <c r="D920" s="13"/>
      <c r="E920" s="9"/>
      <c r="I920" s="9"/>
      <c r="J920" s="121"/>
      <c r="M920" s="9"/>
      <c r="N920" s="9"/>
      <c r="O920" s="9"/>
    </row>
    <row r="921">
      <c r="A921" s="9"/>
      <c r="D921" s="13"/>
      <c r="E921" s="9"/>
      <c r="I921" s="9"/>
      <c r="J921" s="121"/>
      <c r="M921" s="9"/>
      <c r="N921" s="9"/>
      <c r="O921" s="9"/>
    </row>
    <row r="922">
      <c r="A922" s="9"/>
      <c r="D922" s="13"/>
      <c r="E922" s="9"/>
      <c r="I922" s="9"/>
      <c r="J922" s="121"/>
      <c r="M922" s="9"/>
      <c r="N922" s="9"/>
      <c r="O922" s="9"/>
    </row>
    <row r="923">
      <c r="A923" s="9"/>
      <c r="D923" s="13"/>
      <c r="E923" s="9"/>
      <c r="I923" s="9"/>
      <c r="J923" s="121"/>
      <c r="M923" s="9"/>
      <c r="N923" s="9"/>
      <c r="O923" s="9"/>
    </row>
    <row r="924">
      <c r="A924" s="9"/>
      <c r="D924" s="13"/>
      <c r="E924" s="9"/>
      <c r="I924" s="9"/>
      <c r="J924" s="121"/>
      <c r="M924" s="9"/>
      <c r="N924" s="9"/>
      <c r="O924" s="9"/>
    </row>
    <row r="925">
      <c r="A925" s="9"/>
      <c r="D925" s="13"/>
      <c r="E925" s="9"/>
      <c r="I925" s="9"/>
      <c r="J925" s="121"/>
      <c r="M925" s="9"/>
      <c r="N925" s="9"/>
      <c r="O925" s="9"/>
    </row>
    <row r="926">
      <c r="A926" s="9"/>
      <c r="D926" s="13"/>
      <c r="E926" s="9"/>
      <c r="I926" s="9"/>
      <c r="J926" s="121"/>
      <c r="M926" s="9"/>
      <c r="N926" s="9"/>
      <c r="O926" s="9"/>
    </row>
    <row r="927">
      <c r="A927" s="9"/>
      <c r="D927" s="13"/>
      <c r="E927" s="9"/>
      <c r="I927" s="9"/>
      <c r="J927" s="121"/>
      <c r="M927" s="9"/>
      <c r="N927" s="9"/>
      <c r="O927" s="9"/>
    </row>
    <row r="928">
      <c r="A928" s="9"/>
      <c r="D928" s="13"/>
      <c r="E928" s="9"/>
      <c r="I928" s="9"/>
      <c r="J928" s="121"/>
      <c r="M928" s="9"/>
      <c r="N928" s="9"/>
      <c r="O928" s="9"/>
    </row>
    <row r="929">
      <c r="A929" s="9"/>
      <c r="D929" s="13"/>
      <c r="E929" s="9"/>
      <c r="I929" s="9"/>
      <c r="J929" s="121"/>
      <c r="M929" s="9"/>
      <c r="N929" s="9"/>
      <c r="O929" s="9"/>
    </row>
    <row r="930">
      <c r="A930" s="9"/>
      <c r="D930" s="13"/>
      <c r="E930" s="9"/>
      <c r="I930" s="9"/>
      <c r="J930" s="121"/>
      <c r="M930" s="9"/>
      <c r="N930" s="9"/>
      <c r="O930" s="9"/>
    </row>
    <row r="931">
      <c r="A931" s="9"/>
      <c r="D931" s="13"/>
      <c r="E931" s="9"/>
      <c r="I931" s="9"/>
      <c r="J931" s="121"/>
      <c r="M931" s="9"/>
      <c r="N931" s="9"/>
      <c r="O931" s="9"/>
    </row>
    <row r="932">
      <c r="A932" s="9"/>
      <c r="D932" s="13"/>
      <c r="E932" s="9"/>
      <c r="I932" s="9"/>
      <c r="J932" s="121"/>
      <c r="M932" s="9"/>
      <c r="N932" s="9"/>
      <c r="O932" s="9"/>
    </row>
    <row r="933">
      <c r="A933" s="9"/>
      <c r="D933" s="13"/>
      <c r="E933" s="9"/>
      <c r="I933" s="9"/>
      <c r="J933" s="121"/>
      <c r="M933" s="9"/>
      <c r="N933" s="9"/>
      <c r="O933" s="9"/>
    </row>
    <row r="934">
      <c r="A934" s="9"/>
      <c r="D934" s="13"/>
      <c r="E934" s="9"/>
      <c r="I934" s="9"/>
      <c r="J934" s="121"/>
      <c r="M934" s="9"/>
      <c r="N934" s="9"/>
      <c r="O934" s="9"/>
    </row>
    <row r="935">
      <c r="A935" s="9"/>
      <c r="D935" s="13"/>
      <c r="E935" s="9"/>
      <c r="I935" s="9"/>
      <c r="J935" s="121"/>
      <c r="M935" s="9"/>
      <c r="N935" s="9"/>
      <c r="O935" s="9"/>
    </row>
    <row r="936">
      <c r="A936" s="9"/>
      <c r="D936" s="13"/>
      <c r="E936" s="9"/>
      <c r="I936" s="9"/>
      <c r="J936" s="121"/>
      <c r="M936" s="9"/>
      <c r="N936" s="9"/>
      <c r="O936" s="9"/>
    </row>
    <row r="937">
      <c r="A937" s="9"/>
      <c r="D937" s="13"/>
      <c r="E937" s="9"/>
      <c r="I937" s="9"/>
      <c r="J937" s="121"/>
      <c r="M937" s="9"/>
      <c r="N937" s="9"/>
      <c r="O937" s="9"/>
    </row>
    <row r="938">
      <c r="A938" s="9"/>
      <c r="D938" s="13"/>
      <c r="E938" s="9"/>
      <c r="I938" s="9"/>
      <c r="J938" s="121"/>
      <c r="M938" s="9"/>
      <c r="N938" s="9"/>
      <c r="O938" s="9"/>
    </row>
    <row r="939">
      <c r="A939" s="9"/>
      <c r="D939" s="13"/>
      <c r="E939" s="9"/>
      <c r="I939" s="9"/>
      <c r="J939" s="121"/>
      <c r="M939" s="9"/>
      <c r="N939" s="9"/>
      <c r="O939" s="9"/>
    </row>
    <row r="940">
      <c r="A940" s="9"/>
      <c r="D940" s="13"/>
      <c r="E940" s="9"/>
      <c r="I940" s="9"/>
      <c r="J940" s="121"/>
      <c r="M940" s="9"/>
      <c r="N940" s="9"/>
      <c r="O940" s="9"/>
    </row>
    <row r="941">
      <c r="A941" s="9"/>
      <c r="D941" s="13"/>
      <c r="E941" s="9"/>
      <c r="I941" s="9"/>
      <c r="J941" s="121"/>
      <c r="M941" s="9"/>
      <c r="N941" s="9"/>
      <c r="O941" s="9"/>
    </row>
    <row r="942">
      <c r="A942" s="9"/>
      <c r="D942" s="13"/>
      <c r="E942" s="9"/>
      <c r="I942" s="9"/>
      <c r="J942" s="121"/>
      <c r="M942" s="9"/>
      <c r="N942" s="9"/>
      <c r="O942" s="9"/>
    </row>
    <row r="943">
      <c r="A943" s="9"/>
      <c r="D943" s="13"/>
      <c r="E943" s="9"/>
      <c r="I943" s="9"/>
      <c r="J943" s="121"/>
      <c r="M943" s="9"/>
      <c r="N943" s="9"/>
      <c r="O943" s="9"/>
    </row>
    <row r="944">
      <c r="A944" s="9"/>
      <c r="D944" s="13"/>
      <c r="E944" s="9"/>
      <c r="I944" s="9"/>
      <c r="J944" s="121"/>
      <c r="M944" s="9"/>
      <c r="N944" s="9"/>
      <c r="O944" s="9"/>
    </row>
    <row r="945">
      <c r="A945" s="9"/>
      <c r="D945" s="13"/>
      <c r="E945" s="9"/>
      <c r="I945" s="9"/>
      <c r="J945" s="121"/>
      <c r="M945" s="9"/>
      <c r="N945" s="9"/>
      <c r="O945" s="9"/>
    </row>
    <row r="946">
      <c r="A946" s="9"/>
      <c r="D946" s="13"/>
      <c r="E946" s="9"/>
      <c r="I946" s="9"/>
      <c r="J946" s="121"/>
      <c r="M946" s="9"/>
      <c r="N946" s="9"/>
      <c r="O946" s="9"/>
    </row>
    <row r="947">
      <c r="A947" s="9"/>
      <c r="D947" s="13"/>
      <c r="E947" s="9"/>
      <c r="I947" s="9"/>
      <c r="J947" s="121"/>
      <c r="M947" s="9"/>
      <c r="N947" s="9"/>
      <c r="O947" s="9"/>
    </row>
    <row r="948">
      <c r="A948" s="9"/>
      <c r="D948" s="13"/>
      <c r="E948" s="9"/>
      <c r="I948" s="9"/>
      <c r="J948" s="121"/>
      <c r="M948" s="9"/>
      <c r="N948" s="9"/>
      <c r="O948" s="9"/>
    </row>
    <row r="949">
      <c r="A949" s="9"/>
      <c r="D949" s="13"/>
      <c r="E949" s="9"/>
      <c r="I949" s="9"/>
      <c r="J949" s="121"/>
      <c r="M949" s="9"/>
      <c r="N949" s="9"/>
      <c r="O949" s="9"/>
    </row>
    <row r="950">
      <c r="A950" s="9"/>
      <c r="D950" s="13"/>
      <c r="E950" s="9"/>
      <c r="I950" s="9"/>
      <c r="J950" s="121"/>
      <c r="M950" s="9"/>
      <c r="N950" s="9"/>
      <c r="O950" s="9"/>
    </row>
    <row r="951">
      <c r="A951" s="9"/>
      <c r="D951" s="13"/>
      <c r="E951" s="9"/>
      <c r="I951" s="9"/>
      <c r="J951" s="121"/>
      <c r="M951" s="9"/>
      <c r="N951" s="9"/>
      <c r="O951" s="9"/>
    </row>
    <row r="952">
      <c r="A952" s="9"/>
      <c r="D952" s="13"/>
      <c r="E952" s="9"/>
      <c r="I952" s="9"/>
      <c r="J952" s="121"/>
      <c r="M952" s="9"/>
      <c r="N952" s="9"/>
      <c r="O952" s="9"/>
    </row>
    <row r="953">
      <c r="A953" s="9"/>
      <c r="D953" s="13"/>
      <c r="E953" s="9"/>
      <c r="I953" s="9"/>
      <c r="J953" s="121"/>
      <c r="M953" s="9"/>
      <c r="N953" s="9"/>
      <c r="O953" s="9"/>
    </row>
    <row r="954">
      <c r="A954" s="9"/>
      <c r="D954" s="13"/>
      <c r="E954" s="9"/>
      <c r="I954" s="9"/>
      <c r="J954" s="121"/>
      <c r="M954" s="9"/>
      <c r="N954" s="9"/>
      <c r="O954" s="9"/>
    </row>
    <row r="955">
      <c r="A955" s="9"/>
      <c r="D955" s="13"/>
      <c r="E955" s="9"/>
      <c r="I955" s="9"/>
      <c r="J955" s="121"/>
      <c r="M955" s="9"/>
      <c r="N955" s="9"/>
      <c r="O955" s="9"/>
    </row>
    <row r="956">
      <c r="A956" s="9"/>
      <c r="D956" s="13"/>
      <c r="E956" s="9"/>
      <c r="I956" s="9"/>
      <c r="J956" s="121"/>
      <c r="M956" s="9"/>
      <c r="N956" s="9"/>
      <c r="O956" s="9"/>
    </row>
    <row r="957">
      <c r="A957" s="9"/>
      <c r="D957" s="13"/>
      <c r="E957" s="9"/>
      <c r="I957" s="9"/>
      <c r="J957" s="121"/>
      <c r="M957" s="9"/>
      <c r="N957" s="9"/>
      <c r="O957" s="9"/>
    </row>
    <row r="958">
      <c r="A958" s="9"/>
      <c r="D958" s="13"/>
      <c r="E958" s="9"/>
      <c r="I958" s="9"/>
      <c r="J958" s="121"/>
      <c r="M958" s="9"/>
      <c r="N958" s="9"/>
      <c r="O958" s="9"/>
    </row>
    <row r="959">
      <c r="A959" s="9"/>
      <c r="D959" s="13"/>
      <c r="E959" s="9"/>
      <c r="I959" s="9"/>
      <c r="J959" s="121"/>
      <c r="M959" s="9"/>
      <c r="N959" s="9"/>
      <c r="O959" s="9"/>
    </row>
    <row r="960">
      <c r="A960" s="9"/>
      <c r="D960" s="13"/>
      <c r="E960" s="9"/>
      <c r="I960" s="9"/>
      <c r="J960" s="121"/>
      <c r="M960" s="9"/>
      <c r="N960" s="9"/>
      <c r="O960" s="9"/>
    </row>
    <row r="961">
      <c r="A961" s="9"/>
      <c r="D961" s="13"/>
      <c r="E961" s="9"/>
      <c r="I961" s="9"/>
      <c r="J961" s="121"/>
      <c r="M961" s="9"/>
      <c r="N961" s="9"/>
      <c r="O961" s="9"/>
    </row>
    <row r="962">
      <c r="A962" s="9"/>
      <c r="D962" s="13"/>
      <c r="E962" s="9"/>
      <c r="I962" s="9"/>
      <c r="J962" s="121"/>
      <c r="M962" s="9"/>
      <c r="N962" s="9"/>
      <c r="O962" s="9"/>
    </row>
    <row r="963">
      <c r="A963" s="9"/>
      <c r="D963" s="13"/>
      <c r="E963" s="9"/>
      <c r="I963" s="9"/>
      <c r="J963" s="121"/>
      <c r="M963" s="9"/>
      <c r="N963" s="9"/>
      <c r="O963" s="9"/>
    </row>
    <row r="964">
      <c r="A964" s="9"/>
      <c r="D964" s="13"/>
      <c r="E964" s="9"/>
      <c r="I964" s="9"/>
      <c r="J964" s="121"/>
      <c r="M964" s="9"/>
      <c r="N964" s="9"/>
      <c r="O964" s="9"/>
    </row>
    <row r="965">
      <c r="A965" s="9"/>
      <c r="D965" s="13"/>
      <c r="E965" s="9"/>
      <c r="I965" s="9"/>
      <c r="J965" s="121"/>
      <c r="M965" s="9"/>
      <c r="N965" s="9"/>
      <c r="O965" s="9"/>
    </row>
    <row r="966">
      <c r="A966" s="9"/>
      <c r="D966" s="13"/>
      <c r="E966" s="9"/>
      <c r="I966" s="9"/>
      <c r="J966" s="121"/>
      <c r="M966" s="9"/>
      <c r="N966" s="9"/>
      <c r="O966" s="9"/>
    </row>
    <row r="967">
      <c r="A967" s="9"/>
      <c r="D967" s="13"/>
      <c r="E967" s="9"/>
      <c r="I967" s="9"/>
      <c r="J967" s="121"/>
      <c r="M967" s="9"/>
      <c r="N967" s="9"/>
      <c r="O967" s="9"/>
    </row>
    <row r="968">
      <c r="A968" s="9"/>
      <c r="D968" s="13"/>
      <c r="E968" s="9"/>
      <c r="I968" s="9"/>
      <c r="J968" s="121"/>
      <c r="M968" s="9"/>
      <c r="N968" s="9"/>
      <c r="O968" s="9"/>
    </row>
    <row r="969">
      <c r="A969" s="9"/>
      <c r="D969" s="13"/>
      <c r="E969" s="9"/>
      <c r="I969" s="9"/>
      <c r="J969" s="121"/>
      <c r="M969" s="9"/>
      <c r="N969" s="9"/>
      <c r="O969" s="9"/>
    </row>
    <row r="970">
      <c r="A970" s="9"/>
      <c r="D970" s="13"/>
      <c r="E970" s="9"/>
      <c r="I970" s="9"/>
      <c r="J970" s="121"/>
      <c r="M970" s="9"/>
      <c r="N970" s="9"/>
      <c r="O970" s="9"/>
    </row>
    <row r="971">
      <c r="A971" s="9"/>
      <c r="D971" s="13"/>
      <c r="E971" s="9"/>
      <c r="I971" s="9"/>
      <c r="J971" s="121"/>
      <c r="M971" s="9"/>
      <c r="N971" s="9"/>
      <c r="O971" s="9"/>
    </row>
    <row r="972">
      <c r="A972" s="9"/>
      <c r="D972" s="13"/>
      <c r="E972" s="9"/>
      <c r="I972" s="9"/>
      <c r="J972" s="121"/>
      <c r="M972" s="9"/>
      <c r="N972" s="9"/>
      <c r="O972" s="9"/>
    </row>
    <row r="973">
      <c r="A973" s="9"/>
      <c r="D973" s="13"/>
      <c r="E973" s="9"/>
      <c r="I973" s="9"/>
      <c r="J973" s="121"/>
      <c r="M973" s="9"/>
      <c r="N973" s="9"/>
      <c r="O973" s="9"/>
    </row>
    <row r="974">
      <c r="A974" s="9"/>
      <c r="D974" s="13"/>
      <c r="E974" s="9"/>
      <c r="I974" s="9"/>
      <c r="J974" s="121"/>
      <c r="M974" s="9"/>
      <c r="N974" s="9"/>
      <c r="O974" s="9"/>
    </row>
    <row r="975">
      <c r="A975" s="9"/>
      <c r="D975" s="13"/>
      <c r="E975" s="9"/>
      <c r="I975" s="9"/>
      <c r="J975" s="121"/>
      <c r="M975" s="9"/>
      <c r="N975" s="9"/>
      <c r="O975" s="9"/>
    </row>
    <row r="976">
      <c r="A976" s="9"/>
      <c r="D976" s="13"/>
      <c r="E976" s="9"/>
      <c r="I976" s="9"/>
      <c r="J976" s="121"/>
      <c r="M976" s="9"/>
      <c r="N976" s="9"/>
      <c r="O976" s="9"/>
    </row>
    <row r="977">
      <c r="A977" s="9"/>
      <c r="D977" s="13"/>
      <c r="E977" s="9"/>
      <c r="I977" s="9"/>
      <c r="J977" s="121"/>
      <c r="M977" s="9"/>
      <c r="N977" s="9"/>
      <c r="O977" s="9"/>
    </row>
    <row r="978">
      <c r="A978" s="9"/>
      <c r="D978" s="13"/>
      <c r="E978" s="9"/>
      <c r="I978" s="9"/>
      <c r="J978" s="121"/>
      <c r="M978" s="9"/>
      <c r="N978" s="9"/>
      <c r="O978" s="9"/>
    </row>
    <row r="979">
      <c r="A979" s="9"/>
      <c r="D979" s="13"/>
      <c r="E979" s="9"/>
      <c r="I979" s="9"/>
      <c r="J979" s="121"/>
      <c r="M979" s="9"/>
      <c r="N979" s="9"/>
      <c r="O979" s="9"/>
    </row>
    <row r="980">
      <c r="A980" s="9"/>
      <c r="D980" s="13"/>
      <c r="E980" s="9"/>
      <c r="I980" s="9"/>
      <c r="J980" s="121"/>
      <c r="M980" s="9"/>
      <c r="N980" s="9"/>
      <c r="O980" s="9"/>
    </row>
    <row r="981">
      <c r="A981" s="9"/>
      <c r="D981" s="13"/>
      <c r="E981" s="9"/>
      <c r="I981" s="9"/>
      <c r="J981" s="121"/>
      <c r="M981" s="9"/>
      <c r="N981" s="9"/>
      <c r="O981" s="9"/>
    </row>
    <row r="982">
      <c r="A982" s="9"/>
      <c r="D982" s="13"/>
      <c r="E982" s="9"/>
      <c r="I982" s="9"/>
      <c r="J982" s="121"/>
      <c r="M982" s="9"/>
      <c r="N982" s="9"/>
      <c r="O982" s="9"/>
    </row>
    <row r="983">
      <c r="A983" s="9"/>
      <c r="D983" s="13"/>
      <c r="E983" s="9"/>
      <c r="I983" s="9"/>
      <c r="J983" s="121"/>
      <c r="M983" s="9"/>
      <c r="N983" s="9"/>
      <c r="O983" s="9"/>
    </row>
    <row r="984">
      <c r="A984" s="9"/>
      <c r="D984" s="13"/>
      <c r="E984" s="9"/>
      <c r="I984" s="9"/>
      <c r="J984" s="121"/>
      <c r="M984" s="9"/>
      <c r="N984" s="9"/>
      <c r="O984" s="9"/>
    </row>
    <row r="985">
      <c r="A985" s="9"/>
      <c r="D985" s="13"/>
      <c r="E985" s="9"/>
      <c r="I985" s="9"/>
      <c r="J985" s="121"/>
      <c r="M985" s="9"/>
      <c r="N985" s="9"/>
      <c r="O985" s="9"/>
    </row>
    <row r="986">
      <c r="A986" s="9"/>
      <c r="D986" s="13"/>
      <c r="E986" s="9"/>
      <c r="I986" s="9"/>
      <c r="J986" s="121"/>
      <c r="M986" s="9"/>
      <c r="N986" s="9"/>
      <c r="O986" s="9"/>
    </row>
    <row r="987">
      <c r="A987" s="9"/>
      <c r="D987" s="13"/>
      <c r="E987" s="9"/>
      <c r="I987" s="9"/>
      <c r="J987" s="121"/>
      <c r="M987" s="9"/>
      <c r="N987" s="9"/>
      <c r="O987" s="9"/>
    </row>
    <row r="988">
      <c r="A988" s="9"/>
      <c r="D988" s="13"/>
      <c r="E988" s="9"/>
      <c r="I988" s="9"/>
      <c r="J988" s="121"/>
      <c r="M988" s="9"/>
      <c r="N988" s="9"/>
      <c r="O988" s="9"/>
    </row>
    <row r="989">
      <c r="A989" s="9"/>
      <c r="D989" s="13"/>
      <c r="E989" s="9"/>
      <c r="I989" s="9"/>
      <c r="J989" s="121"/>
      <c r="M989" s="9"/>
      <c r="N989" s="9"/>
      <c r="O989" s="9"/>
    </row>
    <row r="990">
      <c r="A990" s="9"/>
      <c r="D990" s="13"/>
      <c r="E990" s="9"/>
      <c r="I990" s="9"/>
      <c r="J990" s="121"/>
      <c r="M990" s="9"/>
      <c r="N990" s="9"/>
      <c r="O990" s="9"/>
    </row>
    <row r="991">
      <c r="A991" s="9"/>
      <c r="D991" s="13"/>
      <c r="E991" s="9"/>
      <c r="I991" s="9"/>
      <c r="J991" s="121"/>
      <c r="M991" s="9"/>
      <c r="N991" s="9"/>
      <c r="O991" s="9"/>
    </row>
    <row r="992">
      <c r="A992" s="9"/>
      <c r="D992" s="13"/>
      <c r="E992" s="9"/>
      <c r="I992" s="9"/>
      <c r="J992" s="121"/>
      <c r="M992" s="9"/>
      <c r="N992" s="9"/>
      <c r="O992" s="9"/>
    </row>
    <row r="993">
      <c r="A993" s="9"/>
      <c r="D993" s="13"/>
      <c r="E993" s="9"/>
      <c r="I993" s="9"/>
      <c r="J993" s="121"/>
      <c r="M993" s="9"/>
      <c r="N993" s="9"/>
      <c r="O993" s="9"/>
    </row>
  </sheetData>
  <mergeCells count="1">
    <mergeCell ref="A1:P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13"/>
    <col customWidth="1" min="2" max="2" width="22.5"/>
    <col customWidth="1" min="3" max="3" width="24.38"/>
    <col customWidth="1" min="4" max="4" width="6.5"/>
    <col customWidth="1" min="5" max="5" width="9.0"/>
    <col customWidth="1" min="6" max="6" width="13.38"/>
    <col customWidth="1" min="7" max="7" width="10.25"/>
    <col customWidth="1" min="8" max="10" width="5.63"/>
    <col customWidth="1" min="11" max="11" width="8.25"/>
    <col customWidth="1" min="12" max="12" width="5.63"/>
    <col customWidth="1" min="13" max="13" width="6.88"/>
    <col customWidth="1" min="14" max="14" width="5.63"/>
    <col customWidth="1" min="15" max="15" width="6.25"/>
    <col customWidth="1" min="16" max="16" width="11.38"/>
    <col customWidth="1" min="17" max="17" width="5.88"/>
    <col customWidth="1" min="18" max="18" width="4.75"/>
    <col customWidth="1" min="19" max="19" width="7.5"/>
    <col customWidth="1" min="20" max="20" width="5.88"/>
    <col customWidth="1" min="21" max="21" width="6.88"/>
    <col customWidth="1" min="22" max="22" width="7.5"/>
    <col customWidth="1" min="23" max="23" width="5.88"/>
    <col customWidth="1" min="24" max="24" width="4.75"/>
    <col customWidth="1" min="25" max="25" width="7.5"/>
    <col customWidth="1" min="26" max="28" width="7.38"/>
  </cols>
  <sheetData>
    <row r="1">
      <c r="A1" s="4" t="s">
        <v>1475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32" t="s">
        <v>8</v>
      </c>
      <c r="B2" s="31" t="s">
        <v>9</v>
      </c>
      <c r="C2" s="31" t="s">
        <v>10</v>
      </c>
      <c r="D2" s="247" t="s">
        <v>11</v>
      </c>
      <c r="E2" s="32" t="s">
        <v>12</v>
      </c>
      <c r="F2" s="31" t="s">
        <v>13</v>
      </c>
      <c r="G2" s="31" t="s">
        <v>14</v>
      </c>
      <c r="H2" s="31" t="s">
        <v>896</v>
      </c>
      <c r="I2" s="31" t="s">
        <v>16</v>
      </c>
      <c r="J2" s="236" t="s">
        <v>17</v>
      </c>
      <c r="K2" s="31" t="s">
        <v>18</v>
      </c>
      <c r="L2" s="31" t="s">
        <v>19</v>
      </c>
      <c r="M2" s="32" t="s">
        <v>20</v>
      </c>
      <c r="N2" s="32" t="s">
        <v>249</v>
      </c>
      <c r="O2" s="32" t="s">
        <v>250</v>
      </c>
      <c r="P2" s="31" t="s">
        <v>23</v>
      </c>
      <c r="Q2" s="31" t="s">
        <v>251</v>
      </c>
      <c r="R2" s="31" t="s">
        <v>25</v>
      </c>
      <c r="S2" s="31" t="s">
        <v>26</v>
      </c>
      <c r="T2" s="31" t="s">
        <v>251</v>
      </c>
      <c r="U2" s="31" t="s">
        <v>25</v>
      </c>
      <c r="V2" s="31" t="s">
        <v>26</v>
      </c>
      <c r="W2" s="31" t="s">
        <v>251</v>
      </c>
      <c r="X2" s="31" t="s">
        <v>25</v>
      </c>
      <c r="Y2" s="31" t="s">
        <v>26</v>
      </c>
      <c r="Z2" s="31"/>
      <c r="AA2" s="31"/>
      <c r="AB2" s="31"/>
    </row>
    <row r="3">
      <c r="A3" s="5">
        <v>1.0</v>
      </c>
      <c r="B3" s="6" t="s">
        <v>1476</v>
      </c>
      <c r="C3" s="6" t="s">
        <v>747</v>
      </c>
      <c r="D3" s="7" t="s">
        <v>1006</v>
      </c>
      <c r="E3" s="5">
        <v>1179.0</v>
      </c>
      <c r="F3" s="10" t="s">
        <v>165</v>
      </c>
      <c r="G3" s="15">
        <v>9.799778199E9</v>
      </c>
      <c r="H3" s="15">
        <v>0.0</v>
      </c>
      <c r="I3" s="15">
        <v>20000.0</v>
      </c>
      <c r="J3" s="16">
        <v>7000.0</v>
      </c>
      <c r="K3" s="10"/>
      <c r="L3" s="15">
        <v>4000.0</v>
      </c>
      <c r="M3" s="15">
        <f t="shared" ref="M3:M67" si="1">(H3+I3+J3+K3-L3)</f>
        <v>23000</v>
      </c>
      <c r="N3" s="9">
        <f t="shared" ref="N3:N67" si="2">SUM(Q3,T3,W3)</f>
        <v>21000</v>
      </c>
      <c r="O3" s="9">
        <f t="shared" ref="O3:O67" si="3">(M3-N3)</f>
        <v>2000</v>
      </c>
      <c r="P3" s="10" t="s">
        <v>44</v>
      </c>
      <c r="Q3" s="6">
        <v>21000.0</v>
      </c>
      <c r="R3" s="6">
        <v>3238.0</v>
      </c>
      <c r="S3" s="6" t="s">
        <v>220</v>
      </c>
    </row>
    <row r="4">
      <c r="A4" s="5">
        <v>2.0</v>
      </c>
      <c r="B4" s="6" t="s">
        <v>1477</v>
      </c>
      <c r="C4" s="6" t="s">
        <v>1478</v>
      </c>
      <c r="D4" s="7" t="s">
        <v>1006</v>
      </c>
      <c r="E4" s="5">
        <v>1205.0</v>
      </c>
      <c r="F4" s="6" t="s">
        <v>1479</v>
      </c>
      <c r="G4" s="6">
        <v>6.375558357E9</v>
      </c>
      <c r="I4" s="15">
        <v>20000.0</v>
      </c>
      <c r="J4" s="238">
        <v>6500.0</v>
      </c>
      <c r="L4" s="6">
        <v>3500.0</v>
      </c>
      <c r="M4" s="15">
        <f t="shared" si="1"/>
        <v>23000</v>
      </c>
      <c r="N4" s="9">
        <f t="shared" si="2"/>
        <v>2000</v>
      </c>
      <c r="O4" s="9">
        <f t="shared" si="3"/>
        <v>21000</v>
      </c>
      <c r="P4" s="6" t="s">
        <v>131</v>
      </c>
      <c r="Q4" s="6">
        <v>2000.0</v>
      </c>
      <c r="R4" s="6">
        <v>3385.0</v>
      </c>
      <c r="S4" s="27">
        <v>45939.0</v>
      </c>
    </row>
    <row r="5">
      <c r="A5" s="5">
        <v>3.0</v>
      </c>
      <c r="B5" s="6" t="s">
        <v>1480</v>
      </c>
      <c r="C5" s="6" t="s">
        <v>1481</v>
      </c>
      <c r="D5" s="7" t="s">
        <v>1006</v>
      </c>
      <c r="E5" s="5">
        <v>1182.0</v>
      </c>
      <c r="F5" s="10" t="s">
        <v>361</v>
      </c>
      <c r="G5" s="15">
        <v>9.928839471E9</v>
      </c>
      <c r="H5" s="15">
        <v>0.0</v>
      </c>
      <c r="I5" s="15">
        <v>20000.0</v>
      </c>
      <c r="J5" s="16">
        <v>5000.0</v>
      </c>
      <c r="K5" s="10"/>
      <c r="L5" s="15">
        <v>3000.0</v>
      </c>
      <c r="M5" s="15">
        <f t="shared" si="1"/>
        <v>22000</v>
      </c>
      <c r="N5" s="9">
        <f t="shared" si="2"/>
        <v>20000</v>
      </c>
      <c r="O5" s="9">
        <f t="shared" si="3"/>
        <v>2000</v>
      </c>
      <c r="P5" s="10" t="s">
        <v>131</v>
      </c>
      <c r="Q5" s="228">
        <v>7000.0</v>
      </c>
      <c r="R5" s="16">
        <v>3162.0</v>
      </c>
      <c r="S5" s="17">
        <v>45785.0</v>
      </c>
      <c r="T5" s="6">
        <v>7000.0</v>
      </c>
      <c r="U5" s="6">
        <v>3611.0</v>
      </c>
      <c r="V5" s="27">
        <v>45879.0</v>
      </c>
      <c r="W5" s="6">
        <v>6000.0</v>
      </c>
      <c r="X5" s="6">
        <v>3956.0</v>
      </c>
      <c r="Y5" s="6" t="s">
        <v>132</v>
      </c>
    </row>
    <row r="6">
      <c r="A6" s="5">
        <v>4.0</v>
      </c>
      <c r="B6" s="6" t="s">
        <v>1482</v>
      </c>
      <c r="C6" s="6" t="s">
        <v>1483</v>
      </c>
      <c r="D6" s="7" t="s">
        <v>1006</v>
      </c>
      <c r="E6" s="5">
        <v>1519.0</v>
      </c>
      <c r="F6" s="10" t="s">
        <v>1484</v>
      </c>
      <c r="G6" s="15">
        <v>9.001222496E9</v>
      </c>
      <c r="H6" s="10"/>
      <c r="I6" s="15">
        <v>20000.0</v>
      </c>
      <c r="J6" s="228">
        <v>9000.0</v>
      </c>
      <c r="K6" s="10"/>
      <c r="L6" s="10"/>
      <c r="M6" s="15">
        <f t="shared" si="1"/>
        <v>29000</v>
      </c>
      <c r="N6" s="9">
        <f t="shared" si="2"/>
        <v>5000</v>
      </c>
      <c r="O6" s="9">
        <f t="shared" si="3"/>
        <v>24000</v>
      </c>
      <c r="P6" s="10"/>
      <c r="Q6" s="228">
        <v>5000.0</v>
      </c>
      <c r="R6" s="228">
        <v>3785.0</v>
      </c>
      <c r="S6" s="229">
        <v>45880.0</v>
      </c>
    </row>
    <row r="7">
      <c r="A7" s="5">
        <v>5.0</v>
      </c>
      <c r="B7" s="6" t="s">
        <v>1485</v>
      </c>
      <c r="C7" s="6" t="s">
        <v>1486</v>
      </c>
      <c r="D7" s="7" t="s">
        <v>1006</v>
      </c>
      <c r="E7" s="5">
        <v>1320.0</v>
      </c>
      <c r="G7" s="6">
        <v>9.352112874E9</v>
      </c>
      <c r="I7" s="15">
        <v>20000.0</v>
      </c>
      <c r="J7" s="121"/>
      <c r="M7" s="15">
        <f t="shared" si="1"/>
        <v>20000</v>
      </c>
      <c r="N7" s="9">
        <f t="shared" si="2"/>
        <v>10000</v>
      </c>
      <c r="O7" s="9">
        <f t="shared" si="3"/>
        <v>10000</v>
      </c>
      <c r="Q7" s="6">
        <v>10000.0</v>
      </c>
      <c r="R7" s="6">
        <v>3742.0</v>
      </c>
      <c r="S7" s="6" t="s">
        <v>291</v>
      </c>
    </row>
    <row r="8">
      <c r="A8" s="5">
        <v>7.0</v>
      </c>
      <c r="B8" s="6" t="s">
        <v>1487</v>
      </c>
      <c r="C8" s="6" t="s">
        <v>1488</v>
      </c>
      <c r="D8" s="7" t="s">
        <v>1006</v>
      </c>
      <c r="E8" s="5">
        <v>1196.0</v>
      </c>
      <c r="G8" s="6">
        <v>6.378713174E9</v>
      </c>
      <c r="I8" s="15">
        <v>20000.0</v>
      </c>
      <c r="J8" s="121"/>
      <c r="M8" s="15">
        <f t="shared" si="1"/>
        <v>20000</v>
      </c>
      <c r="N8" s="9">
        <f t="shared" si="2"/>
        <v>0</v>
      </c>
      <c r="O8" s="9">
        <f t="shared" si="3"/>
        <v>20000</v>
      </c>
    </row>
    <row r="9">
      <c r="A9" s="5">
        <v>8.0</v>
      </c>
      <c r="B9" s="6" t="s">
        <v>1489</v>
      </c>
      <c r="C9" s="6" t="s">
        <v>1490</v>
      </c>
      <c r="D9" s="7" t="s">
        <v>1006</v>
      </c>
      <c r="E9" s="5">
        <v>2002.0</v>
      </c>
      <c r="F9" s="10" t="s">
        <v>33</v>
      </c>
      <c r="G9" s="14">
        <v>9.116465986E9</v>
      </c>
      <c r="H9" s="10"/>
      <c r="I9" s="14">
        <v>23000.0</v>
      </c>
      <c r="J9" s="228">
        <v>5000.0</v>
      </c>
      <c r="K9" s="10"/>
      <c r="L9" s="10"/>
      <c r="M9" s="15">
        <f t="shared" si="1"/>
        <v>28000</v>
      </c>
      <c r="N9" s="9">
        <f t="shared" si="2"/>
        <v>20000</v>
      </c>
      <c r="O9" s="9">
        <f t="shared" si="3"/>
        <v>8000</v>
      </c>
      <c r="P9" s="10"/>
      <c r="Q9" s="16">
        <v>10000.0</v>
      </c>
      <c r="R9" s="16">
        <v>3128.0</v>
      </c>
      <c r="S9" s="17">
        <v>45665.0</v>
      </c>
      <c r="T9" s="6">
        <v>10000.0</v>
      </c>
      <c r="U9" s="6">
        <v>3971.0</v>
      </c>
      <c r="V9" s="6" t="s">
        <v>132</v>
      </c>
    </row>
    <row r="10">
      <c r="A10" s="5">
        <v>9.0</v>
      </c>
      <c r="B10" s="6" t="s">
        <v>1491</v>
      </c>
      <c r="C10" s="6" t="s">
        <v>1387</v>
      </c>
      <c r="D10" s="7" t="s">
        <v>1006</v>
      </c>
      <c r="E10" s="5">
        <v>1484.0</v>
      </c>
      <c r="G10" s="6">
        <v>7.413045276E9</v>
      </c>
      <c r="H10" s="242"/>
      <c r="I10" s="252">
        <v>20000.0</v>
      </c>
      <c r="J10" s="256"/>
      <c r="K10" s="242"/>
      <c r="L10" s="242"/>
      <c r="M10" s="15">
        <f t="shared" si="1"/>
        <v>20000</v>
      </c>
      <c r="N10" s="9">
        <f t="shared" si="2"/>
        <v>11000</v>
      </c>
      <c r="O10" s="9">
        <f t="shared" si="3"/>
        <v>9000</v>
      </c>
      <c r="P10" s="242"/>
      <c r="Q10" s="244">
        <v>6000.0</v>
      </c>
      <c r="R10" s="244">
        <v>3383.0</v>
      </c>
      <c r="S10" s="279">
        <v>45909.0</v>
      </c>
      <c r="T10" s="6">
        <v>5000.0</v>
      </c>
      <c r="U10" s="6">
        <v>4072.0</v>
      </c>
      <c r="V10" s="27">
        <v>45759.0</v>
      </c>
    </row>
    <row r="11">
      <c r="A11" s="5">
        <v>11.0</v>
      </c>
      <c r="B11" s="6" t="s">
        <v>1492</v>
      </c>
      <c r="C11" s="6" t="s">
        <v>1493</v>
      </c>
      <c r="D11" s="7" t="s">
        <v>1006</v>
      </c>
      <c r="E11" s="5">
        <v>1551.0</v>
      </c>
      <c r="G11" s="6">
        <v>9.983835539E9</v>
      </c>
      <c r="I11" s="15">
        <v>20000.0</v>
      </c>
      <c r="J11" s="121"/>
      <c r="M11" s="15">
        <f t="shared" si="1"/>
        <v>20000</v>
      </c>
      <c r="N11" s="9">
        <f t="shared" si="2"/>
        <v>10000</v>
      </c>
      <c r="O11" s="9">
        <f t="shared" si="3"/>
        <v>10000</v>
      </c>
      <c r="Q11" s="6">
        <v>5000.0</v>
      </c>
      <c r="R11" s="6">
        <v>3296.0</v>
      </c>
      <c r="S11" s="6" t="s">
        <v>962</v>
      </c>
      <c r="T11" s="6">
        <v>5000.0</v>
      </c>
      <c r="U11" s="6">
        <v>3839.0</v>
      </c>
      <c r="V11" s="240">
        <v>45941.0</v>
      </c>
    </row>
    <row r="12">
      <c r="A12" s="5">
        <v>12.0</v>
      </c>
      <c r="B12" s="6" t="s">
        <v>1494</v>
      </c>
      <c r="C12" s="6" t="s">
        <v>920</v>
      </c>
      <c r="D12" s="7" t="s">
        <v>1006</v>
      </c>
      <c r="E12" s="5">
        <v>945.0</v>
      </c>
      <c r="G12" s="6">
        <v>6.367235476E9</v>
      </c>
      <c r="I12" s="15">
        <v>20000.0</v>
      </c>
      <c r="J12" s="121"/>
      <c r="M12" s="15">
        <f t="shared" si="1"/>
        <v>20000</v>
      </c>
      <c r="N12" s="9">
        <f t="shared" si="2"/>
        <v>0</v>
      </c>
      <c r="O12" s="9">
        <f t="shared" si="3"/>
        <v>20000</v>
      </c>
    </row>
    <row r="13">
      <c r="A13" s="5">
        <v>13.0</v>
      </c>
      <c r="B13" s="6" t="s">
        <v>1495</v>
      </c>
      <c r="C13" s="6" t="s">
        <v>1496</v>
      </c>
      <c r="D13" s="7" t="s">
        <v>1006</v>
      </c>
      <c r="E13" s="5">
        <v>1987.0</v>
      </c>
      <c r="G13" s="6">
        <v>9.571670928E9</v>
      </c>
      <c r="I13" s="15">
        <v>20000.0</v>
      </c>
      <c r="J13" s="121"/>
      <c r="M13" s="15">
        <f t="shared" si="1"/>
        <v>20000</v>
      </c>
      <c r="N13" s="9">
        <f t="shared" si="2"/>
        <v>0</v>
      </c>
      <c r="O13" s="9">
        <f t="shared" si="3"/>
        <v>20000</v>
      </c>
    </row>
    <row r="14">
      <c r="A14" s="5">
        <v>14.0</v>
      </c>
      <c r="B14" s="6" t="s">
        <v>1497</v>
      </c>
      <c r="C14" s="6" t="s">
        <v>1498</v>
      </c>
      <c r="D14" s="7" t="s">
        <v>1006</v>
      </c>
      <c r="E14" s="5">
        <v>1162.0</v>
      </c>
      <c r="G14" s="6">
        <v>9.660161052E9</v>
      </c>
      <c r="I14" s="15">
        <v>20000.0</v>
      </c>
      <c r="J14" s="121"/>
      <c r="M14" s="15">
        <f t="shared" si="1"/>
        <v>20000</v>
      </c>
      <c r="N14" s="9">
        <f t="shared" si="2"/>
        <v>0</v>
      </c>
      <c r="O14" s="9">
        <f t="shared" si="3"/>
        <v>20000</v>
      </c>
    </row>
    <row r="15">
      <c r="A15" s="5">
        <v>15.0</v>
      </c>
      <c r="B15" s="6" t="s">
        <v>1499</v>
      </c>
      <c r="C15" s="6" t="s">
        <v>1500</v>
      </c>
      <c r="D15" s="7" t="s">
        <v>1006</v>
      </c>
      <c r="E15" s="5">
        <v>1975.0</v>
      </c>
      <c r="G15" s="6">
        <v>9.829325453E9</v>
      </c>
      <c r="H15" s="6">
        <v>1000.0</v>
      </c>
      <c r="I15" s="15">
        <v>20000.0</v>
      </c>
      <c r="J15" s="238">
        <v>9000.0</v>
      </c>
      <c r="L15" s="6">
        <v>3000.0</v>
      </c>
      <c r="M15" s="15">
        <f t="shared" si="1"/>
        <v>27000</v>
      </c>
      <c r="N15" s="9">
        <f t="shared" si="2"/>
        <v>18000</v>
      </c>
      <c r="O15" s="9">
        <f t="shared" si="3"/>
        <v>9000</v>
      </c>
      <c r="P15" s="6" t="s">
        <v>44</v>
      </c>
      <c r="Q15" s="16">
        <v>8000.0</v>
      </c>
      <c r="R15" s="16">
        <v>2919.0</v>
      </c>
      <c r="S15" s="17">
        <v>45845.0</v>
      </c>
      <c r="T15" s="6">
        <v>10000.0</v>
      </c>
      <c r="U15" s="6">
        <v>3917.0</v>
      </c>
      <c r="V15" s="6" t="s">
        <v>525</v>
      </c>
    </row>
    <row r="16">
      <c r="A16" s="5">
        <v>16.0</v>
      </c>
      <c r="B16" s="6" t="s">
        <v>1501</v>
      </c>
      <c r="C16" s="6" t="s">
        <v>1502</v>
      </c>
      <c r="D16" s="7" t="s">
        <v>1006</v>
      </c>
      <c r="E16" s="5">
        <v>1272.0</v>
      </c>
      <c r="G16" s="6">
        <v>8.95506239E9</v>
      </c>
      <c r="I16" s="15">
        <v>20000.0</v>
      </c>
      <c r="J16" s="121"/>
      <c r="M16" s="15">
        <f t="shared" si="1"/>
        <v>20000</v>
      </c>
      <c r="N16" s="9">
        <f t="shared" si="2"/>
        <v>0</v>
      </c>
      <c r="O16" s="9">
        <f t="shared" si="3"/>
        <v>20000</v>
      </c>
    </row>
    <row r="17">
      <c r="A17" s="5">
        <v>17.0</v>
      </c>
      <c r="B17" s="6" t="s">
        <v>1503</v>
      </c>
      <c r="C17" s="6" t="s">
        <v>1504</v>
      </c>
      <c r="D17" s="7" t="s">
        <v>1006</v>
      </c>
      <c r="E17" s="5">
        <v>2007.0</v>
      </c>
      <c r="F17" s="6" t="s">
        <v>48</v>
      </c>
      <c r="G17" s="6">
        <v>9.119282138E9</v>
      </c>
      <c r="H17" s="6">
        <v>1000.0</v>
      </c>
      <c r="I17" s="15">
        <v>20000.0</v>
      </c>
      <c r="J17" s="238">
        <v>9500.0</v>
      </c>
      <c r="L17" s="6">
        <v>2500.0</v>
      </c>
      <c r="M17" s="15">
        <f t="shared" si="1"/>
        <v>28000</v>
      </c>
      <c r="N17" s="9">
        <f t="shared" si="2"/>
        <v>15000</v>
      </c>
      <c r="O17" s="9">
        <f t="shared" si="3"/>
        <v>13000</v>
      </c>
      <c r="P17" s="6" t="s">
        <v>44</v>
      </c>
      <c r="Q17" s="16">
        <v>10000.0</v>
      </c>
      <c r="R17" s="16">
        <v>2925.0</v>
      </c>
      <c r="S17" s="17">
        <v>45845.0</v>
      </c>
      <c r="T17" s="6">
        <v>5000.0</v>
      </c>
      <c r="U17" s="6">
        <v>4027.0</v>
      </c>
      <c r="V17" s="6" t="s">
        <v>261</v>
      </c>
    </row>
    <row r="18">
      <c r="A18" s="5">
        <v>18.0</v>
      </c>
      <c r="B18" s="6" t="s">
        <v>1505</v>
      </c>
      <c r="C18" s="6" t="s">
        <v>1506</v>
      </c>
      <c r="D18" s="7" t="s">
        <v>1006</v>
      </c>
      <c r="E18" s="5">
        <v>1616.0</v>
      </c>
      <c r="F18" s="6" t="s">
        <v>1507</v>
      </c>
      <c r="G18" s="6">
        <v>9.660161052E9</v>
      </c>
      <c r="I18" s="15">
        <v>20000.0</v>
      </c>
      <c r="J18" s="238">
        <v>7000.0</v>
      </c>
      <c r="L18" s="6">
        <v>4000.0</v>
      </c>
      <c r="M18" s="15">
        <f t="shared" si="1"/>
        <v>23000</v>
      </c>
      <c r="N18" s="9">
        <f t="shared" si="2"/>
        <v>5000</v>
      </c>
      <c r="O18" s="9">
        <f t="shared" si="3"/>
        <v>18000</v>
      </c>
      <c r="Q18" s="6">
        <v>5000.0</v>
      </c>
      <c r="R18" s="6">
        <v>4029.0</v>
      </c>
      <c r="S18" s="6" t="s">
        <v>261</v>
      </c>
    </row>
    <row r="19">
      <c r="A19" s="5">
        <v>19.0</v>
      </c>
      <c r="B19" s="6" t="s">
        <v>1508</v>
      </c>
      <c r="C19" s="6" t="s">
        <v>1104</v>
      </c>
      <c r="D19" s="7" t="s">
        <v>1006</v>
      </c>
      <c r="E19" s="5">
        <v>1199.0</v>
      </c>
      <c r="F19" s="6" t="s">
        <v>1509</v>
      </c>
      <c r="G19" s="6">
        <v>7.223737459E9</v>
      </c>
      <c r="H19" s="6">
        <v>0.0</v>
      </c>
      <c r="I19" s="15">
        <v>20000.0</v>
      </c>
      <c r="J19" s="238">
        <v>7000.0</v>
      </c>
      <c r="L19" s="6">
        <v>2000.0</v>
      </c>
      <c r="M19" s="15">
        <f t="shared" si="1"/>
        <v>25000</v>
      </c>
      <c r="N19" s="9">
        <f t="shared" si="2"/>
        <v>0</v>
      </c>
      <c r="O19" s="9">
        <f t="shared" si="3"/>
        <v>25000</v>
      </c>
      <c r="P19" s="6" t="s">
        <v>44</v>
      </c>
    </row>
    <row r="20">
      <c r="A20" s="5">
        <v>20.0</v>
      </c>
      <c r="B20" s="6" t="s">
        <v>1510</v>
      </c>
      <c r="C20" s="6" t="s">
        <v>1511</v>
      </c>
      <c r="D20" s="7" t="s">
        <v>1006</v>
      </c>
      <c r="E20" s="5">
        <v>1855.0</v>
      </c>
      <c r="F20" s="37" t="s">
        <v>235</v>
      </c>
      <c r="G20" s="37">
        <v>7.665154526E9</v>
      </c>
      <c r="H20" s="37">
        <v>1000.0</v>
      </c>
      <c r="I20" s="15">
        <v>20000.0</v>
      </c>
      <c r="J20" s="121">
        <v>10000.0</v>
      </c>
      <c r="L20" s="37">
        <v>4000.0</v>
      </c>
      <c r="M20" s="15">
        <f t="shared" si="1"/>
        <v>27000</v>
      </c>
      <c r="N20" s="9">
        <f t="shared" si="2"/>
        <v>10000</v>
      </c>
      <c r="O20" s="9">
        <f t="shared" si="3"/>
        <v>17000</v>
      </c>
      <c r="P20" s="37" t="s">
        <v>44</v>
      </c>
      <c r="Q20" s="37">
        <v>3000.0</v>
      </c>
      <c r="R20" s="37">
        <v>2969.0</v>
      </c>
      <c r="S20" s="285">
        <v>45937.0</v>
      </c>
      <c r="T20" s="6">
        <v>2000.0</v>
      </c>
      <c r="U20" s="6">
        <v>3533.0</v>
      </c>
      <c r="V20" s="27">
        <v>45818.0</v>
      </c>
      <c r="W20" s="6">
        <v>5000.0</v>
      </c>
      <c r="X20" s="6">
        <v>3763.0</v>
      </c>
      <c r="Y20" s="27">
        <v>45668.0</v>
      </c>
    </row>
    <row r="21">
      <c r="A21" s="5">
        <v>21.0</v>
      </c>
      <c r="B21" s="6" t="s">
        <v>1512</v>
      </c>
      <c r="C21" s="6" t="s">
        <v>1513</v>
      </c>
      <c r="D21" s="7" t="s">
        <v>1006</v>
      </c>
      <c r="E21" s="5">
        <v>1185.0</v>
      </c>
      <c r="F21" s="10" t="s">
        <v>244</v>
      </c>
      <c r="G21" s="15">
        <v>7.742386218E9</v>
      </c>
      <c r="H21" s="15">
        <v>0.0</v>
      </c>
      <c r="I21" s="15">
        <v>20000.0</v>
      </c>
      <c r="J21" s="16">
        <v>5000.0</v>
      </c>
      <c r="K21" s="10"/>
      <c r="L21" s="15">
        <v>3000.0</v>
      </c>
      <c r="M21" s="15">
        <f t="shared" si="1"/>
        <v>22000</v>
      </c>
      <c r="N21" s="9">
        <f t="shared" si="2"/>
        <v>10000</v>
      </c>
      <c r="O21" s="9">
        <f t="shared" si="3"/>
        <v>12000</v>
      </c>
      <c r="P21" s="10" t="s">
        <v>159</v>
      </c>
      <c r="Q21" s="16">
        <v>5000.0</v>
      </c>
      <c r="R21" s="16">
        <v>3170.0</v>
      </c>
      <c r="S21" s="17">
        <v>45816.0</v>
      </c>
      <c r="T21" s="6">
        <v>5000.0</v>
      </c>
      <c r="U21" s="6">
        <v>3919.0</v>
      </c>
      <c r="V21" s="6" t="s">
        <v>525</v>
      </c>
    </row>
    <row r="22">
      <c r="A22" s="5">
        <v>22.0</v>
      </c>
      <c r="B22" s="6" t="s">
        <v>1514</v>
      </c>
      <c r="C22" s="6" t="s">
        <v>1515</v>
      </c>
      <c r="D22" s="7" t="s">
        <v>1006</v>
      </c>
      <c r="E22" s="5">
        <v>1197.0</v>
      </c>
      <c r="G22" s="6">
        <v>8.239467109E9</v>
      </c>
      <c r="I22" s="15">
        <v>20000.0</v>
      </c>
      <c r="J22" s="121"/>
      <c r="M22" s="15">
        <f t="shared" si="1"/>
        <v>20000</v>
      </c>
      <c r="N22" s="9">
        <f t="shared" si="2"/>
        <v>10000</v>
      </c>
      <c r="O22" s="9">
        <f t="shared" si="3"/>
        <v>10000</v>
      </c>
      <c r="Q22" s="6">
        <v>6500.0</v>
      </c>
      <c r="R22" s="6">
        <v>3298.0</v>
      </c>
      <c r="S22" s="6" t="s">
        <v>962</v>
      </c>
      <c r="T22" s="6">
        <v>3500.0</v>
      </c>
      <c r="U22" s="6">
        <v>3652.0</v>
      </c>
      <c r="V22" s="27">
        <v>45910.0</v>
      </c>
    </row>
    <row r="23">
      <c r="A23" s="5">
        <v>23.0</v>
      </c>
      <c r="B23" s="6" t="s">
        <v>1516</v>
      </c>
      <c r="C23" s="6" t="s">
        <v>399</v>
      </c>
      <c r="D23" s="7" t="s">
        <v>1006</v>
      </c>
      <c r="E23" s="5">
        <v>1175.0</v>
      </c>
      <c r="F23" s="10" t="s">
        <v>400</v>
      </c>
      <c r="G23" s="15">
        <v>9.928486427E9</v>
      </c>
      <c r="H23" s="15">
        <v>0.0</v>
      </c>
      <c r="I23" s="15">
        <v>20000.0</v>
      </c>
      <c r="J23" s="16">
        <v>6500.0</v>
      </c>
      <c r="K23" s="10"/>
      <c r="L23" s="10"/>
      <c r="M23" s="15">
        <f t="shared" si="1"/>
        <v>26500</v>
      </c>
      <c r="N23" s="9">
        <f t="shared" si="2"/>
        <v>15000</v>
      </c>
      <c r="O23" s="9">
        <f t="shared" si="3"/>
        <v>11500</v>
      </c>
      <c r="P23" s="10" t="s">
        <v>159</v>
      </c>
      <c r="Q23" s="6">
        <v>10000.0</v>
      </c>
      <c r="R23" s="6">
        <v>3476.0</v>
      </c>
      <c r="S23" s="27">
        <v>45757.0</v>
      </c>
      <c r="T23" s="6">
        <v>5000.0</v>
      </c>
      <c r="U23" s="6">
        <v>3902.0</v>
      </c>
      <c r="V23" s="6" t="s">
        <v>171</v>
      </c>
    </row>
    <row r="24">
      <c r="A24" s="5">
        <v>24.0</v>
      </c>
      <c r="B24" s="6" t="s">
        <v>1517</v>
      </c>
      <c r="C24" s="6" t="s">
        <v>1518</v>
      </c>
      <c r="D24" s="7" t="s">
        <v>2</v>
      </c>
      <c r="E24" s="5">
        <v>1330.0</v>
      </c>
      <c r="G24" s="6">
        <v>9.950818497E9</v>
      </c>
      <c r="H24" s="242"/>
      <c r="I24" s="263">
        <v>23000.0</v>
      </c>
      <c r="J24" s="256"/>
      <c r="K24" s="242"/>
      <c r="L24" s="242"/>
      <c r="M24" s="15">
        <f t="shared" si="1"/>
        <v>23000</v>
      </c>
      <c r="N24" s="9">
        <f t="shared" si="2"/>
        <v>10000</v>
      </c>
      <c r="O24" s="9">
        <f t="shared" si="3"/>
        <v>13000</v>
      </c>
      <c r="P24" s="242"/>
      <c r="Q24" s="244">
        <v>10000.0</v>
      </c>
      <c r="R24" s="244">
        <v>3373.0</v>
      </c>
      <c r="S24" s="279">
        <v>45878.0</v>
      </c>
    </row>
    <row r="25">
      <c r="A25" s="5">
        <v>25.0</v>
      </c>
      <c r="B25" s="6" t="s">
        <v>1519</v>
      </c>
      <c r="C25" s="6" t="s">
        <v>1520</v>
      </c>
      <c r="D25" s="7" t="s">
        <v>2</v>
      </c>
      <c r="E25" s="5">
        <v>1195.0</v>
      </c>
      <c r="F25" s="10" t="s">
        <v>1138</v>
      </c>
      <c r="G25" s="15">
        <v>9.98290702E9</v>
      </c>
      <c r="H25" s="15">
        <v>0.0</v>
      </c>
      <c r="I25" s="14">
        <v>23000.0</v>
      </c>
      <c r="J25" s="16">
        <v>6500.0</v>
      </c>
      <c r="K25" s="10"/>
      <c r="L25" s="15">
        <v>3500.0</v>
      </c>
      <c r="M25" s="15">
        <f t="shared" si="1"/>
        <v>26000</v>
      </c>
      <c r="N25" s="9">
        <f t="shared" si="2"/>
        <v>22000</v>
      </c>
      <c r="O25" s="9">
        <f t="shared" si="3"/>
        <v>4000</v>
      </c>
      <c r="P25" s="10" t="s">
        <v>44</v>
      </c>
      <c r="Q25" s="16">
        <v>2000.0</v>
      </c>
      <c r="R25" s="16">
        <v>3060.0</v>
      </c>
      <c r="S25" s="10" t="s">
        <v>275</v>
      </c>
      <c r="T25" s="6">
        <v>10000.0</v>
      </c>
      <c r="U25" s="6">
        <v>3348.0</v>
      </c>
      <c r="V25" s="6" t="s">
        <v>452</v>
      </c>
      <c r="W25" s="6">
        <v>10000.0</v>
      </c>
      <c r="X25" s="6">
        <v>3756.0</v>
      </c>
      <c r="Y25" s="6" t="s">
        <v>600</v>
      </c>
    </row>
    <row r="26">
      <c r="A26" s="5">
        <v>26.0</v>
      </c>
      <c r="B26" s="6" t="s">
        <v>1521</v>
      </c>
      <c r="C26" s="6" t="s">
        <v>1522</v>
      </c>
      <c r="D26" s="7" t="s">
        <v>1006</v>
      </c>
      <c r="E26" s="5">
        <v>1181.0</v>
      </c>
      <c r="F26" s="10" t="s">
        <v>474</v>
      </c>
      <c r="G26" s="15">
        <v>9.413791339E9</v>
      </c>
      <c r="H26" s="10"/>
      <c r="I26" s="15">
        <v>20000.0</v>
      </c>
      <c r="J26" s="228">
        <v>5000.0</v>
      </c>
      <c r="K26" s="10"/>
      <c r="L26" s="10"/>
      <c r="M26" s="15">
        <f t="shared" si="1"/>
        <v>25000</v>
      </c>
      <c r="N26" s="9">
        <f t="shared" si="2"/>
        <v>8000</v>
      </c>
      <c r="O26" s="9">
        <f t="shared" si="3"/>
        <v>17000</v>
      </c>
      <c r="P26" s="10"/>
      <c r="Q26" s="16">
        <v>4000.0</v>
      </c>
      <c r="R26" s="16">
        <v>2958.0</v>
      </c>
      <c r="S26" s="17">
        <v>45907.0</v>
      </c>
      <c r="T26" s="6">
        <v>2000.0</v>
      </c>
      <c r="U26" s="6">
        <v>3692.0</v>
      </c>
      <c r="V26" s="240">
        <v>45940.0</v>
      </c>
      <c r="W26" s="6">
        <v>2000.0</v>
      </c>
      <c r="X26" s="6">
        <v>3784.0</v>
      </c>
      <c r="Y26" s="27">
        <v>45880.0</v>
      </c>
      <c r="Z26" s="6">
        <v>2000.0</v>
      </c>
      <c r="AA26" s="6">
        <v>4034.0</v>
      </c>
      <c r="AB26" s="6" t="s">
        <v>261</v>
      </c>
    </row>
    <row r="27">
      <c r="A27" s="5">
        <v>27.0</v>
      </c>
      <c r="B27" s="6" t="s">
        <v>1523</v>
      </c>
      <c r="C27" s="6" t="s">
        <v>1524</v>
      </c>
      <c r="D27" s="7" t="s">
        <v>1006</v>
      </c>
      <c r="E27" s="5">
        <v>1618.0</v>
      </c>
      <c r="G27" s="6">
        <v>9.680591961E9</v>
      </c>
      <c r="I27" s="15">
        <v>20000.0</v>
      </c>
      <c r="J27" s="121"/>
      <c r="M27" s="15">
        <f t="shared" si="1"/>
        <v>20000</v>
      </c>
      <c r="N27" s="9">
        <f t="shared" si="2"/>
        <v>0</v>
      </c>
      <c r="O27" s="9">
        <f t="shared" si="3"/>
        <v>20000</v>
      </c>
    </row>
    <row r="28">
      <c r="A28" s="5">
        <v>28.0</v>
      </c>
      <c r="B28" s="6" t="s">
        <v>1525</v>
      </c>
      <c r="C28" s="6" t="s">
        <v>1526</v>
      </c>
      <c r="D28" s="7" t="s">
        <v>1006</v>
      </c>
      <c r="E28" s="5">
        <v>1321.0</v>
      </c>
      <c r="G28" s="6">
        <v>9.680477908E9</v>
      </c>
      <c r="H28" s="242"/>
      <c r="I28" s="252">
        <v>20000.0</v>
      </c>
      <c r="J28" s="256"/>
      <c r="K28" s="242"/>
      <c r="L28" s="242"/>
      <c r="M28" s="15">
        <f t="shared" si="1"/>
        <v>20000</v>
      </c>
      <c r="N28" s="9">
        <f t="shared" si="2"/>
        <v>2500</v>
      </c>
      <c r="O28" s="9">
        <f t="shared" si="3"/>
        <v>17500</v>
      </c>
      <c r="P28" s="242"/>
      <c r="Q28" s="244">
        <v>2500.0</v>
      </c>
      <c r="R28" s="244">
        <v>3307.0</v>
      </c>
      <c r="S28" s="244" t="s">
        <v>962</v>
      </c>
    </row>
    <row r="29">
      <c r="A29" s="5">
        <v>29.0</v>
      </c>
      <c r="B29" s="6" t="s">
        <v>1527</v>
      </c>
      <c r="C29" s="6" t="s">
        <v>1528</v>
      </c>
      <c r="D29" s="7" t="s">
        <v>1006</v>
      </c>
      <c r="E29" s="5">
        <v>948.0</v>
      </c>
      <c r="G29" s="6">
        <v>9.799695323E9</v>
      </c>
      <c r="I29" s="15">
        <v>20000.0</v>
      </c>
      <c r="J29" s="121"/>
      <c r="M29" s="15">
        <f t="shared" si="1"/>
        <v>20000</v>
      </c>
      <c r="N29" s="9">
        <f t="shared" si="2"/>
        <v>0</v>
      </c>
      <c r="O29" s="9">
        <f t="shared" si="3"/>
        <v>20000</v>
      </c>
    </row>
    <row r="30">
      <c r="A30" s="5">
        <v>30.0</v>
      </c>
      <c r="B30" s="6" t="s">
        <v>1529</v>
      </c>
      <c r="C30" s="6" t="s">
        <v>1530</v>
      </c>
      <c r="D30" s="7" t="s">
        <v>1006</v>
      </c>
      <c r="E30" s="5">
        <v>1682.0</v>
      </c>
      <c r="G30" s="6">
        <v>9.95040921E9</v>
      </c>
      <c r="I30" s="15">
        <v>20000.0</v>
      </c>
      <c r="J30" s="121"/>
      <c r="M30" s="15">
        <f t="shared" si="1"/>
        <v>20000</v>
      </c>
      <c r="N30" s="9">
        <f t="shared" si="2"/>
        <v>0</v>
      </c>
      <c r="O30" s="9">
        <f t="shared" si="3"/>
        <v>20000</v>
      </c>
    </row>
    <row r="31">
      <c r="A31" s="5">
        <v>31.0</v>
      </c>
      <c r="B31" s="6" t="s">
        <v>1531</v>
      </c>
      <c r="C31" s="6" t="s">
        <v>1532</v>
      </c>
      <c r="D31" s="7" t="s">
        <v>1006</v>
      </c>
      <c r="E31" s="5">
        <v>1194.0</v>
      </c>
      <c r="F31" s="6" t="s">
        <v>1216</v>
      </c>
      <c r="G31" s="6">
        <v>9.92840988E9</v>
      </c>
      <c r="H31" s="242"/>
      <c r="I31" s="252">
        <v>20000.0</v>
      </c>
      <c r="J31" s="241">
        <v>5000.0</v>
      </c>
      <c r="K31" s="242"/>
      <c r="L31" s="242"/>
      <c r="M31" s="15">
        <f t="shared" si="1"/>
        <v>25000</v>
      </c>
      <c r="N31" s="9">
        <f t="shared" si="2"/>
        <v>10000</v>
      </c>
      <c r="O31" s="9">
        <f t="shared" si="3"/>
        <v>15000</v>
      </c>
      <c r="P31" s="242"/>
      <c r="Q31" s="244">
        <v>10000.0</v>
      </c>
      <c r="R31" s="244">
        <v>3314.0</v>
      </c>
      <c r="S31" s="244" t="s">
        <v>321</v>
      </c>
    </row>
    <row r="32">
      <c r="A32" s="5">
        <v>32.0</v>
      </c>
      <c r="B32" s="6" t="s">
        <v>1043</v>
      </c>
      <c r="C32" s="6" t="s">
        <v>815</v>
      </c>
      <c r="D32" s="7" t="s">
        <v>2</v>
      </c>
      <c r="E32" s="5">
        <v>1189.0</v>
      </c>
      <c r="F32" s="6" t="s">
        <v>474</v>
      </c>
      <c r="G32" s="6">
        <v>8.05851412E9</v>
      </c>
      <c r="I32" s="14">
        <v>23000.0</v>
      </c>
      <c r="J32" s="238">
        <v>5000.0</v>
      </c>
      <c r="M32" s="15">
        <f t="shared" si="1"/>
        <v>28000</v>
      </c>
      <c r="N32" s="9">
        <f t="shared" si="2"/>
        <v>20000</v>
      </c>
      <c r="O32" s="9">
        <f t="shared" si="3"/>
        <v>8000</v>
      </c>
      <c r="Q32" s="6">
        <v>10000.0</v>
      </c>
      <c r="S32" s="6" t="s">
        <v>1533</v>
      </c>
      <c r="T32" s="6">
        <v>10000.0</v>
      </c>
      <c r="U32" s="6">
        <v>3328.0</v>
      </c>
      <c r="V32" s="6" t="s">
        <v>1533</v>
      </c>
    </row>
    <row r="33">
      <c r="A33" s="5">
        <v>33.0</v>
      </c>
      <c r="B33" s="6" t="s">
        <v>1534</v>
      </c>
      <c r="C33" s="6" t="s">
        <v>1535</v>
      </c>
      <c r="D33" s="7" t="s">
        <v>1006</v>
      </c>
      <c r="E33" s="5">
        <v>1188.0</v>
      </c>
      <c r="G33" s="6">
        <v>9.784188095E9</v>
      </c>
      <c r="I33" s="15">
        <v>20000.0</v>
      </c>
      <c r="J33" s="121"/>
      <c r="M33" s="15">
        <f t="shared" si="1"/>
        <v>20000</v>
      </c>
      <c r="N33" s="9">
        <f t="shared" si="2"/>
        <v>0</v>
      </c>
      <c r="O33" s="9">
        <f t="shared" si="3"/>
        <v>20000</v>
      </c>
      <c r="Z33" s="17"/>
      <c r="AA33" s="17"/>
      <c r="AB33" s="17"/>
    </row>
    <row r="34">
      <c r="A34" s="5">
        <v>34.0</v>
      </c>
      <c r="B34" s="6" t="s">
        <v>1536</v>
      </c>
      <c r="C34" s="6" t="s">
        <v>1537</v>
      </c>
      <c r="D34" s="7" t="s">
        <v>1006</v>
      </c>
      <c r="E34" s="5">
        <v>1916.0</v>
      </c>
      <c r="F34" s="10" t="s">
        <v>145</v>
      </c>
      <c r="G34" s="15">
        <v>8.209304939E9</v>
      </c>
      <c r="H34" s="15">
        <v>1000.0</v>
      </c>
      <c r="I34" s="15">
        <v>20000.0</v>
      </c>
      <c r="J34" s="16"/>
      <c r="K34" s="10"/>
      <c r="L34" s="15">
        <v>2000.0</v>
      </c>
      <c r="M34" s="15">
        <f t="shared" si="1"/>
        <v>19000</v>
      </c>
      <c r="N34" s="9">
        <f t="shared" si="2"/>
        <v>9000</v>
      </c>
      <c r="O34" s="9">
        <f t="shared" si="3"/>
        <v>10000</v>
      </c>
      <c r="P34" s="10" t="s">
        <v>177</v>
      </c>
      <c r="Q34" s="16">
        <v>1000.0</v>
      </c>
      <c r="R34" s="16">
        <v>2849.0</v>
      </c>
      <c r="S34" s="10" t="s">
        <v>195</v>
      </c>
      <c r="T34" s="16">
        <v>5000.0</v>
      </c>
      <c r="U34" s="17"/>
      <c r="V34" s="17"/>
      <c r="W34" s="228">
        <v>3000.0</v>
      </c>
      <c r="X34" s="228">
        <v>3544.0</v>
      </c>
      <c r="Y34" s="229">
        <v>45818.0</v>
      </c>
      <c r="Z34" s="6">
        <v>3500.0</v>
      </c>
      <c r="AA34" s="6">
        <v>3880.0</v>
      </c>
      <c r="AB34" s="240">
        <v>46002.0</v>
      </c>
    </row>
    <row r="35">
      <c r="A35" s="5">
        <v>36.0</v>
      </c>
      <c r="B35" s="6" t="s">
        <v>1538</v>
      </c>
      <c r="C35" s="6" t="s">
        <v>1539</v>
      </c>
      <c r="D35" s="7" t="s">
        <v>1006</v>
      </c>
      <c r="E35" s="5">
        <v>1506.0</v>
      </c>
      <c r="F35" s="10" t="s">
        <v>1540</v>
      </c>
      <c r="G35" s="15">
        <v>9.630097472E9</v>
      </c>
      <c r="H35" s="15">
        <v>0.0</v>
      </c>
      <c r="I35" s="15">
        <v>20000.0</v>
      </c>
      <c r="J35" s="16">
        <v>7000.0</v>
      </c>
      <c r="K35" s="10"/>
      <c r="L35" s="15">
        <v>3000.0</v>
      </c>
      <c r="M35" s="15">
        <f t="shared" si="1"/>
        <v>24000</v>
      </c>
      <c r="N35" s="9">
        <f t="shared" si="2"/>
        <v>11000</v>
      </c>
      <c r="O35" s="9">
        <f t="shared" si="3"/>
        <v>13000</v>
      </c>
      <c r="P35" s="10" t="s">
        <v>44</v>
      </c>
      <c r="Q35" s="16">
        <v>1000.0</v>
      </c>
      <c r="R35" s="16">
        <v>2890.0</v>
      </c>
      <c r="S35" s="17">
        <v>45754.0</v>
      </c>
      <c r="T35" s="6">
        <v>10000.0</v>
      </c>
      <c r="U35" s="6">
        <v>3963.0</v>
      </c>
      <c r="V35" s="6" t="s">
        <v>132</v>
      </c>
    </row>
    <row r="36">
      <c r="A36" s="5">
        <v>37.0</v>
      </c>
      <c r="B36" s="6" t="s">
        <v>1541</v>
      </c>
      <c r="C36" s="6" t="s">
        <v>1542</v>
      </c>
      <c r="D36" s="7" t="s">
        <v>2</v>
      </c>
      <c r="E36" s="5">
        <v>1938.0</v>
      </c>
      <c r="F36" s="10" t="s">
        <v>165</v>
      </c>
      <c r="G36" s="15">
        <v>9.001124007E9</v>
      </c>
      <c r="H36" s="15">
        <v>1000.0</v>
      </c>
      <c r="I36" s="14">
        <v>23000.0</v>
      </c>
      <c r="J36" s="228">
        <v>7000.0</v>
      </c>
      <c r="K36" s="10"/>
      <c r="L36" s="10"/>
      <c r="M36" s="15">
        <f t="shared" si="1"/>
        <v>31000</v>
      </c>
      <c r="N36" s="9">
        <f t="shared" si="2"/>
        <v>12000</v>
      </c>
      <c r="O36" s="9">
        <f t="shared" si="3"/>
        <v>19000</v>
      </c>
      <c r="P36" s="14" t="s">
        <v>409</v>
      </c>
      <c r="Q36" s="6">
        <v>12000.0</v>
      </c>
      <c r="R36" s="6">
        <v>3782.0</v>
      </c>
      <c r="S36" s="27">
        <v>45880.0</v>
      </c>
    </row>
    <row r="37">
      <c r="A37" s="5">
        <v>38.0</v>
      </c>
      <c r="B37" s="6" t="s">
        <v>1543</v>
      </c>
      <c r="C37" s="6" t="s">
        <v>750</v>
      </c>
      <c r="D37" s="7" t="s">
        <v>1006</v>
      </c>
      <c r="E37" s="5">
        <v>1939.0</v>
      </c>
      <c r="F37" s="10" t="s">
        <v>474</v>
      </c>
      <c r="G37" s="15">
        <v>8.107089716E9</v>
      </c>
      <c r="H37" s="15">
        <v>1000.0</v>
      </c>
      <c r="I37" s="15">
        <v>21000.0</v>
      </c>
      <c r="J37" s="16">
        <v>5000.0</v>
      </c>
      <c r="K37" s="10"/>
      <c r="L37" s="10"/>
      <c r="M37" s="15">
        <f t="shared" si="1"/>
        <v>27000</v>
      </c>
      <c r="N37" s="9">
        <f t="shared" si="2"/>
        <v>6000</v>
      </c>
      <c r="O37" s="9">
        <f t="shared" si="3"/>
        <v>21000</v>
      </c>
      <c r="P37" s="10" t="s">
        <v>44</v>
      </c>
      <c r="Q37" s="16">
        <v>1000.0</v>
      </c>
      <c r="R37" s="16">
        <v>3061.0</v>
      </c>
      <c r="S37" s="10" t="s">
        <v>275</v>
      </c>
      <c r="T37" s="6">
        <v>5000.0</v>
      </c>
      <c r="U37" s="6">
        <v>3646.0</v>
      </c>
      <c r="V37" s="27">
        <v>45910.0</v>
      </c>
    </row>
    <row r="38">
      <c r="A38" s="5">
        <v>39.0</v>
      </c>
      <c r="B38" s="6" t="s">
        <v>1544</v>
      </c>
      <c r="C38" s="6" t="s">
        <v>1545</v>
      </c>
      <c r="D38" s="7" t="s">
        <v>1006</v>
      </c>
      <c r="E38" s="5">
        <v>1186.0</v>
      </c>
      <c r="F38" s="10" t="s">
        <v>1546</v>
      </c>
      <c r="G38" s="15">
        <v>9.079824332E9</v>
      </c>
      <c r="H38" s="15">
        <v>0.0</v>
      </c>
      <c r="I38" s="15">
        <v>20000.0</v>
      </c>
      <c r="J38" s="16">
        <v>5000.0</v>
      </c>
      <c r="K38" s="10"/>
      <c r="L38" s="15">
        <v>3000.0</v>
      </c>
      <c r="M38" s="15">
        <f t="shared" si="1"/>
        <v>22000</v>
      </c>
      <c r="N38" s="9">
        <f t="shared" si="2"/>
        <v>14000</v>
      </c>
      <c r="O38" s="9">
        <f t="shared" si="3"/>
        <v>8000</v>
      </c>
      <c r="P38" s="10" t="s">
        <v>131</v>
      </c>
      <c r="Q38" s="16">
        <v>7000.0</v>
      </c>
      <c r="R38" s="16">
        <v>3134.0</v>
      </c>
      <c r="S38" s="17">
        <v>45696.0</v>
      </c>
      <c r="T38" s="6">
        <v>7000.0</v>
      </c>
      <c r="U38" s="6">
        <v>3910.0</v>
      </c>
      <c r="V38" s="6" t="s">
        <v>1319</v>
      </c>
    </row>
    <row r="39">
      <c r="A39" s="5">
        <v>40.0</v>
      </c>
      <c r="B39" s="6" t="s">
        <v>1547</v>
      </c>
      <c r="C39" s="6" t="s">
        <v>1548</v>
      </c>
      <c r="D39" s="7" t="s">
        <v>1006</v>
      </c>
      <c r="E39" s="5">
        <v>1537.0</v>
      </c>
      <c r="F39" s="6" t="s">
        <v>130</v>
      </c>
      <c r="G39" s="6">
        <v>9.680485884E9</v>
      </c>
      <c r="H39" s="6">
        <v>0.0</v>
      </c>
      <c r="I39" s="15">
        <v>20000.0</v>
      </c>
      <c r="J39" s="238">
        <v>5000.0</v>
      </c>
      <c r="L39" s="6">
        <v>5000.0</v>
      </c>
      <c r="M39" s="15">
        <f t="shared" si="1"/>
        <v>20000</v>
      </c>
      <c r="N39" s="9">
        <f t="shared" si="2"/>
        <v>0</v>
      </c>
      <c r="O39" s="9">
        <f t="shared" si="3"/>
        <v>20000</v>
      </c>
      <c r="P39" s="6" t="s">
        <v>44</v>
      </c>
    </row>
    <row r="40">
      <c r="A40" s="5">
        <v>42.0</v>
      </c>
      <c r="B40" s="6" t="s">
        <v>1549</v>
      </c>
      <c r="C40" s="6" t="s">
        <v>1550</v>
      </c>
      <c r="D40" s="5" t="s">
        <v>1006</v>
      </c>
      <c r="E40" s="13"/>
      <c r="F40" s="6" t="s">
        <v>400</v>
      </c>
      <c r="G40" s="6">
        <v>9.950209541E9</v>
      </c>
      <c r="H40" s="10"/>
      <c r="I40" s="14">
        <v>20000.0</v>
      </c>
      <c r="J40" s="228">
        <v>6500.0</v>
      </c>
      <c r="K40" s="10"/>
      <c r="L40" s="14">
        <v>3500.0</v>
      </c>
      <c r="M40" s="15">
        <f t="shared" si="1"/>
        <v>23000</v>
      </c>
      <c r="N40" s="9">
        <f t="shared" si="2"/>
        <v>10000</v>
      </c>
      <c r="O40" s="9">
        <f t="shared" si="3"/>
        <v>13000</v>
      </c>
      <c r="P40" s="14" t="s">
        <v>131</v>
      </c>
      <c r="Q40" s="6">
        <v>10000.0</v>
      </c>
      <c r="R40" s="6">
        <v>3398.0</v>
      </c>
      <c r="S40" s="27">
        <v>45939.0</v>
      </c>
      <c r="T40" s="10"/>
      <c r="U40" s="10"/>
      <c r="V40" s="10"/>
      <c r="W40" s="10"/>
      <c r="X40" s="10"/>
      <c r="Y40" s="10"/>
    </row>
    <row r="41">
      <c r="A41" s="5">
        <v>44.0</v>
      </c>
      <c r="B41" s="6" t="s">
        <v>1551</v>
      </c>
      <c r="C41" s="6" t="s">
        <v>470</v>
      </c>
      <c r="D41" s="7" t="s">
        <v>1006</v>
      </c>
      <c r="E41" s="5">
        <v>1390.0</v>
      </c>
      <c r="G41" s="6">
        <v>7.389423256E9</v>
      </c>
      <c r="I41" s="15">
        <v>20000.0</v>
      </c>
      <c r="J41" s="121"/>
      <c r="M41" s="15">
        <f t="shared" si="1"/>
        <v>20000</v>
      </c>
      <c r="N41" s="9">
        <f t="shared" si="2"/>
        <v>0</v>
      </c>
      <c r="O41" s="9">
        <f t="shared" si="3"/>
        <v>20000</v>
      </c>
    </row>
    <row r="42">
      <c r="A42" s="5">
        <v>45.0</v>
      </c>
      <c r="B42" s="6" t="s">
        <v>1552</v>
      </c>
      <c r="C42" s="6" t="s">
        <v>1553</v>
      </c>
      <c r="D42" s="7" t="s">
        <v>1006</v>
      </c>
      <c r="E42" s="5">
        <v>1331.0</v>
      </c>
      <c r="G42" s="6">
        <v>9.950235373E9</v>
      </c>
      <c r="I42" s="15">
        <v>20000.0</v>
      </c>
      <c r="J42" s="121"/>
      <c r="M42" s="15">
        <f t="shared" si="1"/>
        <v>20000</v>
      </c>
      <c r="N42" s="9">
        <f t="shared" si="2"/>
        <v>0</v>
      </c>
      <c r="O42" s="9">
        <f t="shared" si="3"/>
        <v>20000</v>
      </c>
      <c r="Z42" s="10"/>
      <c r="AA42" s="10"/>
      <c r="AB42" s="10"/>
    </row>
    <row r="43">
      <c r="A43" s="5">
        <v>46.0</v>
      </c>
      <c r="B43" s="6" t="s">
        <v>1554</v>
      </c>
      <c r="C43" s="6" t="s">
        <v>1555</v>
      </c>
      <c r="D43" s="7" t="s">
        <v>2</v>
      </c>
      <c r="E43" s="5">
        <v>1790.0</v>
      </c>
      <c r="F43" s="6" t="s">
        <v>33</v>
      </c>
      <c r="G43" s="6">
        <v>7.389192996E9</v>
      </c>
      <c r="I43" s="14">
        <v>23000.0</v>
      </c>
      <c r="J43" s="238">
        <v>5000.0</v>
      </c>
      <c r="L43" s="6">
        <v>1500.0</v>
      </c>
      <c r="M43" s="15">
        <f t="shared" si="1"/>
        <v>26500</v>
      </c>
      <c r="N43" s="9">
        <f t="shared" si="2"/>
        <v>14000</v>
      </c>
      <c r="O43" s="9">
        <f t="shared" si="3"/>
        <v>12500</v>
      </c>
      <c r="Q43" s="6">
        <v>8000.0</v>
      </c>
      <c r="R43" s="6">
        <v>3327.0</v>
      </c>
      <c r="S43" s="6" t="s">
        <v>321</v>
      </c>
      <c r="T43" s="6">
        <v>3000.0</v>
      </c>
      <c r="U43" s="6">
        <v>3648.0</v>
      </c>
      <c r="V43" s="27">
        <v>45910.0</v>
      </c>
      <c r="W43" s="6">
        <v>3000.0</v>
      </c>
      <c r="X43" s="6">
        <v>4009.0</v>
      </c>
      <c r="Y43" s="6" t="s">
        <v>1556</v>
      </c>
    </row>
    <row r="44">
      <c r="A44" s="5">
        <v>48.0</v>
      </c>
      <c r="B44" s="6" t="s">
        <v>28</v>
      </c>
      <c r="C44" s="6" t="s">
        <v>1557</v>
      </c>
      <c r="D44" s="7" t="s">
        <v>1006</v>
      </c>
      <c r="E44" s="5">
        <v>1548.0</v>
      </c>
      <c r="F44" s="6" t="s">
        <v>1558</v>
      </c>
      <c r="G44" s="6">
        <v>6.350084629E9</v>
      </c>
      <c r="I44" s="15">
        <v>20000.0</v>
      </c>
      <c r="J44" s="238">
        <v>8000.0</v>
      </c>
      <c r="L44" s="6">
        <v>3000.0</v>
      </c>
      <c r="M44" s="15">
        <f t="shared" si="1"/>
        <v>25000</v>
      </c>
      <c r="N44" s="9">
        <f t="shared" si="2"/>
        <v>9000</v>
      </c>
      <c r="O44" s="9">
        <f t="shared" si="3"/>
        <v>16000</v>
      </c>
      <c r="P44" s="6" t="s">
        <v>44</v>
      </c>
      <c r="Q44" s="6">
        <v>9000.0</v>
      </c>
      <c r="R44" s="6">
        <v>3745.0</v>
      </c>
      <c r="S44" s="6" t="s">
        <v>291</v>
      </c>
    </row>
    <row r="45">
      <c r="A45" s="5">
        <v>49.0</v>
      </c>
      <c r="B45" s="10" t="s">
        <v>1559</v>
      </c>
      <c r="C45" s="10" t="s">
        <v>1392</v>
      </c>
      <c r="D45" s="254" t="s">
        <v>2</v>
      </c>
      <c r="E45" s="9"/>
      <c r="F45" s="10" t="s">
        <v>1393</v>
      </c>
      <c r="G45" s="15">
        <v>9.079778576E9</v>
      </c>
      <c r="H45" s="15">
        <v>1000.0</v>
      </c>
      <c r="I45" s="14">
        <v>23000.0</v>
      </c>
      <c r="J45" s="16"/>
      <c r="K45" s="10"/>
      <c r="L45" s="15">
        <v>12500.0</v>
      </c>
      <c r="M45" s="15">
        <f t="shared" si="1"/>
        <v>11500</v>
      </c>
      <c r="N45" s="9">
        <f t="shared" si="2"/>
        <v>5000</v>
      </c>
      <c r="O45" s="9">
        <f t="shared" si="3"/>
        <v>6500</v>
      </c>
      <c r="P45" s="10" t="s">
        <v>131</v>
      </c>
      <c r="Q45" s="16">
        <v>5000.0</v>
      </c>
      <c r="R45" s="16">
        <v>3104.0</v>
      </c>
      <c r="S45" s="10" t="s">
        <v>496</v>
      </c>
      <c r="T45" s="10"/>
      <c r="U45" s="10"/>
      <c r="V45" s="10"/>
      <c r="W45" s="10"/>
      <c r="X45" s="10"/>
      <c r="Y45" s="10"/>
    </row>
    <row r="46">
      <c r="A46" s="5">
        <v>50.0</v>
      </c>
      <c r="B46" s="6" t="s">
        <v>1560</v>
      </c>
      <c r="C46" s="6" t="s">
        <v>1561</v>
      </c>
      <c r="D46" s="7" t="s">
        <v>1006</v>
      </c>
      <c r="E46" s="5">
        <v>1187.0</v>
      </c>
      <c r="F46" s="10" t="s">
        <v>1052</v>
      </c>
      <c r="G46" s="15">
        <v>8.003911204E9</v>
      </c>
      <c r="H46" s="10"/>
      <c r="I46" s="15">
        <v>20000.0</v>
      </c>
      <c r="J46" s="228">
        <v>7500.0</v>
      </c>
      <c r="K46" s="10"/>
      <c r="L46" s="10"/>
      <c r="M46" s="15">
        <f t="shared" si="1"/>
        <v>27500</v>
      </c>
      <c r="N46" s="9">
        <f t="shared" si="2"/>
        <v>10000</v>
      </c>
      <c r="O46" s="9">
        <f t="shared" si="3"/>
        <v>17500</v>
      </c>
      <c r="P46" s="10"/>
      <c r="Q46" s="16">
        <v>5000.0</v>
      </c>
      <c r="R46" s="16">
        <v>3087.0</v>
      </c>
      <c r="S46" s="10" t="s">
        <v>1074</v>
      </c>
      <c r="T46" s="6">
        <v>5000.0</v>
      </c>
      <c r="U46" s="6">
        <v>3549.0</v>
      </c>
      <c r="V46" s="27">
        <v>45818.0</v>
      </c>
    </row>
    <row r="47">
      <c r="A47" s="5">
        <v>51.0</v>
      </c>
      <c r="B47" s="6" t="s">
        <v>1562</v>
      </c>
      <c r="C47" s="6" t="s">
        <v>1563</v>
      </c>
      <c r="D47" s="7" t="s">
        <v>1006</v>
      </c>
      <c r="E47" s="5">
        <v>1200.0</v>
      </c>
      <c r="F47" s="10" t="s">
        <v>264</v>
      </c>
      <c r="G47" s="15">
        <v>9.680047814E9</v>
      </c>
      <c r="H47" s="15">
        <v>0.0</v>
      </c>
      <c r="I47" s="15">
        <v>20000.0</v>
      </c>
      <c r="J47" s="16">
        <v>6500.0</v>
      </c>
      <c r="K47" s="10"/>
      <c r="L47" s="15">
        <v>3000.0</v>
      </c>
      <c r="M47" s="15">
        <f t="shared" si="1"/>
        <v>23500</v>
      </c>
      <c r="N47" s="9">
        <f t="shared" si="2"/>
        <v>8000</v>
      </c>
      <c r="O47" s="9">
        <f t="shared" si="3"/>
        <v>15500</v>
      </c>
      <c r="P47" s="10" t="s">
        <v>159</v>
      </c>
      <c r="Q47" s="6">
        <v>8000.0</v>
      </c>
      <c r="R47" s="6">
        <v>3717.0</v>
      </c>
      <c r="S47" s="240">
        <v>45971.0</v>
      </c>
    </row>
    <row r="48">
      <c r="A48" s="5">
        <v>52.0</v>
      </c>
      <c r="B48" s="6" t="s">
        <v>1564</v>
      </c>
      <c r="C48" s="6" t="s">
        <v>1565</v>
      </c>
      <c r="D48" s="7" t="s">
        <v>2</v>
      </c>
      <c r="E48" s="5">
        <v>1628.0</v>
      </c>
      <c r="G48" s="6">
        <v>7.728041775E9</v>
      </c>
      <c r="I48" s="14">
        <v>23000.0</v>
      </c>
      <c r="J48" s="121"/>
      <c r="L48" s="6">
        <v>23000.0</v>
      </c>
      <c r="M48" s="15">
        <f t="shared" si="1"/>
        <v>0</v>
      </c>
      <c r="N48" s="9">
        <f t="shared" si="2"/>
        <v>0</v>
      </c>
      <c r="O48" s="9">
        <f t="shared" si="3"/>
        <v>0</v>
      </c>
      <c r="P48" s="6" t="s">
        <v>34</v>
      </c>
    </row>
    <row r="49">
      <c r="A49" s="5">
        <v>53.0</v>
      </c>
      <c r="B49" s="6" t="s">
        <v>1566</v>
      </c>
      <c r="C49" s="6" t="s">
        <v>1567</v>
      </c>
      <c r="D49" s="7" t="s">
        <v>1006</v>
      </c>
      <c r="E49" s="5">
        <v>1399.0</v>
      </c>
      <c r="G49" s="286">
        <v>8.000617146E9</v>
      </c>
      <c r="I49" s="15">
        <v>20000.0</v>
      </c>
      <c r="J49" s="121"/>
      <c r="M49" s="15">
        <f t="shared" si="1"/>
        <v>20000</v>
      </c>
      <c r="N49" s="9">
        <f t="shared" si="2"/>
        <v>0</v>
      </c>
      <c r="O49" s="9">
        <f t="shared" si="3"/>
        <v>20000</v>
      </c>
    </row>
    <row r="50">
      <c r="A50" s="5">
        <v>54.0</v>
      </c>
      <c r="B50" s="6" t="s">
        <v>1568</v>
      </c>
      <c r="C50" s="6" t="s">
        <v>310</v>
      </c>
      <c r="D50" s="7" t="s">
        <v>1006</v>
      </c>
      <c r="E50" s="5">
        <v>1327.0</v>
      </c>
      <c r="F50" s="6" t="s">
        <v>616</v>
      </c>
      <c r="G50" s="6">
        <v>7.414802251E9</v>
      </c>
      <c r="H50" s="6">
        <v>0.0</v>
      </c>
      <c r="I50" s="15">
        <v>20000.0</v>
      </c>
      <c r="J50" s="238">
        <v>9000.0</v>
      </c>
      <c r="L50" s="6">
        <v>0.0</v>
      </c>
      <c r="M50" s="15">
        <f t="shared" si="1"/>
        <v>29000</v>
      </c>
      <c r="N50" s="9">
        <f t="shared" si="2"/>
        <v>0</v>
      </c>
      <c r="O50" s="9">
        <f t="shared" si="3"/>
        <v>29000</v>
      </c>
    </row>
    <row r="51">
      <c r="A51" s="5">
        <v>55.0</v>
      </c>
      <c r="B51" s="6" t="s">
        <v>1569</v>
      </c>
      <c r="C51" s="6" t="s">
        <v>1265</v>
      </c>
      <c r="D51" s="7" t="s">
        <v>1006</v>
      </c>
      <c r="E51" s="5">
        <v>1178.0</v>
      </c>
      <c r="F51" s="10" t="s">
        <v>534</v>
      </c>
      <c r="G51" s="15">
        <v>9.001215143E9</v>
      </c>
      <c r="H51" s="15">
        <v>0.0</v>
      </c>
      <c r="I51" s="15">
        <v>20000.0</v>
      </c>
      <c r="J51" s="16">
        <v>5000.0</v>
      </c>
      <c r="K51" s="10"/>
      <c r="L51" s="15">
        <v>2000.0</v>
      </c>
      <c r="M51" s="15">
        <f t="shared" si="1"/>
        <v>23000</v>
      </c>
      <c r="N51" s="9">
        <f t="shared" si="2"/>
        <v>17000</v>
      </c>
      <c r="O51" s="9">
        <f t="shared" si="3"/>
        <v>6000</v>
      </c>
      <c r="P51" s="10" t="s">
        <v>131</v>
      </c>
      <c r="Q51" s="16">
        <v>8000.0</v>
      </c>
      <c r="R51" s="16">
        <v>3023.0</v>
      </c>
      <c r="S51" s="10" t="s">
        <v>290</v>
      </c>
      <c r="T51" s="6">
        <v>9000.0</v>
      </c>
      <c r="U51" s="6">
        <v>3719.0</v>
      </c>
      <c r="V51" s="6" t="s">
        <v>1266</v>
      </c>
    </row>
    <row r="52">
      <c r="A52" s="5">
        <v>56.0</v>
      </c>
      <c r="B52" s="6" t="s">
        <v>1570</v>
      </c>
      <c r="C52" s="6" t="s">
        <v>1571</v>
      </c>
      <c r="D52" s="7" t="s">
        <v>1006</v>
      </c>
      <c r="E52" s="5">
        <v>1184.0</v>
      </c>
      <c r="G52" s="6">
        <v>9.636150544E9</v>
      </c>
      <c r="H52" s="242"/>
      <c r="I52" s="252">
        <v>20000.0</v>
      </c>
      <c r="J52" s="256"/>
      <c r="K52" s="242"/>
      <c r="L52" s="242"/>
      <c r="M52" s="15">
        <f t="shared" si="1"/>
        <v>20000</v>
      </c>
      <c r="N52" s="9">
        <f t="shared" si="2"/>
        <v>10000</v>
      </c>
      <c r="O52" s="9">
        <f t="shared" si="3"/>
        <v>10000</v>
      </c>
      <c r="P52" s="242"/>
      <c r="Q52" s="244">
        <v>5000.0</v>
      </c>
      <c r="R52" s="244">
        <v>3391.0</v>
      </c>
      <c r="S52" s="279">
        <v>45909.0</v>
      </c>
      <c r="T52" s="6">
        <v>5000.0</v>
      </c>
      <c r="U52" s="6">
        <v>3626.0</v>
      </c>
      <c r="V52" s="27">
        <v>45879.0</v>
      </c>
      <c r="Z52" s="10"/>
      <c r="AA52" s="10"/>
      <c r="AB52" s="10"/>
    </row>
    <row r="53">
      <c r="A53" s="5">
        <v>57.0</v>
      </c>
      <c r="B53" s="6" t="s">
        <v>1572</v>
      </c>
      <c r="C53" s="6" t="s">
        <v>1573</v>
      </c>
      <c r="D53" s="7" t="s">
        <v>1006</v>
      </c>
      <c r="E53" s="5">
        <v>1208.0</v>
      </c>
      <c r="F53" s="6" t="s">
        <v>1574</v>
      </c>
      <c r="G53" s="6">
        <v>9.950456068E9</v>
      </c>
      <c r="I53" s="15">
        <v>20000.0</v>
      </c>
      <c r="J53" s="238">
        <v>10000.0</v>
      </c>
      <c r="L53" s="6">
        <v>3000.0</v>
      </c>
      <c r="M53" s="15">
        <f t="shared" si="1"/>
        <v>27000</v>
      </c>
      <c r="N53" s="9">
        <f t="shared" si="2"/>
        <v>11000</v>
      </c>
      <c r="O53" s="9">
        <f t="shared" si="3"/>
        <v>16000</v>
      </c>
      <c r="P53" s="6" t="s">
        <v>1575</v>
      </c>
      <c r="Q53" s="6">
        <v>5000.0</v>
      </c>
      <c r="R53" s="6">
        <v>3482.0</v>
      </c>
      <c r="S53" s="27">
        <v>45757.0</v>
      </c>
      <c r="T53" s="6">
        <v>6000.0</v>
      </c>
      <c r="U53" s="6">
        <v>3613.0</v>
      </c>
      <c r="V53" s="27">
        <v>45879.0</v>
      </c>
    </row>
    <row r="54">
      <c r="A54" s="5">
        <v>59.0</v>
      </c>
      <c r="B54" s="6" t="s">
        <v>1576</v>
      </c>
      <c r="C54" s="6" t="s">
        <v>1577</v>
      </c>
      <c r="D54" s="7" t="s">
        <v>1006</v>
      </c>
      <c r="E54" s="5">
        <v>1609.0</v>
      </c>
      <c r="G54" s="6">
        <v>8.890684864E9</v>
      </c>
      <c r="I54" s="15">
        <v>20000.0</v>
      </c>
      <c r="J54" s="121"/>
      <c r="M54" s="15">
        <f t="shared" si="1"/>
        <v>20000</v>
      </c>
      <c r="N54" s="9">
        <f t="shared" si="2"/>
        <v>0</v>
      </c>
      <c r="O54" s="9">
        <f t="shared" si="3"/>
        <v>20000</v>
      </c>
    </row>
    <row r="55">
      <c r="A55" s="5">
        <v>61.0</v>
      </c>
      <c r="B55" s="6" t="s">
        <v>1578</v>
      </c>
      <c r="C55" s="6" t="s">
        <v>1579</v>
      </c>
      <c r="D55" s="7" t="s">
        <v>1006</v>
      </c>
      <c r="E55" s="5">
        <v>1190.0</v>
      </c>
      <c r="F55" s="10" t="s">
        <v>361</v>
      </c>
      <c r="G55" s="15">
        <v>9.929512201E9</v>
      </c>
      <c r="H55" s="15">
        <v>0.0</v>
      </c>
      <c r="I55" s="15">
        <v>20000.0</v>
      </c>
      <c r="J55" s="16">
        <v>5000.0</v>
      </c>
      <c r="K55" s="10"/>
      <c r="L55" s="15">
        <v>4000.0</v>
      </c>
      <c r="M55" s="15">
        <f t="shared" si="1"/>
        <v>21000</v>
      </c>
      <c r="N55" s="9">
        <f t="shared" si="2"/>
        <v>10000</v>
      </c>
      <c r="O55" s="9">
        <f t="shared" si="3"/>
        <v>11000</v>
      </c>
      <c r="P55" s="10" t="s">
        <v>44</v>
      </c>
      <c r="Q55" s="16">
        <v>10000.0</v>
      </c>
      <c r="R55" s="16">
        <v>3095.0</v>
      </c>
      <c r="S55" s="10" t="s">
        <v>206</v>
      </c>
    </row>
    <row r="56">
      <c r="A56" s="5">
        <v>62.0</v>
      </c>
      <c r="B56" s="6" t="s">
        <v>1580</v>
      </c>
      <c r="C56" s="6" t="s">
        <v>1581</v>
      </c>
      <c r="D56" s="7" t="s">
        <v>1006</v>
      </c>
      <c r="E56" s="5">
        <v>1204.0</v>
      </c>
      <c r="G56" s="6">
        <v>9.950456068E9</v>
      </c>
      <c r="I56" s="15">
        <v>20000.0</v>
      </c>
      <c r="J56" s="121"/>
      <c r="M56" s="15">
        <f t="shared" si="1"/>
        <v>20000</v>
      </c>
      <c r="N56" s="9">
        <f t="shared" si="2"/>
        <v>15000</v>
      </c>
      <c r="O56" s="9">
        <f t="shared" si="3"/>
        <v>5000</v>
      </c>
      <c r="Q56" s="6">
        <v>10000.0</v>
      </c>
      <c r="R56" s="6">
        <v>3641.0</v>
      </c>
      <c r="S56" s="27">
        <v>45910.0</v>
      </c>
      <c r="T56" s="6">
        <v>5000.0</v>
      </c>
      <c r="U56" s="6">
        <v>4010.0</v>
      </c>
      <c r="V56" s="6" t="s">
        <v>312</v>
      </c>
    </row>
    <row r="57">
      <c r="A57" s="5">
        <v>63.0</v>
      </c>
      <c r="B57" s="6" t="s">
        <v>1582</v>
      </c>
      <c r="C57" s="6" t="s">
        <v>1022</v>
      </c>
      <c r="D57" s="7" t="s">
        <v>2</v>
      </c>
      <c r="E57" s="5">
        <v>1163.0</v>
      </c>
      <c r="F57" s="10" t="s">
        <v>381</v>
      </c>
      <c r="G57" s="15">
        <v>9.602904127E9</v>
      </c>
      <c r="H57" s="15">
        <v>0.0</v>
      </c>
      <c r="I57" s="14">
        <v>23000.0</v>
      </c>
      <c r="J57" s="16">
        <v>6500.0</v>
      </c>
      <c r="K57" s="10"/>
      <c r="L57" s="10"/>
      <c r="M57" s="15">
        <f t="shared" si="1"/>
        <v>29500</v>
      </c>
      <c r="N57" s="9">
        <f t="shared" si="2"/>
        <v>14000</v>
      </c>
      <c r="O57" s="9">
        <f t="shared" si="3"/>
        <v>15500</v>
      </c>
      <c r="P57" s="10"/>
      <c r="Q57" s="16">
        <v>3000.0</v>
      </c>
      <c r="R57" s="16">
        <v>3165.0</v>
      </c>
      <c r="S57" s="17">
        <v>45816.0</v>
      </c>
      <c r="T57" s="6">
        <v>6000.0</v>
      </c>
      <c r="U57" s="6">
        <v>3521.0</v>
      </c>
      <c r="V57" s="27">
        <v>45818.0</v>
      </c>
      <c r="W57" s="6">
        <v>5000.0</v>
      </c>
      <c r="X57" s="6">
        <v>3786.0</v>
      </c>
      <c r="Y57" s="27">
        <v>45880.0</v>
      </c>
    </row>
    <row r="58">
      <c r="A58" s="5">
        <v>64.0</v>
      </c>
      <c r="B58" s="6" t="s">
        <v>1583</v>
      </c>
      <c r="C58" s="6" t="s">
        <v>239</v>
      </c>
      <c r="D58" s="7" t="s">
        <v>2</v>
      </c>
      <c r="E58" s="5">
        <v>1920.0</v>
      </c>
      <c r="F58" s="10" t="s">
        <v>240</v>
      </c>
      <c r="G58" s="15">
        <v>8.290014557E9</v>
      </c>
      <c r="H58" s="15">
        <v>1000.0</v>
      </c>
      <c r="I58" s="14">
        <v>23000.0</v>
      </c>
      <c r="J58" s="16">
        <v>9500.0</v>
      </c>
      <c r="K58" s="10"/>
      <c r="L58" s="15">
        <v>3500.0</v>
      </c>
      <c r="M58" s="15">
        <f t="shared" si="1"/>
        <v>30000</v>
      </c>
      <c r="N58" s="9">
        <f t="shared" si="2"/>
        <v>2000</v>
      </c>
      <c r="O58" s="9">
        <f t="shared" si="3"/>
        <v>28000</v>
      </c>
      <c r="P58" s="10" t="s">
        <v>44</v>
      </c>
      <c r="Q58" s="6">
        <v>2000.0</v>
      </c>
      <c r="R58" s="6">
        <v>3345.0</v>
      </c>
      <c r="S58" s="6" t="s">
        <v>140</v>
      </c>
      <c r="Z58" s="6"/>
      <c r="AA58" s="6"/>
      <c r="AB58" s="6"/>
    </row>
    <row r="59">
      <c r="A59" s="5">
        <v>65.0</v>
      </c>
      <c r="B59" s="6" t="s">
        <v>1584</v>
      </c>
      <c r="C59" s="6" t="s">
        <v>1585</v>
      </c>
      <c r="D59" s="7" t="s">
        <v>1006</v>
      </c>
      <c r="E59" s="5">
        <v>1203.0</v>
      </c>
      <c r="G59" s="6">
        <v>9.799034904E9</v>
      </c>
      <c r="I59" s="15">
        <v>20000.0</v>
      </c>
      <c r="J59" s="121"/>
      <c r="M59" s="15">
        <f t="shared" si="1"/>
        <v>20000</v>
      </c>
      <c r="N59" s="9">
        <f t="shared" si="2"/>
        <v>9000</v>
      </c>
      <c r="O59" s="9">
        <f t="shared" si="3"/>
        <v>11000</v>
      </c>
      <c r="Q59" s="6">
        <v>9000.0</v>
      </c>
      <c r="R59" s="6">
        <v>3728.0</v>
      </c>
      <c r="S59" s="6" t="s">
        <v>703</v>
      </c>
    </row>
    <row r="60">
      <c r="A60" s="5">
        <v>66.0</v>
      </c>
      <c r="B60" s="6" t="s">
        <v>1586</v>
      </c>
      <c r="C60" s="6" t="s">
        <v>1587</v>
      </c>
      <c r="D60" s="7" t="s">
        <v>1006</v>
      </c>
      <c r="E60" s="5">
        <v>1069.0</v>
      </c>
      <c r="F60" s="6" t="s">
        <v>340</v>
      </c>
      <c r="G60" s="6">
        <v>9.799984675E9</v>
      </c>
      <c r="H60" s="6">
        <v>0.0</v>
      </c>
      <c r="I60" s="15">
        <v>20000.0</v>
      </c>
      <c r="J60" s="238">
        <v>7000.0</v>
      </c>
      <c r="L60" s="6">
        <v>4000.0</v>
      </c>
      <c r="M60" s="15">
        <f t="shared" si="1"/>
        <v>23000</v>
      </c>
      <c r="N60" s="9">
        <f t="shared" si="2"/>
        <v>17000</v>
      </c>
      <c r="O60" s="9">
        <f t="shared" si="3"/>
        <v>6000</v>
      </c>
      <c r="P60" s="6" t="s">
        <v>44</v>
      </c>
      <c r="Q60" s="6">
        <v>17000.0</v>
      </c>
      <c r="R60" s="6">
        <v>3295.0</v>
      </c>
      <c r="S60" s="6" t="s">
        <v>962</v>
      </c>
      <c r="T60" s="6"/>
      <c r="U60" s="6"/>
      <c r="V60" s="6"/>
      <c r="W60" s="6"/>
      <c r="X60" s="6"/>
      <c r="Y60" s="6"/>
    </row>
    <row r="61">
      <c r="A61" s="5">
        <v>67.0</v>
      </c>
      <c r="B61" s="6" t="s">
        <v>1588</v>
      </c>
      <c r="C61" s="6" t="s">
        <v>1589</v>
      </c>
      <c r="D61" s="7" t="s">
        <v>2</v>
      </c>
      <c r="E61" s="5">
        <v>1990.0</v>
      </c>
      <c r="F61" s="6" t="s">
        <v>1590</v>
      </c>
      <c r="G61" s="6">
        <v>9.001630766E9</v>
      </c>
      <c r="H61" s="6">
        <v>1000.0</v>
      </c>
      <c r="I61" s="14">
        <v>23000.0</v>
      </c>
      <c r="J61" s="238">
        <v>7000.0</v>
      </c>
      <c r="L61" s="6">
        <v>4500.0</v>
      </c>
      <c r="M61" s="15">
        <f t="shared" si="1"/>
        <v>26500</v>
      </c>
      <c r="N61" s="9">
        <f t="shared" si="2"/>
        <v>19000</v>
      </c>
      <c r="O61" s="9">
        <f t="shared" si="3"/>
        <v>7500</v>
      </c>
      <c r="P61" s="6" t="s">
        <v>44</v>
      </c>
      <c r="Q61" s="6">
        <v>15000.0</v>
      </c>
      <c r="R61" s="6">
        <v>3577.0</v>
      </c>
      <c r="S61" s="27">
        <v>45848.0</v>
      </c>
      <c r="T61" s="6">
        <v>4000.0</v>
      </c>
      <c r="U61" s="6">
        <v>3817.0</v>
      </c>
      <c r="V61" s="240">
        <v>45941.0</v>
      </c>
    </row>
    <row r="62">
      <c r="A62" s="5">
        <v>69.0</v>
      </c>
      <c r="B62" s="6" t="s">
        <v>1591</v>
      </c>
      <c r="C62" s="6" t="s">
        <v>1592</v>
      </c>
      <c r="D62" s="7" t="s">
        <v>1006</v>
      </c>
      <c r="E62" s="5">
        <v>1988.0</v>
      </c>
      <c r="F62" s="6" t="s">
        <v>1593</v>
      </c>
      <c r="G62" s="6">
        <v>7.726849507E9</v>
      </c>
      <c r="H62" s="6">
        <v>1000.0</v>
      </c>
      <c r="I62" s="15">
        <v>20000.0</v>
      </c>
      <c r="J62" s="238">
        <v>7000.0</v>
      </c>
      <c r="L62" s="6">
        <v>6000.0</v>
      </c>
      <c r="M62" s="15">
        <f t="shared" si="1"/>
        <v>22000</v>
      </c>
      <c r="N62" s="9">
        <f t="shared" si="2"/>
        <v>10000</v>
      </c>
      <c r="O62" s="9">
        <f t="shared" si="3"/>
        <v>12000</v>
      </c>
      <c r="P62" s="6" t="s">
        <v>44</v>
      </c>
      <c r="Q62" s="6">
        <v>5000.0</v>
      </c>
      <c r="S62" s="6" t="s">
        <v>1594</v>
      </c>
      <c r="T62" s="6">
        <v>5000.0</v>
      </c>
      <c r="U62" s="6">
        <v>3347.0</v>
      </c>
      <c r="V62" s="6" t="s">
        <v>140</v>
      </c>
    </row>
    <row r="63">
      <c r="A63" s="5">
        <v>70.0</v>
      </c>
      <c r="B63" s="6" t="s">
        <v>1595</v>
      </c>
      <c r="C63" s="6" t="s">
        <v>69</v>
      </c>
      <c r="D63" s="7" t="s">
        <v>1006</v>
      </c>
      <c r="E63" s="5">
        <v>1384.0</v>
      </c>
      <c r="F63" s="10"/>
      <c r="G63" s="15">
        <v>9.521491144E9</v>
      </c>
      <c r="H63" s="15">
        <v>0.0</v>
      </c>
      <c r="I63" s="15">
        <v>20000.0</v>
      </c>
      <c r="J63" s="16">
        <v>6500.0</v>
      </c>
      <c r="K63" s="10"/>
      <c r="L63" s="15">
        <v>13250.0</v>
      </c>
      <c r="M63" s="15">
        <f t="shared" si="1"/>
        <v>13250</v>
      </c>
      <c r="N63" s="9">
        <f t="shared" si="2"/>
        <v>0</v>
      </c>
      <c r="O63" s="9">
        <f t="shared" si="3"/>
        <v>13250</v>
      </c>
      <c r="P63" s="10" t="s">
        <v>44</v>
      </c>
    </row>
    <row r="64">
      <c r="A64" s="5">
        <v>71.0</v>
      </c>
      <c r="B64" s="6" t="s">
        <v>1596</v>
      </c>
      <c r="C64" s="6" t="s">
        <v>1597</v>
      </c>
      <c r="D64" s="7" t="s">
        <v>2</v>
      </c>
      <c r="E64" s="5">
        <v>1720.0</v>
      </c>
      <c r="G64" s="6">
        <v>6.378144891E9</v>
      </c>
      <c r="I64" s="14">
        <v>23000.0</v>
      </c>
      <c r="J64" s="121"/>
      <c r="M64" s="15">
        <f t="shared" si="1"/>
        <v>23000</v>
      </c>
      <c r="N64" s="9">
        <f t="shared" si="2"/>
        <v>0</v>
      </c>
      <c r="O64" s="9">
        <f t="shared" si="3"/>
        <v>23000</v>
      </c>
    </row>
    <row r="65">
      <c r="A65" s="5">
        <v>72.0</v>
      </c>
      <c r="B65" s="6" t="s">
        <v>1598</v>
      </c>
      <c r="C65" s="6" t="s">
        <v>1599</v>
      </c>
      <c r="D65" s="7" t="s">
        <v>1006</v>
      </c>
      <c r="E65" s="5">
        <v>1191.0</v>
      </c>
      <c r="F65" s="10" t="s">
        <v>130</v>
      </c>
      <c r="G65" s="15">
        <v>6.377591734E9</v>
      </c>
      <c r="H65" s="15">
        <v>0.0</v>
      </c>
      <c r="I65" s="15">
        <v>20000.0</v>
      </c>
      <c r="J65" s="16">
        <v>5000.0</v>
      </c>
      <c r="K65" s="10"/>
      <c r="L65" s="15">
        <v>3500.0</v>
      </c>
      <c r="M65" s="15">
        <f t="shared" si="1"/>
        <v>21500</v>
      </c>
      <c r="N65" s="9">
        <f t="shared" si="2"/>
        <v>11000</v>
      </c>
      <c r="O65" s="9">
        <f t="shared" si="3"/>
        <v>10500</v>
      </c>
      <c r="P65" s="10" t="s">
        <v>159</v>
      </c>
      <c r="Q65" s="16">
        <v>5000.0</v>
      </c>
      <c r="R65" s="16">
        <v>3092.0</v>
      </c>
      <c r="S65" s="10" t="s">
        <v>206</v>
      </c>
      <c r="T65" s="6">
        <v>4000.0</v>
      </c>
      <c r="U65" s="6">
        <v>3404.0</v>
      </c>
      <c r="V65" s="27">
        <v>45970.0</v>
      </c>
      <c r="W65" s="6">
        <v>2000.0</v>
      </c>
      <c r="X65" s="6">
        <v>3444.0</v>
      </c>
      <c r="Y65" s="6" t="s">
        <v>217</v>
      </c>
      <c r="Z65" s="6">
        <v>4000.0</v>
      </c>
      <c r="AA65" s="6">
        <v>3907.0</v>
      </c>
      <c r="AB65" s="6" t="s">
        <v>1319</v>
      </c>
    </row>
    <row r="66">
      <c r="A66" s="5">
        <v>73.0</v>
      </c>
      <c r="B66" s="6" t="s">
        <v>1600</v>
      </c>
      <c r="C66" s="6" t="s">
        <v>1601</v>
      </c>
      <c r="D66" s="7" t="s">
        <v>1006</v>
      </c>
      <c r="E66" s="5">
        <v>947.0</v>
      </c>
      <c r="F66" s="10" t="s">
        <v>3</v>
      </c>
      <c r="G66" s="15">
        <v>9.950093108E9</v>
      </c>
      <c r="H66" s="10"/>
      <c r="I66" s="15">
        <v>20000.0</v>
      </c>
      <c r="J66" s="228">
        <v>6500.0</v>
      </c>
      <c r="K66" s="10"/>
      <c r="L66" s="10"/>
      <c r="M66" s="15">
        <f t="shared" si="1"/>
        <v>26500</v>
      </c>
      <c r="N66" s="9">
        <f t="shared" si="2"/>
        <v>11000</v>
      </c>
      <c r="O66" s="9">
        <f t="shared" si="3"/>
        <v>15500</v>
      </c>
      <c r="P66" s="10"/>
      <c r="Q66" s="16">
        <v>6000.0</v>
      </c>
      <c r="R66" s="16">
        <v>3164.0</v>
      </c>
      <c r="S66" s="17">
        <v>45816.0</v>
      </c>
      <c r="T66" s="6">
        <v>5000.0</v>
      </c>
      <c r="U66" s="6">
        <v>3683.0</v>
      </c>
      <c r="V66" s="27">
        <v>45910.0</v>
      </c>
    </row>
    <row r="67">
      <c r="A67" s="5">
        <v>74.0</v>
      </c>
      <c r="B67" s="6" t="s">
        <v>1602</v>
      </c>
      <c r="C67" s="6" t="s">
        <v>1213</v>
      </c>
      <c r="D67" s="7" t="s">
        <v>1006</v>
      </c>
      <c r="E67" s="5">
        <v>1900.0</v>
      </c>
      <c r="G67" s="6">
        <v>9.950359273E9</v>
      </c>
      <c r="I67" s="15">
        <v>20000.0</v>
      </c>
      <c r="J67" s="238">
        <v>5000.0</v>
      </c>
      <c r="L67" s="6">
        <v>3500.0</v>
      </c>
      <c r="M67" s="15">
        <f t="shared" si="1"/>
        <v>21500</v>
      </c>
      <c r="N67" s="9">
        <f t="shared" si="2"/>
        <v>10000</v>
      </c>
      <c r="O67" s="9">
        <f t="shared" si="3"/>
        <v>11500</v>
      </c>
      <c r="Q67" s="16">
        <v>5000.0</v>
      </c>
      <c r="R67" s="16">
        <v>2994.0</v>
      </c>
      <c r="S67" s="10" t="s">
        <v>191</v>
      </c>
      <c r="T67" s="6">
        <v>5000.0</v>
      </c>
      <c r="U67" s="6">
        <v>3920.0</v>
      </c>
      <c r="V67" s="6" t="s">
        <v>349</v>
      </c>
    </row>
    <row r="68">
      <c r="A68" s="5">
        <v>75.0</v>
      </c>
      <c r="B68" s="6" t="s">
        <v>1541</v>
      </c>
      <c r="C68" s="6" t="s">
        <v>1542</v>
      </c>
      <c r="D68" s="7" t="s">
        <v>1603</v>
      </c>
      <c r="E68" s="5">
        <v>1938.0</v>
      </c>
      <c r="F68" s="6" t="s">
        <v>165</v>
      </c>
      <c r="J68" s="121"/>
      <c r="M68" s="9"/>
      <c r="N68" s="9"/>
      <c r="O68" s="9"/>
    </row>
    <row r="69">
      <c r="A69" s="9"/>
      <c r="D69" s="13"/>
      <c r="E69" s="9"/>
      <c r="J69" s="121"/>
      <c r="M69" s="9"/>
      <c r="N69" s="9"/>
      <c r="O69" s="9"/>
    </row>
    <row r="70">
      <c r="A70" s="9"/>
      <c r="D70" s="13"/>
      <c r="E70" s="9"/>
      <c r="J70" s="121"/>
      <c r="M70" s="9"/>
      <c r="N70" s="9"/>
      <c r="O70" s="9"/>
    </row>
    <row r="71">
      <c r="A71" s="9"/>
      <c r="D71" s="13"/>
      <c r="E71" s="9"/>
      <c r="J71" s="121"/>
      <c r="M71" s="9"/>
      <c r="N71" s="9"/>
      <c r="O71" s="9"/>
    </row>
    <row r="72">
      <c r="A72" s="9"/>
      <c r="D72" s="13"/>
      <c r="E72" s="9"/>
      <c r="J72" s="121"/>
      <c r="M72" s="9"/>
      <c r="N72" s="9"/>
      <c r="O72" s="9"/>
    </row>
    <row r="73">
      <c r="A73" s="9"/>
      <c r="D73" s="13"/>
      <c r="E73" s="9"/>
      <c r="J73" s="121"/>
      <c r="M73" s="9"/>
      <c r="N73" s="9"/>
      <c r="O73" s="9"/>
    </row>
    <row r="74">
      <c r="A74" s="9"/>
      <c r="D74" s="13"/>
      <c r="E74" s="9"/>
      <c r="J74" s="121"/>
      <c r="M74" s="9"/>
      <c r="N74" s="9"/>
      <c r="O74" s="9"/>
    </row>
    <row r="75">
      <c r="A75" s="9"/>
      <c r="D75" s="13"/>
      <c r="E75" s="9"/>
      <c r="J75" s="121"/>
      <c r="M75" s="9"/>
      <c r="N75" s="9"/>
      <c r="O75" s="9"/>
    </row>
    <row r="76">
      <c r="A76" s="9"/>
      <c r="D76" s="13"/>
      <c r="E76" s="9"/>
      <c r="J76" s="121"/>
      <c r="M76" s="9"/>
      <c r="N76" s="9"/>
      <c r="O76" s="9"/>
    </row>
    <row r="77">
      <c r="A77" s="9"/>
      <c r="D77" s="13"/>
      <c r="E77" s="9"/>
      <c r="J77" s="121"/>
      <c r="M77" s="9"/>
      <c r="N77" s="9"/>
      <c r="O77" s="9"/>
    </row>
    <row r="78">
      <c r="A78" s="9"/>
      <c r="D78" s="13"/>
      <c r="E78" s="9"/>
      <c r="J78" s="121"/>
      <c r="M78" s="9"/>
      <c r="N78" s="9"/>
      <c r="O78" s="9"/>
    </row>
    <row r="79">
      <c r="A79" s="9"/>
      <c r="D79" s="13"/>
      <c r="E79" s="9"/>
      <c r="J79" s="121"/>
      <c r="M79" s="9"/>
      <c r="N79" s="9"/>
      <c r="O79" s="9"/>
    </row>
    <row r="80">
      <c r="A80" s="9"/>
      <c r="D80" s="13"/>
      <c r="E80" s="9"/>
      <c r="J80" s="121"/>
      <c r="M80" s="9"/>
      <c r="N80" s="9"/>
      <c r="O80" s="9"/>
    </row>
    <row r="81">
      <c r="A81" s="9"/>
      <c r="D81" s="13"/>
      <c r="E81" s="9"/>
      <c r="J81" s="121"/>
      <c r="M81" s="9"/>
      <c r="N81" s="9"/>
      <c r="O81" s="9"/>
    </row>
    <row r="82">
      <c r="A82" s="9"/>
      <c r="D82" s="13"/>
      <c r="E82" s="9"/>
      <c r="J82" s="121"/>
      <c r="M82" s="9"/>
      <c r="N82" s="9"/>
      <c r="O82" s="9"/>
    </row>
    <row r="83">
      <c r="A83" s="9"/>
      <c r="D83" s="13"/>
      <c r="E83" s="9"/>
      <c r="J83" s="121"/>
      <c r="M83" s="9"/>
      <c r="N83" s="9"/>
      <c r="O83" s="9"/>
    </row>
    <row r="84">
      <c r="A84" s="9"/>
      <c r="D84" s="13"/>
      <c r="E84" s="9"/>
      <c r="J84" s="121"/>
      <c r="M84" s="9"/>
      <c r="N84" s="9"/>
      <c r="O84" s="9"/>
    </row>
    <row r="85">
      <c r="A85" s="9"/>
      <c r="D85" s="13"/>
      <c r="E85" s="9"/>
      <c r="J85" s="121"/>
      <c r="M85" s="9"/>
      <c r="N85" s="9"/>
      <c r="O85" s="9"/>
    </row>
    <row r="86">
      <c r="A86" s="9"/>
      <c r="D86" s="13"/>
      <c r="E86" s="9"/>
      <c r="J86" s="121"/>
      <c r="M86" s="9"/>
      <c r="N86" s="9"/>
      <c r="O86" s="9"/>
    </row>
    <row r="87">
      <c r="A87" s="9"/>
      <c r="D87" s="13"/>
      <c r="E87" s="9"/>
      <c r="J87" s="121"/>
      <c r="M87" s="9"/>
      <c r="N87" s="9"/>
      <c r="O87" s="9"/>
    </row>
    <row r="88">
      <c r="A88" s="9"/>
      <c r="D88" s="13"/>
      <c r="E88" s="9"/>
      <c r="J88" s="121"/>
      <c r="M88" s="9"/>
      <c r="N88" s="9"/>
      <c r="O88" s="9"/>
    </row>
    <row r="89">
      <c r="A89" s="9"/>
      <c r="D89" s="13"/>
      <c r="E89" s="9"/>
      <c r="J89" s="121"/>
      <c r="M89" s="9"/>
      <c r="N89" s="9"/>
      <c r="O89" s="9"/>
    </row>
    <row r="90">
      <c r="A90" s="9"/>
      <c r="D90" s="13"/>
      <c r="E90" s="9"/>
      <c r="J90" s="121"/>
      <c r="M90" s="9"/>
      <c r="N90" s="9"/>
      <c r="O90" s="9"/>
    </row>
    <row r="91">
      <c r="A91" s="9"/>
      <c r="D91" s="13"/>
      <c r="E91" s="9"/>
      <c r="J91" s="121"/>
      <c r="M91" s="9"/>
      <c r="N91" s="9"/>
      <c r="O91" s="9"/>
    </row>
    <row r="92">
      <c r="A92" s="9"/>
      <c r="D92" s="13"/>
      <c r="E92" s="9"/>
      <c r="J92" s="121"/>
      <c r="M92" s="9"/>
      <c r="N92" s="9"/>
      <c r="O92" s="9"/>
    </row>
    <row r="93">
      <c r="A93" s="9"/>
      <c r="D93" s="13"/>
      <c r="E93" s="9"/>
      <c r="J93" s="121"/>
      <c r="M93" s="9"/>
      <c r="N93" s="9"/>
      <c r="O93" s="9"/>
    </row>
    <row r="94">
      <c r="A94" s="9"/>
      <c r="D94" s="13"/>
      <c r="E94" s="9"/>
      <c r="J94" s="121"/>
      <c r="M94" s="9"/>
      <c r="N94" s="9"/>
      <c r="O94" s="9"/>
    </row>
    <row r="95">
      <c r="A95" s="9"/>
      <c r="D95" s="13"/>
      <c r="E95" s="9"/>
      <c r="J95" s="121"/>
      <c r="M95" s="9"/>
      <c r="N95" s="9"/>
      <c r="O95" s="9"/>
    </row>
    <row r="96">
      <c r="A96" s="9"/>
      <c r="D96" s="13"/>
      <c r="E96" s="9"/>
      <c r="J96" s="121"/>
      <c r="M96" s="9"/>
      <c r="N96" s="9"/>
      <c r="O96" s="9"/>
    </row>
    <row r="97">
      <c r="A97" s="9"/>
      <c r="D97" s="13"/>
      <c r="E97" s="9"/>
      <c r="J97" s="121"/>
      <c r="M97" s="9"/>
      <c r="N97" s="9"/>
      <c r="O97" s="9"/>
    </row>
    <row r="98">
      <c r="A98" s="9"/>
      <c r="D98" s="13"/>
      <c r="E98" s="9"/>
      <c r="J98" s="121"/>
      <c r="M98" s="9"/>
      <c r="N98" s="9"/>
      <c r="O98" s="9"/>
    </row>
    <row r="99">
      <c r="A99" s="9"/>
      <c r="D99" s="13"/>
      <c r="E99" s="9"/>
      <c r="J99" s="121"/>
      <c r="M99" s="9"/>
      <c r="N99" s="9"/>
      <c r="O99" s="9"/>
    </row>
    <row r="100">
      <c r="A100" s="9"/>
      <c r="D100" s="13"/>
      <c r="E100" s="9"/>
      <c r="J100" s="121"/>
      <c r="M100" s="9"/>
      <c r="N100" s="9"/>
      <c r="O100" s="9"/>
    </row>
    <row r="101">
      <c r="A101" s="9"/>
      <c r="D101" s="13"/>
      <c r="E101" s="9"/>
      <c r="J101" s="121"/>
      <c r="M101" s="9"/>
      <c r="N101" s="9"/>
      <c r="O101" s="9"/>
    </row>
    <row r="102">
      <c r="A102" s="9"/>
      <c r="D102" s="13"/>
      <c r="E102" s="9"/>
      <c r="J102" s="121"/>
      <c r="M102" s="9"/>
      <c r="N102" s="9"/>
      <c r="O102" s="9"/>
    </row>
    <row r="103">
      <c r="A103" s="9"/>
      <c r="D103" s="13"/>
      <c r="E103" s="9"/>
      <c r="J103" s="121"/>
      <c r="M103" s="9"/>
      <c r="N103" s="9"/>
      <c r="O103" s="9"/>
    </row>
    <row r="104">
      <c r="A104" s="9"/>
      <c r="D104" s="13"/>
      <c r="E104" s="9"/>
      <c r="J104" s="121"/>
      <c r="M104" s="9"/>
      <c r="N104" s="9"/>
      <c r="O104" s="9"/>
    </row>
    <row r="105">
      <c r="A105" s="9"/>
      <c r="D105" s="13"/>
      <c r="E105" s="9"/>
      <c r="J105" s="121"/>
      <c r="M105" s="9"/>
      <c r="N105" s="9"/>
      <c r="O105" s="9"/>
    </row>
    <row r="106">
      <c r="A106" s="9"/>
      <c r="D106" s="13"/>
      <c r="E106" s="9"/>
      <c r="J106" s="121"/>
      <c r="M106" s="9"/>
      <c r="N106" s="9"/>
      <c r="O106" s="9"/>
    </row>
    <row r="107">
      <c r="A107" s="9"/>
      <c r="D107" s="13"/>
      <c r="E107" s="9"/>
      <c r="J107" s="121"/>
      <c r="M107" s="9"/>
      <c r="N107" s="9"/>
      <c r="O107" s="9"/>
    </row>
    <row r="108">
      <c r="A108" s="9"/>
      <c r="D108" s="13"/>
      <c r="E108" s="9"/>
      <c r="J108" s="121"/>
      <c r="M108" s="9"/>
      <c r="N108" s="9"/>
      <c r="O108" s="9"/>
    </row>
    <row r="109">
      <c r="A109" s="9"/>
      <c r="D109" s="13"/>
      <c r="E109" s="9"/>
      <c r="J109" s="121"/>
      <c r="M109" s="9"/>
      <c r="N109" s="9"/>
      <c r="O109" s="9"/>
    </row>
    <row r="110">
      <c r="A110" s="9"/>
      <c r="D110" s="13"/>
      <c r="E110" s="9"/>
      <c r="J110" s="121"/>
      <c r="M110" s="9"/>
      <c r="N110" s="9"/>
      <c r="O110" s="9"/>
    </row>
    <row r="111">
      <c r="A111" s="9"/>
      <c r="D111" s="13"/>
      <c r="E111" s="9"/>
      <c r="J111" s="121"/>
      <c r="M111" s="9"/>
      <c r="N111" s="9"/>
      <c r="O111" s="9"/>
    </row>
    <row r="112">
      <c r="A112" s="9"/>
      <c r="D112" s="13"/>
      <c r="E112" s="9"/>
      <c r="J112" s="121"/>
      <c r="M112" s="9"/>
      <c r="N112" s="9"/>
      <c r="O112" s="9"/>
    </row>
    <row r="113">
      <c r="A113" s="9"/>
      <c r="D113" s="13"/>
      <c r="E113" s="9"/>
      <c r="J113" s="121"/>
      <c r="M113" s="9"/>
      <c r="N113" s="9"/>
      <c r="O113" s="9"/>
    </row>
    <row r="114">
      <c r="A114" s="9"/>
      <c r="D114" s="13"/>
      <c r="E114" s="9"/>
      <c r="J114" s="121"/>
      <c r="M114" s="9"/>
      <c r="N114" s="9"/>
      <c r="O114" s="9"/>
    </row>
    <row r="115">
      <c r="A115" s="9"/>
      <c r="D115" s="13"/>
      <c r="E115" s="9"/>
      <c r="J115" s="121"/>
      <c r="M115" s="9"/>
      <c r="N115" s="9"/>
      <c r="O115" s="9"/>
    </row>
    <row r="116">
      <c r="A116" s="9"/>
      <c r="D116" s="13"/>
      <c r="E116" s="9"/>
      <c r="J116" s="121"/>
      <c r="M116" s="9"/>
      <c r="N116" s="9"/>
      <c r="O116" s="9"/>
    </row>
    <row r="117">
      <c r="A117" s="9"/>
      <c r="D117" s="13"/>
      <c r="E117" s="9"/>
      <c r="J117" s="121"/>
      <c r="M117" s="9"/>
      <c r="N117" s="9"/>
      <c r="O117" s="9"/>
    </row>
    <row r="118">
      <c r="A118" s="9"/>
      <c r="D118" s="13"/>
      <c r="E118" s="9"/>
      <c r="J118" s="121"/>
      <c r="M118" s="9"/>
      <c r="N118" s="9"/>
      <c r="O118" s="9"/>
    </row>
    <row r="119">
      <c r="A119" s="9"/>
      <c r="D119" s="13"/>
      <c r="E119" s="9"/>
      <c r="J119" s="121"/>
      <c r="M119" s="9"/>
      <c r="N119" s="9"/>
      <c r="O119" s="9"/>
    </row>
    <row r="120">
      <c r="A120" s="9"/>
      <c r="D120" s="13"/>
      <c r="E120" s="9"/>
      <c r="J120" s="121"/>
      <c r="M120" s="9"/>
      <c r="N120" s="9"/>
      <c r="O120" s="9"/>
    </row>
    <row r="121">
      <c r="A121" s="9"/>
      <c r="D121" s="13"/>
      <c r="E121" s="9"/>
      <c r="J121" s="121"/>
      <c r="M121" s="9"/>
      <c r="N121" s="9"/>
      <c r="O121" s="9"/>
    </row>
    <row r="122">
      <c r="A122" s="9"/>
      <c r="D122" s="13"/>
      <c r="E122" s="9"/>
      <c r="J122" s="121"/>
      <c r="M122" s="9"/>
      <c r="N122" s="9"/>
      <c r="O122" s="9"/>
    </row>
    <row r="123">
      <c r="A123" s="9"/>
      <c r="D123" s="13"/>
      <c r="E123" s="9"/>
      <c r="J123" s="121"/>
      <c r="M123" s="9"/>
      <c r="N123" s="9"/>
      <c r="O123" s="9"/>
    </row>
    <row r="124">
      <c r="A124" s="9"/>
      <c r="D124" s="13"/>
      <c r="E124" s="9"/>
      <c r="J124" s="121"/>
      <c r="M124" s="9"/>
      <c r="N124" s="9"/>
      <c r="O124" s="9"/>
    </row>
    <row r="125">
      <c r="A125" s="9"/>
      <c r="D125" s="13"/>
      <c r="E125" s="9"/>
      <c r="J125" s="121"/>
      <c r="M125" s="9"/>
      <c r="N125" s="9"/>
      <c r="O125" s="9"/>
    </row>
    <row r="126">
      <c r="A126" s="9"/>
      <c r="D126" s="13"/>
      <c r="E126" s="9"/>
      <c r="J126" s="121"/>
      <c r="M126" s="9"/>
      <c r="N126" s="9"/>
      <c r="O126" s="9"/>
    </row>
    <row r="127">
      <c r="A127" s="9"/>
      <c r="D127" s="13"/>
      <c r="E127" s="9"/>
      <c r="J127" s="121"/>
      <c r="M127" s="9"/>
      <c r="N127" s="9"/>
      <c r="O127" s="9"/>
    </row>
    <row r="128">
      <c r="A128" s="9"/>
      <c r="D128" s="13"/>
      <c r="E128" s="9"/>
      <c r="J128" s="121"/>
      <c r="M128" s="9"/>
      <c r="N128" s="9"/>
      <c r="O128" s="9"/>
    </row>
    <row r="129">
      <c r="A129" s="9"/>
      <c r="D129" s="13"/>
      <c r="E129" s="9"/>
      <c r="J129" s="121"/>
      <c r="M129" s="9"/>
      <c r="N129" s="9"/>
      <c r="O129" s="9"/>
    </row>
    <row r="130">
      <c r="A130" s="9"/>
      <c r="D130" s="13"/>
      <c r="E130" s="9"/>
      <c r="J130" s="121"/>
      <c r="M130" s="9"/>
      <c r="N130" s="9"/>
      <c r="O130" s="9"/>
    </row>
    <row r="131">
      <c r="A131" s="9"/>
      <c r="D131" s="13"/>
      <c r="E131" s="9"/>
      <c r="J131" s="121"/>
      <c r="M131" s="9"/>
      <c r="N131" s="9"/>
      <c r="O131" s="9"/>
    </row>
    <row r="132">
      <c r="A132" s="9"/>
      <c r="D132" s="13"/>
      <c r="E132" s="9"/>
      <c r="J132" s="121"/>
      <c r="M132" s="9"/>
      <c r="N132" s="9"/>
      <c r="O132" s="9"/>
    </row>
    <row r="133">
      <c r="A133" s="9"/>
      <c r="D133" s="13"/>
      <c r="E133" s="9"/>
      <c r="J133" s="121"/>
      <c r="M133" s="9"/>
      <c r="N133" s="9"/>
      <c r="O133" s="9"/>
    </row>
    <row r="134">
      <c r="A134" s="9"/>
      <c r="D134" s="13"/>
      <c r="E134" s="9"/>
      <c r="J134" s="121"/>
      <c r="M134" s="9"/>
      <c r="N134" s="9"/>
      <c r="O134" s="9"/>
    </row>
    <row r="135">
      <c r="A135" s="9"/>
      <c r="D135" s="13"/>
      <c r="E135" s="9"/>
      <c r="J135" s="121"/>
      <c r="M135" s="9"/>
      <c r="N135" s="9"/>
      <c r="O135" s="9"/>
    </row>
    <row r="136">
      <c r="A136" s="9"/>
      <c r="D136" s="13"/>
      <c r="E136" s="9"/>
      <c r="J136" s="121"/>
      <c r="M136" s="9"/>
      <c r="N136" s="9"/>
      <c r="O136" s="9"/>
    </row>
    <row r="137">
      <c r="A137" s="9"/>
      <c r="D137" s="13"/>
      <c r="E137" s="9"/>
      <c r="J137" s="121"/>
      <c r="M137" s="9"/>
      <c r="N137" s="9"/>
      <c r="O137" s="9"/>
    </row>
    <row r="138">
      <c r="A138" s="9"/>
      <c r="D138" s="13"/>
      <c r="E138" s="9"/>
      <c r="J138" s="121"/>
      <c r="M138" s="9"/>
      <c r="N138" s="9"/>
      <c r="O138" s="9"/>
    </row>
    <row r="139">
      <c r="A139" s="9"/>
      <c r="D139" s="13"/>
      <c r="E139" s="9"/>
      <c r="J139" s="121"/>
      <c r="M139" s="9"/>
      <c r="N139" s="9"/>
      <c r="O139" s="9"/>
    </row>
    <row r="140">
      <c r="A140" s="9"/>
      <c r="D140" s="13"/>
      <c r="E140" s="9"/>
      <c r="J140" s="121"/>
      <c r="M140" s="9"/>
      <c r="N140" s="9"/>
      <c r="O140" s="9"/>
    </row>
    <row r="141">
      <c r="A141" s="9"/>
      <c r="D141" s="13"/>
      <c r="E141" s="9"/>
      <c r="J141" s="121"/>
      <c r="M141" s="9"/>
      <c r="N141" s="9"/>
      <c r="O141" s="9"/>
    </row>
    <row r="142">
      <c r="A142" s="9"/>
      <c r="D142" s="13"/>
      <c r="E142" s="9"/>
      <c r="J142" s="121"/>
      <c r="M142" s="9"/>
      <c r="N142" s="9"/>
      <c r="O142" s="9"/>
    </row>
    <row r="143">
      <c r="A143" s="9"/>
      <c r="D143" s="13"/>
      <c r="E143" s="9"/>
      <c r="J143" s="121"/>
      <c r="M143" s="9"/>
      <c r="N143" s="9"/>
      <c r="O143" s="9"/>
    </row>
    <row r="144">
      <c r="A144" s="9"/>
      <c r="D144" s="13"/>
      <c r="E144" s="9"/>
      <c r="J144" s="121"/>
      <c r="M144" s="9"/>
      <c r="N144" s="9"/>
      <c r="O144" s="9"/>
    </row>
    <row r="145">
      <c r="A145" s="9"/>
      <c r="D145" s="13"/>
      <c r="E145" s="9"/>
      <c r="J145" s="121"/>
      <c r="M145" s="9"/>
      <c r="N145" s="9"/>
      <c r="O145" s="9"/>
    </row>
    <row r="146">
      <c r="A146" s="9"/>
      <c r="D146" s="13"/>
      <c r="E146" s="9"/>
      <c r="J146" s="121"/>
      <c r="M146" s="9"/>
      <c r="N146" s="9"/>
      <c r="O146" s="9"/>
    </row>
    <row r="147">
      <c r="A147" s="9"/>
      <c r="D147" s="13"/>
      <c r="E147" s="9"/>
      <c r="J147" s="121"/>
      <c r="M147" s="9"/>
      <c r="N147" s="9"/>
      <c r="O147" s="9"/>
    </row>
    <row r="148">
      <c r="A148" s="9"/>
      <c r="D148" s="13"/>
      <c r="E148" s="9"/>
      <c r="J148" s="121"/>
      <c r="M148" s="9"/>
      <c r="N148" s="9"/>
      <c r="O148" s="9"/>
    </row>
    <row r="149">
      <c r="A149" s="9"/>
      <c r="D149" s="13"/>
      <c r="E149" s="9"/>
      <c r="J149" s="121"/>
      <c r="M149" s="9"/>
      <c r="N149" s="9"/>
      <c r="O149" s="9"/>
    </row>
    <row r="150">
      <c r="A150" s="9"/>
      <c r="D150" s="13"/>
      <c r="E150" s="9"/>
      <c r="J150" s="121"/>
      <c r="M150" s="9"/>
      <c r="N150" s="9"/>
      <c r="O150" s="9"/>
    </row>
    <row r="151">
      <c r="A151" s="9"/>
      <c r="D151" s="13"/>
      <c r="E151" s="9"/>
      <c r="J151" s="121"/>
      <c r="M151" s="9"/>
      <c r="N151" s="9"/>
      <c r="O151" s="9"/>
    </row>
    <row r="152">
      <c r="A152" s="9"/>
      <c r="D152" s="13"/>
      <c r="E152" s="9"/>
      <c r="J152" s="121"/>
      <c r="M152" s="9"/>
      <c r="N152" s="9"/>
      <c r="O152" s="9"/>
    </row>
    <row r="153">
      <c r="A153" s="9"/>
      <c r="D153" s="13"/>
      <c r="E153" s="9"/>
      <c r="J153" s="121"/>
      <c r="M153" s="9"/>
      <c r="N153" s="9"/>
      <c r="O153" s="9"/>
    </row>
    <row r="154">
      <c r="A154" s="9"/>
      <c r="D154" s="13"/>
      <c r="E154" s="9"/>
      <c r="J154" s="121"/>
      <c r="M154" s="9"/>
      <c r="N154" s="9"/>
      <c r="O154" s="9"/>
    </row>
    <row r="155">
      <c r="A155" s="9"/>
      <c r="D155" s="13"/>
      <c r="E155" s="9"/>
      <c r="J155" s="121"/>
      <c r="M155" s="9"/>
      <c r="N155" s="9"/>
      <c r="O155" s="9"/>
    </row>
    <row r="156">
      <c r="A156" s="9"/>
      <c r="D156" s="13"/>
      <c r="E156" s="9"/>
      <c r="J156" s="121"/>
      <c r="M156" s="9"/>
      <c r="N156" s="9"/>
      <c r="O156" s="9"/>
    </row>
    <row r="157">
      <c r="A157" s="9"/>
      <c r="D157" s="13"/>
      <c r="E157" s="9"/>
      <c r="J157" s="121"/>
      <c r="M157" s="9"/>
      <c r="N157" s="9"/>
      <c r="O157" s="9"/>
    </row>
    <row r="158">
      <c r="A158" s="9"/>
      <c r="D158" s="13"/>
      <c r="E158" s="9"/>
      <c r="J158" s="121"/>
      <c r="M158" s="9"/>
      <c r="N158" s="9"/>
      <c r="O158" s="9"/>
    </row>
    <row r="159">
      <c r="A159" s="9"/>
      <c r="D159" s="13"/>
      <c r="E159" s="9"/>
      <c r="J159" s="121"/>
      <c r="M159" s="9"/>
      <c r="N159" s="9"/>
      <c r="O159" s="9"/>
    </row>
    <row r="160">
      <c r="A160" s="9"/>
      <c r="D160" s="13"/>
      <c r="E160" s="9"/>
      <c r="J160" s="121"/>
      <c r="M160" s="9"/>
      <c r="N160" s="9"/>
      <c r="O160" s="9"/>
    </row>
    <row r="161">
      <c r="A161" s="9"/>
      <c r="D161" s="13"/>
      <c r="E161" s="9"/>
      <c r="J161" s="121"/>
      <c r="M161" s="9"/>
      <c r="N161" s="9"/>
      <c r="O161" s="9"/>
    </row>
    <row r="162">
      <c r="A162" s="9"/>
      <c r="D162" s="13"/>
      <c r="E162" s="9"/>
      <c r="J162" s="121"/>
      <c r="M162" s="9"/>
      <c r="N162" s="9"/>
      <c r="O162" s="9"/>
    </row>
    <row r="163">
      <c r="A163" s="9"/>
      <c r="D163" s="13"/>
      <c r="E163" s="9"/>
      <c r="J163" s="121"/>
      <c r="M163" s="9"/>
      <c r="N163" s="9"/>
      <c r="O163" s="9"/>
    </row>
    <row r="164">
      <c r="A164" s="9"/>
      <c r="D164" s="13"/>
      <c r="E164" s="9"/>
      <c r="J164" s="121"/>
      <c r="M164" s="9"/>
      <c r="N164" s="9"/>
      <c r="O164" s="9"/>
    </row>
    <row r="165">
      <c r="A165" s="9"/>
      <c r="D165" s="13"/>
      <c r="E165" s="9"/>
      <c r="J165" s="121"/>
      <c r="M165" s="9"/>
      <c r="N165" s="9"/>
      <c r="O165" s="9"/>
    </row>
    <row r="166">
      <c r="A166" s="9"/>
      <c r="D166" s="13"/>
      <c r="E166" s="9"/>
      <c r="J166" s="121"/>
      <c r="M166" s="9"/>
      <c r="N166" s="9"/>
      <c r="O166" s="9"/>
    </row>
    <row r="167">
      <c r="A167" s="9"/>
      <c r="D167" s="13"/>
      <c r="E167" s="9"/>
      <c r="J167" s="121"/>
      <c r="M167" s="9"/>
      <c r="N167" s="9"/>
      <c r="O167" s="9"/>
    </row>
    <row r="168">
      <c r="A168" s="9"/>
      <c r="D168" s="13"/>
      <c r="E168" s="9"/>
      <c r="J168" s="121"/>
      <c r="M168" s="9"/>
      <c r="N168" s="9"/>
      <c r="O168" s="9"/>
    </row>
    <row r="169">
      <c r="A169" s="9"/>
      <c r="D169" s="13"/>
      <c r="E169" s="9"/>
      <c r="J169" s="121"/>
      <c r="M169" s="9"/>
      <c r="N169" s="9"/>
      <c r="O169" s="9"/>
    </row>
    <row r="170">
      <c r="A170" s="9"/>
      <c r="D170" s="13"/>
      <c r="E170" s="9"/>
      <c r="J170" s="121"/>
      <c r="M170" s="9"/>
      <c r="N170" s="9"/>
      <c r="O170" s="9"/>
    </row>
    <row r="171">
      <c r="A171" s="9"/>
      <c r="D171" s="13"/>
      <c r="E171" s="9"/>
      <c r="J171" s="121"/>
      <c r="M171" s="9"/>
      <c r="N171" s="9"/>
      <c r="O171" s="9"/>
    </row>
    <row r="172">
      <c r="A172" s="9"/>
      <c r="D172" s="13"/>
      <c r="E172" s="9"/>
      <c r="J172" s="121"/>
      <c r="M172" s="9"/>
      <c r="N172" s="9"/>
      <c r="O172" s="9"/>
    </row>
    <row r="173">
      <c r="A173" s="9"/>
      <c r="D173" s="13"/>
      <c r="E173" s="9"/>
      <c r="J173" s="121"/>
      <c r="M173" s="9"/>
      <c r="N173" s="9"/>
      <c r="O173" s="9"/>
    </row>
    <row r="174">
      <c r="A174" s="9"/>
      <c r="D174" s="13"/>
      <c r="E174" s="9"/>
      <c r="J174" s="121"/>
      <c r="M174" s="9"/>
      <c r="N174" s="9"/>
      <c r="O174" s="9"/>
    </row>
    <row r="175">
      <c r="A175" s="9"/>
      <c r="D175" s="13"/>
      <c r="E175" s="9"/>
      <c r="J175" s="121"/>
      <c r="M175" s="9"/>
      <c r="N175" s="9"/>
      <c r="O175" s="9"/>
    </row>
    <row r="176">
      <c r="A176" s="9"/>
      <c r="D176" s="13"/>
      <c r="E176" s="9"/>
      <c r="J176" s="121"/>
      <c r="M176" s="9"/>
      <c r="N176" s="9"/>
      <c r="O176" s="9"/>
    </row>
    <row r="177">
      <c r="A177" s="9"/>
      <c r="D177" s="13"/>
      <c r="E177" s="9"/>
      <c r="J177" s="121"/>
      <c r="M177" s="9"/>
      <c r="N177" s="9"/>
      <c r="O177" s="9"/>
    </row>
    <row r="178">
      <c r="A178" s="9"/>
      <c r="D178" s="13"/>
      <c r="E178" s="9"/>
      <c r="J178" s="121"/>
      <c r="M178" s="9"/>
      <c r="N178" s="9"/>
      <c r="O178" s="9"/>
    </row>
    <row r="179">
      <c r="A179" s="9"/>
      <c r="D179" s="13"/>
      <c r="E179" s="9"/>
      <c r="J179" s="121"/>
      <c r="M179" s="9"/>
      <c r="N179" s="9"/>
      <c r="O179" s="9"/>
    </row>
    <row r="180">
      <c r="A180" s="9"/>
      <c r="D180" s="13"/>
      <c r="E180" s="9"/>
      <c r="J180" s="121"/>
      <c r="M180" s="9"/>
      <c r="N180" s="9"/>
      <c r="O180" s="9"/>
    </row>
    <row r="181">
      <c r="A181" s="9"/>
      <c r="D181" s="13"/>
      <c r="E181" s="9"/>
      <c r="J181" s="121"/>
      <c r="M181" s="9"/>
      <c r="N181" s="9"/>
      <c r="O181" s="9"/>
    </row>
    <row r="182">
      <c r="A182" s="9"/>
      <c r="D182" s="13"/>
      <c r="E182" s="9"/>
      <c r="J182" s="121"/>
      <c r="M182" s="9"/>
      <c r="N182" s="9"/>
      <c r="O182" s="9"/>
    </row>
    <row r="183">
      <c r="A183" s="9"/>
      <c r="D183" s="13"/>
      <c r="E183" s="9"/>
      <c r="J183" s="121"/>
      <c r="M183" s="9"/>
      <c r="N183" s="9"/>
      <c r="O183" s="9"/>
    </row>
    <row r="184">
      <c r="A184" s="9"/>
      <c r="D184" s="13"/>
      <c r="E184" s="9"/>
      <c r="J184" s="121"/>
      <c r="M184" s="9"/>
      <c r="N184" s="9"/>
      <c r="O184" s="9"/>
    </row>
    <row r="185">
      <c r="A185" s="9"/>
      <c r="D185" s="13"/>
      <c r="E185" s="9"/>
      <c r="J185" s="121"/>
      <c r="M185" s="9"/>
      <c r="N185" s="9"/>
      <c r="O185" s="9"/>
    </row>
    <row r="186">
      <c r="A186" s="9"/>
      <c r="D186" s="13"/>
      <c r="E186" s="9"/>
      <c r="J186" s="121"/>
      <c r="M186" s="9"/>
      <c r="N186" s="9"/>
      <c r="O186" s="9"/>
    </row>
    <row r="187">
      <c r="A187" s="9"/>
      <c r="D187" s="13"/>
      <c r="E187" s="9"/>
      <c r="J187" s="121"/>
      <c r="M187" s="9"/>
      <c r="N187" s="9"/>
      <c r="O187" s="9"/>
    </row>
    <row r="188">
      <c r="A188" s="9"/>
      <c r="D188" s="13"/>
      <c r="E188" s="9"/>
      <c r="J188" s="121"/>
      <c r="M188" s="9"/>
      <c r="N188" s="9"/>
      <c r="O188" s="9"/>
    </row>
    <row r="189">
      <c r="A189" s="9"/>
      <c r="D189" s="13"/>
      <c r="E189" s="9"/>
      <c r="J189" s="121"/>
      <c r="M189" s="9"/>
      <c r="N189" s="9"/>
      <c r="O189" s="9"/>
    </row>
    <row r="190">
      <c r="A190" s="9"/>
      <c r="D190" s="13"/>
      <c r="E190" s="9"/>
      <c r="J190" s="121"/>
      <c r="M190" s="9"/>
      <c r="N190" s="9"/>
      <c r="O190" s="9"/>
    </row>
    <row r="191">
      <c r="A191" s="9"/>
      <c r="D191" s="13"/>
      <c r="E191" s="9"/>
      <c r="J191" s="121"/>
      <c r="M191" s="9"/>
      <c r="N191" s="9"/>
      <c r="O191" s="9"/>
    </row>
    <row r="192">
      <c r="A192" s="9"/>
      <c r="D192" s="13"/>
      <c r="E192" s="9"/>
      <c r="J192" s="121"/>
      <c r="M192" s="9"/>
      <c r="N192" s="9"/>
      <c r="O192" s="9"/>
    </row>
    <row r="193">
      <c r="A193" s="9"/>
      <c r="D193" s="13"/>
      <c r="E193" s="9"/>
      <c r="J193" s="121"/>
      <c r="M193" s="9"/>
      <c r="N193" s="9"/>
      <c r="O193" s="9"/>
    </row>
    <row r="194">
      <c r="A194" s="9"/>
      <c r="D194" s="13"/>
      <c r="E194" s="9"/>
      <c r="J194" s="121"/>
      <c r="M194" s="9"/>
      <c r="N194" s="9"/>
      <c r="O194" s="9"/>
    </row>
    <row r="195">
      <c r="A195" s="9"/>
      <c r="D195" s="13"/>
      <c r="E195" s="9"/>
      <c r="J195" s="121"/>
      <c r="M195" s="9"/>
      <c r="N195" s="9"/>
      <c r="O195" s="9"/>
    </row>
    <row r="196">
      <c r="A196" s="9"/>
      <c r="D196" s="13"/>
      <c r="E196" s="9"/>
      <c r="J196" s="121"/>
      <c r="M196" s="9"/>
      <c r="N196" s="9"/>
      <c r="O196" s="9"/>
    </row>
    <row r="197">
      <c r="A197" s="9"/>
      <c r="D197" s="13"/>
      <c r="E197" s="9"/>
      <c r="J197" s="121"/>
      <c r="M197" s="9"/>
      <c r="N197" s="9"/>
      <c r="O197" s="9"/>
    </row>
    <row r="198">
      <c r="A198" s="9"/>
      <c r="D198" s="13"/>
      <c r="E198" s="9"/>
      <c r="J198" s="121"/>
      <c r="M198" s="9"/>
      <c r="N198" s="9"/>
      <c r="O198" s="9"/>
    </row>
    <row r="199">
      <c r="A199" s="9"/>
      <c r="D199" s="13"/>
      <c r="E199" s="9"/>
      <c r="J199" s="121"/>
      <c r="M199" s="9"/>
      <c r="N199" s="9"/>
      <c r="O199" s="9"/>
    </row>
    <row r="200">
      <c r="A200" s="9"/>
      <c r="D200" s="13"/>
      <c r="E200" s="9"/>
      <c r="J200" s="121"/>
      <c r="M200" s="9"/>
      <c r="N200" s="9"/>
      <c r="O200" s="9"/>
    </row>
    <row r="201">
      <c r="A201" s="9"/>
      <c r="D201" s="13"/>
      <c r="E201" s="9"/>
      <c r="J201" s="121"/>
      <c r="M201" s="9"/>
      <c r="N201" s="9"/>
      <c r="O201" s="9"/>
    </row>
    <row r="202">
      <c r="A202" s="9"/>
      <c r="D202" s="13"/>
      <c r="E202" s="9"/>
      <c r="J202" s="121"/>
      <c r="M202" s="9"/>
      <c r="N202" s="9"/>
      <c r="O202" s="9"/>
    </row>
    <row r="203">
      <c r="A203" s="9"/>
      <c r="D203" s="13"/>
      <c r="E203" s="9"/>
      <c r="J203" s="121"/>
      <c r="M203" s="9"/>
      <c r="N203" s="9"/>
      <c r="O203" s="9"/>
    </row>
    <row r="204">
      <c r="A204" s="9"/>
      <c r="D204" s="13"/>
      <c r="E204" s="9"/>
      <c r="J204" s="121"/>
      <c r="M204" s="9"/>
      <c r="N204" s="9"/>
      <c r="O204" s="9"/>
    </row>
    <row r="205">
      <c r="A205" s="9"/>
      <c r="D205" s="13"/>
      <c r="E205" s="9"/>
      <c r="J205" s="121"/>
      <c r="M205" s="9"/>
      <c r="N205" s="9"/>
      <c r="O205" s="9"/>
    </row>
    <row r="206">
      <c r="A206" s="9"/>
      <c r="D206" s="13"/>
      <c r="E206" s="9"/>
      <c r="J206" s="121"/>
      <c r="M206" s="9"/>
      <c r="N206" s="9"/>
      <c r="O206" s="9"/>
    </row>
    <row r="207">
      <c r="A207" s="9"/>
      <c r="D207" s="13"/>
      <c r="E207" s="9"/>
      <c r="J207" s="121"/>
      <c r="M207" s="9"/>
      <c r="N207" s="9"/>
      <c r="O207" s="9"/>
    </row>
    <row r="208">
      <c r="A208" s="9"/>
      <c r="D208" s="13"/>
      <c r="E208" s="9"/>
      <c r="J208" s="121"/>
      <c r="M208" s="9"/>
      <c r="N208" s="9"/>
      <c r="O208" s="9"/>
    </row>
    <row r="209">
      <c r="A209" s="9"/>
      <c r="D209" s="13"/>
      <c r="E209" s="9"/>
      <c r="J209" s="121"/>
      <c r="M209" s="9"/>
      <c r="N209" s="9"/>
      <c r="O209" s="9"/>
    </row>
    <row r="210">
      <c r="A210" s="9"/>
      <c r="D210" s="13"/>
      <c r="E210" s="9"/>
      <c r="J210" s="121"/>
      <c r="M210" s="9"/>
      <c r="N210" s="9"/>
      <c r="O210" s="9"/>
    </row>
    <row r="211">
      <c r="A211" s="9"/>
      <c r="D211" s="13"/>
      <c r="E211" s="9"/>
      <c r="J211" s="121"/>
      <c r="M211" s="9"/>
      <c r="N211" s="9"/>
      <c r="O211" s="9"/>
    </row>
    <row r="212">
      <c r="A212" s="9"/>
      <c r="D212" s="13"/>
      <c r="E212" s="9"/>
      <c r="J212" s="121"/>
      <c r="M212" s="9"/>
      <c r="N212" s="9"/>
      <c r="O212" s="9"/>
    </row>
    <row r="213">
      <c r="A213" s="9"/>
      <c r="D213" s="13"/>
      <c r="E213" s="9"/>
      <c r="J213" s="121"/>
      <c r="M213" s="9"/>
      <c r="N213" s="9"/>
      <c r="O213" s="9"/>
    </row>
    <row r="214">
      <c r="A214" s="9"/>
      <c r="D214" s="13"/>
      <c r="E214" s="9"/>
      <c r="J214" s="121"/>
      <c r="M214" s="9"/>
      <c r="N214" s="9"/>
      <c r="O214" s="9"/>
    </row>
    <row r="215">
      <c r="A215" s="9"/>
      <c r="D215" s="13"/>
      <c r="E215" s="9"/>
      <c r="J215" s="121"/>
      <c r="M215" s="9"/>
      <c r="N215" s="9"/>
      <c r="O215" s="9"/>
    </row>
    <row r="216">
      <c r="A216" s="9"/>
      <c r="D216" s="13"/>
      <c r="E216" s="9"/>
      <c r="J216" s="121"/>
      <c r="M216" s="9"/>
      <c r="N216" s="9"/>
      <c r="O216" s="9"/>
    </row>
    <row r="217">
      <c r="A217" s="9"/>
      <c r="D217" s="13"/>
      <c r="E217" s="9"/>
      <c r="J217" s="121"/>
      <c r="M217" s="9"/>
      <c r="N217" s="9"/>
      <c r="O217" s="9"/>
    </row>
    <row r="218">
      <c r="A218" s="9"/>
      <c r="D218" s="13"/>
      <c r="E218" s="9"/>
      <c r="J218" s="121"/>
      <c r="M218" s="9"/>
      <c r="N218" s="9"/>
      <c r="O218" s="9"/>
    </row>
    <row r="219">
      <c r="A219" s="9"/>
      <c r="D219" s="13"/>
      <c r="E219" s="9"/>
      <c r="J219" s="121"/>
      <c r="M219" s="9"/>
      <c r="N219" s="9"/>
      <c r="O219" s="9"/>
    </row>
    <row r="220">
      <c r="A220" s="9"/>
      <c r="D220" s="13"/>
      <c r="E220" s="9"/>
      <c r="J220" s="121"/>
      <c r="M220" s="9"/>
      <c r="N220" s="9"/>
      <c r="O220" s="9"/>
    </row>
    <row r="221">
      <c r="A221" s="9"/>
      <c r="D221" s="13"/>
      <c r="E221" s="9"/>
      <c r="J221" s="121"/>
      <c r="M221" s="9"/>
      <c r="N221" s="9"/>
      <c r="O221" s="9"/>
    </row>
    <row r="222">
      <c r="A222" s="9"/>
      <c r="D222" s="13"/>
      <c r="E222" s="9"/>
      <c r="J222" s="121"/>
      <c r="M222" s="9"/>
      <c r="N222" s="9"/>
      <c r="O222" s="9"/>
    </row>
    <row r="223">
      <c r="A223" s="9"/>
      <c r="D223" s="13"/>
      <c r="E223" s="9"/>
      <c r="J223" s="121"/>
      <c r="M223" s="9"/>
      <c r="N223" s="9"/>
      <c r="O223" s="9"/>
    </row>
    <row r="224">
      <c r="A224" s="9"/>
      <c r="D224" s="13"/>
      <c r="E224" s="9"/>
      <c r="J224" s="121"/>
      <c r="M224" s="9"/>
      <c r="N224" s="9"/>
      <c r="O224" s="9"/>
    </row>
    <row r="225">
      <c r="A225" s="9"/>
      <c r="D225" s="13"/>
      <c r="E225" s="9"/>
      <c r="J225" s="121"/>
      <c r="M225" s="9"/>
      <c r="N225" s="9"/>
      <c r="O225" s="9"/>
    </row>
    <row r="226">
      <c r="A226" s="9"/>
      <c r="D226" s="13"/>
      <c r="E226" s="9"/>
      <c r="J226" s="121"/>
      <c r="M226" s="9"/>
      <c r="N226" s="9"/>
      <c r="O226" s="9"/>
    </row>
    <row r="227">
      <c r="A227" s="9"/>
      <c r="D227" s="13"/>
      <c r="E227" s="9"/>
      <c r="J227" s="121"/>
      <c r="M227" s="9"/>
      <c r="N227" s="9"/>
      <c r="O227" s="9"/>
    </row>
    <row r="228">
      <c r="A228" s="9"/>
      <c r="D228" s="13"/>
      <c r="E228" s="9"/>
      <c r="J228" s="121"/>
      <c r="M228" s="9"/>
      <c r="N228" s="9"/>
      <c r="O228" s="9"/>
    </row>
    <row r="229">
      <c r="A229" s="9"/>
      <c r="D229" s="13"/>
      <c r="E229" s="9"/>
      <c r="J229" s="121"/>
      <c r="M229" s="9"/>
      <c r="N229" s="9"/>
      <c r="O229" s="9"/>
    </row>
    <row r="230">
      <c r="A230" s="9"/>
      <c r="D230" s="13"/>
      <c r="E230" s="9"/>
      <c r="J230" s="121"/>
      <c r="M230" s="9"/>
      <c r="N230" s="9"/>
      <c r="O230" s="9"/>
    </row>
    <row r="231">
      <c r="A231" s="9"/>
      <c r="D231" s="13"/>
      <c r="E231" s="9"/>
      <c r="J231" s="121"/>
      <c r="M231" s="9"/>
      <c r="N231" s="9"/>
      <c r="O231" s="9"/>
    </row>
    <row r="232">
      <c r="A232" s="9"/>
      <c r="D232" s="13"/>
      <c r="E232" s="9"/>
      <c r="J232" s="121"/>
      <c r="M232" s="9"/>
      <c r="N232" s="9"/>
      <c r="O232" s="9"/>
    </row>
    <row r="233">
      <c r="A233" s="9"/>
      <c r="D233" s="13"/>
      <c r="E233" s="9"/>
      <c r="J233" s="121"/>
      <c r="M233" s="9"/>
      <c r="N233" s="9"/>
      <c r="O233" s="9"/>
    </row>
    <row r="234">
      <c r="A234" s="9"/>
      <c r="D234" s="13"/>
      <c r="E234" s="9"/>
      <c r="J234" s="121"/>
      <c r="M234" s="9"/>
      <c r="N234" s="9"/>
      <c r="O234" s="9"/>
    </row>
    <row r="235">
      <c r="A235" s="9"/>
      <c r="D235" s="13"/>
      <c r="E235" s="9"/>
      <c r="J235" s="121"/>
      <c r="M235" s="9"/>
      <c r="N235" s="9"/>
      <c r="O235" s="9"/>
    </row>
    <row r="236">
      <c r="A236" s="9"/>
      <c r="D236" s="13"/>
      <c r="E236" s="9"/>
      <c r="J236" s="121"/>
      <c r="M236" s="9"/>
      <c r="N236" s="9"/>
      <c r="O236" s="9"/>
    </row>
    <row r="237">
      <c r="A237" s="9"/>
      <c r="D237" s="13"/>
      <c r="E237" s="9"/>
      <c r="J237" s="121"/>
      <c r="M237" s="9"/>
      <c r="N237" s="9"/>
      <c r="O237" s="9"/>
    </row>
    <row r="238">
      <c r="A238" s="9"/>
      <c r="D238" s="13"/>
      <c r="E238" s="9"/>
      <c r="J238" s="121"/>
      <c r="M238" s="9"/>
      <c r="N238" s="9"/>
      <c r="O238" s="9"/>
    </row>
    <row r="239">
      <c r="A239" s="9"/>
      <c r="D239" s="13"/>
      <c r="E239" s="9"/>
      <c r="J239" s="121"/>
      <c r="M239" s="9"/>
      <c r="N239" s="9"/>
      <c r="O239" s="9"/>
    </row>
    <row r="240">
      <c r="A240" s="9"/>
      <c r="D240" s="13"/>
      <c r="E240" s="9"/>
      <c r="J240" s="121"/>
      <c r="M240" s="9"/>
      <c r="N240" s="9"/>
      <c r="O240" s="9"/>
    </row>
    <row r="241">
      <c r="A241" s="9"/>
      <c r="D241" s="13"/>
      <c r="E241" s="9"/>
      <c r="J241" s="121"/>
      <c r="M241" s="9"/>
      <c r="N241" s="9"/>
      <c r="O241" s="9"/>
    </row>
    <row r="242">
      <c r="A242" s="9"/>
      <c r="D242" s="13"/>
      <c r="E242" s="9"/>
      <c r="J242" s="121"/>
      <c r="M242" s="9"/>
      <c r="N242" s="9"/>
      <c r="O242" s="9"/>
    </row>
    <row r="243">
      <c r="A243" s="9"/>
      <c r="D243" s="13"/>
      <c r="E243" s="9"/>
      <c r="J243" s="121"/>
      <c r="M243" s="9"/>
      <c r="N243" s="9"/>
      <c r="O243" s="9"/>
    </row>
    <row r="244">
      <c r="A244" s="9"/>
      <c r="D244" s="13"/>
      <c r="E244" s="9"/>
      <c r="J244" s="121"/>
      <c r="M244" s="9"/>
      <c r="N244" s="9"/>
      <c r="O244" s="9"/>
    </row>
    <row r="245">
      <c r="A245" s="9"/>
      <c r="D245" s="13"/>
      <c r="E245" s="9"/>
      <c r="J245" s="121"/>
      <c r="M245" s="9"/>
      <c r="N245" s="9"/>
      <c r="O245" s="9"/>
    </row>
    <row r="246">
      <c r="A246" s="9"/>
      <c r="D246" s="13"/>
      <c r="E246" s="9"/>
      <c r="J246" s="121"/>
      <c r="M246" s="9"/>
      <c r="N246" s="9"/>
      <c r="O246" s="9"/>
    </row>
    <row r="247">
      <c r="A247" s="9"/>
      <c r="D247" s="13"/>
      <c r="E247" s="9"/>
      <c r="J247" s="121"/>
      <c r="M247" s="9"/>
      <c r="N247" s="9"/>
      <c r="O247" s="9"/>
    </row>
    <row r="248">
      <c r="A248" s="9"/>
      <c r="D248" s="13"/>
      <c r="E248" s="9"/>
      <c r="J248" s="121"/>
      <c r="M248" s="9"/>
      <c r="N248" s="9"/>
      <c r="O248" s="9"/>
    </row>
    <row r="249">
      <c r="A249" s="9"/>
      <c r="D249" s="13"/>
      <c r="E249" s="9"/>
      <c r="J249" s="121"/>
      <c r="M249" s="9"/>
      <c r="N249" s="9"/>
      <c r="O249" s="9"/>
    </row>
    <row r="250">
      <c r="A250" s="9"/>
      <c r="D250" s="13"/>
      <c r="E250" s="9"/>
      <c r="J250" s="121"/>
      <c r="M250" s="9"/>
      <c r="N250" s="9"/>
      <c r="O250" s="9"/>
    </row>
    <row r="251">
      <c r="A251" s="9"/>
      <c r="D251" s="13"/>
      <c r="E251" s="9"/>
      <c r="J251" s="121"/>
      <c r="M251" s="9"/>
      <c r="N251" s="9"/>
      <c r="O251" s="9"/>
    </row>
    <row r="252">
      <c r="A252" s="9"/>
      <c r="D252" s="13"/>
      <c r="E252" s="9"/>
      <c r="J252" s="121"/>
      <c r="M252" s="9"/>
      <c r="N252" s="9"/>
      <c r="O252" s="9"/>
    </row>
    <row r="253">
      <c r="A253" s="9"/>
      <c r="D253" s="13"/>
      <c r="E253" s="9"/>
      <c r="J253" s="121"/>
      <c r="M253" s="9"/>
      <c r="N253" s="9"/>
      <c r="O253" s="9"/>
    </row>
    <row r="254">
      <c r="A254" s="9"/>
      <c r="D254" s="13"/>
      <c r="E254" s="9"/>
      <c r="J254" s="121"/>
      <c r="M254" s="9"/>
      <c r="N254" s="9"/>
      <c r="O254" s="9"/>
    </row>
    <row r="255">
      <c r="A255" s="9"/>
      <c r="D255" s="13"/>
      <c r="E255" s="9"/>
      <c r="J255" s="121"/>
      <c r="M255" s="9"/>
      <c r="N255" s="9"/>
      <c r="O255" s="9"/>
    </row>
    <row r="256">
      <c r="A256" s="9"/>
      <c r="D256" s="13"/>
      <c r="E256" s="9"/>
      <c r="J256" s="121"/>
      <c r="M256" s="9"/>
      <c r="N256" s="9"/>
      <c r="O256" s="9"/>
    </row>
    <row r="257">
      <c r="A257" s="9"/>
      <c r="D257" s="13"/>
      <c r="E257" s="9"/>
      <c r="J257" s="121"/>
      <c r="M257" s="9"/>
      <c r="N257" s="9"/>
      <c r="O257" s="9"/>
    </row>
    <row r="258">
      <c r="A258" s="9"/>
      <c r="D258" s="13"/>
      <c r="E258" s="9"/>
      <c r="J258" s="121"/>
      <c r="M258" s="9"/>
      <c r="N258" s="9"/>
      <c r="O258" s="9"/>
    </row>
    <row r="259">
      <c r="A259" s="9"/>
      <c r="D259" s="13"/>
      <c r="E259" s="9"/>
      <c r="J259" s="121"/>
      <c r="M259" s="9"/>
      <c r="N259" s="9"/>
      <c r="O259" s="9"/>
    </row>
    <row r="260">
      <c r="A260" s="9"/>
      <c r="D260" s="13"/>
      <c r="E260" s="9"/>
      <c r="J260" s="121"/>
      <c r="M260" s="9"/>
      <c r="N260" s="9"/>
      <c r="O260" s="9"/>
    </row>
    <row r="261">
      <c r="A261" s="9"/>
      <c r="D261" s="13"/>
      <c r="E261" s="9"/>
      <c r="J261" s="121"/>
      <c r="M261" s="9"/>
      <c r="N261" s="9"/>
      <c r="O261" s="9"/>
    </row>
    <row r="262">
      <c r="A262" s="9"/>
      <c r="D262" s="13"/>
      <c r="E262" s="9"/>
      <c r="J262" s="121"/>
      <c r="M262" s="9"/>
      <c r="N262" s="9"/>
      <c r="O262" s="9"/>
    </row>
    <row r="263">
      <c r="A263" s="9"/>
      <c r="D263" s="13"/>
      <c r="E263" s="9"/>
      <c r="J263" s="121"/>
      <c r="M263" s="9"/>
      <c r="N263" s="9"/>
      <c r="O263" s="9"/>
    </row>
    <row r="264">
      <c r="A264" s="9"/>
      <c r="D264" s="13"/>
      <c r="E264" s="9"/>
      <c r="J264" s="121"/>
      <c r="M264" s="9"/>
      <c r="N264" s="9"/>
      <c r="O264" s="9"/>
    </row>
    <row r="265">
      <c r="A265" s="9"/>
      <c r="D265" s="13"/>
      <c r="E265" s="9"/>
      <c r="J265" s="121"/>
      <c r="M265" s="9"/>
      <c r="N265" s="9"/>
      <c r="O265" s="9"/>
    </row>
    <row r="266">
      <c r="A266" s="9"/>
      <c r="D266" s="13"/>
      <c r="E266" s="9"/>
      <c r="J266" s="121"/>
      <c r="M266" s="9"/>
      <c r="N266" s="9"/>
      <c r="O266" s="9"/>
    </row>
    <row r="267">
      <c r="A267" s="9"/>
      <c r="D267" s="13"/>
      <c r="E267" s="9"/>
      <c r="J267" s="121"/>
      <c r="M267" s="9"/>
      <c r="N267" s="9"/>
      <c r="O267" s="9"/>
    </row>
    <row r="268">
      <c r="A268" s="9"/>
      <c r="D268" s="13"/>
      <c r="E268" s="9"/>
      <c r="J268" s="121"/>
      <c r="M268" s="9"/>
      <c r="N268" s="9"/>
      <c r="O268" s="9"/>
    </row>
    <row r="269">
      <c r="A269" s="9"/>
      <c r="D269" s="13"/>
      <c r="E269" s="9"/>
      <c r="J269" s="121"/>
      <c r="M269" s="9"/>
      <c r="N269" s="9"/>
      <c r="O269" s="9"/>
    </row>
    <row r="270">
      <c r="A270" s="9"/>
      <c r="D270" s="13"/>
      <c r="E270" s="9"/>
      <c r="J270" s="121"/>
      <c r="M270" s="9"/>
      <c r="N270" s="9"/>
      <c r="O270" s="9"/>
    </row>
    <row r="271">
      <c r="A271" s="9"/>
      <c r="D271" s="13"/>
      <c r="E271" s="9"/>
      <c r="J271" s="121"/>
      <c r="M271" s="9"/>
      <c r="N271" s="9"/>
      <c r="O271" s="9"/>
    </row>
    <row r="272">
      <c r="A272" s="9"/>
      <c r="D272" s="13"/>
      <c r="E272" s="9"/>
      <c r="J272" s="121"/>
      <c r="M272" s="9"/>
      <c r="N272" s="9"/>
      <c r="O272" s="9"/>
    </row>
    <row r="273">
      <c r="A273" s="9"/>
      <c r="D273" s="13"/>
      <c r="E273" s="9"/>
      <c r="J273" s="121"/>
      <c r="M273" s="9"/>
      <c r="N273" s="9"/>
      <c r="O273" s="9"/>
    </row>
    <row r="274">
      <c r="A274" s="9"/>
      <c r="D274" s="13"/>
      <c r="E274" s="9"/>
      <c r="J274" s="121"/>
      <c r="M274" s="9"/>
      <c r="N274" s="9"/>
      <c r="O274" s="9"/>
    </row>
    <row r="275">
      <c r="A275" s="9"/>
      <c r="D275" s="13"/>
      <c r="E275" s="9"/>
      <c r="J275" s="121"/>
      <c r="M275" s="9"/>
      <c r="N275" s="9"/>
      <c r="O275" s="9"/>
    </row>
    <row r="276">
      <c r="A276" s="9"/>
      <c r="D276" s="13"/>
      <c r="E276" s="9"/>
      <c r="J276" s="121"/>
      <c r="M276" s="9"/>
      <c r="N276" s="9"/>
      <c r="O276" s="9"/>
    </row>
    <row r="277">
      <c r="A277" s="9"/>
      <c r="D277" s="13"/>
      <c r="E277" s="9"/>
      <c r="J277" s="121"/>
      <c r="M277" s="9"/>
      <c r="N277" s="9"/>
      <c r="O277" s="9"/>
    </row>
    <row r="278">
      <c r="A278" s="9"/>
      <c r="D278" s="13"/>
      <c r="E278" s="9"/>
      <c r="J278" s="121"/>
      <c r="M278" s="9"/>
      <c r="N278" s="9"/>
      <c r="O278" s="9"/>
    </row>
    <row r="279">
      <c r="A279" s="9"/>
      <c r="D279" s="13"/>
      <c r="E279" s="9"/>
      <c r="J279" s="121"/>
      <c r="M279" s="9"/>
      <c r="N279" s="9"/>
      <c r="O279" s="9"/>
    </row>
    <row r="280">
      <c r="A280" s="9"/>
      <c r="D280" s="13"/>
      <c r="E280" s="9"/>
      <c r="J280" s="121"/>
      <c r="M280" s="9"/>
      <c r="N280" s="9"/>
      <c r="O280" s="9"/>
    </row>
    <row r="281">
      <c r="A281" s="9"/>
      <c r="D281" s="13"/>
      <c r="E281" s="9"/>
      <c r="J281" s="121"/>
      <c r="M281" s="9"/>
      <c r="N281" s="9"/>
      <c r="O281" s="9"/>
    </row>
    <row r="282">
      <c r="A282" s="9"/>
      <c r="D282" s="13"/>
      <c r="E282" s="9"/>
      <c r="J282" s="121"/>
      <c r="M282" s="9"/>
      <c r="N282" s="9"/>
      <c r="O282" s="9"/>
    </row>
    <row r="283">
      <c r="A283" s="9"/>
      <c r="D283" s="13"/>
      <c r="E283" s="9"/>
      <c r="J283" s="121"/>
      <c r="M283" s="9"/>
      <c r="N283" s="9"/>
      <c r="O283" s="9"/>
    </row>
    <row r="284">
      <c r="A284" s="9"/>
      <c r="D284" s="13"/>
      <c r="E284" s="9"/>
      <c r="J284" s="121"/>
      <c r="M284" s="9"/>
      <c r="N284" s="9"/>
      <c r="O284" s="9"/>
    </row>
    <row r="285">
      <c r="A285" s="9"/>
      <c r="D285" s="13"/>
      <c r="E285" s="9"/>
      <c r="J285" s="121"/>
      <c r="M285" s="9"/>
      <c r="N285" s="9"/>
      <c r="O285" s="9"/>
    </row>
    <row r="286">
      <c r="A286" s="9"/>
      <c r="D286" s="13"/>
      <c r="E286" s="9"/>
      <c r="J286" s="121"/>
      <c r="M286" s="9"/>
      <c r="N286" s="9"/>
      <c r="O286" s="9"/>
    </row>
    <row r="287">
      <c r="A287" s="9"/>
      <c r="D287" s="13"/>
      <c r="E287" s="9"/>
      <c r="J287" s="121"/>
      <c r="M287" s="9"/>
      <c r="N287" s="9"/>
      <c r="O287" s="9"/>
    </row>
    <row r="288">
      <c r="A288" s="9"/>
      <c r="D288" s="13"/>
      <c r="E288" s="9"/>
      <c r="J288" s="121"/>
      <c r="M288" s="9"/>
      <c r="N288" s="9"/>
      <c r="O288" s="9"/>
    </row>
    <row r="289">
      <c r="A289" s="9"/>
      <c r="D289" s="13"/>
      <c r="E289" s="9"/>
      <c r="J289" s="121"/>
      <c r="M289" s="9"/>
      <c r="N289" s="9"/>
      <c r="O289" s="9"/>
    </row>
    <row r="290">
      <c r="A290" s="9"/>
      <c r="D290" s="13"/>
      <c r="E290" s="9"/>
      <c r="J290" s="121"/>
      <c r="M290" s="9"/>
      <c r="N290" s="9"/>
      <c r="O290" s="9"/>
    </row>
    <row r="291">
      <c r="A291" s="9"/>
      <c r="D291" s="13"/>
      <c r="E291" s="9"/>
      <c r="J291" s="121"/>
      <c r="M291" s="9"/>
      <c r="N291" s="9"/>
      <c r="O291" s="9"/>
    </row>
    <row r="292">
      <c r="A292" s="9"/>
      <c r="D292" s="13"/>
      <c r="E292" s="9"/>
      <c r="J292" s="121"/>
      <c r="M292" s="9"/>
      <c r="N292" s="9"/>
      <c r="O292" s="9"/>
    </row>
    <row r="293">
      <c r="A293" s="9"/>
      <c r="D293" s="13"/>
      <c r="E293" s="9"/>
      <c r="J293" s="121"/>
      <c r="M293" s="9"/>
      <c r="N293" s="9"/>
      <c r="O293" s="9"/>
    </row>
    <row r="294">
      <c r="A294" s="9"/>
      <c r="D294" s="13"/>
      <c r="E294" s="9"/>
      <c r="J294" s="121"/>
      <c r="M294" s="9"/>
      <c r="N294" s="9"/>
      <c r="O294" s="9"/>
    </row>
    <row r="295">
      <c r="A295" s="9"/>
      <c r="D295" s="13"/>
      <c r="E295" s="9"/>
      <c r="J295" s="121"/>
      <c r="M295" s="9"/>
      <c r="N295" s="9"/>
      <c r="O295" s="9"/>
    </row>
    <row r="296">
      <c r="A296" s="9"/>
      <c r="D296" s="13"/>
      <c r="E296" s="9"/>
      <c r="J296" s="121"/>
      <c r="M296" s="9"/>
      <c r="N296" s="9"/>
      <c r="O296" s="9"/>
    </row>
    <row r="297">
      <c r="A297" s="9"/>
      <c r="D297" s="13"/>
      <c r="E297" s="9"/>
      <c r="J297" s="121"/>
      <c r="M297" s="9"/>
      <c r="N297" s="9"/>
      <c r="O297" s="9"/>
    </row>
    <row r="298">
      <c r="A298" s="9"/>
      <c r="D298" s="13"/>
      <c r="E298" s="9"/>
      <c r="J298" s="121"/>
      <c r="M298" s="9"/>
      <c r="N298" s="9"/>
      <c r="O298" s="9"/>
    </row>
    <row r="299">
      <c r="A299" s="9"/>
      <c r="D299" s="13"/>
      <c r="E299" s="9"/>
      <c r="J299" s="121"/>
      <c r="M299" s="9"/>
      <c r="N299" s="9"/>
      <c r="O299" s="9"/>
    </row>
    <row r="300">
      <c r="A300" s="9"/>
      <c r="D300" s="13"/>
      <c r="E300" s="9"/>
      <c r="J300" s="121"/>
      <c r="M300" s="9"/>
      <c r="N300" s="9"/>
      <c r="O300" s="9"/>
    </row>
    <row r="301">
      <c r="A301" s="9"/>
      <c r="D301" s="13"/>
      <c r="E301" s="9"/>
      <c r="J301" s="121"/>
      <c r="M301" s="9"/>
      <c r="N301" s="9"/>
      <c r="O301" s="9"/>
    </row>
    <row r="302">
      <c r="A302" s="9"/>
      <c r="D302" s="13"/>
      <c r="E302" s="9"/>
      <c r="J302" s="121"/>
      <c r="M302" s="9"/>
      <c r="N302" s="9"/>
      <c r="O302" s="9"/>
    </row>
    <row r="303">
      <c r="A303" s="9"/>
      <c r="D303" s="13"/>
      <c r="E303" s="9"/>
      <c r="J303" s="121"/>
      <c r="M303" s="9"/>
      <c r="N303" s="9"/>
      <c r="O303" s="9"/>
    </row>
    <row r="304">
      <c r="A304" s="9"/>
      <c r="D304" s="13"/>
      <c r="E304" s="9"/>
      <c r="J304" s="121"/>
      <c r="M304" s="9"/>
      <c r="N304" s="9"/>
      <c r="O304" s="9"/>
    </row>
    <row r="305">
      <c r="A305" s="9"/>
      <c r="D305" s="13"/>
      <c r="E305" s="9"/>
      <c r="J305" s="121"/>
      <c r="M305" s="9"/>
      <c r="N305" s="9"/>
      <c r="O305" s="9"/>
    </row>
    <row r="306">
      <c r="A306" s="9"/>
      <c r="D306" s="13"/>
      <c r="E306" s="9"/>
      <c r="J306" s="121"/>
      <c r="M306" s="9"/>
      <c r="N306" s="9"/>
      <c r="O306" s="9"/>
    </row>
    <row r="307">
      <c r="A307" s="9"/>
      <c r="D307" s="13"/>
      <c r="E307" s="9"/>
      <c r="J307" s="121"/>
      <c r="M307" s="9"/>
      <c r="N307" s="9"/>
      <c r="O307" s="9"/>
    </row>
    <row r="308">
      <c r="A308" s="9"/>
      <c r="D308" s="13"/>
      <c r="E308" s="9"/>
      <c r="J308" s="121"/>
      <c r="M308" s="9"/>
      <c r="N308" s="9"/>
      <c r="O308" s="9"/>
    </row>
    <row r="309">
      <c r="A309" s="9"/>
      <c r="D309" s="13"/>
      <c r="E309" s="9"/>
      <c r="J309" s="121"/>
      <c r="M309" s="9"/>
      <c r="N309" s="9"/>
      <c r="O309" s="9"/>
    </row>
    <row r="310">
      <c r="A310" s="9"/>
      <c r="D310" s="13"/>
      <c r="E310" s="9"/>
      <c r="J310" s="121"/>
      <c r="M310" s="9"/>
      <c r="N310" s="9"/>
      <c r="O310" s="9"/>
    </row>
    <row r="311">
      <c r="A311" s="9"/>
      <c r="D311" s="13"/>
      <c r="E311" s="9"/>
      <c r="J311" s="121"/>
      <c r="M311" s="9"/>
      <c r="N311" s="9"/>
      <c r="O311" s="9"/>
    </row>
    <row r="312">
      <c r="A312" s="9"/>
      <c r="D312" s="13"/>
      <c r="E312" s="9"/>
      <c r="J312" s="121"/>
      <c r="M312" s="9"/>
      <c r="N312" s="9"/>
      <c r="O312" s="9"/>
    </row>
    <row r="313">
      <c r="A313" s="9"/>
      <c r="D313" s="13"/>
      <c r="E313" s="9"/>
      <c r="J313" s="121"/>
      <c r="M313" s="9"/>
      <c r="N313" s="9"/>
      <c r="O313" s="9"/>
    </row>
    <row r="314">
      <c r="A314" s="9"/>
      <c r="D314" s="13"/>
      <c r="E314" s="9"/>
      <c r="J314" s="121"/>
      <c r="M314" s="9"/>
      <c r="N314" s="9"/>
      <c r="O314" s="9"/>
    </row>
    <row r="315">
      <c r="A315" s="9"/>
      <c r="D315" s="13"/>
      <c r="E315" s="9"/>
      <c r="J315" s="121"/>
      <c r="M315" s="9"/>
      <c r="N315" s="9"/>
      <c r="O315" s="9"/>
    </row>
    <row r="316">
      <c r="A316" s="9"/>
      <c r="D316" s="13"/>
      <c r="E316" s="9"/>
      <c r="J316" s="121"/>
      <c r="M316" s="9"/>
      <c r="N316" s="9"/>
      <c r="O316" s="9"/>
    </row>
    <row r="317">
      <c r="A317" s="9"/>
      <c r="D317" s="13"/>
      <c r="E317" s="9"/>
      <c r="J317" s="121"/>
      <c r="M317" s="9"/>
      <c r="N317" s="9"/>
      <c r="O317" s="9"/>
    </row>
    <row r="318">
      <c r="A318" s="9"/>
      <c r="D318" s="13"/>
      <c r="E318" s="9"/>
      <c r="J318" s="121"/>
      <c r="M318" s="9"/>
      <c r="N318" s="9"/>
      <c r="O318" s="9"/>
    </row>
    <row r="319">
      <c r="A319" s="9"/>
      <c r="D319" s="13"/>
      <c r="E319" s="9"/>
      <c r="J319" s="121"/>
      <c r="M319" s="9"/>
      <c r="N319" s="9"/>
      <c r="O319" s="9"/>
    </row>
    <row r="320">
      <c r="A320" s="9"/>
      <c r="D320" s="13"/>
      <c r="E320" s="9"/>
      <c r="J320" s="121"/>
      <c r="M320" s="9"/>
      <c r="N320" s="9"/>
      <c r="O320" s="9"/>
    </row>
    <row r="321">
      <c r="A321" s="9"/>
      <c r="D321" s="13"/>
      <c r="E321" s="9"/>
      <c r="J321" s="121"/>
      <c r="M321" s="9"/>
      <c r="N321" s="9"/>
      <c r="O321" s="9"/>
    </row>
    <row r="322">
      <c r="A322" s="9"/>
      <c r="D322" s="13"/>
      <c r="E322" s="9"/>
      <c r="J322" s="121"/>
      <c r="M322" s="9"/>
      <c r="N322" s="9"/>
      <c r="O322" s="9"/>
    </row>
    <row r="323">
      <c r="A323" s="9"/>
      <c r="D323" s="13"/>
      <c r="E323" s="9"/>
      <c r="J323" s="121"/>
      <c r="M323" s="9"/>
      <c r="N323" s="9"/>
      <c r="O323" s="9"/>
    </row>
    <row r="324">
      <c r="A324" s="9"/>
      <c r="D324" s="13"/>
      <c r="E324" s="9"/>
      <c r="J324" s="121"/>
      <c r="M324" s="9"/>
      <c r="N324" s="9"/>
      <c r="O324" s="9"/>
    </row>
    <row r="325">
      <c r="A325" s="9"/>
      <c r="D325" s="13"/>
      <c r="E325" s="9"/>
      <c r="J325" s="121"/>
      <c r="M325" s="9"/>
      <c r="N325" s="9"/>
      <c r="O325" s="9"/>
    </row>
    <row r="326">
      <c r="A326" s="9"/>
      <c r="D326" s="13"/>
      <c r="E326" s="9"/>
      <c r="J326" s="121"/>
      <c r="M326" s="9"/>
      <c r="N326" s="9"/>
      <c r="O326" s="9"/>
    </row>
    <row r="327">
      <c r="A327" s="9"/>
      <c r="D327" s="13"/>
      <c r="E327" s="9"/>
      <c r="J327" s="121"/>
      <c r="M327" s="9"/>
      <c r="N327" s="9"/>
      <c r="O327" s="9"/>
    </row>
    <row r="328">
      <c r="A328" s="9"/>
      <c r="D328" s="13"/>
      <c r="E328" s="9"/>
      <c r="J328" s="121"/>
      <c r="M328" s="9"/>
      <c r="N328" s="9"/>
      <c r="O328" s="9"/>
    </row>
    <row r="329">
      <c r="A329" s="9"/>
      <c r="D329" s="13"/>
      <c r="E329" s="9"/>
      <c r="J329" s="121"/>
      <c r="M329" s="9"/>
      <c r="N329" s="9"/>
      <c r="O329" s="9"/>
    </row>
    <row r="330">
      <c r="A330" s="9"/>
      <c r="D330" s="13"/>
      <c r="E330" s="9"/>
      <c r="J330" s="121"/>
      <c r="M330" s="9"/>
      <c r="N330" s="9"/>
      <c r="O330" s="9"/>
    </row>
    <row r="331">
      <c r="A331" s="9"/>
      <c r="D331" s="13"/>
      <c r="E331" s="9"/>
      <c r="J331" s="121"/>
      <c r="M331" s="9"/>
      <c r="N331" s="9"/>
      <c r="O331" s="9"/>
    </row>
    <row r="332">
      <c r="A332" s="9"/>
      <c r="D332" s="13"/>
      <c r="E332" s="9"/>
      <c r="J332" s="121"/>
      <c r="M332" s="9"/>
      <c r="N332" s="9"/>
      <c r="O332" s="9"/>
    </row>
    <row r="333">
      <c r="A333" s="9"/>
      <c r="D333" s="13"/>
      <c r="E333" s="9"/>
      <c r="J333" s="121"/>
      <c r="M333" s="9"/>
      <c r="N333" s="9"/>
      <c r="O333" s="9"/>
    </row>
    <row r="334">
      <c r="A334" s="9"/>
      <c r="D334" s="13"/>
      <c r="E334" s="9"/>
      <c r="J334" s="121"/>
      <c r="M334" s="9"/>
      <c r="N334" s="9"/>
      <c r="O334" s="9"/>
    </row>
    <row r="335">
      <c r="A335" s="9"/>
      <c r="D335" s="13"/>
      <c r="E335" s="9"/>
      <c r="J335" s="121"/>
      <c r="M335" s="9"/>
      <c r="N335" s="9"/>
      <c r="O335" s="9"/>
    </row>
    <row r="336">
      <c r="A336" s="9"/>
      <c r="D336" s="13"/>
      <c r="E336" s="9"/>
      <c r="J336" s="121"/>
      <c r="M336" s="9"/>
      <c r="N336" s="9"/>
      <c r="O336" s="9"/>
    </row>
    <row r="337">
      <c r="A337" s="9"/>
      <c r="D337" s="13"/>
      <c r="E337" s="9"/>
      <c r="J337" s="121"/>
      <c r="M337" s="9"/>
      <c r="N337" s="9"/>
      <c r="O337" s="9"/>
    </row>
    <row r="338">
      <c r="A338" s="9"/>
      <c r="D338" s="13"/>
      <c r="E338" s="9"/>
      <c r="J338" s="121"/>
      <c r="M338" s="9"/>
      <c r="N338" s="9"/>
      <c r="O338" s="9"/>
    </row>
    <row r="339">
      <c r="A339" s="9"/>
      <c r="D339" s="13"/>
      <c r="E339" s="9"/>
      <c r="J339" s="121"/>
      <c r="M339" s="9"/>
      <c r="N339" s="9"/>
      <c r="O339" s="9"/>
    </row>
    <row r="340">
      <c r="A340" s="9"/>
      <c r="D340" s="13"/>
      <c r="E340" s="9"/>
      <c r="J340" s="121"/>
      <c r="M340" s="9"/>
      <c r="N340" s="9"/>
      <c r="O340" s="9"/>
    </row>
    <row r="341">
      <c r="A341" s="9"/>
      <c r="D341" s="13"/>
      <c r="E341" s="9"/>
      <c r="J341" s="121"/>
      <c r="M341" s="9"/>
      <c r="N341" s="9"/>
      <c r="O341" s="9"/>
    </row>
    <row r="342">
      <c r="A342" s="9"/>
      <c r="D342" s="13"/>
      <c r="E342" s="9"/>
      <c r="J342" s="121"/>
      <c r="M342" s="9"/>
      <c r="N342" s="9"/>
      <c r="O342" s="9"/>
    </row>
    <row r="343">
      <c r="A343" s="9"/>
      <c r="D343" s="13"/>
      <c r="E343" s="9"/>
      <c r="J343" s="121"/>
      <c r="M343" s="9"/>
      <c r="N343" s="9"/>
      <c r="O343" s="9"/>
    </row>
    <row r="344">
      <c r="A344" s="9"/>
      <c r="D344" s="13"/>
      <c r="E344" s="9"/>
      <c r="J344" s="121"/>
      <c r="M344" s="9"/>
      <c r="N344" s="9"/>
      <c r="O344" s="9"/>
    </row>
    <row r="345">
      <c r="A345" s="9"/>
      <c r="D345" s="13"/>
      <c r="E345" s="9"/>
      <c r="J345" s="121"/>
      <c r="M345" s="9"/>
      <c r="N345" s="9"/>
      <c r="O345" s="9"/>
    </row>
    <row r="346">
      <c r="A346" s="9"/>
      <c r="D346" s="13"/>
      <c r="E346" s="9"/>
      <c r="J346" s="121"/>
      <c r="M346" s="9"/>
      <c r="N346" s="9"/>
      <c r="O346" s="9"/>
    </row>
    <row r="347">
      <c r="A347" s="9"/>
      <c r="D347" s="13"/>
      <c r="E347" s="9"/>
      <c r="J347" s="121"/>
      <c r="M347" s="9"/>
      <c r="N347" s="9"/>
      <c r="O347" s="9"/>
    </row>
    <row r="348">
      <c r="A348" s="9"/>
      <c r="D348" s="13"/>
      <c r="E348" s="9"/>
      <c r="J348" s="121"/>
      <c r="M348" s="9"/>
      <c r="N348" s="9"/>
      <c r="O348" s="9"/>
    </row>
    <row r="349">
      <c r="A349" s="9"/>
      <c r="D349" s="13"/>
      <c r="E349" s="9"/>
      <c r="J349" s="121"/>
      <c r="M349" s="9"/>
      <c r="N349" s="9"/>
      <c r="O349" s="9"/>
    </row>
    <row r="350">
      <c r="A350" s="9"/>
      <c r="D350" s="13"/>
      <c r="E350" s="9"/>
      <c r="J350" s="121"/>
      <c r="M350" s="9"/>
      <c r="N350" s="9"/>
      <c r="O350" s="9"/>
    </row>
    <row r="351">
      <c r="A351" s="9"/>
      <c r="D351" s="13"/>
      <c r="E351" s="9"/>
      <c r="J351" s="121"/>
      <c r="M351" s="9"/>
      <c r="N351" s="9"/>
      <c r="O351" s="9"/>
    </row>
    <row r="352">
      <c r="A352" s="9"/>
      <c r="D352" s="13"/>
      <c r="E352" s="9"/>
      <c r="J352" s="121"/>
      <c r="M352" s="9"/>
      <c r="N352" s="9"/>
      <c r="O352" s="9"/>
    </row>
    <row r="353">
      <c r="A353" s="9"/>
      <c r="D353" s="13"/>
      <c r="E353" s="9"/>
      <c r="J353" s="121"/>
      <c r="M353" s="9"/>
      <c r="N353" s="9"/>
      <c r="O353" s="9"/>
    </row>
    <row r="354">
      <c r="A354" s="9"/>
      <c r="D354" s="13"/>
      <c r="E354" s="9"/>
      <c r="J354" s="121"/>
      <c r="M354" s="9"/>
      <c r="N354" s="9"/>
      <c r="O354" s="9"/>
    </row>
    <row r="355">
      <c r="A355" s="9"/>
      <c r="D355" s="13"/>
      <c r="E355" s="9"/>
      <c r="J355" s="121"/>
      <c r="M355" s="9"/>
      <c r="N355" s="9"/>
      <c r="O355" s="9"/>
    </row>
    <row r="356">
      <c r="A356" s="9"/>
      <c r="D356" s="13"/>
      <c r="E356" s="9"/>
      <c r="J356" s="121"/>
      <c r="M356" s="9"/>
      <c r="N356" s="9"/>
      <c r="O356" s="9"/>
    </row>
    <row r="357">
      <c r="A357" s="9"/>
      <c r="D357" s="13"/>
      <c r="E357" s="9"/>
      <c r="J357" s="121"/>
      <c r="M357" s="9"/>
      <c r="N357" s="9"/>
      <c r="O357" s="9"/>
    </row>
    <row r="358">
      <c r="A358" s="9"/>
      <c r="D358" s="13"/>
      <c r="E358" s="9"/>
      <c r="J358" s="121"/>
      <c r="M358" s="9"/>
      <c r="N358" s="9"/>
      <c r="O358" s="9"/>
    </row>
    <row r="359">
      <c r="A359" s="9"/>
      <c r="D359" s="13"/>
      <c r="E359" s="9"/>
      <c r="J359" s="121"/>
      <c r="M359" s="9"/>
      <c r="N359" s="9"/>
      <c r="O359" s="9"/>
    </row>
    <row r="360">
      <c r="A360" s="9"/>
      <c r="D360" s="13"/>
      <c r="E360" s="9"/>
      <c r="J360" s="121"/>
      <c r="M360" s="9"/>
      <c r="N360" s="9"/>
      <c r="O360" s="9"/>
    </row>
    <row r="361">
      <c r="A361" s="9"/>
      <c r="D361" s="13"/>
      <c r="E361" s="9"/>
      <c r="J361" s="121"/>
      <c r="M361" s="9"/>
      <c r="N361" s="9"/>
      <c r="O361" s="9"/>
    </row>
    <row r="362">
      <c r="A362" s="9"/>
      <c r="D362" s="13"/>
      <c r="E362" s="9"/>
      <c r="J362" s="121"/>
      <c r="M362" s="9"/>
      <c r="N362" s="9"/>
      <c r="O362" s="9"/>
    </row>
    <row r="363">
      <c r="A363" s="9"/>
      <c r="D363" s="13"/>
      <c r="E363" s="9"/>
      <c r="J363" s="121"/>
      <c r="M363" s="9"/>
      <c r="N363" s="9"/>
      <c r="O363" s="9"/>
    </row>
    <row r="364">
      <c r="A364" s="9"/>
      <c r="D364" s="13"/>
      <c r="E364" s="9"/>
      <c r="J364" s="121"/>
      <c r="M364" s="9"/>
      <c r="N364" s="9"/>
      <c r="O364" s="9"/>
    </row>
    <row r="365">
      <c r="A365" s="9"/>
      <c r="D365" s="13"/>
      <c r="E365" s="9"/>
      <c r="J365" s="121"/>
      <c r="M365" s="9"/>
      <c r="N365" s="9"/>
      <c r="O365" s="9"/>
    </row>
    <row r="366">
      <c r="A366" s="9"/>
      <c r="D366" s="13"/>
      <c r="E366" s="9"/>
      <c r="J366" s="121"/>
      <c r="M366" s="9"/>
      <c r="N366" s="9"/>
      <c r="O366" s="9"/>
    </row>
    <row r="367">
      <c r="A367" s="9"/>
      <c r="D367" s="13"/>
      <c r="E367" s="9"/>
      <c r="J367" s="121"/>
      <c r="M367" s="9"/>
      <c r="N367" s="9"/>
      <c r="O367" s="9"/>
    </row>
    <row r="368">
      <c r="A368" s="9"/>
      <c r="D368" s="13"/>
      <c r="E368" s="9"/>
      <c r="J368" s="121"/>
      <c r="M368" s="9"/>
      <c r="N368" s="9"/>
      <c r="O368" s="9"/>
    </row>
    <row r="369">
      <c r="A369" s="9"/>
      <c r="D369" s="13"/>
      <c r="E369" s="9"/>
      <c r="J369" s="121"/>
      <c r="M369" s="9"/>
      <c r="N369" s="9"/>
      <c r="O369" s="9"/>
    </row>
    <row r="370">
      <c r="A370" s="9"/>
      <c r="D370" s="13"/>
      <c r="E370" s="9"/>
      <c r="J370" s="121"/>
      <c r="M370" s="9"/>
      <c r="N370" s="9"/>
      <c r="O370" s="9"/>
    </row>
    <row r="371">
      <c r="A371" s="9"/>
      <c r="D371" s="13"/>
      <c r="E371" s="9"/>
      <c r="J371" s="121"/>
      <c r="M371" s="9"/>
      <c r="N371" s="9"/>
      <c r="O371" s="9"/>
    </row>
    <row r="372">
      <c r="A372" s="9"/>
      <c r="D372" s="13"/>
      <c r="E372" s="9"/>
      <c r="J372" s="121"/>
      <c r="M372" s="9"/>
      <c r="N372" s="9"/>
      <c r="O372" s="9"/>
    </row>
    <row r="373">
      <c r="A373" s="9"/>
      <c r="D373" s="13"/>
      <c r="E373" s="9"/>
      <c r="J373" s="121"/>
      <c r="M373" s="9"/>
      <c r="N373" s="9"/>
      <c r="O373" s="9"/>
    </row>
    <row r="374">
      <c r="A374" s="9"/>
      <c r="D374" s="13"/>
      <c r="E374" s="9"/>
      <c r="J374" s="121"/>
      <c r="M374" s="9"/>
      <c r="N374" s="9"/>
      <c r="O374" s="9"/>
    </row>
    <row r="375">
      <c r="A375" s="9"/>
      <c r="D375" s="13"/>
      <c r="E375" s="9"/>
      <c r="J375" s="121"/>
      <c r="M375" s="9"/>
      <c r="N375" s="9"/>
      <c r="O375" s="9"/>
    </row>
    <row r="376">
      <c r="A376" s="9"/>
      <c r="D376" s="13"/>
      <c r="E376" s="9"/>
      <c r="J376" s="121"/>
      <c r="M376" s="9"/>
      <c r="N376" s="9"/>
      <c r="O376" s="9"/>
    </row>
    <row r="377">
      <c r="A377" s="9"/>
      <c r="D377" s="13"/>
      <c r="E377" s="9"/>
      <c r="J377" s="121"/>
      <c r="M377" s="9"/>
      <c r="N377" s="9"/>
      <c r="O377" s="9"/>
    </row>
    <row r="378">
      <c r="A378" s="9"/>
      <c r="D378" s="13"/>
      <c r="E378" s="9"/>
      <c r="J378" s="121"/>
      <c r="M378" s="9"/>
      <c r="N378" s="9"/>
      <c r="O378" s="9"/>
    </row>
    <row r="379">
      <c r="A379" s="9"/>
      <c r="D379" s="13"/>
      <c r="E379" s="9"/>
      <c r="J379" s="121"/>
      <c r="M379" s="9"/>
      <c r="N379" s="9"/>
      <c r="O379" s="9"/>
    </row>
    <row r="380">
      <c r="A380" s="9"/>
      <c r="D380" s="13"/>
      <c r="E380" s="9"/>
      <c r="J380" s="121"/>
      <c r="M380" s="9"/>
      <c r="N380" s="9"/>
      <c r="O380" s="9"/>
    </row>
    <row r="381">
      <c r="A381" s="9"/>
      <c r="D381" s="13"/>
      <c r="E381" s="9"/>
      <c r="J381" s="121"/>
      <c r="M381" s="9"/>
      <c r="N381" s="9"/>
      <c r="O381" s="9"/>
    </row>
    <row r="382">
      <c r="A382" s="9"/>
      <c r="D382" s="13"/>
      <c r="E382" s="9"/>
      <c r="J382" s="121"/>
      <c r="M382" s="9"/>
      <c r="N382" s="9"/>
      <c r="O382" s="9"/>
    </row>
    <row r="383">
      <c r="A383" s="9"/>
      <c r="D383" s="13"/>
      <c r="E383" s="9"/>
      <c r="J383" s="121"/>
      <c r="M383" s="9"/>
      <c r="N383" s="9"/>
      <c r="O383" s="9"/>
    </row>
    <row r="384">
      <c r="A384" s="9"/>
      <c r="D384" s="13"/>
      <c r="E384" s="9"/>
      <c r="J384" s="121"/>
      <c r="M384" s="9"/>
      <c r="N384" s="9"/>
      <c r="O384" s="9"/>
    </row>
    <row r="385">
      <c r="A385" s="9"/>
      <c r="D385" s="13"/>
      <c r="E385" s="9"/>
      <c r="J385" s="121"/>
      <c r="M385" s="9"/>
      <c r="N385" s="9"/>
      <c r="O385" s="9"/>
    </row>
    <row r="386">
      <c r="A386" s="9"/>
      <c r="D386" s="13"/>
      <c r="E386" s="9"/>
      <c r="J386" s="121"/>
      <c r="M386" s="9"/>
      <c r="N386" s="9"/>
      <c r="O386" s="9"/>
    </row>
    <row r="387">
      <c r="A387" s="9"/>
      <c r="D387" s="13"/>
      <c r="E387" s="9"/>
      <c r="J387" s="121"/>
      <c r="M387" s="9"/>
      <c r="N387" s="9"/>
      <c r="O387" s="9"/>
    </row>
    <row r="388">
      <c r="A388" s="9"/>
      <c r="D388" s="13"/>
      <c r="E388" s="9"/>
      <c r="J388" s="121"/>
      <c r="M388" s="9"/>
      <c r="N388" s="9"/>
      <c r="O388" s="9"/>
    </row>
    <row r="389">
      <c r="A389" s="9"/>
      <c r="D389" s="13"/>
      <c r="E389" s="9"/>
      <c r="J389" s="121"/>
      <c r="M389" s="9"/>
      <c r="N389" s="9"/>
      <c r="O389" s="9"/>
    </row>
    <row r="390">
      <c r="A390" s="9"/>
      <c r="D390" s="13"/>
      <c r="E390" s="9"/>
      <c r="J390" s="121"/>
      <c r="M390" s="9"/>
      <c r="N390" s="9"/>
      <c r="O390" s="9"/>
    </row>
    <row r="391">
      <c r="A391" s="9"/>
      <c r="D391" s="13"/>
      <c r="E391" s="9"/>
      <c r="J391" s="121"/>
      <c r="M391" s="9"/>
      <c r="N391" s="9"/>
      <c r="O391" s="9"/>
    </row>
    <row r="392">
      <c r="A392" s="9"/>
      <c r="D392" s="13"/>
      <c r="E392" s="9"/>
      <c r="J392" s="121"/>
      <c r="M392" s="9"/>
      <c r="N392" s="9"/>
      <c r="O392" s="9"/>
    </row>
    <row r="393">
      <c r="A393" s="9"/>
      <c r="D393" s="13"/>
      <c r="E393" s="9"/>
      <c r="J393" s="121"/>
      <c r="M393" s="9"/>
      <c r="N393" s="9"/>
      <c r="O393" s="9"/>
    </row>
    <row r="394">
      <c r="A394" s="9"/>
      <c r="D394" s="13"/>
      <c r="E394" s="9"/>
      <c r="J394" s="121"/>
      <c r="M394" s="9"/>
      <c r="N394" s="9"/>
      <c r="O394" s="9"/>
    </row>
    <row r="395">
      <c r="A395" s="9"/>
      <c r="D395" s="13"/>
      <c r="E395" s="9"/>
      <c r="J395" s="121"/>
      <c r="M395" s="9"/>
      <c r="N395" s="9"/>
      <c r="O395" s="9"/>
    </row>
    <row r="396">
      <c r="A396" s="9"/>
      <c r="D396" s="13"/>
      <c r="E396" s="9"/>
      <c r="J396" s="121"/>
      <c r="M396" s="9"/>
      <c r="N396" s="9"/>
      <c r="O396" s="9"/>
    </row>
    <row r="397">
      <c r="A397" s="9"/>
      <c r="D397" s="13"/>
      <c r="E397" s="9"/>
      <c r="J397" s="121"/>
      <c r="M397" s="9"/>
      <c r="N397" s="9"/>
      <c r="O397" s="9"/>
    </row>
    <row r="398">
      <c r="A398" s="9"/>
      <c r="D398" s="13"/>
      <c r="E398" s="9"/>
      <c r="J398" s="121"/>
      <c r="M398" s="9"/>
      <c r="N398" s="9"/>
      <c r="O398" s="9"/>
    </row>
    <row r="399">
      <c r="A399" s="9"/>
      <c r="D399" s="13"/>
      <c r="E399" s="9"/>
      <c r="J399" s="121"/>
      <c r="M399" s="9"/>
      <c r="N399" s="9"/>
      <c r="O399" s="9"/>
    </row>
    <row r="400">
      <c r="A400" s="9"/>
      <c r="D400" s="13"/>
      <c r="E400" s="9"/>
      <c r="J400" s="121"/>
      <c r="M400" s="9"/>
      <c r="N400" s="9"/>
      <c r="O400" s="9"/>
    </row>
    <row r="401">
      <c r="A401" s="9"/>
      <c r="D401" s="13"/>
      <c r="E401" s="9"/>
      <c r="J401" s="121"/>
      <c r="M401" s="9"/>
      <c r="N401" s="9"/>
      <c r="O401" s="9"/>
    </row>
    <row r="402">
      <c r="A402" s="9"/>
      <c r="D402" s="13"/>
      <c r="E402" s="9"/>
      <c r="J402" s="121"/>
      <c r="M402" s="9"/>
      <c r="N402" s="9"/>
      <c r="O402" s="9"/>
    </row>
    <row r="403">
      <c r="A403" s="9"/>
      <c r="D403" s="13"/>
      <c r="E403" s="9"/>
      <c r="J403" s="121"/>
      <c r="M403" s="9"/>
      <c r="N403" s="9"/>
      <c r="O403" s="9"/>
    </row>
    <row r="404">
      <c r="A404" s="9"/>
      <c r="D404" s="13"/>
      <c r="E404" s="9"/>
      <c r="J404" s="121"/>
      <c r="M404" s="9"/>
      <c r="N404" s="9"/>
      <c r="O404" s="9"/>
    </row>
    <row r="405">
      <c r="A405" s="9"/>
      <c r="D405" s="13"/>
      <c r="E405" s="9"/>
      <c r="J405" s="121"/>
      <c r="M405" s="9"/>
      <c r="N405" s="9"/>
      <c r="O405" s="9"/>
    </row>
    <row r="406">
      <c r="A406" s="9"/>
      <c r="D406" s="13"/>
      <c r="E406" s="9"/>
      <c r="J406" s="121"/>
      <c r="M406" s="9"/>
      <c r="N406" s="9"/>
      <c r="O406" s="9"/>
    </row>
    <row r="407">
      <c r="A407" s="9"/>
      <c r="D407" s="13"/>
      <c r="E407" s="9"/>
      <c r="J407" s="121"/>
      <c r="M407" s="9"/>
      <c r="N407" s="9"/>
      <c r="O407" s="9"/>
    </row>
    <row r="408">
      <c r="A408" s="9"/>
      <c r="D408" s="13"/>
      <c r="E408" s="9"/>
      <c r="J408" s="121"/>
      <c r="M408" s="9"/>
      <c r="N408" s="9"/>
      <c r="O408" s="9"/>
    </row>
    <row r="409">
      <c r="A409" s="9"/>
      <c r="D409" s="13"/>
      <c r="E409" s="9"/>
      <c r="J409" s="121"/>
      <c r="M409" s="9"/>
      <c r="N409" s="9"/>
      <c r="O409" s="9"/>
    </row>
    <row r="410">
      <c r="A410" s="9"/>
      <c r="D410" s="13"/>
      <c r="E410" s="9"/>
      <c r="J410" s="121"/>
      <c r="M410" s="9"/>
      <c r="N410" s="9"/>
      <c r="O410" s="9"/>
    </row>
    <row r="411">
      <c r="A411" s="9"/>
      <c r="D411" s="13"/>
      <c r="E411" s="9"/>
      <c r="J411" s="121"/>
      <c r="M411" s="9"/>
      <c r="N411" s="9"/>
      <c r="O411" s="9"/>
    </row>
    <row r="412">
      <c r="A412" s="9"/>
      <c r="D412" s="13"/>
      <c r="E412" s="9"/>
      <c r="J412" s="121"/>
      <c r="M412" s="9"/>
      <c r="N412" s="9"/>
      <c r="O412" s="9"/>
    </row>
    <row r="413">
      <c r="A413" s="9"/>
      <c r="D413" s="13"/>
      <c r="E413" s="9"/>
      <c r="J413" s="121"/>
      <c r="M413" s="9"/>
      <c r="N413" s="9"/>
      <c r="O413" s="9"/>
    </row>
    <row r="414">
      <c r="A414" s="9"/>
      <c r="D414" s="13"/>
      <c r="E414" s="9"/>
      <c r="J414" s="121"/>
      <c r="M414" s="9"/>
      <c r="N414" s="9"/>
      <c r="O414" s="9"/>
    </row>
    <row r="415">
      <c r="A415" s="9"/>
      <c r="D415" s="13"/>
      <c r="E415" s="9"/>
      <c r="J415" s="121"/>
      <c r="M415" s="9"/>
      <c r="N415" s="9"/>
      <c r="O415" s="9"/>
    </row>
    <row r="416">
      <c r="A416" s="9"/>
      <c r="D416" s="13"/>
      <c r="E416" s="9"/>
      <c r="J416" s="121"/>
      <c r="M416" s="9"/>
      <c r="N416" s="9"/>
      <c r="O416" s="9"/>
    </row>
    <row r="417">
      <c r="A417" s="9"/>
      <c r="D417" s="13"/>
      <c r="E417" s="9"/>
      <c r="J417" s="121"/>
      <c r="M417" s="9"/>
      <c r="N417" s="9"/>
      <c r="O417" s="9"/>
    </row>
    <row r="418">
      <c r="A418" s="9"/>
      <c r="D418" s="13"/>
      <c r="E418" s="9"/>
      <c r="J418" s="121"/>
      <c r="M418" s="9"/>
      <c r="N418" s="9"/>
      <c r="O418" s="9"/>
    </row>
    <row r="419">
      <c r="A419" s="9"/>
      <c r="D419" s="13"/>
      <c r="E419" s="9"/>
      <c r="J419" s="121"/>
      <c r="M419" s="9"/>
      <c r="N419" s="9"/>
      <c r="O419" s="9"/>
    </row>
    <row r="420">
      <c r="A420" s="9"/>
      <c r="D420" s="13"/>
      <c r="E420" s="9"/>
      <c r="J420" s="121"/>
      <c r="M420" s="9"/>
      <c r="N420" s="9"/>
      <c r="O420" s="9"/>
    </row>
    <row r="421">
      <c r="A421" s="9"/>
      <c r="D421" s="13"/>
      <c r="E421" s="9"/>
      <c r="J421" s="121"/>
      <c r="M421" s="9"/>
      <c r="N421" s="9"/>
      <c r="O421" s="9"/>
    </row>
    <row r="422">
      <c r="A422" s="9"/>
      <c r="D422" s="13"/>
      <c r="E422" s="9"/>
      <c r="J422" s="121"/>
      <c r="M422" s="9"/>
      <c r="N422" s="9"/>
      <c r="O422" s="9"/>
    </row>
    <row r="423">
      <c r="A423" s="9"/>
      <c r="D423" s="13"/>
      <c r="E423" s="9"/>
      <c r="J423" s="121"/>
      <c r="M423" s="9"/>
      <c r="N423" s="9"/>
      <c r="O423" s="9"/>
    </row>
    <row r="424">
      <c r="A424" s="9"/>
      <c r="D424" s="13"/>
      <c r="E424" s="9"/>
      <c r="J424" s="121"/>
      <c r="M424" s="9"/>
      <c r="N424" s="9"/>
      <c r="O424" s="9"/>
    </row>
    <row r="425">
      <c r="A425" s="9"/>
      <c r="D425" s="13"/>
      <c r="E425" s="9"/>
      <c r="J425" s="121"/>
      <c r="M425" s="9"/>
      <c r="N425" s="9"/>
      <c r="O425" s="9"/>
    </row>
    <row r="426">
      <c r="A426" s="9"/>
      <c r="D426" s="13"/>
      <c r="E426" s="9"/>
      <c r="J426" s="121"/>
      <c r="M426" s="9"/>
      <c r="N426" s="9"/>
      <c r="O426" s="9"/>
    </row>
    <row r="427">
      <c r="A427" s="9"/>
      <c r="D427" s="13"/>
      <c r="E427" s="9"/>
      <c r="J427" s="121"/>
      <c r="M427" s="9"/>
      <c r="N427" s="9"/>
      <c r="O427" s="9"/>
    </row>
    <row r="428">
      <c r="A428" s="9"/>
      <c r="D428" s="13"/>
      <c r="E428" s="9"/>
      <c r="J428" s="121"/>
      <c r="M428" s="9"/>
      <c r="N428" s="9"/>
      <c r="O428" s="9"/>
    </row>
    <row r="429">
      <c r="A429" s="9"/>
      <c r="D429" s="13"/>
      <c r="E429" s="9"/>
      <c r="J429" s="121"/>
      <c r="M429" s="9"/>
      <c r="N429" s="9"/>
      <c r="O429" s="9"/>
    </row>
    <row r="430">
      <c r="A430" s="9"/>
      <c r="D430" s="13"/>
      <c r="E430" s="9"/>
      <c r="J430" s="121"/>
      <c r="M430" s="9"/>
      <c r="N430" s="9"/>
      <c r="O430" s="9"/>
    </row>
    <row r="431">
      <c r="A431" s="9"/>
      <c r="D431" s="13"/>
      <c r="E431" s="9"/>
      <c r="J431" s="121"/>
      <c r="M431" s="9"/>
      <c r="N431" s="9"/>
      <c r="O431" s="9"/>
    </row>
    <row r="432">
      <c r="A432" s="9"/>
      <c r="D432" s="13"/>
      <c r="E432" s="9"/>
      <c r="J432" s="121"/>
      <c r="M432" s="9"/>
      <c r="N432" s="9"/>
      <c r="O432" s="9"/>
    </row>
    <row r="433">
      <c r="A433" s="9"/>
      <c r="D433" s="13"/>
      <c r="E433" s="9"/>
      <c r="J433" s="121"/>
      <c r="M433" s="9"/>
      <c r="N433" s="9"/>
      <c r="O433" s="9"/>
    </row>
    <row r="434">
      <c r="A434" s="9"/>
      <c r="D434" s="13"/>
      <c r="E434" s="9"/>
      <c r="J434" s="121"/>
      <c r="M434" s="9"/>
      <c r="N434" s="9"/>
      <c r="O434" s="9"/>
    </row>
    <row r="435">
      <c r="A435" s="9"/>
      <c r="D435" s="13"/>
      <c r="E435" s="9"/>
      <c r="J435" s="121"/>
      <c r="M435" s="9"/>
      <c r="N435" s="9"/>
      <c r="O435" s="9"/>
    </row>
    <row r="436">
      <c r="A436" s="9"/>
      <c r="D436" s="13"/>
      <c r="E436" s="9"/>
      <c r="J436" s="121"/>
      <c r="M436" s="9"/>
      <c r="N436" s="9"/>
      <c r="O436" s="9"/>
    </row>
    <row r="437">
      <c r="A437" s="9"/>
      <c r="D437" s="13"/>
      <c r="E437" s="9"/>
      <c r="J437" s="121"/>
      <c r="M437" s="9"/>
      <c r="N437" s="9"/>
      <c r="O437" s="9"/>
    </row>
    <row r="438">
      <c r="A438" s="9"/>
      <c r="D438" s="13"/>
      <c r="E438" s="9"/>
      <c r="J438" s="121"/>
      <c r="M438" s="9"/>
      <c r="N438" s="9"/>
      <c r="O438" s="9"/>
    </row>
    <row r="439">
      <c r="A439" s="9"/>
      <c r="D439" s="13"/>
      <c r="E439" s="9"/>
      <c r="J439" s="121"/>
      <c r="M439" s="9"/>
      <c r="N439" s="9"/>
      <c r="O439" s="9"/>
    </row>
    <row r="440">
      <c r="A440" s="9"/>
      <c r="D440" s="13"/>
      <c r="E440" s="9"/>
      <c r="J440" s="121"/>
      <c r="M440" s="9"/>
      <c r="N440" s="9"/>
      <c r="O440" s="9"/>
    </row>
    <row r="441">
      <c r="A441" s="9"/>
      <c r="D441" s="13"/>
      <c r="E441" s="9"/>
      <c r="J441" s="121"/>
      <c r="M441" s="9"/>
      <c r="N441" s="9"/>
      <c r="O441" s="9"/>
    </row>
    <row r="442">
      <c r="A442" s="9"/>
      <c r="D442" s="13"/>
      <c r="E442" s="9"/>
      <c r="J442" s="121"/>
      <c r="M442" s="9"/>
      <c r="N442" s="9"/>
      <c r="O442" s="9"/>
    </row>
    <row r="443">
      <c r="A443" s="9"/>
      <c r="D443" s="13"/>
      <c r="E443" s="9"/>
      <c r="J443" s="121"/>
      <c r="M443" s="9"/>
      <c r="N443" s="9"/>
      <c r="O443" s="9"/>
    </row>
    <row r="444">
      <c r="A444" s="9"/>
      <c r="D444" s="13"/>
      <c r="E444" s="9"/>
      <c r="J444" s="121"/>
      <c r="M444" s="9"/>
      <c r="N444" s="9"/>
      <c r="O444" s="9"/>
    </row>
    <row r="445">
      <c r="A445" s="9"/>
      <c r="D445" s="13"/>
      <c r="E445" s="9"/>
      <c r="J445" s="121"/>
      <c r="M445" s="9"/>
      <c r="N445" s="9"/>
      <c r="O445" s="9"/>
    </row>
    <row r="446">
      <c r="A446" s="9"/>
      <c r="D446" s="13"/>
      <c r="E446" s="9"/>
      <c r="J446" s="121"/>
      <c r="M446" s="9"/>
      <c r="N446" s="9"/>
      <c r="O446" s="9"/>
    </row>
    <row r="447">
      <c r="A447" s="9"/>
      <c r="D447" s="13"/>
      <c r="E447" s="9"/>
      <c r="J447" s="121"/>
      <c r="M447" s="9"/>
      <c r="N447" s="9"/>
      <c r="O447" s="9"/>
    </row>
    <row r="448">
      <c r="A448" s="9"/>
      <c r="D448" s="13"/>
      <c r="E448" s="9"/>
      <c r="J448" s="121"/>
      <c r="M448" s="9"/>
      <c r="N448" s="9"/>
      <c r="O448" s="9"/>
    </row>
    <row r="449">
      <c r="A449" s="9"/>
      <c r="D449" s="13"/>
      <c r="E449" s="9"/>
      <c r="J449" s="121"/>
      <c r="M449" s="9"/>
      <c r="N449" s="9"/>
      <c r="O449" s="9"/>
    </row>
    <row r="450">
      <c r="A450" s="9"/>
      <c r="D450" s="13"/>
      <c r="E450" s="9"/>
      <c r="J450" s="121"/>
      <c r="M450" s="9"/>
      <c r="N450" s="9"/>
      <c r="O450" s="9"/>
    </row>
    <row r="451">
      <c r="A451" s="9"/>
      <c r="D451" s="13"/>
      <c r="E451" s="9"/>
      <c r="J451" s="121"/>
      <c r="M451" s="9"/>
      <c r="N451" s="9"/>
      <c r="O451" s="9"/>
    </row>
    <row r="452">
      <c r="A452" s="9"/>
      <c r="D452" s="13"/>
      <c r="E452" s="9"/>
      <c r="J452" s="121"/>
      <c r="M452" s="9"/>
      <c r="N452" s="9"/>
      <c r="O452" s="9"/>
    </row>
    <row r="453">
      <c r="A453" s="9"/>
      <c r="D453" s="13"/>
      <c r="E453" s="9"/>
      <c r="J453" s="121"/>
      <c r="M453" s="9"/>
      <c r="N453" s="9"/>
      <c r="O453" s="9"/>
    </row>
    <row r="454">
      <c r="A454" s="9"/>
      <c r="D454" s="13"/>
      <c r="E454" s="9"/>
      <c r="J454" s="121"/>
      <c r="M454" s="9"/>
      <c r="N454" s="9"/>
      <c r="O454" s="9"/>
    </row>
    <row r="455">
      <c r="A455" s="9"/>
      <c r="D455" s="13"/>
      <c r="E455" s="9"/>
      <c r="J455" s="121"/>
      <c r="M455" s="9"/>
      <c r="N455" s="9"/>
      <c r="O455" s="9"/>
    </row>
    <row r="456">
      <c r="A456" s="9"/>
      <c r="D456" s="13"/>
      <c r="E456" s="9"/>
      <c r="J456" s="121"/>
      <c r="M456" s="9"/>
      <c r="N456" s="9"/>
      <c r="O456" s="9"/>
    </row>
    <row r="457">
      <c r="A457" s="9"/>
      <c r="D457" s="13"/>
      <c r="E457" s="9"/>
      <c r="J457" s="121"/>
      <c r="M457" s="9"/>
      <c r="N457" s="9"/>
      <c r="O457" s="9"/>
    </row>
    <row r="458">
      <c r="A458" s="9"/>
      <c r="D458" s="13"/>
      <c r="E458" s="9"/>
      <c r="J458" s="121"/>
      <c r="M458" s="9"/>
      <c r="N458" s="9"/>
      <c r="O458" s="9"/>
    </row>
    <row r="459">
      <c r="A459" s="9"/>
      <c r="D459" s="13"/>
      <c r="E459" s="9"/>
      <c r="J459" s="121"/>
      <c r="M459" s="9"/>
      <c r="N459" s="9"/>
      <c r="O459" s="9"/>
    </row>
    <row r="460">
      <c r="A460" s="9"/>
      <c r="D460" s="13"/>
      <c r="E460" s="9"/>
      <c r="J460" s="121"/>
      <c r="M460" s="9"/>
      <c r="N460" s="9"/>
      <c r="O460" s="9"/>
    </row>
    <row r="461">
      <c r="A461" s="9"/>
      <c r="D461" s="13"/>
      <c r="E461" s="9"/>
      <c r="J461" s="121"/>
      <c r="M461" s="9"/>
      <c r="N461" s="9"/>
      <c r="O461" s="9"/>
    </row>
    <row r="462">
      <c r="A462" s="9"/>
      <c r="D462" s="13"/>
      <c r="E462" s="9"/>
      <c r="J462" s="121"/>
      <c r="M462" s="9"/>
      <c r="N462" s="9"/>
      <c r="O462" s="9"/>
    </row>
    <row r="463">
      <c r="A463" s="9"/>
      <c r="D463" s="13"/>
      <c r="E463" s="9"/>
      <c r="J463" s="121"/>
      <c r="M463" s="9"/>
      <c r="N463" s="9"/>
      <c r="O463" s="9"/>
    </row>
    <row r="464">
      <c r="A464" s="9"/>
      <c r="D464" s="13"/>
      <c r="E464" s="9"/>
      <c r="J464" s="121"/>
      <c r="M464" s="9"/>
      <c r="N464" s="9"/>
      <c r="O464" s="9"/>
    </row>
    <row r="465">
      <c r="A465" s="9"/>
      <c r="D465" s="13"/>
      <c r="E465" s="9"/>
      <c r="J465" s="121"/>
      <c r="M465" s="9"/>
      <c r="N465" s="9"/>
      <c r="O465" s="9"/>
    </row>
    <row r="466">
      <c r="A466" s="9"/>
      <c r="D466" s="13"/>
      <c r="E466" s="9"/>
      <c r="J466" s="121"/>
      <c r="M466" s="9"/>
      <c r="N466" s="9"/>
      <c r="O466" s="9"/>
    </row>
    <row r="467">
      <c r="A467" s="9"/>
      <c r="D467" s="13"/>
      <c r="E467" s="9"/>
      <c r="J467" s="121"/>
      <c r="M467" s="9"/>
      <c r="N467" s="9"/>
      <c r="O467" s="9"/>
    </row>
    <row r="468">
      <c r="A468" s="9"/>
      <c r="D468" s="13"/>
      <c r="E468" s="9"/>
      <c r="J468" s="121"/>
      <c r="M468" s="9"/>
      <c r="N468" s="9"/>
      <c r="O468" s="9"/>
    </row>
    <row r="469">
      <c r="A469" s="9"/>
      <c r="D469" s="13"/>
      <c r="E469" s="9"/>
      <c r="J469" s="121"/>
      <c r="M469" s="9"/>
      <c r="N469" s="9"/>
      <c r="O469" s="9"/>
    </row>
    <row r="470">
      <c r="A470" s="9"/>
      <c r="D470" s="13"/>
      <c r="E470" s="9"/>
      <c r="J470" s="121"/>
      <c r="M470" s="9"/>
      <c r="N470" s="9"/>
      <c r="O470" s="9"/>
    </row>
    <row r="471">
      <c r="A471" s="9"/>
      <c r="D471" s="13"/>
      <c r="E471" s="9"/>
      <c r="J471" s="121"/>
      <c r="M471" s="9"/>
      <c r="N471" s="9"/>
      <c r="O471" s="9"/>
    </row>
    <row r="472">
      <c r="A472" s="9"/>
      <c r="D472" s="13"/>
      <c r="E472" s="9"/>
      <c r="J472" s="121"/>
      <c r="M472" s="9"/>
      <c r="N472" s="9"/>
      <c r="O472" s="9"/>
    </row>
    <row r="473">
      <c r="A473" s="9"/>
      <c r="D473" s="13"/>
      <c r="E473" s="9"/>
      <c r="J473" s="121"/>
      <c r="M473" s="9"/>
      <c r="N473" s="9"/>
      <c r="O473" s="9"/>
    </row>
    <row r="474">
      <c r="A474" s="9"/>
      <c r="D474" s="13"/>
      <c r="E474" s="9"/>
      <c r="J474" s="121"/>
      <c r="M474" s="9"/>
      <c r="N474" s="9"/>
      <c r="O474" s="9"/>
    </row>
    <row r="475">
      <c r="A475" s="9"/>
      <c r="D475" s="13"/>
      <c r="E475" s="9"/>
      <c r="J475" s="121"/>
      <c r="M475" s="9"/>
      <c r="N475" s="9"/>
      <c r="O475" s="9"/>
    </row>
    <row r="476">
      <c r="A476" s="9"/>
      <c r="D476" s="13"/>
      <c r="E476" s="9"/>
      <c r="J476" s="121"/>
      <c r="M476" s="9"/>
      <c r="N476" s="9"/>
      <c r="O476" s="9"/>
    </row>
    <row r="477">
      <c r="A477" s="9"/>
      <c r="D477" s="13"/>
      <c r="E477" s="9"/>
      <c r="J477" s="121"/>
      <c r="M477" s="9"/>
      <c r="N477" s="9"/>
      <c r="O477" s="9"/>
    </row>
    <row r="478">
      <c r="A478" s="9"/>
      <c r="D478" s="13"/>
      <c r="E478" s="9"/>
      <c r="J478" s="121"/>
      <c r="M478" s="9"/>
      <c r="N478" s="9"/>
      <c r="O478" s="9"/>
    </row>
    <row r="479">
      <c r="A479" s="9"/>
      <c r="D479" s="13"/>
      <c r="E479" s="9"/>
      <c r="J479" s="121"/>
      <c r="M479" s="9"/>
      <c r="N479" s="9"/>
      <c r="O479" s="9"/>
    </row>
    <row r="480">
      <c r="A480" s="9"/>
      <c r="D480" s="13"/>
      <c r="E480" s="9"/>
      <c r="J480" s="121"/>
      <c r="M480" s="9"/>
      <c r="N480" s="9"/>
      <c r="O480" s="9"/>
    </row>
    <row r="481">
      <c r="A481" s="9"/>
      <c r="D481" s="13"/>
      <c r="E481" s="9"/>
      <c r="J481" s="121"/>
      <c r="M481" s="9"/>
      <c r="N481" s="9"/>
      <c r="O481" s="9"/>
    </row>
    <row r="482">
      <c r="A482" s="9"/>
      <c r="D482" s="13"/>
      <c r="E482" s="9"/>
      <c r="J482" s="121"/>
      <c r="M482" s="9"/>
      <c r="N482" s="9"/>
      <c r="O482" s="9"/>
    </row>
    <row r="483">
      <c r="A483" s="9"/>
      <c r="D483" s="13"/>
      <c r="E483" s="9"/>
      <c r="J483" s="121"/>
      <c r="M483" s="9"/>
      <c r="N483" s="9"/>
      <c r="O483" s="9"/>
    </row>
    <row r="484">
      <c r="A484" s="9"/>
      <c r="D484" s="13"/>
      <c r="E484" s="9"/>
      <c r="J484" s="121"/>
      <c r="M484" s="9"/>
      <c r="N484" s="9"/>
      <c r="O484" s="9"/>
    </row>
    <row r="485">
      <c r="A485" s="9"/>
      <c r="D485" s="13"/>
      <c r="E485" s="9"/>
      <c r="J485" s="121"/>
      <c r="M485" s="9"/>
      <c r="N485" s="9"/>
      <c r="O485" s="9"/>
    </row>
    <row r="486">
      <c r="A486" s="9"/>
      <c r="D486" s="13"/>
      <c r="E486" s="9"/>
      <c r="J486" s="121"/>
      <c r="M486" s="9"/>
      <c r="N486" s="9"/>
      <c r="O486" s="9"/>
    </row>
    <row r="487">
      <c r="A487" s="9"/>
      <c r="D487" s="13"/>
      <c r="E487" s="9"/>
      <c r="J487" s="121"/>
      <c r="M487" s="9"/>
      <c r="N487" s="9"/>
      <c r="O487" s="9"/>
    </row>
    <row r="488">
      <c r="A488" s="9"/>
      <c r="D488" s="13"/>
      <c r="E488" s="9"/>
      <c r="J488" s="121"/>
      <c r="M488" s="9"/>
      <c r="N488" s="9"/>
      <c r="O488" s="9"/>
    </row>
    <row r="489">
      <c r="A489" s="9"/>
      <c r="D489" s="13"/>
      <c r="E489" s="9"/>
      <c r="J489" s="121"/>
      <c r="M489" s="9"/>
      <c r="N489" s="9"/>
      <c r="O489" s="9"/>
    </row>
    <row r="490">
      <c r="A490" s="9"/>
      <c r="D490" s="13"/>
      <c r="E490" s="9"/>
      <c r="J490" s="121"/>
      <c r="M490" s="9"/>
      <c r="N490" s="9"/>
      <c r="O490" s="9"/>
    </row>
    <row r="491">
      <c r="A491" s="9"/>
      <c r="D491" s="13"/>
      <c r="E491" s="9"/>
      <c r="J491" s="121"/>
      <c r="M491" s="9"/>
      <c r="N491" s="9"/>
      <c r="O491" s="9"/>
    </row>
    <row r="492">
      <c r="A492" s="9"/>
      <c r="D492" s="13"/>
      <c r="E492" s="9"/>
      <c r="J492" s="121"/>
      <c r="M492" s="9"/>
      <c r="N492" s="9"/>
      <c r="O492" s="9"/>
    </row>
    <row r="493">
      <c r="A493" s="9"/>
      <c r="D493" s="13"/>
      <c r="E493" s="9"/>
      <c r="J493" s="121"/>
      <c r="M493" s="9"/>
      <c r="N493" s="9"/>
      <c r="O493" s="9"/>
    </row>
    <row r="494">
      <c r="A494" s="9"/>
      <c r="D494" s="13"/>
      <c r="E494" s="9"/>
      <c r="J494" s="121"/>
      <c r="M494" s="9"/>
      <c r="N494" s="9"/>
      <c r="O494" s="9"/>
    </row>
    <row r="495">
      <c r="A495" s="9"/>
      <c r="D495" s="13"/>
      <c r="E495" s="9"/>
      <c r="J495" s="121"/>
      <c r="M495" s="9"/>
      <c r="N495" s="9"/>
      <c r="O495" s="9"/>
    </row>
    <row r="496">
      <c r="A496" s="9"/>
      <c r="D496" s="13"/>
      <c r="E496" s="9"/>
      <c r="J496" s="121"/>
      <c r="M496" s="9"/>
      <c r="N496" s="9"/>
      <c r="O496" s="9"/>
    </row>
    <row r="497">
      <c r="A497" s="9"/>
      <c r="D497" s="13"/>
      <c r="E497" s="9"/>
      <c r="J497" s="121"/>
      <c r="M497" s="9"/>
      <c r="N497" s="9"/>
      <c r="O497" s="9"/>
    </row>
    <row r="498">
      <c r="A498" s="9"/>
      <c r="D498" s="13"/>
      <c r="E498" s="9"/>
      <c r="J498" s="121"/>
      <c r="M498" s="9"/>
      <c r="N498" s="9"/>
      <c r="O498" s="9"/>
    </row>
    <row r="499">
      <c r="A499" s="9"/>
      <c r="D499" s="13"/>
      <c r="E499" s="9"/>
      <c r="J499" s="121"/>
      <c r="M499" s="9"/>
      <c r="N499" s="9"/>
      <c r="O499" s="9"/>
    </row>
    <row r="500">
      <c r="A500" s="9"/>
      <c r="D500" s="13"/>
      <c r="E500" s="9"/>
      <c r="J500" s="121"/>
      <c r="M500" s="9"/>
      <c r="N500" s="9"/>
      <c r="O500" s="9"/>
    </row>
    <row r="501">
      <c r="A501" s="9"/>
      <c r="D501" s="13"/>
      <c r="E501" s="9"/>
      <c r="J501" s="121"/>
      <c r="M501" s="9"/>
      <c r="N501" s="9"/>
      <c r="O501" s="9"/>
    </row>
    <row r="502">
      <c r="A502" s="9"/>
      <c r="D502" s="13"/>
      <c r="E502" s="9"/>
      <c r="J502" s="121"/>
      <c r="M502" s="9"/>
      <c r="N502" s="9"/>
      <c r="O502" s="9"/>
    </row>
    <row r="503">
      <c r="A503" s="9"/>
      <c r="D503" s="13"/>
      <c r="E503" s="9"/>
      <c r="J503" s="121"/>
      <c r="M503" s="9"/>
      <c r="N503" s="9"/>
      <c r="O503" s="9"/>
    </row>
    <row r="504">
      <c r="A504" s="9"/>
      <c r="D504" s="13"/>
      <c r="E504" s="9"/>
      <c r="J504" s="121"/>
      <c r="M504" s="9"/>
      <c r="N504" s="9"/>
      <c r="O504" s="9"/>
    </row>
    <row r="505">
      <c r="A505" s="9"/>
      <c r="D505" s="13"/>
      <c r="E505" s="9"/>
      <c r="J505" s="121"/>
      <c r="M505" s="9"/>
      <c r="N505" s="9"/>
      <c r="O505" s="9"/>
    </row>
    <row r="506">
      <c r="A506" s="9"/>
      <c r="D506" s="13"/>
      <c r="E506" s="9"/>
      <c r="J506" s="121"/>
      <c r="M506" s="9"/>
      <c r="N506" s="9"/>
      <c r="O506" s="9"/>
    </row>
    <row r="507">
      <c r="A507" s="9"/>
      <c r="D507" s="13"/>
      <c r="E507" s="9"/>
      <c r="J507" s="121"/>
      <c r="M507" s="9"/>
      <c r="N507" s="9"/>
      <c r="O507" s="9"/>
    </row>
    <row r="508">
      <c r="A508" s="9"/>
      <c r="D508" s="13"/>
      <c r="E508" s="9"/>
      <c r="J508" s="121"/>
      <c r="M508" s="9"/>
      <c r="N508" s="9"/>
      <c r="O508" s="9"/>
    </row>
    <row r="509">
      <c r="A509" s="9"/>
      <c r="D509" s="13"/>
      <c r="E509" s="9"/>
      <c r="J509" s="121"/>
      <c r="M509" s="9"/>
      <c r="N509" s="9"/>
      <c r="O509" s="9"/>
    </row>
    <row r="510">
      <c r="A510" s="9"/>
      <c r="D510" s="13"/>
      <c r="E510" s="9"/>
      <c r="J510" s="121"/>
      <c r="M510" s="9"/>
      <c r="N510" s="9"/>
      <c r="O510" s="9"/>
    </row>
    <row r="511">
      <c r="A511" s="9"/>
      <c r="D511" s="13"/>
      <c r="E511" s="9"/>
      <c r="J511" s="121"/>
      <c r="M511" s="9"/>
      <c r="N511" s="9"/>
      <c r="O511" s="9"/>
    </row>
    <row r="512">
      <c r="A512" s="9"/>
      <c r="D512" s="13"/>
      <c r="E512" s="9"/>
      <c r="J512" s="121"/>
      <c r="M512" s="9"/>
      <c r="N512" s="9"/>
      <c r="O512" s="9"/>
    </row>
    <row r="513">
      <c r="A513" s="9"/>
      <c r="D513" s="13"/>
      <c r="E513" s="9"/>
      <c r="J513" s="121"/>
      <c r="M513" s="9"/>
      <c r="N513" s="9"/>
      <c r="O513" s="9"/>
    </row>
    <row r="514">
      <c r="A514" s="9"/>
      <c r="D514" s="13"/>
      <c r="E514" s="9"/>
      <c r="J514" s="121"/>
      <c r="M514" s="9"/>
      <c r="N514" s="9"/>
      <c r="O514" s="9"/>
    </row>
    <row r="515">
      <c r="A515" s="9"/>
      <c r="D515" s="13"/>
      <c r="E515" s="9"/>
      <c r="J515" s="121"/>
      <c r="M515" s="9"/>
      <c r="N515" s="9"/>
      <c r="O515" s="9"/>
    </row>
    <row r="516">
      <c r="A516" s="9"/>
      <c r="D516" s="13"/>
      <c r="E516" s="9"/>
      <c r="J516" s="121"/>
      <c r="M516" s="9"/>
      <c r="N516" s="9"/>
      <c r="O516" s="9"/>
    </row>
    <row r="517">
      <c r="A517" s="9"/>
      <c r="D517" s="13"/>
      <c r="E517" s="9"/>
      <c r="J517" s="121"/>
      <c r="M517" s="9"/>
      <c r="N517" s="9"/>
      <c r="O517" s="9"/>
    </row>
    <row r="518">
      <c r="A518" s="9"/>
      <c r="D518" s="13"/>
      <c r="E518" s="9"/>
      <c r="J518" s="121"/>
      <c r="M518" s="9"/>
      <c r="N518" s="9"/>
      <c r="O518" s="9"/>
    </row>
    <row r="519">
      <c r="A519" s="9"/>
      <c r="D519" s="13"/>
      <c r="E519" s="9"/>
      <c r="J519" s="121"/>
      <c r="M519" s="9"/>
      <c r="N519" s="9"/>
      <c r="O519" s="9"/>
    </row>
    <row r="520">
      <c r="A520" s="9"/>
      <c r="D520" s="13"/>
      <c r="E520" s="9"/>
      <c r="J520" s="121"/>
      <c r="M520" s="9"/>
      <c r="N520" s="9"/>
      <c r="O520" s="9"/>
    </row>
    <row r="521">
      <c r="A521" s="9"/>
      <c r="D521" s="13"/>
      <c r="E521" s="9"/>
      <c r="J521" s="121"/>
      <c r="M521" s="9"/>
      <c r="N521" s="9"/>
      <c r="O521" s="9"/>
    </row>
    <row r="522">
      <c r="A522" s="9"/>
      <c r="D522" s="13"/>
      <c r="E522" s="9"/>
      <c r="J522" s="121"/>
      <c r="M522" s="9"/>
      <c r="N522" s="9"/>
      <c r="O522" s="9"/>
    </row>
    <row r="523">
      <c r="A523" s="9"/>
      <c r="D523" s="13"/>
      <c r="E523" s="9"/>
      <c r="J523" s="121"/>
      <c r="M523" s="9"/>
      <c r="N523" s="9"/>
      <c r="O523" s="9"/>
    </row>
    <row r="524">
      <c r="A524" s="9"/>
      <c r="D524" s="13"/>
      <c r="E524" s="9"/>
      <c r="J524" s="121"/>
      <c r="M524" s="9"/>
      <c r="N524" s="9"/>
      <c r="O524" s="9"/>
    </row>
    <row r="525">
      <c r="A525" s="9"/>
      <c r="D525" s="13"/>
      <c r="E525" s="9"/>
      <c r="J525" s="121"/>
      <c r="M525" s="9"/>
      <c r="N525" s="9"/>
      <c r="O525" s="9"/>
    </row>
    <row r="526">
      <c r="A526" s="9"/>
      <c r="D526" s="13"/>
      <c r="E526" s="9"/>
      <c r="J526" s="121"/>
      <c r="M526" s="9"/>
      <c r="N526" s="9"/>
      <c r="O526" s="9"/>
    </row>
    <row r="527">
      <c r="A527" s="9"/>
      <c r="D527" s="13"/>
      <c r="E527" s="9"/>
      <c r="J527" s="121"/>
      <c r="M527" s="9"/>
      <c r="N527" s="9"/>
      <c r="O527" s="9"/>
    </row>
    <row r="528">
      <c r="A528" s="9"/>
      <c r="D528" s="13"/>
      <c r="E528" s="9"/>
      <c r="J528" s="121"/>
      <c r="M528" s="9"/>
      <c r="N528" s="9"/>
      <c r="O528" s="9"/>
    </row>
    <row r="529">
      <c r="A529" s="9"/>
      <c r="D529" s="13"/>
      <c r="E529" s="9"/>
      <c r="J529" s="121"/>
      <c r="M529" s="9"/>
      <c r="N529" s="9"/>
      <c r="O529" s="9"/>
    </row>
    <row r="530">
      <c r="A530" s="9"/>
      <c r="D530" s="13"/>
      <c r="E530" s="9"/>
      <c r="J530" s="121"/>
      <c r="M530" s="9"/>
      <c r="N530" s="9"/>
      <c r="O530" s="9"/>
    </row>
    <row r="531">
      <c r="A531" s="9"/>
      <c r="D531" s="13"/>
      <c r="E531" s="9"/>
      <c r="J531" s="121"/>
      <c r="M531" s="9"/>
      <c r="N531" s="9"/>
      <c r="O531" s="9"/>
    </row>
    <row r="532">
      <c r="A532" s="9"/>
      <c r="D532" s="13"/>
      <c r="E532" s="9"/>
      <c r="J532" s="121"/>
      <c r="M532" s="9"/>
      <c r="N532" s="9"/>
      <c r="O532" s="9"/>
    </row>
    <row r="533">
      <c r="A533" s="9"/>
      <c r="D533" s="13"/>
      <c r="E533" s="9"/>
      <c r="J533" s="121"/>
      <c r="M533" s="9"/>
      <c r="N533" s="9"/>
      <c r="O533" s="9"/>
    </row>
    <row r="534">
      <c r="A534" s="9"/>
      <c r="D534" s="13"/>
      <c r="E534" s="9"/>
      <c r="J534" s="121"/>
      <c r="M534" s="9"/>
      <c r="N534" s="9"/>
      <c r="O534" s="9"/>
    </row>
    <row r="535">
      <c r="A535" s="9"/>
      <c r="D535" s="13"/>
      <c r="E535" s="9"/>
      <c r="J535" s="121"/>
      <c r="M535" s="9"/>
      <c r="N535" s="9"/>
      <c r="O535" s="9"/>
    </row>
    <row r="536">
      <c r="A536" s="9"/>
      <c r="D536" s="13"/>
      <c r="E536" s="9"/>
      <c r="J536" s="121"/>
      <c r="M536" s="9"/>
      <c r="N536" s="9"/>
      <c r="O536" s="9"/>
    </row>
    <row r="537">
      <c r="A537" s="9"/>
      <c r="D537" s="13"/>
      <c r="E537" s="9"/>
      <c r="J537" s="121"/>
      <c r="M537" s="9"/>
      <c r="N537" s="9"/>
      <c r="O537" s="9"/>
    </row>
    <row r="538">
      <c r="A538" s="9"/>
      <c r="D538" s="13"/>
      <c r="E538" s="9"/>
      <c r="J538" s="121"/>
      <c r="M538" s="9"/>
      <c r="N538" s="9"/>
      <c r="O538" s="9"/>
    </row>
    <row r="539">
      <c r="A539" s="9"/>
      <c r="D539" s="13"/>
      <c r="E539" s="9"/>
      <c r="J539" s="121"/>
      <c r="M539" s="9"/>
      <c r="N539" s="9"/>
      <c r="O539" s="9"/>
    </row>
    <row r="540">
      <c r="A540" s="9"/>
      <c r="D540" s="13"/>
      <c r="E540" s="9"/>
      <c r="J540" s="121"/>
      <c r="M540" s="9"/>
      <c r="N540" s="9"/>
      <c r="O540" s="9"/>
    </row>
    <row r="541">
      <c r="A541" s="9"/>
      <c r="D541" s="13"/>
      <c r="E541" s="9"/>
      <c r="J541" s="121"/>
      <c r="M541" s="9"/>
      <c r="N541" s="9"/>
      <c r="O541" s="9"/>
    </row>
    <row r="542">
      <c r="A542" s="9"/>
      <c r="D542" s="13"/>
      <c r="E542" s="9"/>
      <c r="J542" s="121"/>
      <c r="M542" s="9"/>
      <c r="N542" s="9"/>
      <c r="O542" s="9"/>
    </row>
    <row r="543">
      <c r="A543" s="9"/>
      <c r="D543" s="13"/>
      <c r="E543" s="9"/>
      <c r="J543" s="121"/>
      <c r="M543" s="9"/>
      <c r="N543" s="9"/>
      <c r="O543" s="9"/>
    </row>
    <row r="544">
      <c r="A544" s="9"/>
      <c r="D544" s="13"/>
      <c r="E544" s="9"/>
      <c r="J544" s="121"/>
      <c r="M544" s="9"/>
      <c r="N544" s="9"/>
      <c r="O544" s="9"/>
    </row>
    <row r="545">
      <c r="A545" s="9"/>
      <c r="D545" s="13"/>
      <c r="E545" s="9"/>
      <c r="J545" s="121"/>
      <c r="M545" s="9"/>
      <c r="N545" s="9"/>
      <c r="O545" s="9"/>
    </row>
    <row r="546">
      <c r="A546" s="9"/>
      <c r="D546" s="13"/>
      <c r="E546" s="9"/>
      <c r="J546" s="121"/>
      <c r="M546" s="9"/>
      <c r="N546" s="9"/>
      <c r="O546" s="9"/>
    </row>
    <row r="547">
      <c r="A547" s="9"/>
      <c r="D547" s="13"/>
      <c r="E547" s="9"/>
      <c r="J547" s="121"/>
      <c r="M547" s="9"/>
      <c r="N547" s="9"/>
      <c r="O547" s="9"/>
    </row>
    <row r="548">
      <c r="A548" s="9"/>
      <c r="D548" s="13"/>
      <c r="E548" s="9"/>
      <c r="J548" s="121"/>
      <c r="M548" s="9"/>
      <c r="N548" s="9"/>
      <c r="O548" s="9"/>
    </row>
    <row r="549">
      <c r="A549" s="9"/>
      <c r="D549" s="13"/>
      <c r="E549" s="9"/>
      <c r="J549" s="121"/>
      <c r="M549" s="9"/>
      <c r="N549" s="9"/>
      <c r="O549" s="9"/>
    </row>
    <row r="550">
      <c r="A550" s="9"/>
      <c r="D550" s="13"/>
      <c r="E550" s="9"/>
      <c r="J550" s="121"/>
      <c r="M550" s="9"/>
      <c r="N550" s="9"/>
      <c r="O550" s="9"/>
    </row>
    <row r="551">
      <c r="A551" s="9"/>
      <c r="D551" s="13"/>
      <c r="E551" s="9"/>
      <c r="J551" s="121"/>
      <c r="M551" s="9"/>
      <c r="N551" s="9"/>
      <c r="O551" s="9"/>
    </row>
    <row r="552">
      <c r="A552" s="9"/>
      <c r="D552" s="13"/>
      <c r="E552" s="9"/>
      <c r="J552" s="121"/>
      <c r="M552" s="9"/>
      <c r="N552" s="9"/>
      <c r="O552" s="9"/>
    </row>
    <row r="553">
      <c r="A553" s="9"/>
      <c r="D553" s="13"/>
      <c r="E553" s="9"/>
      <c r="J553" s="121"/>
      <c r="M553" s="9"/>
      <c r="N553" s="9"/>
      <c r="O553" s="9"/>
    </row>
    <row r="554">
      <c r="A554" s="9"/>
      <c r="D554" s="13"/>
      <c r="E554" s="9"/>
      <c r="J554" s="121"/>
      <c r="M554" s="9"/>
      <c r="N554" s="9"/>
      <c r="O554" s="9"/>
    </row>
    <row r="555">
      <c r="A555" s="9"/>
      <c r="D555" s="13"/>
      <c r="E555" s="9"/>
      <c r="J555" s="121"/>
      <c r="M555" s="9"/>
      <c r="N555" s="9"/>
      <c r="O555" s="9"/>
    </row>
    <row r="556">
      <c r="A556" s="9"/>
      <c r="D556" s="13"/>
      <c r="E556" s="9"/>
      <c r="J556" s="121"/>
      <c r="M556" s="9"/>
      <c r="N556" s="9"/>
      <c r="O556" s="9"/>
    </row>
    <row r="557">
      <c r="A557" s="9"/>
      <c r="D557" s="13"/>
      <c r="E557" s="9"/>
      <c r="J557" s="121"/>
      <c r="M557" s="9"/>
      <c r="N557" s="9"/>
      <c r="O557" s="9"/>
    </row>
    <row r="558">
      <c r="A558" s="9"/>
      <c r="D558" s="13"/>
      <c r="E558" s="9"/>
      <c r="J558" s="121"/>
      <c r="M558" s="9"/>
      <c r="N558" s="9"/>
      <c r="O558" s="9"/>
    </row>
    <row r="559">
      <c r="A559" s="9"/>
      <c r="D559" s="13"/>
      <c r="E559" s="9"/>
      <c r="J559" s="121"/>
      <c r="M559" s="9"/>
      <c r="N559" s="9"/>
      <c r="O559" s="9"/>
    </row>
    <row r="560">
      <c r="A560" s="9"/>
      <c r="D560" s="13"/>
      <c r="E560" s="9"/>
      <c r="J560" s="121"/>
      <c r="M560" s="9"/>
      <c r="N560" s="9"/>
      <c r="O560" s="9"/>
    </row>
    <row r="561">
      <c r="A561" s="9"/>
      <c r="D561" s="13"/>
      <c r="E561" s="9"/>
      <c r="J561" s="121"/>
      <c r="M561" s="9"/>
      <c r="N561" s="9"/>
      <c r="O561" s="9"/>
    </row>
    <row r="562">
      <c r="A562" s="9"/>
      <c r="D562" s="13"/>
      <c r="E562" s="9"/>
      <c r="J562" s="121"/>
      <c r="M562" s="9"/>
      <c r="N562" s="9"/>
      <c r="O562" s="9"/>
    </row>
    <row r="563">
      <c r="A563" s="9"/>
      <c r="D563" s="13"/>
      <c r="E563" s="9"/>
      <c r="J563" s="121"/>
      <c r="M563" s="9"/>
      <c r="N563" s="9"/>
      <c r="O563" s="9"/>
    </row>
    <row r="564">
      <c r="A564" s="9"/>
      <c r="D564" s="13"/>
      <c r="E564" s="9"/>
      <c r="J564" s="121"/>
      <c r="M564" s="9"/>
      <c r="N564" s="9"/>
      <c r="O564" s="9"/>
    </row>
    <row r="565">
      <c r="A565" s="9"/>
      <c r="D565" s="13"/>
      <c r="E565" s="9"/>
      <c r="J565" s="121"/>
      <c r="M565" s="9"/>
      <c r="N565" s="9"/>
      <c r="O565" s="9"/>
    </row>
    <row r="566">
      <c r="A566" s="9"/>
      <c r="D566" s="13"/>
      <c r="E566" s="9"/>
      <c r="J566" s="121"/>
      <c r="M566" s="9"/>
      <c r="N566" s="9"/>
      <c r="O566" s="9"/>
    </row>
    <row r="567">
      <c r="A567" s="9"/>
      <c r="D567" s="13"/>
      <c r="E567" s="9"/>
      <c r="J567" s="121"/>
      <c r="M567" s="9"/>
      <c r="N567" s="9"/>
      <c r="O567" s="9"/>
    </row>
    <row r="568">
      <c r="A568" s="9"/>
      <c r="D568" s="13"/>
      <c r="E568" s="9"/>
      <c r="J568" s="121"/>
      <c r="M568" s="9"/>
      <c r="N568" s="9"/>
      <c r="O568" s="9"/>
    </row>
    <row r="569">
      <c r="A569" s="9"/>
      <c r="D569" s="13"/>
      <c r="E569" s="9"/>
      <c r="J569" s="121"/>
      <c r="M569" s="9"/>
      <c r="N569" s="9"/>
      <c r="O569" s="9"/>
    </row>
    <row r="570">
      <c r="A570" s="9"/>
      <c r="D570" s="13"/>
      <c r="E570" s="9"/>
      <c r="J570" s="121"/>
      <c r="M570" s="9"/>
      <c r="N570" s="9"/>
      <c r="O570" s="9"/>
    </row>
    <row r="571">
      <c r="A571" s="9"/>
      <c r="D571" s="13"/>
      <c r="E571" s="9"/>
      <c r="J571" s="121"/>
      <c r="M571" s="9"/>
      <c r="N571" s="9"/>
      <c r="O571" s="9"/>
    </row>
    <row r="572">
      <c r="A572" s="9"/>
      <c r="D572" s="13"/>
      <c r="E572" s="9"/>
      <c r="J572" s="121"/>
      <c r="M572" s="9"/>
      <c r="N572" s="9"/>
      <c r="O572" s="9"/>
    </row>
    <row r="573">
      <c r="A573" s="9"/>
      <c r="D573" s="13"/>
      <c r="E573" s="9"/>
      <c r="J573" s="121"/>
      <c r="M573" s="9"/>
      <c r="N573" s="9"/>
      <c r="O573" s="9"/>
    </row>
    <row r="574">
      <c r="A574" s="9"/>
      <c r="D574" s="13"/>
      <c r="E574" s="9"/>
      <c r="J574" s="121"/>
      <c r="M574" s="9"/>
      <c r="N574" s="9"/>
      <c r="O574" s="9"/>
    </row>
    <row r="575">
      <c r="A575" s="9"/>
      <c r="D575" s="13"/>
      <c r="E575" s="9"/>
      <c r="J575" s="121"/>
      <c r="M575" s="9"/>
      <c r="N575" s="9"/>
      <c r="O575" s="9"/>
    </row>
    <row r="576">
      <c r="A576" s="9"/>
      <c r="D576" s="13"/>
      <c r="E576" s="9"/>
      <c r="J576" s="121"/>
      <c r="M576" s="9"/>
      <c r="N576" s="9"/>
      <c r="O576" s="9"/>
    </row>
    <row r="577">
      <c r="A577" s="9"/>
      <c r="D577" s="13"/>
      <c r="E577" s="9"/>
      <c r="J577" s="121"/>
      <c r="M577" s="9"/>
      <c r="N577" s="9"/>
      <c r="O577" s="9"/>
    </row>
    <row r="578">
      <c r="A578" s="9"/>
      <c r="D578" s="13"/>
      <c r="E578" s="9"/>
      <c r="J578" s="121"/>
      <c r="M578" s="9"/>
      <c r="N578" s="9"/>
      <c r="O578" s="9"/>
    </row>
    <row r="579">
      <c r="A579" s="9"/>
      <c r="D579" s="13"/>
      <c r="E579" s="9"/>
      <c r="J579" s="121"/>
      <c r="M579" s="9"/>
      <c r="N579" s="9"/>
      <c r="O579" s="9"/>
    </row>
    <row r="580">
      <c r="A580" s="9"/>
      <c r="D580" s="13"/>
      <c r="E580" s="9"/>
      <c r="J580" s="121"/>
      <c r="M580" s="9"/>
      <c r="N580" s="9"/>
      <c r="O580" s="9"/>
    </row>
    <row r="581">
      <c r="A581" s="9"/>
      <c r="D581" s="13"/>
      <c r="E581" s="9"/>
      <c r="J581" s="121"/>
      <c r="M581" s="9"/>
      <c r="N581" s="9"/>
      <c r="O581" s="9"/>
    </row>
    <row r="582">
      <c r="A582" s="9"/>
      <c r="D582" s="13"/>
      <c r="E582" s="9"/>
      <c r="J582" s="121"/>
      <c r="M582" s="9"/>
      <c r="N582" s="9"/>
      <c r="O582" s="9"/>
    </row>
    <row r="583">
      <c r="A583" s="9"/>
      <c r="D583" s="13"/>
      <c r="E583" s="9"/>
      <c r="J583" s="121"/>
      <c r="M583" s="9"/>
      <c r="N583" s="9"/>
      <c r="O583" s="9"/>
    </row>
    <row r="584">
      <c r="A584" s="9"/>
      <c r="D584" s="13"/>
      <c r="E584" s="9"/>
      <c r="J584" s="121"/>
      <c r="M584" s="9"/>
      <c r="N584" s="9"/>
      <c r="O584" s="9"/>
    </row>
    <row r="585">
      <c r="A585" s="9"/>
      <c r="D585" s="13"/>
      <c r="E585" s="9"/>
      <c r="J585" s="121"/>
      <c r="M585" s="9"/>
      <c r="N585" s="9"/>
      <c r="O585" s="9"/>
    </row>
    <row r="586">
      <c r="A586" s="9"/>
      <c r="D586" s="13"/>
      <c r="E586" s="9"/>
      <c r="J586" s="121"/>
      <c r="M586" s="9"/>
      <c r="N586" s="9"/>
      <c r="O586" s="9"/>
    </row>
    <row r="587">
      <c r="A587" s="9"/>
      <c r="D587" s="13"/>
      <c r="E587" s="9"/>
      <c r="J587" s="121"/>
      <c r="M587" s="9"/>
      <c r="N587" s="9"/>
      <c r="O587" s="9"/>
    </row>
    <row r="588">
      <c r="A588" s="9"/>
      <c r="D588" s="13"/>
      <c r="E588" s="9"/>
      <c r="J588" s="121"/>
      <c r="M588" s="9"/>
      <c r="N588" s="9"/>
      <c r="O588" s="9"/>
    </row>
    <row r="589">
      <c r="A589" s="9"/>
      <c r="D589" s="13"/>
      <c r="E589" s="9"/>
      <c r="J589" s="121"/>
      <c r="M589" s="9"/>
      <c r="N589" s="9"/>
      <c r="O589" s="9"/>
    </row>
    <row r="590">
      <c r="A590" s="9"/>
      <c r="D590" s="13"/>
      <c r="E590" s="9"/>
      <c r="J590" s="121"/>
      <c r="M590" s="9"/>
      <c r="N590" s="9"/>
      <c r="O590" s="9"/>
    </row>
    <row r="591">
      <c r="A591" s="9"/>
      <c r="D591" s="13"/>
      <c r="E591" s="9"/>
      <c r="J591" s="121"/>
      <c r="M591" s="9"/>
      <c r="N591" s="9"/>
      <c r="O591" s="9"/>
    </row>
    <row r="592">
      <c r="A592" s="9"/>
      <c r="D592" s="13"/>
      <c r="E592" s="9"/>
      <c r="J592" s="121"/>
      <c r="M592" s="9"/>
      <c r="N592" s="9"/>
      <c r="O592" s="9"/>
    </row>
    <row r="593">
      <c r="A593" s="9"/>
      <c r="D593" s="13"/>
      <c r="E593" s="9"/>
      <c r="J593" s="121"/>
      <c r="M593" s="9"/>
      <c r="N593" s="9"/>
      <c r="O593" s="9"/>
    </row>
    <row r="594">
      <c r="A594" s="9"/>
      <c r="D594" s="13"/>
      <c r="E594" s="9"/>
      <c r="J594" s="121"/>
      <c r="M594" s="9"/>
      <c r="N594" s="9"/>
      <c r="O594" s="9"/>
    </row>
    <row r="595">
      <c r="A595" s="9"/>
      <c r="D595" s="13"/>
      <c r="E595" s="9"/>
      <c r="J595" s="121"/>
      <c r="M595" s="9"/>
      <c r="N595" s="9"/>
      <c r="O595" s="9"/>
    </row>
    <row r="596">
      <c r="A596" s="9"/>
      <c r="D596" s="13"/>
      <c r="E596" s="9"/>
      <c r="J596" s="121"/>
      <c r="M596" s="9"/>
      <c r="N596" s="9"/>
      <c r="O596" s="9"/>
    </row>
    <row r="597">
      <c r="A597" s="9"/>
      <c r="D597" s="13"/>
      <c r="E597" s="9"/>
      <c r="J597" s="121"/>
      <c r="M597" s="9"/>
      <c r="N597" s="9"/>
      <c r="O597" s="9"/>
    </row>
    <row r="598">
      <c r="A598" s="9"/>
      <c r="D598" s="13"/>
      <c r="E598" s="9"/>
      <c r="J598" s="121"/>
      <c r="M598" s="9"/>
      <c r="N598" s="9"/>
      <c r="O598" s="9"/>
    </row>
    <row r="599">
      <c r="A599" s="9"/>
      <c r="D599" s="13"/>
      <c r="E599" s="9"/>
      <c r="J599" s="121"/>
      <c r="M599" s="9"/>
      <c r="N599" s="9"/>
      <c r="O599" s="9"/>
    </row>
    <row r="600">
      <c r="A600" s="9"/>
      <c r="D600" s="13"/>
      <c r="E600" s="9"/>
      <c r="J600" s="121"/>
      <c r="M600" s="9"/>
      <c r="N600" s="9"/>
      <c r="O600" s="9"/>
    </row>
    <row r="601">
      <c r="A601" s="9"/>
      <c r="D601" s="13"/>
      <c r="E601" s="9"/>
      <c r="J601" s="121"/>
      <c r="M601" s="9"/>
      <c r="N601" s="9"/>
      <c r="O601" s="9"/>
    </row>
    <row r="602">
      <c r="A602" s="9"/>
      <c r="D602" s="13"/>
      <c r="E602" s="9"/>
      <c r="J602" s="121"/>
      <c r="M602" s="9"/>
      <c r="N602" s="9"/>
      <c r="O602" s="9"/>
    </row>
    <row r="603">
      <c r="A603" s="9"/>
      <c r="D603" s="13"/>
      <c r="E603" s="9"/>
      <c r="J603" s="121"/>
      <c r="M603" s="9"/>
      <c r="N603" s="9"/>
      <c r="O603" s="9"/>
    </row>
    <row r="604">
      <c r="A604" s="9"/>
      <c r="D604" s="13"/>
      <c r="E604" s="9"/>
      <c r="J604" s="121"/>
      <c r="M604" s="9"/>
      <c r="N604" s="9"/>
      <c r="O604" s="9"/>
    </row>
    <row r="605">
      <c r="A605" s="9"/>
      <c r="D605" s="13"/>
      <c r="E605" s="9"/>
      <c r="J605" s="121"/>
      <c r="M605" s="9"/>
      <c r="N605" s="9"/>
      <c r="O605" s="9"/>
    </row>
    <row r="606">
      <c r="A606" s="9"/>
      <c r="D606" s="13"/>
      <c r="E606" s="9"/>
      <c r="J606" s="121"/>
      <c r="M606" s="9"/>
      <c r="N606" s="9"/>
      <c r="O606" s="9"/>
    </row>
    <row r="607">
      <c r="A607" s="9"/>
      <c r="D607" s="13"/>
      <c r="E607" s="9"/>
      <c r="J607" s="121"/>
      <c r="M607" s="9"/>
      <c r="N607" s="9"/>
      <c r="O607" s="9"/>
    </row>
    <row r="608">
      <c r="A608" s="9"/>
      <c r="D608" s="13"/>
      <c r="E608" s="9"/>
      <c r="J608" s="121"/>
      <c r="M608" s="9"/>
      <c r="N608" s="9"/>
      <c r="O608" s="9"/>
    </row>
    <row r="609">
      <c r="A609" s="9"/>
      <c r="D609" s="13"/>
      <c r="E609" s="9"/>
      <c r="J609" s="121"/>
      <c r="M609" s="9"/>
      <c r="N609" s="9"/>
      <c r="O609" s="9"/>
    </row>
    <row r="610">
      <c r="A610" s="9"/>
      <c r="D610" s="13"/>
      <c r="E610" s="9"/>
      <c r="J610" s="121"/>
      <c r="M610" s="9"/>
      <c r="N610" s="9"/>
      <c r="O610" s="9"/>
    </row>
    <row r="611">
      <c r="A611" s="9"/>
      <c r="D611" s="13"/>
      <c r="E611" s="9"/>
      <c r="J611" s="121"/>
      <c r="M611" s="9"/>
      <c r="N611" s="9"/>
      <c r="O611" s="9"/>
    </row>
    <row r="612">
      <c r="A612" s="9"/>
      <c r="D612" s="13"/>
      <c r="E612" s="9"/>
      <c r="J612" s="121"/>
      <c r="M612" s="9"/>
      <c r="N612" s="9"/>
      <c r="O612" s="9"/>
    </row>
    <row r="613">
      <c r="A613" s="9"/>
      <c r="D613" s="13"/>
      <c r="E613" s="9"/>
      <c r="J613" s="121"/>
      <c r="M613" s="9"/>
      <c r="N613" s="9"/>
      <c r="O613" s="9"/>
    </row>
    <row r="614">
      <c r="A614" s="9"/>
      <c r="D614" s="13"/>
      <c r="E614" s="9"/>
      <c r="J614" s="121"/>
      <c r="M614" s="9"/>
      <c r="N614" s="9"/>
      <c r="O614" s="9"/>
    </row>
    <row r="615">
      <c r="A615" s="9"/>
      <c r="D615" s="13"/>
      <c r="E615" s="9"/>
      <c r="J615" s="121"/>
      <c r="M615" s="9"/>
      <c r="N615" s="9"/>
      <c r="O615" s="9"/>
    </row>
    <row r="616">
      <c r="A616" s="9"/>
      <c r="D616" s="13"/>
      <c r="E616" s="9"/>
      <c r="J616" s="121"/>
      <c r="M616" s="9"/>
      <c r="N616" s="9"/>
      <c r="O616" s="9"/>
    </row>
    <row r="617">
      <c r="A617" s="9"/>
      <c r="D617" s="13"/>
      <c r="E617" s="9"/>
      <c r="J617" s="121"/>
      <c r="M617" s="9"/>
      <c r="N617" s="9"/>
      <c r="O617" s="9"/>
    </row>
    <row r="618">
      <c r="A618" s="9"/>
      <c r="D618" s="13"/>
      <c r="E618" s="9"/>
      <c r="J618" s="121"/>
      <c r="M618" s="9"/>
      <c r="N618" s="9"/>
      <c r="O618" s="9"/>
    </row>
    <row r="619">
      <c r="A619" s="9"/>
      <c r="D619" s="13"/>
      <c r="E619" s="9"/>
      <c r="J619" s="121"/>
      <c r="M619" s="9"/>
      <c r="N619" s="9"/>
      <c r="O619" s="9"/>
    </row>
    <row r="620">
      <c r="A620" s="9"/>
      <c r="D620" s="13"/>
      <c r="E620" s="9"/>
      <c r="J620" s="121"/>
      <c r="M620" s="9"/>
      <c r="N620" s="9"/>
      <c r="O620" s="9"/>
    </row>
    <row r="621">
      <c r="A621" s="9"/>
      <c r="D621" s="13"/>
      <c r="E621" s="9"/>
      <c r="J621" s="121"/>
      <c r="M621" s="9"/>
      <c r="N621" s="9"/>
      <c r="O621" s="9"/>
    </row>
    <row r="622">
      <c r="A622" s="9"/>
      <c r="D622" s="13"/>
      <c r="E622" s="9"/>
      <c r="J622" s="121"/>
      <c r="M622" s="9"/>
      <c r="N622" s="9"/>
      <c r="O622" s="9"/>
    </row>
    <row r="623">
      <c r="A623" s="9"/>
      <c r="D623" s="13"/>
      <c r="E623" s="9"/>
      <c r="J623" s="121"/>
      <c r="M623" s="9"/>
      <c r="N623" s="9"/>
      <c r="O623" s="9"/>
    </row>
    <row r="624">
      <c r="A624" s="9"/>
      <c r="D624" s="13"/>
      <c r="E624" s="9"/>
      <c r="J624" s="121"/>
      <c r="M624" s="9"/>
      <c r="N624" s="9"/>
      <c r="O624" s="9"/>
    </row>
    <row r="625">
      <c r="A625" s="9"/>
      <c r="D625" s="13"/>
      <c r="E625" s="9"/>
      <c r="J625" s="121"/>
      <c r="M625" s="9"/>
      <c r="N625" s="9"/>
      <c r="O625" s="9"/>
    </row>
    <row r="626">
      <c r="A626" s="9"/>
      <c r="D626" s="13"/>
      <c r="E626" s="9"/>
      <c r="J626" s="121"/>
      <c r="M626" s="9"/>
      <c r="N626" s="9"/>
      <c r="O626" s="9"/>
    </row>
    <row r="627">
      <c r="A627" s="9"/>
      <c r="D627" s="13"/>
      <c r="E627" s="9"/>
      <c r="J627" s="121"/>
      <c r="M627" s="9"/>
      <c r="N627" s="9"/>
      <c r="O627" s="9"/>
    </row>
    <row r="628">
      <c r="A628" s="9"/>
      <c r="D628" s="13"/>
      <c r="E628" s="9"/>
      <c r="J628" s="121"/>
      <c r="M628" s="9"/>
      <c r="N628" s="9"/>
      <c r="O628" s="9"/>
    </row>
    <row r="629">
      <c r="A629" s="9"/>
      <c r="D629" s="13"/>
      <c r="E629" s="9"/>
      <c r="J629" s="121"/>
      <c r="M629" s="9"/>
      <c r="N629" s="9"/>
      <c r="O629" s="9"/>
    </row>
    <row r="630">
      <c r="A630" s="9"/>
      <c r="D630" s="13"/>
      <c r="E630" s="9"/>
      <c r="J630" s="121"/>
      <c r="M630" s="9"/>
      <c r="N630" s="9"/>
      <c r="O630" s="9"/>
    </row>
    <row r="631">
      <c r="A631" s="9"/>
      <c r="D631" s="13"/>
      <c r="E631" s="9"/>
      <c r="J631" s="121"/>
      <c r="M631" s="9"/>
      <c r="N631" s="9"/>
      <c r="O631" s="9"/>
    </row>
    <row r="632">
      <c r="A632" s="9"/>
      <c r="D632" s="13"/>
      <c r="E632" s="9"/>
      <c r="J632" s="121"/>
      <c r="M632" s="9"/>
      <c r="N632" s="9"/>
      <c r="O632" s="9"/>
    </row>
    <row r="633">
      <c r="A633" s="9"/>
      <c r="D633" s="13"/>
      <c r="E633" s="9"/>
      <c r="J633" s="121"/>
      <c r="M633" s="9"/>
      <c r="N633" s="9"/>
      <c r="O633" s="9"/>
    </row>
    <row r="634">
      <c r="A634" s="9"/>
      <c r="D634" s="13"/>
      <c r="E634" s="9"/>
      <c r="J634" s="121"/>
      <c r="M634" s="9"/>
      <c r="N634" s="9"/>
      <c r="O634" s="9"/>
    </row>
    <row r="635">
      <c r="A635" s="9"/>
      <c r="D635" s="13"/>
      <c r="E635" s="9"/>
      <c r="J635" s="121"/>
      <c r="M635" s="9"/>
      <c r="N635" s="9"/>
      <c r="O635" s="9"/>
    </row>
    <row r="636">
      <c r="A636" s="9"/>
      <c r="D636" s="13"/>
      <c r="E636" s="9"/>
      <c r="J636" s="121"/>
      <c r="M636" s="9"/>
      <c r="N636" s="9"/>
      <c r="O636" s="9"/>
    </row>
    <row r="637">
      <c r="A637" s="9"/>
      <c r="D637" s="13"/>
      <c r="E637" s="9"/>
      <c r="J637" s="121"/>
      <c r="M637" s="9"/>
      <c r="N637" s="9"/>
      <c r="O637" s="9"/>
    </row>
    <row r="638">
      <c r="A638" s="9"/>
      <c r="D638" s="13"/>
      <c r="E638" s="9"/>
      <c r="J638" s="121"/>
      <c r="M638" s="9"/>
      <c r="N638" s="9"/>
      <c r="O638" s="9"/>
    </row>
    <row r="639">
      <c r="A639" s="9"/>
      <c r="D639" s="13"/>
      <c r="E639" s="9"/>
      <c r="J639" s="121"/>
      <c r="M639" s="9"/>
      <c r="N639" s="9"/>
      <c r="O639" s="9"/>
    </row>
    <row r="640">
      <c r="A640" s="9"/>
      <c r="D640" s="13"/>
      <c r="E640" s="9"/>
      <c r="J640" s="121"/>
      <c r="M640" s="9"/>
      <c r="N640" s="9"/>
      <c r="O640" s="9"/>
    </row>
    <row r="641">
      <c r="A641" s="9"/>
      <c r="D641" s="13"/>
      <c r="E641" s="9"/>
      <c r="J641" s="121"/>
      <c r="M641" s="9"/>
      <c r="N641" s="9"/>
      <c r="O641" s="9"/>
    </row>
    <row r="642">
      <c r="A642" s="9"/>
      <c r="D642" s="13"/>
      <c r="E642" s="9"/>
      <c r="J642" s="121"/>
      <c r="M642" s="9"/>
      <c r="N642" s="9"/>
      <c r="O642" s="9"/>
    </row>
    <row r="643">
      <c r="A643" s="9"/>
      <c r="D643" s="13"/>
      <c r="E643" s="9"/>
      <c r="J643" s="121"/>
      <c r="M643" s="9"/>
      <c r="N643" s="9"/>
      <c r="O643" s="9"/>
    </row>
    <row r="644">
      <c r="A644" s="9"/>
      <c r="D644" s="13"/>
      <c r="E644" s="9"/>
      <c r="J644" s="121"/>
      <c r="M644" s="9"/>
      <c r="N644" s="9"/>
      <c r="O644" s="9"/>
    </row>
    <row r="645">
      <c r="A645" s="9"/>
      <c r="D645" s="13"/>
      <c r="E645" s="9"/>
      <c r="J645" s="121"/>
      <c r="M645" s="9"/>
      <c r="N645" s="9"/>
      <c r="O645" s="9"/>
    </row>
    <row r="646">
      <c r="A646" s="9"/>
      <c r="D646" s="13"/>
      <c r="E646" s="9"/>
      <c r="J646" s="121"/>
      <c r="M646" s="9"/>
      <c r="N646" s="9"/>
      <c r="O646" s="9"/>
    </row>
    <row r="647">
      <c r="A647" s="9"/>
      <c r="D647" s="13"/>
      <c r="E647" s="9"/>
      <c r="J647" s="121"/>
      <c r="M647" s="9"/>
      <c r="N647" s="9"/>
      <c r="O647" s="9"/>
    </row>
    <row r="648">
      <c r="A648" s="9"/>
      <c r="D648" s="13"/>
      <c r="E648" s="9"/>
      <c r="J648" s="121"/>
      <c r="M648" s="9"/>
      <c r="N648" s="9"/>
      <c r="O648" s="9"/>
    </row>
    <row r="649">
      <c r="A649" s="9"/>
      <c r="D649" s="13"/>
      <c r="E649" s="9"/>
      <c r="J649" s="121"/>
      <c r="M649" s="9"/>
      <c r="N649" s="9"/>
      <c r="O649" s="9"/>
    </row>
    <row r="650">
      <c r="A650" s="9"/>
      <c r="D650" s="13"/>
      <c r="E650" s="9"/>
      <c r="J650" s="121"/>
      <c r="M650" s="9"/>
      <c r="N650" s="9"/>
      <c r="O650" s="9"/>
    </row>
    <row r="651">
      <c r="A651" s="9"/>
      <c r="D651" s="13"/>
      <c r="E651" s="9"/>
      <c r="J651" s="121"/>
      <c r="M651" s="9"/>
      <c r="N651" s="9"/>
      <c r="O651" s="9"/>
    </row>
    <row r="652">
      <c r="A652" s="9"/>
      <c r="D652" s="13"/>
      <c r="E652" s="9"/>
      <c r="J652" s="121"/>
      <c r="M652" s="9"/>
      <c r="N652" s="9"/>
      <c r="O652" s="9"/>
    </row>
    <row r="653">
      <c r="A653" s="9"/>
      <c r="D653" s="13"/>
      <c r="E653" s="9"/>
      <c r="J653" s="121"/>
      <c r="M653" s="9"/>
      <c r="N653" s="9"/>
      <c r="O653" s="9"/>
    </row>
    <row r="654">
      <c r="A654" s="9"/>
      <c r="D654" s="13"/>
      <c r="E654" s="9"/>
      <c r="J654" s="121"/>
      <c r="M654" s="9"/>
      <c r="N654" s="9"/>
      <c r="O654" s="9"/>
    </row>
    <row r="655">
      <c r="A655" s="9"/>
      <c r="D655" s="13"/>
      <c r="E655" s="9"/>
      <c r="J655" s="121"/>
      <c r="M655" s="9"/>
      <c r="N655" s="9"/>
      <c r="O655" s="9"/>
    </row>
    <row r="656">
      <c r="A656" s="9"/>
      <c r="D656" s="13"/>
      <c r="E656" s="9"/>
      <c r="J656" s="121"/>
      <c r="M656" s="9"/>
      <c r="N656" s="9"/>
      <c r="O656" s="9"/>
    </row>
    <row r="657">
      <c r="A657" s="9"/>
      <c r="D657" s="13"/>
      <c r="E657" s="9"/>
      <c r="J657" s="121"/>
      <c r="M657" s="9"/>
      <c r="N657" s="9"/>
      <c r="O657" s="9"/>
    </row>
    <row r="658">
      <c r="A658" s="9"/>
      <c r="D658" s="13"/>
      <c r="E658" s="9"/>
      <c r="J658" s="121"/>
      <c r="M658" s="9"/>
      <c r="N658" s="9"/>
      <c r="O658" s="9"/>
    </row>
    <row r="659">
      <c r="A659" s="9"/>
      <c r="D659" s="13"/>
      <c r="E659" s="9"/>
      <c r="J659" s="121"/>
      <c r="M659" s="9"/>
      <c r="N659" s="9"/>
      <c r="O659" s="9"/>
    </row>
    <row r="660">
      <c r="A660" s="9"/>
      <c r="D660" s="13"/>
      <c r="E660" s="9"/>
      <c r="J660" s="121"/>
      <c r="M660" s="9"/>
      <c r="N660" s="9"/>
      <c r="O660" s="9"/>
    </row>
    <row r="661">
      <c r="A661" s="9"/>
      <c r="D661" s="13"/>
      <c r="E661" s="9"/>
      <c r="J661" s="121"/>
      <c r="M661" s="9"/>
      <c r="N661" s="9"/>
      <c r="O661" s="9"/>
    </row>
    <row r="662">
      <c r="A662" s="9"/>
      <c r="D662" s="13"/>
      <c r="E662" s="9"/>
      <c r="J662" s="121"/>
      <c r="M662" s="9"/>
      <c r="N662" s="9"/>
      <c r="O662" s="9"/>
    </row>
    <row r="663">
      <c r="A663" s="9"/>
      <c r="D663" s="13"/>
      <c r="E663" s="9"/>
      <c r="J663" s="121"/>
      <c r="M663" s="9"/>
      <c r="N663" s="9"/>
      <c r="O663" s="9"/>
    </row>
    <row r="664">
      <c r="A664" s="9"/>
      <c r="D664" s="13"/>
      <c r="E664" s="9"/>
      <c r="J664" s="121"/>
      <c r="M664" s="9"/>
      <c r="N664" s="9"/>
      <c r="O664" s="9"/>
    </row>
    <row r="665">
      <c r="A665" s="9"/>
      <c r="D665" s="13"/>
      <c r="E665" s="9"/>
      <c r="J665" s="121"/>
      <c r="M665" s="9"/>
      <c r="N665" s="9"/>
      <c r="O665" s="9"/>
    </row>
    <row r="666">
      <c r="A666" s="9"/>
      <c r="D666" s="13"/>
      <c r="E666" s="9"/>
      <c r="J666" s="121"/>
      <c r="M666" s="9"/>
      <c r="N666" s="9"/>
      <c r="O666" s="9"/>
    </row>
    <row r="667">
      <c r="A667" s="9"/>
      <c r="D667" s="13"/>
      <c r="E667" s="9"/>
      <c r="J667" s="121"/>
      <c r="M667" s="9"/>
      <c r="N667" s="9"/>
      <c r="O667" s="9"/>
    </row>
    <row r="668">
      <c r="A668" s="9"/>
      <c r="D668" s="13"/>
      <c r="E668" s="9"/>
      <c r="J668" s="121"/>
      <c r="M668" s="9"/>
      <c r="N668" s="9"/>
      <c r="O668" s="9"/>
    </row>
    <row r="669">
      <c r="A669" s="9"/>
      <c r="D669" s="13"/>
      <c r="E669" s="9"/>
      <c r="J669" s="121"/>
      <c r="M669" s="9"/>
      <c r="N669" s="9"/>
      <c r="O669" s="9"/>
    </row>
    <row r="670">
      <c r="A670" s="9"/>
      <c r="D670" s="13"/>
      <c r="E670" s="9"/>
      <c r="J670" s="121"/>
      <c r="M670" s="9"/>
      <c r="N670" s="9"/>
      <c r="O670" s="9"/>
    </row>
    <row r="671">
      <c r="A671" s="9"/>
      <c r="D671" s="13"/>
      <c r="E671" s="9"/>
      <c r="J671" s="121"/>
      <c r="M671" s="9"/>
      <c r="N671" s="9"/>
      <c r="O671" s="9"/>
    </row>
    <row r="672">
      <c r="A672" s="9"/>
      <c r="D672" s="13"/>
      <c r="E672" s="9"/>
      <c r="J672" s="121"/>
      <c r="M672" s="9"/>
      <c r="N672" s="9"/>
      <c r="O672" s="9"/>
    </row>
    <row r="673">
      <c r="A673" s="9"/>
      <c r="D673" s="13"/>
      <c r="E673" s="9"/>
      <c r="J673" s="121"/>
      <c r="M673" s="9"/>
      <c r="N673" s="9"/>
      <c r="O673" s="9"/>
    </row>
    <row r="674">
      <c r="A674" s="9"/>
      <c r="D674" s="13"/>
      <c r="E674" s="9"/>
      <c r="J674" s="121"/>
      <c r="M674" s="9"/>
      <c r="N674" s="9"/>
      <c r="O674" s="9"/>
    </row>
    <row r="675">
      <c r="A675" s="9"/>
      <c r="D675" s="13"/>
      <c r="E675" s="9"/>
      <c r="J675" s="121"/>
      <c r="M675" s="9"/>
      <c r="N675" s="9"/>
      <c r="O675" s="9"/>
    </row>
    <row r="676">
      <c r="A676" s="9"/>
      <c r="D676" s="13"/>
      <c r="E676" s="9"/>
      <c r="J676" s="121"/>
      <c r="M676" s="9"/>
      <c r="N676" s="9"/>
      <c r="O676" s="9"/>
    </row>
    <row r="677">
      <c r="A677" s="9"/>
      <c r="D677" s="13"/>
      <c r="E677" s="9"/>
      <c r="J677" s="121"/>
      <c r="M677" s="9"/>
      <c r="N677" s="9"/>
      <c r="O677" s="9"/>
    </row>
    <row r="678">
      <c r="A678" s="9"/>
      <c r="D678" s="13"/>
      <c r="E678" s="9"/>
      <c r="J678" s="121"/>
      <c r="M678" s="9"/>
      <c r="N678" s="9"/>
      <c r="O678" s="9"/>
    </row>
    <row r="679">
      <c r="A679" s="9"/>
      <c r="D679" s="13"/>
      <c r="E679" s="9"/>
      <c r="J679" s="121"/>
      <c r="M679" s="9"/>
      <c r="N679" s="9"/>
      <c r="O679" s="9"/>
    </row>
    <row r="680">
      <c r="A680" s="9"/>
      <c r="D680" s="13"/>
      <c r="E680" s="9"/>
      <c r="J680" s="121"/>
      <c r="M680" s="9"/>
      <c r="N680" s="9"/>
      <c r="O680" s="9"/>
    </row>
    <row r="681">
      <c r="A681" s="9"/>
      <c r="D681" s="13"/>
      <c r="E681" s="9"/>
      <c r="J681" s="121"/>
      <c r="M681" s="9"/>
      <c r="N681" s="9"/>
      <c r="O681" s="9"/>
    </row>
    <row r="682">
      <c r="A682" s="9"/>
      <c r="D682" s="13"/>
      <c r="E682" s="9"/>
      <c r="J682" s="121"/>
      <c r="M682" s="9"/>
      <c r="N682" s="9"/>
      <c r="O682" s="9"/>
    </row>
    <row r="683">
      <c r="A683" s="9"/>
      <c r="D683" s="13"/>
      <c r="E683" s="9"/>
      <c r="J683" s="121"/>
      <c r="M683" s="9"/>
      <c r="N683" s="9"/>
      <c r="O683" s="9"/>
    </row>
    <row r="684">
      <c r="A684" s="9"/>
      <c r="D684" s="13"/>
      <c r="E684" s="9"/>
      <c r="J684" s="121"/>
      <c r="M684" s="9"/>
      <c r="N684" s="9"/>
      <c r="O684" s="9"/>
    </row>
    <row r="685">
      <c r="A685" s="9"/>
      <c r="D685" s="13"/>
      <c r="E685" s="9"/>
      <c r="J685" s="121"/>
      <c r="M685" s="9"/>
      <c r="N685" s="9"/>
      <c r="O685" s="9"/>
    </row>
    <row r="686">
      <c r="A686" s="9"/>
      <c r="D686" s="13"/>
      <c r="E686" s="9"/>
      <c r="J686" s="121"/>
      <c r="M686" s="9"/>
      <c r="N686" s="9"/>
      <c r="O686" s="9"/>
    </row>
    <row r="687">
      <c r="A687" s="9"/>
      <c r="D687" s="13"/>
      <c r="E687" s="9"/>
      <c r="J687" s="121"/>
      <c r="M687" s="9"/>
      <c r="N687" s="9"/>
      <c r="O687" s="9"/>
    </row>
    <row r="688">
      <c r="A688" s="9"/>
      <c r="D688" s="13"/>
      <c r="E688" s="9"/>
      <c r="J688" s="121"/>
      <c r="M688" s="9"/>
      <c r="N688" s="9"/>
      <c r="O688" s="9"/>
    </row>
    <row r="689">
      <c r="A689" s="9"/>
      <c r="D689" s="13"/>
      <c r="E689" s="9"/>
      <c r="J689" s="121"/>
      <c r="M689" s="9"/>
      <c r="N689" s="9"/>
      <c r="O689" s="9"/>
    </row>
    <row r="690">
      <c r="A690" s="9"/>
      <c r="D690" s="13"/>
      <c r="E690" s="9"/>
      <c r="J690" s="121"/>
      <c r="M690" s="9"/>
      <c r="N690" s="9"/>
      <c r="O690" s="9"/>
    </row>
    <row r="691">
      <c r="A691" s="9"/>
      <c r="D691" s="13"/>
      <c r="E691" s="9"/>
      <c r="J691" s="121"/>
      <c r="M691" s="9"/>
      <c r="N691" s="9"/>
      <c r="O691" s="9"/>
    </row>
    <row r="692">
      <c r="A692" s="9"/>
      <c r="D692" s="13"/>
      <c r="E692" s="9"/>
      <c r="J692" s="121"/>
      <c r="M692" s="9"/>
      <c r="N692" s="9"/>
      <c r="O692" s="9"/>
    </row>
    <row r="693">
      <c r="A693" s="9"/>
      <c r="D693" s="13"/>
      <c r="E693" s="9"/>
      <c r="J693" s="121"/>
      <c r="M693" s="9"/>
      <c r="N693" s="9"/>
      <c r="O693" s="9"/>
    </row>
    <row r="694">
      <c r="A694" s="9"/>
      <c r="D694" s="13"/>
      <c r="E694" s="9"/>
      <c r="J694" s="121"/>
      <c r="M694" s="9"/>
      <c r="N694" s="9"/>
      <c r="O694" s="9"/>
    </row>
    <row r="695">
      <c r="A695" s="9"/>
      <c r="D695" s="13"/>
      <c r="E695" s="9"/>
      <c r="J695" s="121"/>
      <c r="M695" s="9"/>
      <c r="N695" s="9"/>
      <c r="O695" s="9"/>
    </row>
    <row r="696">
      <c r="A696" s="9"/>
      <c r="D696" s="13"/>
      <c r="E696" s="9"/>
      <c r="J696" s="121"/>
      <c r="M696" s="9"/>
      <c r="N696" s="9"/>
      <c r="O696" s="9"/>
    </row>
    <row r="697">
      <c r="A697" s="9"/>
      <c r="D697" s="13"/>
      <c r="E697" s="9"/>
      <c r="J697" s="121"/>
      <c r="M697" s="9"/>
      <c r="N697" s="9"/>
      <c r="O697" s="9"/>
    </row>
    <row r="698">
      <c r="A698" s="9"/>
      <c r="D698" s="13"/>
      <c r="E698" s="9"/>
      <c r="J698" s="121"/>
      <c r="M698" s="9"/>
      <c r="N698" s="9"/>
      <c r="O698" s="9"/>
    </row>
    <row r="699">
      <c r="A699" s="9"/>
      <c r="D699" s="13"/>
      <c r="E699" s="9"/>
      <c r="J699" s="121"/>
      <c r="M699" s="9"/>
      <c r="N699" s="9"/>
      <c r="O699" s="9"/>
    </row>
    <row r="700">
      <c r="A700" s="9"/>
      <c r="D700" s="13"/>
      <c r="E700" s="9"/>
      <c r="J700" s="121"/>
      <c r="M700" s="9"/>
      <c r="N700" s="9"/>
      <c r="O700" s="9"/>
    </row>
    <row r="701">
      <c r="A701" s="9"/>
      <c r="D701" s="13"/>
      <c r="E701" s="9"/>
      <c r="J701" s="121"/>
      <c r="M701" s="9"/>
      <c r="N701" s="9"/>
      <c r="O701" s="9"/>
    </row>
    <row r="702">
      <c r="A702" s="9"/>
      <c r="D702" s="13"/>
      <c r="E702" s="9"/>
      <c r="J702" s="121"/>
      <c r="M702" s="9"/>
      <c r="N702" s="9"/>
      <c r="O702" s="9"/>
    </row>
    <row r="703">
      <c r="A703" s="9"/>
      <c r="D703" s="13"/>
      <c r="E703" s="9"/>
      <c r="J703" s="121"/>
      <c r="M703" s="9"/>
      <c r="N703" s="9"/>
      <c r="O703" s="9"/>
    </row>
    <row r="704">
      <c r="A704" s="9"/>
      <c r="D704" s="13"/>
      <c r="E704" s="9"/>
      <c r="J704" s="121"/>
      <c r="M704" s="9"/>
      <c r="N704" s="9"/>
      <c r="O704" s="9"/>
    </row>
    <row r="705">
      <c r="A705" s="9"/>
      <c r="D705" s="13"/>
      <c r="E705" s="9"/>
      <c r="J705" s="121"/>
      <c r="M705" s="9"/>
      <c r="N705" s="9"/>
      <c r="O705" s="9"/>
    </row>
    <row r="706">
      <c r="A706" s="9"/>
      <c r="D706" s="13"/>
      <c r="E706" s="9"/>
      <c r="J706" s="121"/>
      <c r="M706" s="9"/>
      <c r="N706" s="9"/>
      <c r="O706" s="9"/>
    </row>
    <row r="707">
      <c r="A707" s="9"/>
      <c r="D707" s="13"/>
      <c r="E707" s="9"/>
      <c r="J707" s="121"/>
      <c r="M707" s="9"/>
      <c r="N707" s="9"/>
      <c r="O707" s="9"/>
    </row>
    <row r="708">
      <c r="A708" s="9"/>
      <c r="D708" s="13"/>
      <c r="E708" s="9"/>
      <c r="J708" s="121"/>
      <c r="M708" s="9"/>
      <c r="N708" s="9"/>
      <c r="O708" s="9"/>
    </row>
    <row r="709">
      <c r="A709" s="9"/>
      <c r="D709" s="13"/>
      <c r="E709" s="9"/>
      <c r="J709" s="121"/>
      <c r="M709" s="9"/>
      <c r="N709" s="9"/>
      <c r="O709" s="9"/>
    </row>
    <row r="710">
      <c r="A710" s="9"/>
      <c r="D710" s="13"/>
      <c r="E710" s="9"/>
      <c r="J710" s="121"/>
      <c r="M710" s="9"/>
      <c r="N710" s="9"/>
      <c r="O710" s="9"/>
    </row>
    <row r="711">
      <c r="A711" s="9"/>
      <c r="D711" s="13"/>
      <c r="E711" s="9"/>
      <c r="J711" s="121"/>
      <c r="M711" s="9"/>
      <c r="N711" s="9"/>
      <c r="O711" s="9"/>
    </row>
    <row r="712">
      <c r="A712" s="9"/>
      <c r="D712" s="13"/>
      <c r="E712" s="9"/>
      <c r="J712" s="121"/>
      <c r="M712" s="9"/>
      <c r="N712" s="9"/>
      <c r="O712" s="9"/>
    </row>
    <row r="713">
      <c r="A713" s="9"/>
      <c r="D713" s="13"/>
      <c r="E713" s="9"/>
      <c r="J713" s="121"/>
      <c r="M713" s="9"/>
      <c r="N713" s="9"/>
      <c r="O713" s="9"/>
    </row>
    <row r="714">
      <c r="A714" s="9"/>
      <c r="D714" s="13"/>
      <c r="E714" s="9"/>
      <c r="J714" s="121"/>
      <c r="M714" s="9"/>
      <c r="N714" s="9"/>
      <c r="O714" s="9"/>
    </row>
    <row r="715">
      <c r="A715" s="9"/>
      <c r="D715" s="13"/>
      <c r="E715" s="9"/>
      <c r="J715" s="121"/>
      <c r="M715" s="9"/>
      <c r="N715" s="9"/>
      <c r="O715" s="9"/>
    </row>
    <row r="716">
      <c r="A716" s="9"/>
      <c r="D716" s="13"/>
      <c r="E716" s="9"/>
      <c r="J716" s="121"/>
      <c r="M716" s="9"/>
      <c r="N716" s="9"/>
      <c r="O716" s="9"/>
    </row>
    <row r="717">
      <c r="A717" s="9"/>
      <c r="D717" s="13"/>
      <c r="E717" s="9"/>
      <c r="J717" s="121"/>
      <c r="M717" s="9"/>
      <c r="N717" s="9"/>
      <c r="O717" s="9"/>
    </row>
    <row r="718">
      <c r="A718" s="9"/>
      <c r="D718" s="13"/>
      <c r="E718" s="9"/>
      <c r="J718" s="121"/>
      <c r="M718" s="9"/>
      <c r="N718" s="9"/>
      <c r="O718" s="9"/>
    </row>
    <row r="719">
      <c r="A719" s="9"/>
      <c r="D719" s="13"/>
      <c r="E719" s="9"/>
      <c r="J719" s="121"/>
      <c r="M719" s="9"/>
      <c r="N719" s="9"/>
      <c r="O719" s="9"/>
    </row>
    <row r="720">
      <c r="A720" s="9"/>
      <c r="D720" s="13"/>
      <c r="E720" s="9"/>
      <c r="J720" s="121"/>
      <c r="M720" s="9"/>
      <c r="N720" s="9"/>
      <c r="O720" s="9"/>
    </row>
    <row r="721">
      <c r="A721" s="9"/>
      <c r="D721" s="13"/>
      <c r="E721" s="9"/>
      <c r="J721" s="121"/>
      <c r="M721" s="9"/>
      <c r="N721" s="9"/>
      <c r="O721" s="9"/>
    </row>
    <row r="722">
      <c r="A722" s="9"/>
      <c r="D722" s="13"/>
      <c r="E722" s="9"/>
      <c r="J722" s="121"/>
      <c r="M722" s="9"/>
      <c r="N722" s="9"/>
      <c r="O722" s="9"/>
    </row>
    <row r="723">
      <c r="A723" s="9"/>
      <c r="D723" s="13"/>
      <c r="E723" s="9"/>
      <c r="J723" s="121"/>
      <c r="M723" s="9"/>
      <c r="N723" s="9"/>
      <c r="O723" s="9"/>
    </row>
    <row r="724">
      <c r="A724" s="9"/>
      <c r="D724" s="13"/>
      <c r="E724" s="9"/>
      <c r="J724" s="121"/>
      <c r="M724" s="9"/>
      <c r="N724" s="9"/>
      <c r="O724" s="9"/>
    </row>
    <row r="725">
      <c r="A725" s="9"/>
      <c r="D725" s="13"/>
      <c r="E725" s="9"/>
      <c r="J725" s="121"/>
      <c r="M725" s="9"/>
      <c r="N725" s="9"/>
      <c r="O725" s="9"/>
    </row>
    <row r="726">
      <c r="A726" s="9"/>
      <c r="D726" s="13"/>
      <c r="E726" s="9"/>
      <c r="J726" s="121"/>
      <c r="M726" s="9"/>
      <c r="N726" s="9"/>
      <c r="O726" s="9"/>
    </row>
    <row r="727">
      <c r="A727" s="9"/>
      <c r="D727" s="13"/>
      <c r="E727" s="9"/>
      <c r="J727" s="121"/>
      <c r="M727" s="9"/>
      <c r="N727" s="9"/>
      <c r="O727" s="9"/>
    </row>
    <row r="728">
      <c r="A728" s="9"/>
      <c r="D728" s="13"/>
      <c r="E728" s="9"/>
      <c r="J728" s="121"/>
      <c r="M728" s="9"/>
      <c r="N728" s="9"/>
      <c r="O728" s="9"/>
    </row>
    <row r="729">
      <c r="A729" s="9"/>
      <c r="D729" s="13"/>
      <c r="E729" s="9"/>
      <c r="J729" s="121"/>
      <c r="M729" s="9"/>
      <c r="N729" s="9"/>
      <c r="O729" s="9"/>
    </row>
    <row r="730">
      <c r="A730" s="9"/>
      <c r="D730" s="13"/>
      <c r="E730" s="9"/>
      <c r="J730" s="121"/>
      <c r="M730" s="9"/>
      <c r="N730" s="9"/>
      <c r="O730" s="9"/>
    </row>
    <row r="731">
      <c r="A731" s="9"/>
      <c r="D731" s="13"/>
      <c r="E731" s="9"/>
      <c r="J731" s="121"/>
      <c r="M731" s="9"/>
      <c r="N731" s="9"/>
      <c r="O731" s="9"/>
    </row>
    <row r="732">
      <c r="A732" s="9"/>
      <c r="D732" s="13"/>
      <c r="E732" s="9"/>
      <c r="J732" s="121"/>
      <c r="M732" s="9"/>
      <c r="N732" s="9"/>
      <c r="O732" s="9"/>
    </row>
    <row r="733">
      <c r="A733" s="9"/>
      <c r="D733" s="13"/>
      <c r="E733" s="9"/>
      <c r="J733" s="121"/>
      <c r="M733" s="9"/>
      <c r="N733" s="9"/>
      <c r="O733" s="9"/>
    </row>
    <row r="734">
      <c r="A734" s="9"/>
      <c r="D734" s="13"/>
      <c r="E734" s="9"/>
      <c r="J734" s="121"/>
      <c r="M734" s="9"/>
      <c r="N734" s="9"/>
      <c r="O734" s="9"/>
    </row>
    <row r="735">
      <c r="A735" s="9"/>
      <c r="D735" s="13"/>
      <c r="E735" s="9"/>
      <c r="J735" s="121"/>
      <c r="M735" s="9"/>
      <c r="N735" s="9"/>
      <c r="O735" s="9"/>
    </row>
    <row r="736">
      <c r="A736" s="9"/>
      <c r="D736" s="13"/>
      <c r="E736" s="9"/>
      <c r="J736" s="121"/>
      <c r="M736" s="9"/>
      <c r="N736" s="9"/>
      <c r="O736" s="9"/>
    </row>
    <row r="737">
      <c r="A737" s="9"/>
      <c r="D737" s="13"/>
      <c r="E737" s="9"/>
      <c r="J737" s="121"/>
      <c r="M737" s="9"/>
      <c r="N737" s="9"/>
      <c r="O737" s="9"/>
    </row>
    <row r="738">
      <c r="A738" s="9"/>
      <c r="D738" s="13"/>
      <c r="E738" s="9"/>
      <c r="J738" s="121"/>
      <c r="M738" s="9"/>
      <c r="N738" s="9"/>
      <c r="O738" s="9"/>
    </row>
    <row r="739">
      <c r="A739" s="9"/>
      <c r="D739" s="13"/>
      <c r="E739" s="9"/>
      <c r="J739" s="121"/>
      <c r="M739" s="9"/>
      <c r="N739" s="9"/>
      <c r="O739" s="9"/>
    </row>
    <row r="740">
      <c r="A740" s="9"/>
      <c r="D740" s="13"/>
      <c r="E740" s="9"/>
      <c r="J740" s="121"/>
      <c r="M740" s="9"/>
      <c r="N740" s="9"/>
      <c r="O740" s="9"/>
    </row>
    <row r="741">
      <c r="A741" s="9"/>
      <c r="D741" s="13"/>
      <c r="E741" s="9"/>
      <c r="J741" s="121"/>
      <c r="M741" s="9"/>
      <c r="N741" s="9"/>
      <c r="O741" s="9"/>
    </row>
    <row r="742">
      <c r="A742" s="9"/>
      <c r="D742" s="13"/>
      <c r="E742" s="9"/>
      <c r="J742" s="121"/>
      <c r="M742" s="9"/>
      <c r="N742" s="9"/>
      <c r="O742" s="9"/>
    </row>
    <row r="743">
      <c r="A743" s="9"/>
      <c r="D743" s="13"/>
      <c r="E743" s="9"/>
      <c r="J743" s="121"/>
      <c r="M743" s="9"/>
      <c r="N743" s="9"/>
      <c r="O743" s="9"/>
    </row>
    <row r="744">
      <c r="A744" s="9"/>
      <c r="D744" s="13"/>
      <c r="E744" s="9"/>
      <c r="J744" s="121"/>
      <c r="M744" s="9"/>
      <c r="N744" s="9"/>
      <c r="O744" s="9"/>
    </row>
    <row r="745">
      <c r="A745" s="9"/>
      <c r="D745" s="13"/>
      <c r="E745" s="9"/>
      <c r="J745" s="121"/>
      <c r="M745" s="9"/>
      <c r="N745" s="9"/>
      <c r="O745" s="9"/>
    </row>
    <row r="746">
      <c r="A746" s="9"/>
      <c r="D746" s="13"/>
      <c r="E746" s="9"/>
      <c r="J746" s="121"/>
      <c r="M746" s="9"/>
      <c r="N746" s="9"/>
      <c r="O746" s="9"/>
    </row>
    <row r="747">
      <c r="A747" s="9"/>
      <c r="D747" s="13"/>
      <c r="E747" s="9"/>
      <c r="J747" s="121"/>
      <c r="M747" s="9"/>
      <c r="N747" s="9"/>
      <c r="O747" s="9"/>
    </row>
    <row r="748">
      <c r="A748" s="9"/>
      <c r="D748" s="13"/>
      <c r="E748" s="9"/>
      <c r="J748" s="121"/>
      <c r="M748" s="9"/>
      <c r="N748" s="9"/>
      <c r="O748" s="9"/>
    </row>
    <row r="749">
      <c r="A749" s="9"/>
      <c r="D749" s="13"/>
      <c r="E749" s="9"/>
      <c r="J749" s="121"/>
      <c r="M749" s="9"/>
      <c r="N749" s="9"/>
      <c r="O749" s="9"/>
    </row>
    <row r="750">
      <c r="A750" s="9"/>
      <c r="D750" s="13"/>
      <c r="E750" s="9"/>
      <c r="J750" s="121"/>
      <c r="M750" s="9"/>
      <c r="N750" s="9"/>
      <c r="O750" s="9"/>
    </row>
    <row r="751">
      <c r="A751" s="9"/>
      <c r="D751" s="13"/>
      <c r="E751" s="9"/>
      <c r="J751" s="121"/>
      <c r="M751" s="9"/>
      <c r="N751" s="9"/>
      <c r="O751" s="9"/>
    </row>
    <row r="752">
      <c r="A752" s="9"/>
      <c r="D752" s="13"/>
      <c r="E752" s="9"/>
      <c r="J752" s="121"/>
      <c r="M752" s="9"/>
      <c r="N752" s="9"/>
      <c r="O752" s="9"/>
    </row>
    <row r="753">
      <c r="A753" s="9"/>
      <c r="D753" s="13"/>
      <c r="E753" s="9"/>
      <c r="J753" s="121"/>
      <c r="M753" s="9"/>
      <c r="N753" s="9"/>
      <c r="O753" s="9"/>
    </row>
    <row r="754">
      <c r="A754" s="9"/>
      <c r="D754" s="13"/>
      <c r="E754" s="9"/>
      <c r="J754" s="121"/>
      <c r="M754" s="9"/>
      <c r="N754" s="9"/>
      <c r="O754" s="9"/>
    </row>
    <row r="755">
      <c r="A755" s="9"/>
      <c r="D755" s="13"/>
      <c r="E755" s="9"/>
      <c r="J755" s="121"/>
      <c r="M755" s="9"/>
      <c r="N755" s="9"/>
      <c r="O755" s="9"/>
    </row>
    <row r="756">
      <c r="A756" s="9"/>
      <c r="D756" s="13"/>
      <c r="E756" s="9"/>
      <c r="J756" s="121"/>
      <c r="M756" s="9"/>
      <c r="N756" s="9"/>
      <c r="O756" s="9"/>
    </row>
    <row r="757">
      <c r="A757" s="9"/>
      <c r="D757" s="13"/>
      <c r="E757" s="9"/>
      <c r="J757" s="121"/>
      <c r="M757" s="9"/>
      <c r="N757" s="9"/>
      <c r="O757" s="9"/>
    </row>
    <row r="758">
      <c r="A758" s="9"/>
      <c r="D758" s="13"/>
      <c r="E758" s="9"/>
      <c r="J758" s="121"/>
      <c r="M758" s="9"/>
      <c r="N758" s="9"/>
      <c r="O758" s="9"/>
    </row>
    <row r="759">
      <c r="A759" s="9"/>
      <c r="D759" s="13"/>
      <c r="E759" s="9"/>
      <c r="J759" s="121"/>
      <c r="M759" s="9"/>
      <c r="N759" s="9"/>
      <c r="O759" s="9"/>
    </row>
    <row r="760">
      <c r="A760" s="9"/>
      <c r="D760" s="13"/>
      <c r="E760" s="9"/>
      <c r="J760" s="121"/>
      <c r="M760" s="9"/>
      <c r="N760" s="9"/>
      <c r="O760" s="9"/>
    </row>
    <row r="761">
      <c r="A761" s="9"/>
      <c r="D761" s="13"/>
      <c r="E761" s="9"/>
      <c r="J761" s="121"/>
      <c r="M761" s="9"/>
      <c r="N761" s="9"/>
      <c r="O761" s="9"/>
    </row>
    <row r="762">
      <c r="A762" s="9"/>
      <c r="D762" s="13"/>
      <c r="E762" s="9"/>
      <c r="J762" s="121"/>
      <c r="M762" s="9"/>
      <c r="N762" s="9"/>
      <c r="O762" s="9"/>
    </row>
    <row r="763">
      <c r="A763" s="9"/>
      <c r="D763" s="13"/>
      <c r="E763" s="9"/>
      <c r="J763" s="121"/>
      <c r="M763" s="9"/>
      <c r="N763" s="9"/>
      <c r="O763" s="9"/>
    </row>
    <row r="764">
      <c r="A764" s="9"/>
      <c r="D764" s="13"/>
      <c r="E764" s="9"/>
      <c r="J764" s="121"/>
      <c r="M764" s="9"/>
      <c r="N764" s="9"/>
      <c r="O764" s="9"/>
    </row>
    <row r="765">
      <c r="A765" s="9"/>
      <c r="D765" s="13"/>
      <c r="E765" s="9"/>
      <c r="J765" s="121"/>
      <c r="M765" s="9"/>
      <c r="N765" s="9"/>
      <c r="O765" s="9"/>
    </row>
    <row r="766">
      <c r="A766" s="9"/>
      <c r="D766" s="13"/>
      <c r="E766" s="9"/>
      <c r="J766" s="121"/>
      <c r="M766" s="9"/>
      <c r="N766" s="9"/>
      <c r="O766" s="9"/>
    </row>
    <row r="767">
      <c r="A767" s="9"/>
      <c r="D767" s="13"/>
      <c r="E767" s="9"/>
      <c r="J767" s="121"/>
      <c r="M767" s="9"/>
      <c r="N767" s="9"/>
      <c r="O767" s="9"/>
    </row>
    <row r="768">
      <c r="A768" s="9"/>
      <c r="D768" s="13"/>
      <c r="E768" s="9"/>
      <c r="J768" s="121"/>
      <c r="M768" s="9"/>
      <c r="N768" s="9"/>
      <c r="O768" s="9"/>
    </row>
    <row r="769">
      <c r="A769" s="9"/>
      <c r="D769" s="13"/>
      <c r="E769" s="9"/>
      <c r="J769" s="121"/>
      <c r="M769" s="9"/>
      <c r="N769" s="9"/>
      <c r="O769" s="9"/>
    </row>
    <row r="770">
      <c r="A770" s="9"/>
      <c r="D770" s="13"/>
      <c r="E770" s="9"/>
      <c r="J770" s="121"/>
      <c r="M770" s="9"/>
      <c r="N770" s="9"/>
      <c r="O770" s="9"/>
    </row>
    <row r="771">
      <c r="A771" s="9"/>
      <c r="D771" s="13"/>
      <c r="E771" s="9"/>
      <c r="J771" s="121"/>
      <c r="M771" s="9"/>
      <c r="N771" s="9"/>
      <c r="O771" s="9"/>
    </row>
    <row r="772">
      <c r="A772" s="9"/>
      <c r="D772" s="13"/>
      <c r="E772" s="9"/>
      <c r="J772" s="121"/>
      <c r="M772" s="9"/>
      <c r="N772" s="9"/>
      <c r="O772" s="9"/>
    </row>
    <row r="773">
      <c r="A773" s="9"/>
      <c r="D773" s="13"/>
      <c r="E773" s="9"/>
      <c r="J773" s="121"/>
      <c r="M773" s="9"/>
      <c r="N773" s="9"/>
      <c r="O773" s="9"/>
    </row>
    <row r="774">
      <c r="A774" s="9"/>
      <c r="D774" s="13"/>
      <c r="E774" s="9"/>
      <c r="J774" s="121"/>
      <c r="M774" s="9"/>
      <c r="N774" s="9"/>
      <c r="O774" s="9"/>
    </row>
    <row r="775">
      <c r="A775" s="9"/>
      <c r="D775" s="13"/>
      <c r="E775" s="9"/>
      <c r="J775" s="121"/>
      <c r="M775" s="9"/>
      <c r="N775" s="9"/>
      <c r="O775" s="9"/>
    </row>
    <row r="776">
      <c r="A776" s="9"/>
      <c r="D776" s="13"/>
      <c r="E776" s="9"/>
      <c r="J776" s="121"/>
      <c r="M776" s="9"/>
      <c r="N776" s="9"/>
      <c r="O776" s="9"/>
    </row>
    <row r="777">
      <c r="A777" s="9"/>
      <c r="D777" s="13"/>
      <c r="E777" s="9"/>
      <c r="J777" s="121"/>
      <c r="M777" s="9"/>
      <c r="N777" s="9"/>
      <c r="O777" s="9"/>
    </row>
    <row r="778">
      <c r="A778" s="9"/>
      <c r="D778" s="13"/>
      <c r="E778" s="9"/>
      <c r="J778" s="121"/>
      <c r="M778" s="9"/>
      <c r="N778" s="9"/>
      <c r="O778" s="9"/>
    </row>
    <row r="779">
      <c r="A779" s="9"/>
      <c r="D779" s="13"/>
      <c r="E779" s="9"/>
      <c r="J779" s="121"/>
      <c r="M779" s="9"/>
      <c r="N779" s="9"/>
      <c r="O779" s="9"/>
    </row>
    <row r="780">
      <c r="A780" s="9"/>
      <c r="D780" s="13"/>
      <c r="E780" s="9"/>
      <c r="J780" s="121"/>
      <c r="M780" s="9"/>
      <c r="N780" s="9"/>
      <c r="O780" s="9"/>
    </row>
    <row r="781">
      <c r="A781" s="9"/>
      <c r="D781" s="13"/>
      <c r="E781" s="9"/>
      <c r="J781" s="121"/>
      <c r="M781" s="9"/>
      <c r="N781" s="9"/>
      <c r="O781" s="9"/>
    </row>
    <row r="782">
      <c r="A782" s="9"/>
      <c r="D782" s="13"/>
      <c r="E782" s="9"/>
      <c r="J782" s="121"/>
      <c r="M782" s="9"/>
      <c r="N782" s="9"/>
      <c r="O782" s="9"/>
    </row>
    <row r="783">
      <c r="A783" s="9"/>
      <c r="D783" s="13"/>
      <c r="E783" s="9"/>
      <c r="J783" s="121"/>
      <c r="M783" s="9"/>
      <c r="N783" s="9"/>
      <c r="O783" s="9"/>
    </row>
    <row r="784">
      <c r="A784" s="9"/>
      <c r="D784" s="13"/>
      <c r="E784" s="9"/>
      <c r="J784" s="121"/>
      <c r="M784" s="9"/>
      <c r="N784" s="9"/>
      <c r="O784" s="9"/>
    </row>
    <row r="785">
      <c r="A785" s="9"/>
      <c r="D785" s="13"/>
      <c r="E785" s="9"/>
      <c r="J785" s="121"/>
      <c r="M785" s="9"/>
      <c r="N785" s="9"/>
      <c r="O785" s="9"/>
    </row>
    <row r="786">
      <c r="A786" s="9"/>
      <c r="D786" s="13"/>
      <c r="E786" s="9"/>
      <c r="J786" s="121"/>
      <c r="M786" s="9"/>
      <c r="N786" s="9"/>
      <c r="O786" s="9"/>
    </row>
    <row r="787">
      <c r="A787" s="9"/>
      <c r="D787" s="13"/>
      <c r="E787" s="9"/>
      <c r="J787" s="121"/>
      <c r="M787" s="9"/>
      <c r="N787" s="9"/>
      <c r="O787" s="9"/>
    </row>
    <row r="788">
      <c r="A788" s="9"/>
      <c r="D788" s="13"/>
      <c r="E788" s="9"/>
      <c r="J788" s="121"/>
      <c r="M788" s="9"/>
      <c r="N788" s="9"/>
      <c r="O788" s="9"/>
    </row>
    <row r="789">
      <c r="A789" s="9"/>
      <c r="D789" s="13"/>
      <c r="E789" s="9"/>
      <c r="J789" s="121"/>
      <c r="M789" s="9"/>
      <c r="N789" s="9"/>
      <c r="O789" s="9"/>
    </row>
    <row r="790">
      <c r="A790" s="9"/>
      <c r="D790" s="13"/>
      <c r="E790" s="9"/>
      <c r="J790" s="121"/>
      <c r="M790" s="9"/>
      <c r="N790" s="9"/>
      <c r="O790" s="9"/>
    </row>
    <row r="791">
      <c r="A791" s="9"/>
      <c r="D791" s="13"/>
      <c r="E791" s="9"/>
      <c r="J791" s="121"/>
      <c r="M791" s="9"/>
      <c r="N791" s="9"/>
      <c r="O791" s="9"/>
    </row>
    <row r="792">
      <c r="A792" s="9"/>
      <c r="D792" s="13"/>
      <c r="E792" s="9"/>
      <c r="J792" s="121"/>
      <c r="M792" s="9"/>
      <c r="N792" s="9"/>
      <c r="O792" s="9"/>
    </row>
    <row r="793">
      <c r="A793" s="9"/>
      <c r="D793" s="13"/>
      <c r="E793" s="9"/>
      <c r="J793" s="121"/>
      <c r="M793" s="9"/>
      <c r="N793" s="9"/>
      <c r="O793" s="9"/>
    </row>
    <row r="794">
      <c r="A794" s="9"/>
      <c r="D794" s="13"/>
      <c r="E794" s="9"/>
      <c r="J794" s="121"/>
      <c r="M794" s="9"/>
      <c r="N794" s="9"/>
      <c r="O794" s="9"/>
    </row>
    <row r="795">
      <c r="A795" s="9"/>
      <c r="D795" s="13"/>
      <c r="E795" s="9"/>
      <c r="J795" s="121"/>
      <c r="M795" s="9"/>
      <c r="N795" s="9"/>
      <c r="O795" s="9"/>
    </row>
    <row r="796">
      <c r="A796" s="9"/>
      <c r="D796" s="13"/>
      <c r="E796" s="9"/>
      <c r="J796" s="121"/>
      <c r="M796" s="9"/>
      <c r="N796" s="9"/>
      <c r="O796" s="9"/>
    </row>
    <row r="797">
      <c r="A797" s="9"/>
      <c r="D797" s="13"/>
      <c r="E797" s="9"/>
      <c r="J797" s="121"/>
      <c r="M797" s="9"/>
      <c r="N797" s="9"/>
      <c r="O797" s="9"/>
    </row>
    <row r="798">
      <c r="A798" s="9"/>
      <c r="D798" s="13"/>
      <c r="E798" s="9"/>
      <c r="J798" s="121"/>
      <c r="M798" s="9"/>
      <c r="N798" s="9"/>
      <c r="O798" s="9"/>
    </row>
    <row r="799">
      <c r="A799" s="9"/>
      <c r="D799" s="13"/>
      <c r="E799" s="9"/>
      <c r="J799" s="121"/>
      <c r="M799" s="9"/>
      <c r="N799" s="9"/>
      <c r="O799" s="9"/>
    </row>
    <row r="800">
      <c r="A800" s="9"/>
      <c r="D800" s="13"/>
      <c r="E800" s="9"/>
      <c r="J800" s="121"/>
      <c r="M800" s="9"/>
      <c r="N800" s="9"/>
      <c r="O800" s="9"/>
    </row>
    <row r="801">
      <c r="A801" s="9"/>
      <c r="D801" s="13"/>
      <c r="E801" s="9"/>
      <c r="J801" s="121"/>
      <c r="M801" s="9"/>
      <c r="N801" s="9"/>
      <c r="O801" s="9"/>
    </row>
    <row r="802">
      <c r="A802" s="9"/>
      <c r="D802" s="13"/>
      <c r="E802" s="9"/>
      <c r="J802" s="121"/>
      <c r="M802" s="9"/>
      <c r="N802" s="9"/>
      <c r="O802" s="9"/>
    </row>
    <row r="803">
      <c r="A803" s="9"/>
      <c r="D803" s="13"/>
      <c r="E803" s="9"/>
      <c r="J803" s="121"/>
      <c r="M803" s="9"/>
      <c r="N803" s="9"/>
      <c r="O803" s="9"/>
    </row>
    <row r="804">
      <c r="A804" s="9"/>
      <c r="D804" s="13"/>
      <c r="E804" s="9"/>
      <c r="J804" s="121"/>
      <c r="M804" s="9"/>
      <c r="N804" s="9"/>
      <c r="O804" s="9"/>
    </row>
    <row r="805">
      <c r="A805" s="9"/>
      <c r="D805" s="13"/>
      <c r="E805" s="9"/>
      <c r="J805" s="121"/>
      <c r="M805" s="9"/>
      <c r="N805" s="9"/>
      <c r="O805" s="9"/>
    </row>
    <row r="806">
      <c r="A806" s="9"/>
      <c r="D806" s="13"/>
      <c r="E806" s="9"/>
      <c r="J806" s="121"/>
      <c r="M806" s="9"/>
      <c r="N806" s="9"/>
      <c r="O806" s="9"/>
    </row>
    <row r="807">
      <c r="A807" s="9"/>
      <c r="D807" s="13"/>
      <c r="E807" s="9"/>
      <c r="J807" s="121"/>
      <c r="M807" s="9"/>
      <c r="N807" s="9"/>
      <c r="O807" s="9"/>
    </row>
    <row r="808">
      <c r="A808" s="9"/>
      <c r="D808" s="13"/>
      <c r="E808" s="9"/>
      <c r="J808" s="121"/>
      <c r="M808" s="9"/>
      <c r="N808" s="9"/>
      <c r="O808" s="9"/>
    </row>
    <row r="809">
      <c r="A809" s="9"/>
      <c r="D809" s="13"/>
      <c r="E809" s="9"/>
      <c r="J809" s="121"/>
      <c r="M809" s="9"/>
      <c r="N809" s="9"/>
      <c r="O809" s="9"/>
    </row>
    <row r="810">
      <c r="A810" s="9"/>
      <c r="D810" s="13"/>
      <c r="E810" s="9"/>
      <c r="J810" s="121"/>
      <c r="M810" s="9"/>
      <c r="N810" s="9"/>
      <c r="O810" s="9"/>
    </row>
    <row r="811">
      <c r="A811" s="9"/>
      <c r="D811" s="13"/>
      <c r="E811" s="9"/>
      <c r="J811" s="121"/>
      <c r="M811" s="9"/>
      <c r="N811" s="9"/>
      <c r="O811" s="9"/>
    </row>
    <row r="812">
      <c r="A812" s="9"/>
      <c r="D812" s="13"/>
      <c r="E812" s="9"/>
      <c r="J812" s="121"/>
      <c r="M812" s="9"/>
      <c r="N812" s="9"/>
      <c r="O812" s="9"/>
    </row>
    <row r="813">
      <c r="A813" s="9"/>
      <c r="D813" s="13"/>
      <c r="E813" s="9"/>
      <c r="J813" s="121"/>
      <c r="M813" s="9"/>
      <c r="N813" s="9"/>
      <c r="O813" s="9"/>
    </row>
    <row r="814">
      <c r="A814" s="9"/>
      <c r="D814" s="13"/>
      <c r="E814" s="9"/>
      <c r="J814" s="121"/>
      <c r="M814" s="9"/>
      <c r="N814" s="9"/>
      <c r="O814" s="9"/>
    </row>
    <row r="815">
      <c r="A815" s="9"/>
      <c r="D815" s="13"/>
      <c r="E815" s="9"/>
      <c r="J815" s="121"/>
      <c r="M815" s="9"/>
      <c r="N815" s="9"/>
      <c r="O815" s="9"/>
    </row>
    <row r="816">
      <c r="A816" s="9"/>
      <c r="D816" s="13"/>
      <c r="E816" s="9"/>
      <c r="J816" s="121"/>
      <c r="M816" s="9"/>
      <c r="N816" s="9"/>
      <c r="O816" s="9"/>
    </row>
    <row r="817">
      <c r="A817" s="9"/>
      <c r="D817" s="13"/>
      <c r="E817" s="9"/>
      <c r="J817" s="121"/>
      <c r="M817" s="9"/>
      <c r="N817" s="9"/>
      <c r="O817" s="9"/>
    </row>
    <row r="818">
      <c r="A818" s="9"/>
      <c r="D818" s="13"/>
      <c r="E818" s="9"/>
      <c r="J818" s="121"/>
      <c r="M818" s="9"/>
      <c r="N818" s="9"/>
      <c r="O818" s="9"/>
    </row>
    <row r="819">
      <c r="A819" s="9"/>
      <c r="D819" s="13"/>
      <c r="E819" s="9"/>
      <c r="J819" s="121"/>
      <c r="M819" s="9"/>
      <c r="N819" s="9"/>
      <c r="O819" s="9"/>
    </row>
    <row r="820">
      <c r="A820" s="9"/>
      <c r="D820" s="13"/>
      <c r="E820" s="9"/>
      <c r="J820" s="121"/>
      <c r="M820" s="9"/>
      <c r="N820" s="9"/>
      <c r="O820" s="9"/>
    </row>
    <row r="821">
      <c r="A821" s="9"/>
      <c r="D821" s="13"/>
      <c r="E821" s="9"/>
      <c r="J821" s="121"/>
      <c r="M821" s="9"/>
      <c r="N821" s="9"/>
      <c r="O821" s="9"/>
    </row>
    <row r="822">
      <c r="A822" s="9"/>
      <c r="D822" s="13"/>
      <c r="E822" s="9"/>
      <c r="J822" s="121"/>
      <c r="M822" s="9"/>
      <c r="N822" s="9"/>
      <c r="O822" s="9"/>
    </row>
    <row r="823">
      <c r="A823" s="9"/>
      <c r="D823" s="13"/>
      <c r="E823" s="9"/>
      <c r="J823" s="121"/>
      <c r="M823" s="9"/>
      <c r="N823" s="9"/>
      <c r="O823" s="9"/>
    </row>
    <row r="824">
      <c r="A824" s="9"/>
      <c r="D824" s="13"/>
      <c r="E824" s="9"/>
      <c r="J824" s="121"/>
      <c r="M824" s="9"/>
      <c r="N824" s="9"/>
      <c r="O824" s="9"/>
    </row>
    <row r="825">
      <c r="A825" s="9"/>
      <c r="D825" s="13"/>
      <c r="E825" s="9"/>
      <c r="J825" s="121"/>
      <c r="M825" s="9"/>
      <c r="N825" s="9"/>
      <c r="O825" s="9"/>
    </row>
    <row r="826">
      <c r="A826" s="9"/>
      <c r="D826" s="13"/>
      <c r="E826" s="9"/>
      <c r="J826" s="121"/>
      <c r="M826" s="9"/>
      <c r="N826" s="9"/>
      <c r="O826" s="9"/>
    </row>
    <row r="827">
      <c r="A827" s="9"/>
      <c r="D827" s="13"/>
      <c r="E827" s="9"/>
      <c r="J827" s="121"/>
      <c r="M827" s="9"/>
      <c r="N827" s="9"/>
      <c r="O827" s="9"/>
    </row>
    <row r="828">
      <c r="A828" s="9"/>
      <c r="D828" s="13"/>
      <c r="E828" s="9"/>
      <c r="J828" s="121"/>
      <c r="M828" s="9"/>
      <c r="N828" s="9"/>
      <c r="O828" s="9"/>
    </row>
    <row r="829">
      <c r="A829" s="9"/>
      <c r="D829" s="13"/>
      <c r="E829" s="9"/>
      <c r="J829" s="121"/>
      <c r="M829" s="9"/>
      <c r="N829" s="9"/>
      <c r="O829" s="9"/>
    </row>
    <row r="830">
      <c r="A830" s="9"/>
      <c r="D830" s="13"/>
      <c r="E830" s="9"/>
      <c r="J830" s="121"/>
      <c r="M830" s="9"/>
      <c r="N830" s="9"/>
      <c r="O830" s="9"/>
    </row>
    <row r="831">
      <c r="A831" s="9"/>
      <c r="D831" s="13"/>
      <c r="E831" s="9"/>
      <c r="J831" s="121"/>
      <c r="M831" s="9"/>
      <c r="N831" s="9"/>
      <c r="O831" s="9"/>
    </row>
    <row r="832">
      <c r="A832" s="9"/>
      <c r="D832" s="13"/>
      <c r="E832" s="9"/>
      <c r="J832" s="121"/>
      <c r="M832" s="9"/>
      <c r="N832" s="9"/>
      <c r="O832" s="9"/>
    </row>
    <row r="833">
      <c r="A833" s="9"/>
      <c r="D833" s="13"/>
      <c r="E833" s="9"/>
      <c r="J833" s="121"/>
      <c r="M833" s="9"/>
      <c r="N833" s="9"/>
      <c r="O833" s="9"/>
    </row>
    <row r="834">
      <c r="A834" s="9"/>
      <c r="D834" s="13"/>
      <c r="E834" s="9"/>
      <c r="J834" s="121"/>
      <c r="M834" s="9"/>
      <c r="N834" s="9"/>
      <c r="O834" s="9"/>
    </row>
    <row r="835">
      <c r="A835" s="9"/>
      <c r="D835" s="13"/>
      <c r="E835" s="9"/>
      <c r="J835" s="121"/>
      <c r="M835" s="9"/>
      <c r="N835" s="9"/>
      <c r="O835" s="9"/>
    </row>
    <row r="836">
      <c r="A836" s="9"/>
      <c r="D836" s="13"/>
      <c r="E836" s="9"/>
      <c r="J836" s="121"/>
      <c r="M836" s="9"/>
      <c r="N836" s="9"/>
      <c r="O836" s="9"/>
    </row>
    <row r="837">
      <c r="A837" s="9"/>
      <c r="D837" s="13"/>
      <c r="E837" s="9"/>
      <c r="J837" s="121"/>
      <c r="M837" s="9"/>
      <c r="N837" s="9"/>
      <c r="O837" s="9"/>
    </row>
    <row r="838">
      <c r="A838" s="9"/>
      <c r="D838" s="13"/>
      <c r="E838" s="9"/>
      <c r="J838" s="121"/>
      <c r="M838" s="9"/>
      <c r="N838" s="9"/>
      <c r="O838" s="9"/>
    </row>
    <row r="839">
      <c r="A839" s="9"/>
      <c r="D839" s="13"/>
      <c r="E839" s="9"/>
      <c r="J839" s="121"/>
      <c r="M839" s="9"/>
      <c r="N839" s="9"/>
      <c r="O839" s="9"/>
    </row>
    <row r="840">
      <c r="A840" s="9"/>
      <c r="D840" s="13"/>
      <c r="E840" s="9"/>
      <c r="J840" s="121"/>
      <c r="M840" s="9"/>
      <c r="N840" s="9"/>
      <c r="O840" s="9"/>
    </row>
    <row r="841">
      <c r="A841" s="9"/>
      <c r="D841" s="13"/>
      <c r="E841" s="9"/>
      <c r="J841" s="121"/>
      <c r="M841" s="9"/>
      <c r="N841" s="9"/>
      <c r="O841" s="9"/>
    </row>
    <row r="842">
      <c r="A842" s="9"/>
      <c r="D842" s="13"/>
      <c r="E842" s="9"/>
      <c r="J842" s="121"/>
      <c r="M842" s="9"/>
      <c r="N842" s="9"/>
      <c r="O842" s="9"/>
    </row>
    <row r="843">
      <c r="A843" s="9"/>
      <c r="D843" s="13"/>
      <c r="E843" s="9"/>
      <c r="J843" s="121"/>
      <c r="M843" s="9"/>
      <c r="N843" s="9"/>
      <c r="O843" s="9"/>
    </row>
    <row r="844">
      <c r="A844" s="9"/>
      <c r="D844" s="13"/>
      <c r="E844" s="9"/>
      <c r="J844" s="121"/>
      <c r="M844" s="9"/>
      <c r="N844" s="9"/>
      <c r="O844" s="9"/>
    </row>
    <row r="845">
      <c r="A845" s="9"/>
      <c r="D845" s="13"/>
      <c r="E845" s="9"/>
      <c r="J845" s="121"/>
      <c r="M845" s="9"/>
      <c r="N845" s="9"/>
      <c r="O845" s="9"/>
    </row>
    <row r="846">
      <c r="A846" s="9"/>
      <c r="D846" s="13"/>
      <c r="E846" s="9"/>
      <c r="J846" s="121"/>
      <c r="M846" s="9"/>
      <c r="N846" s="9"/>
      <c r="O846" s="9"/>
    </row>
    <row r="847">
      <c r="A847" s="9"/>
      <c r="D847" s="13"/>
      <c r="E847" s="9"/>
      <c r="J847" s="121"/>
      <c r="M847" s="9"/>
      <c r="N847" s="9"/>
      <c r="O847" s="9"/>
    </row>
    <row r="848">
      <c r="A848" s="9"/>
      <c r="D848" s="13"/>
      <c r="E848" s="9"/>
      <c r="J848" s="121"/>
      <c r="M848" s="9"/>
      <c r="N848" s="9"/>
      <c r="O848" s="9"/>
    </row>
    <row r="849">
      <c r="A849" s="9"/>
      <c r="D849" s="13"/>
      <c r="E849" s="9"/>
      <c r="J849" s="121"/>
      <c r="M849" s="9"/>
      <c r="N849" s="9"/>
      <c r="O849" s="9"/>
    </row>
    <row r="850">
      <c r="A850" s="9"/>
      <c r="D850" s="13"/>
      <c r="E850" s="9"/>
      <c r="J850" s="121"/>
      <c r="M850" s="9"/>
      <c r="N850" s="9"/>
      <c r="O850" s="9"/>
    </row>
    <row r="851">
      <c r="A851" s="9"/>
      <c r="D851" s="13"/>
      <c r="E851" s="9"/>
      <c r="J851" s="121"/>
      <c r="M851" s="9"/>
      <c r="N851" s="9"/>
      <c r="O851" s="9"/>
    </row>
    <row r="852">
      <c r="A852" s="9"/>
      <c r="D852" s="13"/>
      <c r="E852" s="9"/>
      <c r="J852" s="121"/>
      <c r="M852" s="9"/>
      <c r="N852" s="9"/>
      <c r="O852" s="9"/>
    </row>
    <row r="853">
      <c r="A853" s="9"/>
      <c r="D853" s="13"/>
      <c r="E853" s="9"/>
      <c r="J853" s="121"/>
      <c r="M853" s="9"/>
      <c r="N853" s="9"/>
      <c r="O853" s="9"/>
    </row>
    <row r="854">
      <c r="A854" s="9"/>
      <c r="D854" s="13"/>
      <c r="E854" s="9"/>
      <c r="J854" s="121"/>
      <c r="M854" s="9"/>
      <c r="N854" s="9"/>
      <c r="O854" s="9"/>
    </row>
    <row r="855">
      <c r="A855" s="9"/>
      <c r="D855" s="13"/>
      <c r="E855" s="9"/>
      <c r="J855" s="121"/>
      <c r="M855" s="9"/>
      <c r="N855" s="9"/>
      <c r="O855" s="9"/>
    </row>
    <row r="856">
      <c r="A856" s="9"/>
      <c r="D856" s="13"/>
      <c r="E856" s="9"/>
      <c r="J856" s="121"/>
      <c r="M856" s="9"/>
      <c r="N856" s="9"/>
      <c r="O856" s="9"/>
    </row>
    <row r="857">
      <c r="A857" s="9"/>
      <c r="D857" s="13"/>
      <c r="E857" s="9"/>
      <c r="J857" s="121"/>
      <c r="M857" s="9"/>
      <c r="N857" s="9"/>
      <c r="O857" s="9"/>
    </row>
    <row r="858">
      <c r="A858" s="9"/>
      <c r="D858" s="13"/>
      <c r="E858" s="9"/>
      <c r="J858" s="121"/>
      <c r="M858" s="9"/>
      <c r="N858" s="9"/>
      <c r="O858" s="9"/>
    </row>
    <row r="859">
      <c r="A859" s="9"/>
      <c r="D859" s="13"/>
      <c r="E859" s="9"/>
      <c r="J859" s="121"/>
      <c r="M859" s="9"/>
      <c r="N859" s="9"/>
      <c r="O859" s="9"/>
    </row>
    <row r="860">
      <c r="A860" s="9"/>
      <c r="D860" s="13"/>
      <c r="E860" s="9"/>
      <c r="J860" s="121"/>
      <c r="M860" s="9"/>
      <c r="N860" s="9"/>
      <c r="O860" s="9"/>
    </row>
    <row r="861">
      <c r="A861" s="9"/>
      <c r="D861" s="13"/>
      <c r="E861" s="9"/>
      <c r="J861" s="121"/>
      <c r="M861" s="9"/>
      <c r="N861" s="9"/>
      <c r="O861" s="9"/>
    </row>
    <row r="862">
      <c r="A862" s="9"/>
      <c r="D862" s="13"/>
      <c r="E862" s="9"/>
      <c r="J862" s="121"/>
      <c r="M862" s="9"/>
      <c r="N862" s="9"/>
      <c r="O862" s="9"/>
    </row>
    <row r="863">
      <c r="A863" s="9"/>
      <c r="D863" s="13"/>
      <c r="E863" s="9"/>
      <c r="J863" s="121"/>
      <c r="M863" s="9"/>
      <c r="N863" s="9"/>
      <c r="O863" s="9"/>
    </row>
    <row r="864">
      <c r="A864" s="9"/>
      <c r="D864" s="13"/>
      <c r="E864" s="9"/>
      <c r="J864" s="121"/>
      <c r="M864" s="9"/>
      <c r="N864" s="9"/>
      <c r="O864" s="9"/>
    </row>
    <row r="865">
      <c r="A865" s="9"/>
      <c r="D865" s="13"/>
      <c r="E865" s="9"/>
      <c r="J865" s="121"/>
      <c r="M865" s="9"/>
      <c r="N865" s="9"/>
      <c r="O865" s="9"/>
    </row>
    <row r="866">
      <c r="A866" s="9"/>
      <c r="D866" s="13"/>
      <c r="E866" s="9"/>
      <c r="J866" s="121"/>
      <c r="M866" s="9"/>
      <c r="N866" s="9"/>
      <c r="O866" s="9"/>
    </row>
    <row r="867">
      <c r="A867" s="9"/>
      <c r="D867" s="13"/>
      <c r="E867" s="9"/>
      <c r="J867" s="121"/>
      <c r="M867" s="9"/>
      <c r="N867" s="9"/>
      <c r="O867" s="9"/>
    </row>
    <row r="868">
      <c r="A868" s="9"/>
      <c r="D868" s="13"/>
      <c r="E868" s="9"/>
      <c r="J868" s="121"/>
      <c r="M868" s="9"/>
      <c r="N868" s="9"/>
      <c r="O868" s="9"/>
    </row>
    <row r="869">
      <c r="A869" s="9"/>
      <c r="D869" s="13"/>
      <c r="E869" s="9"/>
      <c r="J869" s="121"/>
      <c r="M869" s="9"/>
      <c r="N869" s="9"/>
      <c r="O869" s="9"/>
    </row>
    <row r="870">
      <c r="A870" s="9"/>
      <c r="D870" s="13"/>
      <c r="E870" s="9"/>
      <c r="J870" s="121"/>
      <c r="M870" s="9"/>
      <c r="N870" s="9"/>
      <c r="O870" s="9"/>
    </row>
    <row r="871">
      <c r="A871" s="9"/>
      <c r="D871" s="13"/>
      <c r="E871" s="9"/>
      <c r="J871" s="121"/>
      <c r="M871" s="9"/>
      <c r="N871" s="9"/>
      <c r="O871" s="9"/>
    </row>
    <row r="872">
      <c r="A872" s="9"/>
      <c r="D872" s="13"/>
      <c r="E872" s="9"/>
      <c r="J872" s="121"/>
      <c r="M872" s="9"/>
      <c r="N872" s="9"/>
      <c r="O872" s="9"/>
    </row>
    <row r="873">
      <c r="A873" s="9"/>
      <c r="D873" s="13"/>
      <c r="E873" s="9"/>
      <c r="J873" s="121"/>
      <c r="M873" s="9"/>
      <c r="N873" s="9"/>
      <c r="O873" s="9"/>
    </row>
    <row r="874">
      <c r="A874" s="9"/>
      <c r="D874" s="13"/>
      <c r="E874" s="9"/>
      <c r="J874" s="121"/>
      <c r="M874" s="9"/>
      <c r="N874" s="9"/>
      <c r="O874" s="9"/>
    </row>
    <row r="875">
      <c r="A875" s="9"/>
      <c r="D875" s="13"/>
      <c r="E875" s="9"/>
      <c r="J875" s="121"/>
      <c r="M875" s="9"/>
      <c r="N875" s="9"/>
      <c r="O875" s="9"/>
    </row>
    <row r="876">
      <c r="A876" s="9"/>
      <c r="D876" s="13"/>
      <c r="E876" s="9"/>
      <c r="J876" s="121"/>
      <c r="M876" s="9"/>
      <c r="N876" s="9"/>
      <c r="O876" s="9"/>
    </row>
    <row r="877">
      <c r="A877" s="9"/>
      <c r="D877" s="13"/>
      <c r="E877" s="9"/>
      <c r="J877" s="121"/>
      <c r="M877" s="9"/>
      <c r="N877" s="9"/>
      <c r="O877" s="9"/>
    </row>
    <row r="878">
      <c r="A878" s="9"/>
      <c r="D878" s="13"/>
      <c r="E878" s="9"/>
      <c r="J878" s="121"/>
      <c r="M878" s="9"/>
      <c r="N878" s="9"/>
      <c r="O878" s="9"/>
    </row>
    <row r="879">
      <c r="A879" s="9"/>
      <c r="D879" s="13"/>
      <c r="E879" s="9"/>
      <c r="J879" s="121"/>
      <c r="M879" s="9"/>
      <c r="N879" s="9"/>
      <c r="O879" s="9"/>
    </row>
    <row r="880">
      <c r="A880" s="9"/>
      <c r="D880" s="13"/>
      <c r="E880" s="9"/>
      <c r="J880" s="121"/>
      <c r="M880" s="9"/>
      <c r="N880" s="9"/>
      <c r="O880" s="9"/>
    </row>
    <row r="881">
      <c r="A881" s="9"/>
      <c r="D881" s="13"/>
      <c r="E881" s="9"/>
      <c r="J881" s="121"/>
      <c r="M881" s="9"/>
      <c r="N881" s="9"/>
      <c r="O881" s="9"/>
    </row>
    <row r="882">
      <c r="A882" s="9"/>
      <c r="D882" s="13"/>
      <c r="E882" s="9"/>
      <c r="J882" s="121"/>
      <c r="M882" s="9"/>
      <c r="N882" s="9"/>
      <c r="O882" s="9"/>
    </row>
    <row r="883">
      <c r="A883" s="9"/>
      <c r="D883" s="13"/>
      <c r="E883" s="9"/>
      <c r="J883" s="121"/>
      <c r="M883" s="9"/>
      <c r="N883" s="9"/>
      <c r="O883" s="9"/>
    </row>
    <row r="884">
      <c r="A884" s="9"/>
      <c r="D884" s="13"/>
      <c r="E884" s="9"/>
      <c r="J884" s="121"/>
      <c r="M884" s="9"/>
      <c r="N884" s="9"/>
      <c r="O884" s="9"/>
    </row>
    <row r="885">
      <c r="A885" s="9"/>
      <c r="D885" s="13"/>
      <c r="E885" s="9"/>
      <c r="J885" s="121"/>
      <c r="M885" s="9"/>
      <c r="N885" s="9"/>
      <c r="O885" s="9"/>
    </row>
    <row r="886">
      <c r="A886" s="9"/>
      <c r="D886" s="13"/>
      <c r="E886" s="9"/>
      <c r="J886" s="121"/>
      <c r="M886" s="9"/>
      <c r="N886" s="9"/>
      <c r="O886" s="9"/>
    </row>
    <row r="887">
      <c r="A887" s="9"/>
      <c r="D887" s="13"/>
      <c r="E887" s="9"/>
      <c r="J887" s="121"/>
      <c r="M887" s="9"/>
      <c r="N887" s="9"/>
      <c r="O887" s="9"/>
    </row>
    <row r="888">
      <c r="A888" s="9"/>
      <c r="D888" s="13"/>
      <c r="E888" s="9"/>
      <c r="J888" s="121"/>
      <c r="M888" s="9"/>
      <c r="N888" s="9"/>
      <c r="O888" s="9"/>
    </row>
    <row r="889">
      <c r="A889" s="9"/>
      <c r="D889" s="13"/>
      <c r="E889" s="9"/>
      <c r="J889" s="121"/>
      <c r="M889" s="9"/>
      <c r="N889" s="9"/>
      <c r="O889" s="9"/>
    </row>
    <row r="890">
      <c r="A890" s="9"/>
      <c r="D890" s="13"/>
      <c r="E890" s="9"/>
      <c r="J890" s="121"/>
      <c r="M890" s="9"/>
      <c r="N890" s="9"/>
      <c r="O890" s="9"/>
    </row>
    <row r="891">
      <c r="A891" s="9"/>
      <c r="D891" s="13"/>
      <c r="E891" s="9"/>
      <c r="J891" s="121"/>
      <c r="M891" s="9"/>
      <c r="N891" s="9"/>
      <c r="O891" s="9"/>
    </row>
    <row r="892">
      <c r="A892" s="9"/>
      <c r="D892" s="13"/>
      <c r="E892" s="9"/>
      <c r="J892" s="121"/>
      <c r="M892" s="9"/>
      <c r="N892" s="9"/>
      <c r="O892" s="9"/>
    </row>
    <row r="893">
      <c r="A893" s="9"/>
      <c r="D893" s="13"/>
      <c r="E893" s="9"/>
      <c r="J893" s="121"/>
      <c r="M893" s="9"/>
      <c r="N893" s="9"/>
      <c r="O893" s="9"/>
    </row>
    <row r="894">
      <c r="A894" s="9"/>
      <c r="D894" s="13"/>
      <c r="E894" s="9"/>
      <c r="J894" s="121"/>
      <c r="M894" s="9"/>
      <c r="N894" s="9"/>
      <c r="O894" s="9"/>
    </row>
    <row r="895">
      <c r="A895" s="9"/>
      <c r="D895" s="13"/>
      <c r="E895" s="9"/>
      <c r="J895" s="121"/>
      <c r="M895" s="9"/>
      <c r="N895" s="9"/>
      <c r="O895" s="9"/>
    </row>
    <row r="896">
      <c r="A896" s="9"/>
      <c r="D896" s="13"/>
      <c r="E896" s="9"/>
      <c r="J896" s="121"/>
      <c r="M896" s="9"/>
      <c r="N896" s="9"/>
      <c r="O896" s="9"/>
    </row>
    <row r="897">
      <c r="A897" s="9"/>
      <c r="D897" s="13"/>
      <c r="E897" s="9"/>
      <c r="J897" s="121"/>
      <c r="M897" s="9"/>
      <c r="N897" s="9"/>
      <c r="O897" s="9"/>
    </row>
    <row r="898">
      <c r="A898" s="9"/>
      <c r="D898" s="13"/>
      <c r="E898" s="9"/>
      <c r="J898" s="121"/>
      <c r="M898" s="9"/>
      <c r="N898" s="9"/>
      <c r="O898" s="9"/>
    </row>
    <row r="899">
      <c r="A899" s="9"/>
      <c r="D899" s="13"/>
      <c r="E899" s="9"/>
      <c r="J899" s="121"/>
      <c r="M899" s="9"/>
      <c r="N899" s="9"/>
      <c r="O899" s="9"/>
    </row>
    <row r="900">
      <c r="A900" s="9"/>
      <c r="D900" s="13"/>
      <c r="E900" s="9"/>
      <c r="J900" s="121"/>
      <c r="M900" s="9"/>
      <c r="N900" s="9"/>
      <c r="O900" s="9"/>
    </row>
    <row r="901">
      <c r="A901" s="9"/>
      <c r="D901" s="13"/>
      <c r="E901" s="9"/>
      <c r="J901" s="121"/>
      <c r="M901" s="9"/>
      <c r="N901" s="9"/>
      <c r="O901" s="9"/>
    </row>
    <row r="902">
      <c r="A902" s="9"/>
      <c r="D902" s="13"/>
      <c r="E902" s="9"/>
      <c r="J902" s="121"/>
      <c r="M902" s="9"/>
      <c r="N902" s="9"/>
      <c r="O902" s="9"/>
    </row>
    <row r="903">
      <c r="A903" s="9"/>
      <c r="D903" s="13"/>
      <c r="E903" s="9"/>
      <c r="J903" s="121"/>
      <c r="M903" s="9"/>
      <c r="N903" s="9"/>
      <c r="O903" s="9"/>
    </row>
    <row r="904">
      <c r="A904" s="9"/>
      <c r="D904" s="13"/>
      <c r="E904" s="9"/>
      <c r="J904" s="121"/>
      <c r="M904" s="9"/>
      <c r="N904" s="9"/>
      <c r="O904" s="9"/>
    </row>
    <row r="905">
      <c r="A905" s="9"/>
      <c r="D905" s="13"/>
      <c r="E905" s="9"/>
      <c r="J905" s="121"/>
      <c r="M905" s="9"/>
      <c r="N905" s="9"/>
      <c r="O905" s="9"/>
    </row>
    <row r="906">
      <c r="A906" s="9"/>
      <c r="D906" s="13"/>
      <c r="E906" s="9"/>
      <c r="J906" s="121"/>
      <c r="M906" s="9"/>
      <c r="N906" s="9"/>
      <c r="O906" s="9"/>
    </row>
    <row r="907">
      <c r="A907" s="9"/>
      <c r="D907" s="13"/>
      <c r="E907" s="9"/>
      <c r="J907" s="121"/>
      <c r="M907" s="9"/>
      <c r="N907" s="9"/>
      <c r="O907" s="9"/>
    </row>
    <row r="908">
      <c r="A908" s="9"/>
      <c r="D908" s="13"/>
      <c r="E908" s="9"/>
      <c r="J908" s="121"/>
      <c r="M908" s="9"/>
      <c r="N908" s="9"/>
      <c r="O908" s="9"/>
    </row>
    <row r="909">
      <c r="A909" s="9"/>
      <c r="D909" s="13"/>
      <c r="E909" s="9"/>
      <c r="J909" s="121"/>
      <c r="M909" s="9"/>
      <c r="N909" s="9"/>
      <c r="O909" s="9"/>
    </row>
    <row r="910">
      <c r="A910" s="9"/>
      <c r="D910" s="13"/>
      <c r="E910" s="9"/>
      <c r="J910" s="121"/>
      <c r="M910" s="9"/>
      <c r="N910" s="9"/>
      <c r="O910" s="9"/>
    </row>
    <row r="911">
      <c r="A911" s="9"/>
      <c r="D911" s="13"/>
      <c r="E911" s="9"/>
      <c r="J911" s="121"/>
      <c r="M911" s="9"/>
      <c r="N911" s="9"/>
      <c r="O911" s="9"/>
    </row>
    <row r="912">
      <c r="A912" s="9"/>
      <c r="D912" s="13"/>
      <c r="E912" s="9"/>
      <c r="J912" s="121"/>
      <c r="M912" s="9"/>
      <c r="N912" s="9"/>
      <c r="O912" s="9"/>
    </row>
    <row r="913">
      <c r="A913" s="9"/>
      <c r="D913" s="13"/>
      <c r="E913" s="9"/>
      <c r="J913" s="121"/>
      <c r="M913" s="9"/>
      <c r="N913" s="9"/>
      <c r="O913" s="9"/>
    </row>
    <row r="914">
      <c r="A914" s="9"/>
      <c r="D914" s="13"/>
      <c r="E914" s="9"/>
      <c r="J914" s="121"/>
      <c r="M914" s="9"/>
      <c r="N914" s="9"/>
      <c r="O914" s="9"/>
    </row>
    <row r="915">
      <c r="A915" s="9"/>
      <c r="D915" s="13"/>
      <c r="E915" s="9"/>
      <c r="J915" s="121"/>
      <c r="M915" s="9"/>
      <c r="N915" s="9"/>
      <c r="O915" s="9"/>
    </row>
    <row r="916">
      <c r="A916" s="9"/>
      <c r="D916" s="13"/>
      <c r="E916" s="9"/>
      <c r="J916" s="121"/>
      <c r="M916" s="9"/>
      <c r="N916" s="9"/>
      <c r="O916" s="9"/>
    </row>
    <row r="917">
      <c r="A917" s="9"/>
      <c r="D917" s="13"/>
      <c r="E917" s="9"/>
      <c r="J917" s="121"/>
      <c r="M917" s="9"/>
      <c r="N917" s="9"/>
      <c r="O917" s="9"/>
    </row>
    <row r="918">
      <c r="A918" s="9"/>
      <c r="D918" s="13"/>
      <c r="E918" s="9"/>
      <c r="J918" s="121"/>
      <c r="M918" s="9"/>
      <c r="N918" s="9"/>
      <c r="O918" s="9"/>
    </row>
    <row r="919">
      <c r="A919" s="9"/>
      <c r="D919" s="13"/>
      <c r="E919" s="9"/>
      <c r="J919" s="121"/>
      <c r="M919" s="9"/>
      <c r="N919" s="9"/>
      <c r="O919" s="9"/>
    </row>
    <row r="920">
      <c r="A920" s="9"/>
      <c r="D920" s="13"/>
      <c r="E920" s="9"/>
      <c r="J920" s="121"/>
      <c r="M920" s="9"/>
      <c r="N920" s="9"/>
      <c r="O920" s="9"/>
    </row>
    <row r="921">
      <c r="A921" s="9"/>
      <c r="D921" s="13"/>
      <c r="E921" s="9"/>
      <c r="J921" s="121"/>
      <c r="M921" s="9"/>
      <c r="N921" s="9"/>
      <c r="O921" s="9"/>
    </row>
    <row r="922">
      <c r="A922" s="9"/>
      <c r="D922" s="13"/>
      <c r="E922" s="9"/>
      <c r="J922" s="121"/>
      <c r="M922" s="9"/>
      <c r="N922" s="9"/>
      <c r="O922" s="9"/>
    </row>
    <row r="923">
      <c r="A923" s="9"/>
      <c r="D923" s="13"/>
      <c r="E923" s="9"/>
      <c r="J923" s="121"/>
      <c r="M923" s="9"/>
      <c r="N923" s="9"/>
      <c r="O923" s="9"/>
    </row>
    <row r="924">
      <c r="A924" s="9"/>
      <c r="D924" s="13"/>
      <c r="E924" s="9"/>
      <c r="J924" s="121"/>
      <c r="M924" s="9"/>
      <c r="N924" s="9"/>
      <c r="O924" s="9"/>
    </row>
    <row r="925">
      <c r="A925" s="9"/>
      <c r="D925" s="13"/>
      <c r="E925" s="9"/>
      <c r="J925" s="121"/>
      <c r="M925" s="9"/>
      <c r="N925" s="9"/>
      <c r="O925" s="9"/>
    </row>
    <row r="926">
      <c r="A926" s="9"/>
      <c r="D926" s="13"/>
      <c r="E926" s="9"/>
      <c r="J926" s="121"/>
      <c r="M926" s="9"/>
      <c r="N926" s="9"/>
      <c r="O926" s="9"/>
    </row>
    <row r="927">
      <c r="A927" s="9"/>
      <c r="D927" s="13"/>
      <c r="E927" s="9"/>
      <c r="J927" s="121"/>
      <c r="M927" s="9"/>
      <c r="N927" s="9"/>
      <c r="O927" s="9"/>
    </row>
    <row r="928">
      <c r="A928" s="9"/>
      <c r="D928" s="13"/>
      <c r="E928" s="9"/>
      <c r="J928" s="121"/>
      <c r="M928" s="9"/>
      <c r="N928" s="9"/>
      <c r="O928" s="9"/>
    </row>
    <row r="929">
      <c r="A929" s="9"/>
      <c r="D929" s="13"/>
      <c r="E929" s="9"/>
      <c r="J929" s="121"/>
      <c r="M929" s="9"/>
      <c r="N929" s="9"/>
      <c r="O929" s="9"/>
    </row>
    <row r="930">
      <c r="A930" s="9"/>
      <c r="D930" s="13"/>
      <c r="E930" s="9"/>
      <c r="J930" s="121"/>
      <c r="M930" s="9"/>
      <c r="N930" s="9"/>
      <c r="O930" s="9"/>
    </row>
    <row r="931">
      <c r="A931" s="9"/>
      <c r="D931" s="13"/>
      <c r="E931" s="9"/>
      <c r="J931" s="121"/>
      <c r="M931" s="9"/>
      <c r="N931" s="9"/>
      <c r="O931" s="9"/>
    </row>
    <row r="932">
      <c r="A932" s="9"/>
      <c r="D932" s="13"/>
      <c r="E932" s="9"/>
      <c r="J932" s="121"/>
      <c r="M932" s="9"/>
      <c r="N932" s="9"/>
      <c r="O932" s="9"/>
    </row>
    <row r="933">
      <c r="A933" s="9"/>
      <c r="D933" s="13"/>
      <c r="E933" s="9"/>
      <c r="J933" s="121"/>
      <c r="M933" s="9"/>
      <c r="N933" s="9"/>
      <c r="O933" s="9"/>
    </row>
    <row r="934">
      <c r="A934" s="9"/>
      <c r="D934" s="13"/>
      <c r="E934" s="9"/>
      <c r="J934" s="121"/>
      <c r="M934" s="9"/>
      <c r="N934" s="9"/>
      <c r="O934" s="9"/>
    </row>
    <row r="935">
      <c r="A935" s="9"/>
      <c r="D935" s="13"/>
      <c r="E935" s="9"/>
      <c r="J935" s="121"/>
      <c r="M935" s="9"/>
      <c r="N935" s="9"/>
      <c r="O935" s="9"/>
    </row>
    <row r="936">
      <c r="A936" s="9"/>
      <c r="D936" s="13"/>
      <c r="E936" s="9"/>
      <c r="J936" s="121"/>
      <c r="M936" s="9"/>
      <c r="N936" s="9"/>
      <c r="O936" s="9"/>
    </row>
    <row r="937">
      <c r="A937" s="9"/>
      <c r="D937" s="13"/>
      <c r="E937" s="9"/>
      <c r="J937" s="121"/>
      <c r="M937" s="9"/>
      <c r="N937" s="9"/>
      <c r="O937" s="9"/>
    </row>
    <row r="938">
      <c r="A938" s="9"/>
      <c r="D938" s="13"/>
      <c r="E938" s="9"/>
      <c r="J938" s="121"/>
      <c r="M938" s="9"/>
      <c r="N938" s="9"/>
      <c r="O938" s="9"/>
    </row>
    <row r="939">
      <c r="A939" s="9"/>
      <c r="D939" s="13"/>
      <c r="E939" s="9"/>
      <c r="J939" s="121"/>
      <c r="M939" s="9"/>
      <c r="N939" s="9"/>
      <c r="O939" s="9"/>
    </row>
    <row r="940">
      <c r="A940" s="9"/>
      <c r="D940" s="13"/>
      <c r="E940" s="9"/>
      <c r="J940" s="121"/>
      <c r="M940" s="9"/>
      <c r="N940" s="9"/>
      <c r="O940" s="9"/>
    </row>
    <row r="941">
      <c r="A941" s="9"/>
      <c r="D941" s="13"/>
      <c r="E941" s="9"/>
      <c r="J941" s="121"/>
      <c r="M941" s="9"/>
      <c r="N941" s="9"/>
      <c r="O941" s="9"/>
    </row>
    <row r="942">
      <c r="A942" s="9"/>
      <c r="D942" s="13"/>
      <c r="E942" s="9"/>
      <c r="J942" s="121"/>
      <c r="M942" s="9"/>
      <c r="N942" s="9"/>
      <c r="O942" s="9"/>
    </row>
    <row r="943">
      <c r="A943" s="9"/>
      <c r="D943" s="13"/>
      <c r="E943" s="9"/>
      <c r="J943" s="121"/>
      <c r="M943" s="9"/>
      <c r="N943" s="9"/>
      <c r="O943" s="9"/>
    </row>
    <row r="944">
      <c r="A944" s="9"/>
      <c r="D944" s="13"/>
      <c r="E944" s="9"/>
      <c r="J944" s="121"/>
      <c r="M944" s="9"/>
      <c r="N944" s="9"/>
      <c r="O944" s="9"/>
    </row>
    <row r="945">
      <c r="A945" s="9"/>
      <c r="D945" s="13"/>
      <c r="E945" s="9"/>
      <c r="J945" s="121"/>
      <c r="M945" s="9"/>
      <c r="N945" s="9"/>
      <c r="O945" s="9"/>
    </row>
    <row r="946">
      <c r="A946" s="9"/>
      <c r="D946" s="13"/>
      <c r="E946" s="9"/>
      <c r="J946" s="121"/>
      <c r="M946" s="9"/>
      <c r="N946" s="9"/>
      <c r="O946" s="9"/>
    </row>
    <row r="947">
      <c r="A947" s="9"/>
      <c r="D947" s="13"/>
      <c r="E947" s="9"/>
      <c r="J947" s="121"/>
      <c r="M947" s="9"/>
      <c r="N947" s="9"/>
      <c r="O947" s="9"/>
    </row>
    <row r="948">
      <c r="A948" s="9"/>
      <c r="D948" s="13"/>
      <c r="E948" s="9"/>
      <c r="J948" s="121"/>
      <c r="M948" s="9"/>
      <c r="N948" s="9"/>
      <c r="O948" s="9"/>
    </row>
    <row r="949">
      <c r="A949" s="9"/>
      <c r="D949" s="13"/>
      <c r="E949" s="9"/>
      <c r="J949" s="121"/>
      <c r="M949" s="9"/>
      <c r="N949" s="9"/>
      <c r="O949" s="9"/>
    </row>
    <row r="950">
      <c r="A950" s="9"/>
      <c r="D950" s="13"/>
      <c r="E950" s="9"/>
      <c r="J950" s="121"/>
      <c r="M950" s="9"/>
      <c r="N950" s="9"/>
      <c r="O950" s="9"/>
    </row>
    <row r="951">
      <c r="A951" s="9"/>
      <c r="D951" s="13"/>
      <c r="E951" s="9"/>
      <c r="J951" s="121"/>
      <c r="M951" s="9"/>
      <c r="N951" s="9"/>
      <c r="O951" s="9"/>
    </row>
    <row r="952">
      <c r="A952" s="9"/>
      <c r="D952" s="13"/>
      <c r="E952" s="9"/>
      <c r="J952" s="121"/>
      <c r="M952" s="9"/>
      <c r="N952" s="9"/>
      <c r="O952" s="9"/>
    </row>
    <row r="953">
      <c r="A953" s="9"/>
      <c r="D953" s="13"/>
      <c r="E953" s="9"/>
      <c r="J953" s="121"/>
      <c r="M953" s="9"/>
      <c r="N953" s="9"/>
      <c r="O953" s="9"/>
    </row>
    <row r="954">
      <c r="A954" s="9"/>
      <c r="D954" s="13"/>
      <c r="E954" s="9"/>
      <c r="J954" s="121"/>
      <c r="M954" s="9"/>
      <c r="N954" s="9"/>
      <c r="O954" s="9"/>
    </row>
    <row r="955">
      <c r="A955" s="9"/>
      <c r="D955" s="13"/>
      <c r="E955" s="9"/>
      <c r="J955" s="121"/>
      <c r="M955" s="9"/>
      <c r="N955" s="9"/>
      <c r="O955" s="9"/>
    </row>
    <row r="956">
      <c r="A956" s="9"/>
      <c r="D956" s="13"/>
      <c r="E956" s="9"/>
      <c r="J956" s="121"/>
      <c r="M956" s="9"/>
      <c r="N956" s="9"/>
      <c r="O956" s="9"/>
    </row>
    <row r="957">
      <c r="A957" s="9"/>
      <c r="D957" s="13"/>
      <c r="E957" s="9"/>
      <c r="J957" s="121"/>
      <c r="M957" s="9"/>
      <c r="N957" s="9"/>
      <c r="O957" s="9"/>
    </row>
    <row r="958">
      <c r="A958" s="9"/>
      <c r="D958" s="13"/>
      <c r="E958" s="9"/>
      <c r="J958" s="121"/>
      <c r="M958" s="9"/>
      <c r="N958" s="9"/>
      <c r="O958" s="9"/>
    </row>
    <row r="959">
      <c r="A959" s="9"/>
      <c r="D959" s="13"/>
      <c r="E959" s="9"/>
      <c r="J959" s="121"/>
      <c r="M959" s="9"/>
      <c r="N959" s="9"/>
      <c r="O959" s="9"/>
    </row>
    <row r="960">
      <c r="A960" s="9"/>
      <c r="D960" s="13"/>
      <c r="E960" s="9"/>
      <c r="J960" s="121"/>
      <c r="M960" s="9"/>
      <c r="N960" s="9"/>
      <c r="O960" s="9"/>
    </row>
    <row r="961">
      <c r="A961" s="9"/>
      <c r="D961" s="13"/>
      <c r="E961" s="9"/>
      <c r="J961" s="121"/>
      <c r="M961" s="9"/>
      <c r="N961" s="9"/>
      <c r="O961" s="9"/>
    </row>
    <row r="962">
      <c r="A962" s="9"/>
      <c r="D962" s="13"/>
      <c r="E962" s="9"/>
      <c r="J962" s="121"/>
      <c r="M962" s="9"/>
      <c r="N962" s="9"/>
      <c r="O962" s="9"/>
    </row>
    <row r="963">
      <c r="A963" s="9"/>
      <c r="D963" s="13"/>
      <c r="E963" s="9"/>
      <c r="J963" s="121"/>
      <c r="M963" s="9"/>
      <c r="N963" s="9"/>
      <c r="O963" s="9"/>
    </row>
    <row r="964">
      <c r="A964" s="9"/>
      <c r="D964" s="13"/>
      <c r="E964" s="9"/>
      <c r="J964" s="121"/>
      <c r="M964" s="9"/>
      <c r="N964" s="9"/>
      <c r="O964" s="9"/>
    </row>
    <row r="965">
      <c r="A965" s="9"/>
      <c r="D965" s="13"/>
      <c r="E965" s="9"/>
      <c r="J965" s="121"/>
      <c r="M965" s="9"/>
      <c r="N965" s="9"/>
      <c r="O965" s="9"/>
    </row>
    <row r="966">
      <c r="A966" s="9"/>
      <c r="D966" s="13"/>
      <c r="E966" s="9"/>
      <c r="J966" s="121"/>
      <c r="M966" s="9"/>
      <c r="N966" s="9"/>
      <c r="O966" s="9"/>
    </row>
    <row r="967">
      <c r="A967" s="9"/>
      <c r="D967" s="13"/>
      <c r="E967" s="9"/>
      <c r="J967" s="121"/>
      <c r="M967" s="9"/>
      <c r="N967" s="9"/>
      <c r="O967" s="9"/>
    </row>
    <row r="968">
      <c r="A968" s="9"/>
      <c r="D968" s="13"/>
      <c r="E968" s="9"/>
      <c r="J968" s="121"/>
      <c r="M968" s="9"/>
      <c r="N968" s="9"/>
      <c r="O968" s="9"/>
    </row>
    <row r="969">
      <c r="A969" s="9"/>
      <c r="D969" s="13"/>
      <c r="E969" s="9"/>
      <c r="J969" s="121"/>
      <c r="M969" s="9"/>
      <c r="N969" s="9"/>
      <c r="O969" s="9"/>
    </row>
    <row r="970">
      <c r="A970" s="9"/>
      <c r="D970" s="13"/>
      <c r="E970" s="9"/>
      <c r="J970" s="121"/>
      <c r="M970" s="9"/>
      <c r="N970" s="9"/>
      <c r="O970" s="9"/>
    </row>
    <row r="971">
      <c r="A971" s="9"/>
      <c r="D971" s="13"/>
      <c r="E971" s="9"/>
      <c r="J971" s="121"/>
      <c r="M971" s="9"/>
      <c r="N971" s="9"/>
      <c r="O971" s="9"/>
    </row>
    <row r="972">
      <c r="A972" s="9"/>
      <c r="D972" s="13"/>
      <c r="E972" s="9"/>
      <c r="J972" s="121"/>
      <c r="M972" s="9"/>
      <c r="N972" s="9"/>
      <c r="O972" s="9"/>
    </row>
    <row r="973">
      <c r="A973" s="9"/>
      <c r="D973" s="13"/>
      <c r="E973" s="9"/>
      <c r="J973" s="121"/>
      <c r="M973" s="9"/>
      <c r="N973" s="9"/>
      <c r="O973" s="9"/>
    </row>
    <row r="974">
      <c r="A974" s="9"/>
      <c r="D974" s="13"/>
      <c r="E974" s="9"/>
      <c r="J974" s="121"/>
      <c r="M974" s="9"/>
      <c r="N974" s="9"/>
      <c r="O974" s="9"/>
    </row>
    <row r="975">
      <c r="A975" s="9"/>
      <c r="D975" s="13"/>
      <c r="E975" s="9"/>
      <c r="J975" s="121"/>
      <c r="M975" s="9"/>
      <c r="N975" s="9"/>
      <c r="O975" s="9"/>
    </row>
    <row r="976">
      <c r="A976" s="9"/>
      <c r="D976" s="13"/>
      <c r="E976" s="9"/>
      <c r="J976" s="121"/>
      <c r="M976" s="9"/>
      <c r="N976" s="9"/>
      <c r="O976" s="9"/>
    </row>
    <row r="977">
      <c r="A977" s="9"/>
      <c r="D977" s="13"/>
      <c r="E977" s="9"/>
      <c r="J977" s="121"/>
      <c r="M977" s="9"/>
      <c r="N977" s="9"/>
      <c r="O977" s="9"/>
    </row>
    <row r="978">
      <c r="A978" s="9"/>
      <c r="D978" s="13"/>
      <c r="E978" s="9"/>
      <c r="J978" s="121"/>
      <c r="M978" s="9"/>
      <c r="N978" s="9"/>
      <c r="O978" s="9"/>
    </row>
    <row r="979">
      <c r="A979" s="9"/>
      <c r="D979" s="13"/>
      <c r="E979" s="9"/>
      <c r="J979" s="121"/>
      <c r="M979" s="9"/>
      <c r="N979" s="9"/>
      <c r="O979" s="9"/>
    </row>
    <row r="980">
      <c r="A980" s="9"/>
      <c r="D980" s="13"/>
      <c r="E980" s="9"/>
      <c r="J980" s="121"/>
      <c r="M980" s="9"/>
      <c r="N980" s="9"/>
      <c r="O980" s="9"/>
    </row>
    <row r="981">
      <c r="A981" s="9"/>
      <c r="D981" s="13"/>
      <c r="E981" s="9"/>
      <c r="J981" s="121"/>
      <c r="M981" s="9"/>
      <c r="N981" s="9"/>
      <c r="O981" s="9"/>
    </row>
    <row r="982">
      <c r="A982" s="9"/>
      <c r="D982" s="13"/>
      <c r="E982" s="9"/>
      <c r="J982" s="121"/>
      <c r="M982" s="9"/>
      <c r="N982" s="9"/>
      <c r="O982" s="9"/>
    </row>
    <row r="983">
      <c r="A983" s="9"/>
      <c r="D983" s="13"/>
      <c r="E983" s="9"/>
      <c r="J983" s="121"/>
      <c r="M983" s="9"/>
      <c r="N983" s="9"/>
      <c r="O983" s="9"/>
    </row>
    <row r="984">
      <c r="A984" s="9"/>
      <c r="D984" s="13"/>
      <c r="E984" s="9"/>
      <c r="J984" s="121"/>
      <c r="M984" s="9"/>
      <c r="N984" s="9"/>
      <c r="O984" s="9"/>
    </row>
    <row r="985">
      <c r="A985" s="9"/>
      <c r="D985" s="13"/>
      <c r="E985" s="9"/>
      <c r="J985" s="121"/>
      <c r="M985" s="9"/>
      <c r="N985" s="9"/>
      <c r="O985" s="9"/>
    </row>
    <row r="986">
      <c r="A986" s="9"/>
      <c r="D986" s="13"/>
      <c r="E986" s="9"/>
      <c r="J986" s="121"/>
      <c r="M986" s="9"/>
      <c r="N986" s="9"/>
      <c r="O986" s="9"/>
    </row>
    <row r="987">
      <c r="A987" s="9"/>
      <c r="D987" s="13"/>
      <c r="E987" s="9"/>
      <c r="J987" s="121"/>
      <c r="M987" s="9"/>
      <c r="N987" s="9"/>
      <c r="O987" s="9"/>
    </row>
    <row r="988">
      <c r="A988" s="9"/>
      <c r="D988" s="13"/>
      <c r="E988" s="9"/>
      <c r="J988" s="121"/>
      <c r="M988" s="9"/>
      <c r="N988" s="9"/>
      <c r="O988" s="9"/>
    </row>
    <row r="989">
      <c r="A989" s="9"/>
      <c r="D989" s="13"/>
      <c r="E989" s="9"/>
      <c r="J989" s="121"/>
      <c r="M989" s="9"/>
      <c r="N989" s="9"/>
      <c r="O989" s="9"/>
    </row>
    <row r="990">
      <c r="A990" s="9"/>
      <c r="D990" s="13"/>
      <c r="E990" s="9"/>
      <c r="J990" s="121"/>
      <c r="M990" s="9"/>
      <c r="N990" s="9"/>
      <c r="O990" s="9"/>
    </row>
    <row r="991">
      <c r="A991" s="9"/>
      <c r="D991" s="13"/>
      <c r="E991" s="9"/>
      <c r="J991" s="121"/>
      <c r="M991" s="9"/>
      <c r="N991" s="9"/>
      <c r="O991" s="9"/>
    </row>
  </sheetData>
  <mergeCells count="1">
    <mergeCell ref="A1:P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25"/>
    <col customWidth="1" min="2" max="2" width="21.88"/>
    <col customWidth="1" min="3" max="3" width="21.5"/>
    <col customWidth="1" min="4" max="4" width="7.25"/>
    <col customWidth="1" min="5" max="5" width="6.5"/>
    <col customWidth="1" min="6" max="6" width="17.63"/>
    <col customWidth="1" min="7" max="7" width="10.25"/>
    <col customWidth="1" min="8" max="8" width="4.75"/>
    <col customWidth="1" min="9" max="9" width="5.63"/>
    <col customWidth="1" min="10" max="10" width="5.0"/>
    <col customWidth="1" min="11" max="11" width="8.25"/>
    <col customWidth="1" min="12" max="12" width="5.63"/>
    <col customWidth="1" min="13" max="13" width="6.88"/>
    <col customWidth="1" min="14" max="14" width="6.5"/>
    <col customWidth="1" min="15" max="15" width="5.63"/>
    <col customWidth="1" min="16" max="16" width="11.38"/>
    <col customWidth="1" min="17" max="17" width="5.88"/>
    <col customWidth="1" min="18" max="18" width="4.75"/>
    <col customWidth="1" min="19" max="26" width="7.5"/>
  </cols>
  <sheetData>
    <row r="1">
      <c r="A1" s="4" t="s">
        <v>1604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47" t="s">
        <v>8</v>
      </c>
      <c r="B2" s="247" t="s">
        <v>9</v>
      </c>
      <c r="C2" s="247" t="s">
        <v>10</v>
      </c>
      <c r="D2" s="247" t="s">
        <v>1000</v>
      </c>
      <c r="E2" s="247" t="s">
        <v>12</v>
      </c>
      <c r="F2" s="247" t="s">
        <v>13</v>
      </c>
      <c r="G2" s="247" t="s">
        <v>14</v>
      </c>
      <c r="H2" s="247" t="s">
        <v>248</v>
      </c>
      <c r="I2" s="247" t="s">
        <v>16</v>
      </c>
      <c r="J2" s="247" t="s">
        <v>583</v>
      </c>
      <c r="K2" s="247" t="s">
        <v>18</v>
      </c>
      <c r="L2" s="247" t="s">
        <v>19</v>
      </c>
      <c r="M2" s="247" t="s">
        <v>20</v>
      </c>
      <c r="N2" s="247" t="s">
        <v>249</v>
      </c>
      <c r="O2" s="247" t="s">
        <v>250</v>
      </c>
      <c r="P2" s="247" t="s">
        <v>23</v>
      </c>
      <c r="Q2" s="247" t="s">
        <v>251</v>
      </c>
      <c r="R2" s="247" t="s">
        <v>25</v>
      </c>
      <c r="S2" s="247" t="s">
        <v>26</v>
      </c>
      <c r="T2" s="247" t="s">
        <v>251</v>
      </c>
      <c r="U2" s="247" t="s">
        <v>25</v>
      </c>
      <c r="V2" s="247" t="s">
        <v>26</v>
      </c>
      <c r="W2" s="247" t="s">
        <v>251</v>
      </c>
      <c r="X2" s="247" t="s">
        <v>25</v>
      </c>
      <c r="Y2" s="247" t="s">
        <v>26</v>
      </c>
      <c r="Z2" s="31"/>
    </row>
    <row r="3">
      <c r="A3" s="6">
        <v>1.0</v>
      </c>
      <c r="B3" s="6" t="s">
        <v>1480</v>
      </c>
      <c r="C3" s="6" t="s">
        <v>800</v>
      </c>
      <c r="D3" s="7" t="s">
        <v>1006</v>
      </c>
      <c r="E3" s="6">
        <v>1300.0</v>
      </c>
      <c r="G3" s="5">
        <v>7.742660896E9</v>
      </c>
      <c r="I3" s="6">
        <v>20000.0</v>
      </c>
      <c r="J3" s="121"/>
      <c r="M3" s="9">
        <f t="shared" ref="M3:M55" si="1">(H3+I3+J3+K3-L3)</f>
        <v>20000</v>
      </c>
      <c r="N3" s="9">
        <f t="shared" ref="N3:N55" si="2">sum(Q3,T3,W3)</f>
        <v>0</v>
      </c>
      <c r="O3" s="9">
        <f t="shared" ref="O3:O55" si="3">(M3-N3)</f>
        <v>20000</v>
      </c>
    </row>
    <row r="4">
      <c r="A4" s="287">
        <v>2.0</v>
      </c>
      <c r="B4" s="287" t="s">
        <v>1605</v>
      </c>
      <c r="C4" s="287" t="s">
        <v>1606</v>
      </c>
      <c r="D4" s="288" t="s">
        <v>1006</v>
      </c>
      <c r="E4" s="287">
        <v>1243.0</v>
      </c>
      <c r="F4" s="289" t="s">
        <v>474</v>
      </c>
      <c r="G4" s="290">
        <v>9.928921936E9</v>
      </c>
      <c r="H4" s="291"/>
      <c r="I4" s="287">
        <v>20000.0</v>
      </c>
      <c r="J4" s="292">
        <v>5000.0</v>
      </c>
      <c r="K4" s="291"/>
      <c r="L4" s="291"/>
      <c r="M4" s="9">
        <f t="shared" si="1"/>
        <v>25000</v>
      </c>
      <c r="N4" s="9">
        <f t="shared" si="2"/>
        <v>0</v>
      </c>
      <c r="O4" s="9">
        <f t="shared" si="3"/>
        <v>25000</v>
      </c>
      <c r="P4" s="291"/>
      <c r="Q4" s="291"/>
      <c r="R4" s="291"/>
      <c r="S4" s="291"/>
      <c r="T4" s="291"/>
      <c r="U4" s="291"/>
      <c r="V4" s="291"/>
      <c r="W4" s="291"/>
      <c r="X4" s="291"/>
      <c r="Y4" s="291"/>
      <c r="Z4" s="291"/>
    </row>
    <row r="5">
      <c r="A5" s="6">
        <v>3.0</v>
      </c>
      <c r="B5" s="6" t="s">
        <v>1272</v>
      </c>
      <c r="C5" s="6" t="s">
        <v>1607</v>
      </c>
      <c r="D5" s="7" t="s">
        <v>1006</v>
      </c>
      <c r="E5" s="6">
        <v>1260.0</v>
      </c>
      <c r="G5" s="5">
        <v>9.352392655E9</v>
      </c>
      <c r="I5" s="6">
        <v>20000.0</v>
      </c>
      <c r="J5" s="121"/>
      <c r="M5" s="9">
        <f t="shared" si="1"/>
        <v>20000</v>
      </c>
      <c r="N5" s="9">
        <f t="shared" si="2"/>
        <v>10000</v>
      </c>
      <c r="O5" s="9">
        <f t="shared" si="3"/>
        <v>10000</v>
      </c>
      <c r="Q5" s="6">
        <v>5000.0</v>
      </c>
      <c r="R5" s="6">
        <v>3326.0</v>
      </c>
      <c r="S5" s="6" t="s">
        <v>321</v>
      </c>
      <c r="T5" s="6">
        <v>5000.0</v>
      </c>
      <c r="U5" s="6">
        <v>3975.0</v>
      </c>
      <c r="V5" s="6" t="s">
        <v>132</v>
      </c>
    </row>
    <row r="6">
      <c r="A6" s="6">
        <v>5.0</v>
      </c>
      <c r="B6" s="6" t="s">
        <v>1608</v>
      </c>
      <c r="C6" s="6" t="s">
        <v>1609</v>
      </c>
      <c r="D6" s="7" t="s">
        <v>1006</v>
      </c>
      <c r="E6" s="6">
        <v>1278.0</v>
      </c>
      <c r="G6" s="5">
        <v>9.784869988E9</v>
      </c>
      <c r="I6" s="6">
        <v>20000.0</v>
      </c>
      <c r="J6" s="121"/>
      <c r="M6" s="9">
        <f t="shared" si="1"/>
        <v>20000</v>
      </c>
      <c r="N6" s="9">
        <f t="shared" si="2"/>
        <v>0</v>
      </c>
      <c r="O6" s="9">
        <f t="shared" si="3"/>
        <v>20000</v>
      </c>
    </row>
    <row r="7">
      <c r="A7" s="287">
        <v>6.0</v>
      </c>
      <c r="B7" s="287" t="s">
        <v>1610</v>
      </c>
      <c r="C7" s="287" t="s">
        <v>1611</v>
      </c>
      <c r="D7" s="288" t="s">
        <v>1006</v>
      </c>
      <c r="E7" s="287">
        <v>1980.0</v>
      </c>
      <c r="F7" s="289" t="s">
        <v>126</v>
      </c>
      <c r="G7" s="290">
        <v>9.680911256E9</v>
      </c>
      <c r="H7" s="290">
        <v>1000.0</v>
      </c>
      <c r="I7" s="287">
        <v>20000.0</v>
      </c>
      <c r="J7" s="293">
        <v>5000.0</v>
      </c>
      <c r="K7" s="289"/>
      <c r="L7" s="294">
        <v>0.0</v>
      </c>
      <c r="M7" s="9">
        <f t="shared" si="1"/>
        <v>26000</v>
      </c>
      <c r="N7" s="9">
        <f t="shared" si="2"/>
        <v>7000</v>
      </c>
      <c r="O7" s="9">
        <f t="shared" si="3"/>
        <v>19000</v>
      </c>
      <c r="P7" s="289" t="s">
        <v>159</v>
      </c>
      <c r="Q7" s="293">
        <v>2000.0</v>
      </c>
      <c r="R7" s="293">
        <v>2904.0</v>
      </c>
      <c r="S7" s="295">
        <v>45784.0</v>
      </c>
      <c r="T7" s="296">
        <v>5000.0</v>
      </c>
      <c r="U7" s="296">
        <v>3753.0</v>
      </c>
      <c r="V7" s="296" t="s">
        <v>600</v>
      </c>
      <c r="W7" s="295"/>
      <c r="X7" s="295"/>
      <c r="Y7" s="295"/>
      <c r="Z7" s="295"/>
    </row>
    <row r="8">
      <c r="A8" s="6">
        <v>8.0</v>
      </c>
      <c r="B8" s="6" t="s">
        <v>1612</v>
      </c>
      <c r="C8" s="6" t="s">
        <v>1613</v>
      </c>
      <c r="D8" s="7" t="s">
        <v>1006</v>
      </c>
      <c r="E8" s="6">
        <v>2010.0</v>
      </c>
      <c r="G8" s="5">
        <v>9.928415416E9</v>
      </c>
      <c r="I8" s="6">
        <v>20000.0</v>
      </c>
      <c r="J8" s="121"/>
      <c r="M8" s="9">
        <f t="shared" si="1"/>
        <v>20000</v>
      </c>
      <c r="N8" s="9">
        <f t="shared" si="2"/>
        <v>20000</v>
      </c>
      <c r="O8" s="9">
        <f t="shared" si="3"/>
        <v>0</v>
      </c>
      <c r="Q8" s="6">
        <v>20000.0</v>
      </c>
      <c r="R8" s="6">
        <v>3509.0</v>
      </c>
      <c r="S8" s="27">
        <v>45757.0</v>
      </c>
    </row>
    <row r="9">
      <c r="A9" s="287">
        <v>9.0</v>
      </c>
      <c r="B9" s="287" t="s">
        <v>1614</v>
      </c>
      <c r="C9" s="287" t="s">
        <v>1147</v>
      </c>
      <c r="D9" s="288" t="s">
        <v>1006</v>
      </c>
      <c r="E9" s="287">
        <v>1927.0</v>
      </c>
      <c r="F9" s="289" t="s">
        <v>421</v>
      </c>
      <c r="G9" s="290">
        <v>6.378964544E9</v>
      </c>
      <c r="H9" s="290">
        <v>1000.0</v>
      </c>
      <c r="I9" s="287">
        <v>20000.0</v>
      </c>
      <c r="J9" s="293">
        <v>7000.0</v>
      </c>
      <c r="K9" s="289"/>
      <c r="L9" s="290">
        <v>3000.0</v>
      </c>
      <c r="M9" s="9">
        <f t="shared" si="1"/>
        <v>25000</v>
      </c>
      <c r="N9" s="9">
        <f t="shared" si="2"/>
        <v>15000</v>
      </c>
      <c r="O9" s="9">
        <f t="shared" si="3"/>
        <v>10000</v>
      </c>
      <c r="P9" s="289" t="s">
        <v>177</v>
      </c>
      <c r="Q9" s="293">
        <v>8000.0</v>
      </c>
      <c r="R9" s="293">
        <v>2924.0</v>
      </c>
      <c r="S9" s="295">
        <v>45845.0</v>
      </c>
      <c r="T9" s="287">
        <v>4000.0</v>
      </c>
      <c r="U9" s="287">
        <v>3659.0</v>
      </c>
      <c r="V9" s="297">
        <v>45910.0</v>
      </c>
      <c r="W9" s="287">
        <v>3000.0</v>
      </c>
      <c r="X9" s="287">
        <v>4039.0</v>
      </c>
      <c r="Y9" s="287" t="s">
        <v>261</v>
      </c>
      <c r="Z9" s="291"/>
    </row>
    <row r="10">
      <c r="A10" s="287">
        <v>10.0</v>
      </c>
      <c r="B10" s="287" t="s">
        <v>1615</v>
      </c>
      <c r="C10" s="287" t="s">
        <v>1616</v>
      </c>
      <c r="D10" s="288" t="s">
        <v>1006</v>
      </c>
      <c r="E10" s="287">
        <v>1989.0</v>
      </c>
      <c r="F10" s="289" t="s">
        <v>205</v>
      </c>
      <c r="G10" s="290">
        <v>9.928430224E9</v>
      </c>
      <c r="H10" s="290">
        <v>1000.0</v>
      </c>
      <c r="I10" s="287">
        <v>20000.0</v>
      </c>
      <c r="J10" s="293">
        <v>7000.0</v>
      </c>
      <c r="K10" s="289"/>
      <c r="L10" s="289"/>
      <c r="M10" s="9">
        <f t="shared" si="1"/>
        <v>28000</v>
      </c>
      <c r="N10" s="9">
        <f t="shared" si="2"/>
        <v>25000</v>
      </c>
      <c r="O10" s="9">
        <f t="shared" si="3"/>
        <v>3000</v>
      </c>
      <c r="P10" s="289" t="s">
        <v>177</v>
      </c>
      <c r="Q10" s="293">
        <v>5000.0</v>
      </c>
      <c r="R10" s="293">
        <v>2868.0</v>
      </c>
      <c r="S10" s="295">
        <v>45695.0</v>
      </c>
      <c r="T10" s="287">
        <v>20000.0</v>
      </c>
      <c r="U10" s="287">
        <v>3952.0</v>
      </c>
      <c r="V10" s="287" t="s">
        <v>132</v>
      </c>
      <c r="W10" s="291"/>
      <c r="X10" s="291"/>
      <c r="Y10" s="291"/>
      <c r="Z10" s="291"/>
    </row>
    <row r="11">
      <c r="A11" s="6">
        <v>11.0</v>
      </c>
      <c r="B11" s="6" t="s">
        <v>1617</v>
      </c>
      <c r="C11" s="6" t="s">
        <v>1618</v>
      </c>
      <c r="D11" s="7" t="s">
        <v>1006</v>
      </c>
      <c r="E11" s="6">
        <v>1240.0</v>
      </c>
      <c r="G11" s="5">
        <v>7.97635965E9</v>
      </c>
      <c r="I11" s="6">
        <v>20000.0</v>
      </c>
      <c r="J11" s="121"/>
      <c r="M11" s="9">
        <f t="shared" si="1"/>
        <v>20000</v>
      </c>
      <c r="N11" s="9">
        <f t="shared" si="2"/>
        <v>0</v>
      </c>
      <c r="O11" s="9">
        <f t="shared" si="3"/>
        <v>20000</v>
      </c>
    </row>
    <row r="12">
      <c r="A12" s="287">
        <v>12.0</v>
      </c>
      <c r="B12" s="287" t="s">
        <v>1619</v>
      </c>
      <c r="C12" s="287" t="s">
        <v>1027</v>
      </c>
      <c r="D12" s="288" t="s">
        <v>1006</v>
      </c>
      <c r="E12" s="287">
        <v>1259.0</v>
      </c>
      <c r="F12" s="287" t="s">
        <v>165</v>
      </c>
      <c r="G12" s="298">
        <v>9.79926903E9</v>
      </c>
      <c r="H12" s="291"/>
      <c r="I12" s="287">
        <v>21000.0</v>
      </c>
      <c r="J12" s="292">
        <v>7000.0</v>
      </c>
      <c r="K12" s="291"/>
      <c r="L12" s="291"/>
      <c r="M12" s="9">
        <f t="shared" si="1"/>
        <v>28000</v>
      </c>
      <c r="N12" s="9">
        <f t="shared" si="2"/>
        <v>0</v>
      </c>
      <c r="O12" s="9">
        <f t="shared" si="3"/>
        <v>28000</v>
      </c>
      <c r="P12" s="291"/>
      <c r="Q12" s="291"/>
      <c r="R12" s="291"/>
      <c r="S12" s="291"/>
      <c r="T12" s="291"/>
      <c r="U12" s="291"/>
      <c r="V12" s="291"/>
      <c r="W12" s="291"/>
      <c r="X12" s="291"/>
      <c r="Y12" s="291"/>
      <c r="Z12" s="291"/>
    </row>
    <row r="13">
      <c r="A13" s="6">
        <v>13.0</v>
      </c>
      <c r="B13" s="6" t="s">
        <v>1027</v>
      </c>
      <c r="C13" s="6" t="s">
        <v>1620</v>
      </c>
      <c r="D13" s="7" t="s">
        <v>2</v>
      </c>
      <c r="E13" s="6">
        <v>1256.0</v>
      </c>
      <c r="I13" s="6">
        <v>25000.0</v>
      </c>
      <c r="J13" s="121"/>
      <c r="M13" s="9">
        <f t="shared" si="1"/>
        <v>25000</v>
      </c>
      <c r="N13" s="9">
        <f t="shared" si="2"/>
        <v>5000</v>
      </c>
      <c r="O13" s="9">
        <f t="shared" si="3"/>
        <v>20000</v>
      </c>
      <c r="Q13" s="6">
        <v>5000.0</v>
      </c>
    </row>
    <row r="14">
      <c r="A14" s="6">
        <v>14.0</v>
      </c>
      <c r="B14" s="6" t="s">
        <v>1621</v>
      </c>
      <c r="C14" s="6" t="s">
        <v>1122</v>
      </c>
      <c r="D14" s="7" t="s">
        <v>1006</v>
      </c>
      <c r="E14" s="6">
        <v>1263.0</v>
      </c>
      <c r="G14" s="5">
        <v>8.619695881E9</v>
      </c>
      <c r="I14" s="6">
        <v>20000.0</v>
      </c>
      <c r="J14" s="121"/>
      <c r="M14" s="9">
        <f t="shared" si="1"/>
        <v>20000</v>
      </c>
      <c r="N14" s="9">
        <f t="shared" si="2"/>
        <v>2500</v>
      </c>
      <c r="O14" s="9">
        <f t="shared" si="3"/>
        <v>17500</v>
      </c>
      <c r="Q14" s="6">
        <v>2500.0</v>
      </c>
      <c r="R14" s="6">
        <v>4061.0</v>
      </c>
      <c r="S14" s="6" t="s">
        <v>1123</v>
      </c>
    </row>
    <row r="15">
      <c r="A15" s="6">
        <v>15.0</v>
      </c>
      <c r="B15" s="6" t="s">
        <v>1622</v>
      </c>
      <c r="C15" s="6" t="s">
        <v>1623</v>
      </c>
      <c r="D15" s="7" t="s">
        <v>1006</v>
      </c>
      <c r="E15" s="6">
        <v>1091.0</v>
      </c>
      <c r="F15" s="10" t="s">
        <v>145</v>
      </c>
      <c r="G15" s="15">
        <v>9.784603267E9</v>
      </c>
      <c r="H15" s="10"/>
      <c r="I15" s="6">
        <v>20000.0</v>
      </c>
      <c r="J15" s="228">
        <v>0.0</v>
      </c>
      <c r="K15" s="10"/>
      <c r="L15" s="10"/>
      <c r="M15" s="9">
        <f t="shared" si="1"/>
        <v>20000</v>
      </c>
      <c r="N15" s="9">
        <f t="shared" si="2"/>
        <v>10000</v>
      </c>
      <c r="O15" s="9">
        <f t="shared" si="3"/>
        <v>10000</v>
      </c>
      <c r="P15" s="10"/>
      <c r="Q15" s="16">
        <v>5000.0</v>
      </c>
      <c r="R15" s="16">
        <v>2963.0</v>
      </c>
      <c r="S15" s="17">
        <v>45937.0</v>
      </c>
      <c r="T15" s="6">
        <v>5000.0</v>
      </c>
      <c r="U15" s="6">
        <v>3767.0</v>
      </c>
      <c r="V15" s="27">
        <v>45727.0</v>
      </c>
    </row>
    <row r="16">
      <c r="A16" s="6">
        <v>16.0</v>
      </c>
      <c r="B16" s="6" t="s">
        <v>1624</v>
      </c>
      <c r="C16" s="6" t="s">
        <v>1625</v>
      </c>
      <c r="D16" s="7" t="s">
        <v>1006</v>
      </c>
      <c r="E16" s="6">
        <v>1335.0</v>
      </c>
      <c r="G16" s="9"/>
      <c r="I16" s="6">
        <v>20000.0</v>
      </c>
      <c r="J16" s="121"/>
      <c r="M16" s="9">
        <f t="shared" si="1"/>
        <v>20000</v>
      </c>
      <c r="N16" s="9">
        <f t="shared" si="2"/>
        <v>0</v>
      </c>
      <c r="O16" s="9">
        <f t="shared" si="3"/>
        <v>20000</v>
      </c>
    </row>
    <row r="17">
      <c r="A17" s="287">
        <v>17.0</v>
      </c>
      <c r="B17" s="287" t="s">
        <v>1626</v>
      </c>
      <c r="C17" s="287" t="s">
        <v>1627</v>
      </c>
      <c r="D17" s="288" t="s">
        <v>1006</v>
      </c>
      <c r="E17" s="287">
        <v>1849.0</v>
      </c>
      <c r="F17" s="289" t="s">
        <v>692</v>
      </c>
      <c r="G17" s="290">
        <v>9.784603769E9</v>
      </c>
      <c r="H17" s="290">
        <v>1000.0</v>
      </c>
      <c r="I17" s="287">
        <v>20000.0</v>
      </c>
      <c r="J17" s="293">
        <v>6500.0</v>
      </c>
      <c r="K17" s="289"/>
      <c r="L17" s="290">
        <v>5500.0</v>
      </c>
      <c r="M17" s="9">
        <f t="shared" si="1"/>
        <v>22000</v>
      </c>
      <c r="N17" s="9">
        <f t="shared" si="2"/>
        <v>7000</v>
      </c>
      <c r="O17" s="9">
        <f t="shared" si="3"/>
        <v>15000</v>
      </c>
      <c r="P17" s="289" t="s">
        <v>44</v>
      </c>
      <c r="Q17" s="293">
        <v>7000.0</v>
      </c>
      <c r="R17" s="293">
        <v>2951.0</v>
      </c>
      <c r="S17" s="295">
        <v>45907.0</v>
      </c>
      <c r="T17" s="291"/>
      <c r="U17" s="291"/>
      <c r="V17" s="291"/>
      <c r="W17" s="291"/>
      <c r="X17" s="291"/>
      <c r="Y17" s="291"/>
      <c r="Z17" s="291"/>
    </row>
    <row r="18">
      <c r="A18" s="6">
        <v>18.0</v>
      </c>
      <c r="B18" s="6" t="s">
        <v>1628</v>
      </c>
      <c r="C18" s="6" t="s">
        <v>1108</v>
      </c>
      <c r="D18" s="7" t="s">
        <v>1006</v>
      </c>
      <c r="E18" s="6">
        <v>1901.0</v>
      </c>
      <c r="F18" s="10" t="s">
        <v>1109</v>
      </c>
      <c r="G18" s="15">
        <v>9.928407842E9</v>
      </c>
      <c r="H18" s="15">
        <v>1000.0</v>
      </c>
      <c r="I18" s="6">
        <v>20000.0</v>
      </c>
      <c r="J18" s="16">
        <v>5000.0</v>
      </c>
      <c r="K18" s="10"/>
      <c r="L18" s="10"/>
      <c r="M18" s="9">
        <f t="shared" si="1"/>
        <v>26000</v>
      </c>
      <c r="N18" s="9">
        <f t="shared" si="2"/>
        <v>14000</v>
      </c>
      <c r="O18" s="9">
        <f t="shared" si="3"/>
        <v>12000</v>
      </c>
      <c r="P18" s="10" t="s">
        <v>44</v>
      </c>
      <c r="Q18" s="228">
        <v>14000.0</v>
      </c>
      <c r="R18" s="16">
        <v>2910.0</v>
      </c>
      <c r="S18" s="17">
        <v>45845.0</v>
      </c>
    </row>
    <row r="19">
      <c r="A19" s="287">
        <v>19.0</v>
      </c>
      <c r="B19" s="287" t="s">
        <v>1629</v>
      </c>
      <c r="C19" s="287" t="s">
        <v>399</v>
      </c>
      <c r="D19" s="288" t="s">
        <v>1006</v>
      </c>
      <c r="E19" s="287">
        <v>1268.0</v>
      </c>
      <c r="F19" s="289" t="s">
        <v>400</v>
      </c>
      <c r="G19" s="290">
        <v>9.928486427E9</v>
      </c>
      <c r="H19" s="290">
        <v>0.0</v>
      </c>
      <c r="I19" s="287">
        <v>20000.0</v>
      </c>
      <c r="J19" s="293">
        <v>6500.0</v>
      </c>
      <c r="K19" s="289"/>
      <c r="L19" s="289"/>
      <c r="M19" s="9">
        <f t="shared" si="1"/>
        <v>26500</v>
      </c>
      <c r="N19" s="9">
        <f t="shared" si="2"/>
        <v>15000</v>
      </c>
      <c r="O19" s="9">
        <f t="shared" si="3"/>
        <v>11500</v>
      </c>
      <c r="P19" s="289" t="s">
        <v>159</v>
      </c>
      <c r="Q19" s="287">
        <v>10000.0</v>
      </c>
      <c r="R19" s="287">
        <v>3475.0</v>
      </c>
      <c r="S19" s="297">
        <v>45757.0</v>
      </c>
      <c r="T19" s="287">
        <v>5000.0</v>
      </c>
      <c r="U19" s="287">
        <v>3903.0</v>
      </c>
      <c r="V19" s="287" t="s">
        <v>1319</v>
      </c>
      <c r="W19" s="291"/>
      <c r="X19" s="291"/>
      <c r="Y19" s="291"/>
      <c r="Z19" s="291"/>
    </row>
    <row r="20">
      <c r="A20" s="287">
        <v>20.0</v>
      </c>
      <c r="B20" s="289" t="s">
        <v>1630</v>
      </c>
      <c r="C20" s="289" t="s">
        <v>1631</v>
      </c>
      <c r="D20" s="299" t="s">
        <v>1006</v>
      </c>
      <c r="E20" s="291"/>
      <c r="F20" s="289" t="s">
        <v>474</v>
      </c>
      <c r="G20" s="290">
        <v>8.619073693E9</v>
      </c>
      <c r="H20" s="290">
        <v>1000.0</v>
      </c>
      <c r="I20" s="287">
        <v>20000.0</v>
      </c>
      <c r="J20" s="293">
        <v>5000.0</v>
      </c>
      <c r="K20" s="289"/>
      <c r="L20" s="290">
        <v>4000.0</v>
      </c>
      <c r="M20" s="9">
        <f t="shared" si="1"/>
        <v>22000</v>
      </c>
      <c r="N20" s="9">
        <f t="shared" si="2"/>
        <v>11000</v>
      </c>
      <c r="O20" s="9">
        <f t="shared" si="3"/>
        <v>11000</v>
      </c>
      <c r="P20" s="289" t="s">
        <v>44</v>
      </c>
      <c r="Q20" s="293">
        <v>2000.0</v>
      </c>
      <c r="R20" s="293">
        <v>3203.0</v>
      </c>
      <c r="S20" s="295">
        <v>45969.0</v>
      </c>
      <c r="T20" s="300">
        <v>3500.0</v>
      </c>
      <c r="U20" s="300">
        <v>3284.0</v>
      </c>
      <c r="V20" s="300" t="s">
        <v>727</v>
      </c>
      <c r="W20" s="300">
        <v>5500.0</v>
      </c>
      <c r="X20" s="300">
        <v>4044.0</v>
      </c>
      <c r="Y20" s="300" t="s">
        <v>207</v>
      </c>
      <c r="Z20" s="291"/>
    </row>
    <row r="21">
      <c r="A21" s="6">
        <v>21.0</v>
      </c>
      <c r="B21" s="6" t="s">
        <v>1632</v>
      </c>
      <c r="C21" s="6" t="s">
        <v>1633</v>
      </c>
      <c r="D21" s="7" t="s">
        <v>2</v>
      </c>
      <c r="E21" s="6">
        <v>1604.0</v>
      </c>
      <c r="I21" s="6">
        <v>25000.0</v>
      </c>
      <c r="J21" s="121"/>
      <c r="M21" s="9">
        <f t="shared" si="1"/>
        <v>25000</v>
      </c>
      <c r="N21" s="9">
        <f t="shared" si="2"/>
        <v>12000</v>
      </c>
      <c r="O21" s="9">
        <f t="shared" si="3"/>
        <v>13000</v>
      </c>
      <c r="Q21" s="6">
        <v>12000.0</v>
      </c>
      <c r="R21" s="6">
        <v>3438.0</v>
      </c>
      <c r="S21" s="6" t="s">
        <v>1289</v>
      </c>
    </row>
    <row r="22">
      <c r="A22" s="6">
        <v>22.0</v>
      </c>
      <c r="B22" s="6" t="s">
        <v>1634</v>
      </c>
      <c r="C22" s="6" t="s">
        <v>1325</v>
      </c>
      <c r="D22" s="7" t="s">
        <v>2</v>
      </c>
      <c r="E22" s="6">
        <v>1598.0</v>
      </c>
      <c r="I22" s="6">
        <v>25000.0</v>
      </c>
      <c r="J22" s="121"/>
      <c r="M22" s="9">
        <f t="shared" si="1"/>
        <v>25000</v>
      </c>
      <c r="N22" s="9">
        <f t="shared" si="2"/>
        <v>2600</v>
      </c>
      <c r="O22" s="9">
        <f t="shared" si="3"/>
        <v>22400</v>
      </c>
      <c r="Q22" s="6">
        <v>2600.0</v>
      </c>
      <c r="R22" s="6">
        <v>4068.0</v>
      </c>
      <c r="S22" s="27">
        <v>45669.0</v>
      </c>
    </row>
    <row r="23">
      <c r="A23" s="6">
        <v>23.0</v>
      </c>
      <c r="B23" s="6" t="s">
        <v>1635</v>
      </c>
      <c r="C23" s="6" t="s">
        <v>1636</v>
      </c>
      <c r="D23" s="7" t="s">
        <v>1006</v>
      </c>
      <c r="E23" s="6">
        <v>1448.0</v>
      </c>
      <c r="G23" s="5">
        <v>7.665647452E9</v>
      </c>
      <c r="I23" s="6">
        <v>20000.0</v>
      </c>
      <c r="J23" s="121"/>
      <c r="M23" s="9">
        <f t="shared" si="1"/>
        <v>20000</v>
      </c>
      <c r="N23" s="9">
        <f t="shared" si="2"/>
        <v>0</v>
      </c>
      <c r="O23" s="9">
        <f t="shared" si="3"/>
        <v>20000</v>
      </c>
    </row>
    <row r="24">
      <c r="A24" s="6">
        <v>24.0</v>
      </c>
      <c r="B24" s="6" t="s">
        <v>1637</v>
      </c>
      <c r="C24" s="6" t="s">
        <v>1051</v>
      </c>
      <c r="D24" s="7" t="s">
        <v>1006</v>
      </c>
      <c r="E24" s="6">
        <v>1265.0</v>
      </c>
      <c r="G24" s="5">
        <v>9.928533521E9</v>
      </c>
      <c r="I24" s="6">
        <v>20000.0</v>
      </c>
      <c r="J24" s="121"/>
      <c r="M24" s="9">
        <f t="shared" si="1"/>
        <v>20000</v>
      </c>
      <c r="N24" s="9">
        <f t="shared" si="2"/>
        <v>20000</v>
      </c>
      <c r="O24" s="9">
        <f t="shared" si="3"/>
        <v>0</v>
      </c>
      <c r="Q24" s="6">
        <v>20000.0</v>
      </c>
      <c r="R24" s="6">
        <v>3704.0</v>
      </c>
      <c r="S24" s="240">
        <v>45940.0</v>
      </c>
    </row>
    <row r="25">
      <c r="A25" s="287">
        <v>25.0</v>
      </c>
      <c r="B25" s="287" t="s">
        <v>1638</v>
      </c>
      <c r="C25" s="287" t="s">
        <v>1639</v>
      </c>
      <c r="D25" s="288" t="s">
        <v>2</v>
      </c>
      <c r="E25" s="287">
        <v>1503.0</v>
      </c>
      <c r="F25" s="287" t="s">
        <v>652</v>
      </c>
      <c r="G25" s="287">
        <v>9.928604586E9</v>
      </c>
      <c r="H25" s="291"/>
      <c r="I25" s="287">
        <v>25000.0</v>
      </c>
      <c r="J25" s="292">
        <v>8000.0</v>
      </c>
      <c r="K25" s="291"/>
      <c r="L25" s="287">
        <v>6000.0</v>
      </c>
      <c r="M25" s="9">
        <f t="shared" si="1"/>
        <v>27000</v>
      </c>
      <c r="N25" s="9">
        <f t="shared" si="2"/>
        <v>20000</v>
      </c>
      <c r="O25" s="9">
        <f t="shared" si="3"/>
        <v>7000</v>
      </c>
      <c r="P25" s="287" t="s">
        <v>131</v>
      </c>
      <c r="Q25" s="287">
        <v>10000.0</v>
      </c>
      <c r="R25" s="287">
        <v>3363.0</v>
      </c>
      <c r="S25" s="297">
        <v>45725.0</v>
      </c>
      <c r="T25" s="287">
        <v>10000.0</v>
      </c>
      <c r="U25" s="287">
        <v>3912.0</v>
      </c>
      <c r="V25" s="287" t="s">
        <v>171</v>
      </c>
      <c r="W25" s="291"/>
      <c r="X25" s="291"/>
      <c r="Y25" s="291"/>
      <c r="Z25" s="291"/>
    </row>
    <row r="26">
      <c r="A26" s="287">
        <v>26.0</v>
      </c>
      <c r="B26" s="287" t="s">
        <v>1640</v>
      </c>
      <c r="C26" s="287" t="s">
        <v>1641</v>
      </c>
      <c r="D26" s="288" t="s">
        <v>1006</v>
      </c>
      <c r="E26" s="287">
        <v>1977.0</v>
      </c>
      <c r="F26" s="289" t="s">
        <v>126</v>
      </c>
      <c r="G26" s="290">
        <v>8.949371775E9</v>
      </c>
      <c r="H26" s="290">
        <v>1000.0</v>
      </c>
      <c r="I26" s="287">
        <v>20000.0</v>
      </c>
      <c r="J26" s="296">
        <v>5000.0</v>
      </c>
      <c r="K26" s="289"/>
      <c r="L26" s="290">
        <v>2000.0</v>
      </c>
      <c r="M26" s="9">
        <f t="shared" si="1"/>
        <v>24000</v>
      </c>
      <c r="N26" s="9">
        <f t="shared" si="2"/>
        <v>8000</v>
      </c>
      <c r="O26" s="9">
        <f t="shared" si="3"/>
        <v>16000</v>
      </c>
      <c r="P26" s="289" t="s">
        <v>44</v>
      </c>
      <c r="Q26" s="293">
        <v>3000.0</v>
      </c>
      <c r="R26" s="293">
        <v>2884.0</v>
      </c>
      <c r="S26" s="295">
        <v>45754.0</v>
      </c>
      <c r="T26" s="287">
        <v>5000.0</v>
      </c>
      <c r="U26" s="287">
        <v>3933.0</v>
      </c>
      <c r="V26" s="287" t="s">
        <v>132</v>
      </c>
      <c r="W26" s="291"/>
      <c r="X26" s="291"/>
      <c r="Y26" s="291"/>
      <c r="Z26" s="291"/>
    </row>
    <row r="27">
      <c r="A27" s="287">
        <v>27.0</v>
      </c>
      <c r="B27" s="300" t="s">
        <v>1642</v>
      </c>
      <c r="C27" s="289" t="s">
        <v>1643</v>
      </c>
      <c r="D27" s="299" t="s">
        <v>1644</v>
      </c>
      <c r="E27" s="291"/>
      <c r="F27" s="289" t="s">
        <v>662</v>
      </c>
      <c r="G27" s="290">
        <v>8.875602799E9</v>
      </c>
      <c r="H27" s="290">
        <v>1000.0</v>
      </c>
      <c r="I27" s="287">
        <v>20000.0</v>
      </c>
      <c r="J27" s="293">
        <v>6500.0</v>
      </c>
      <c r="K27" s="289"/>
      <c r="L27" s="290">
        <v>1500.0</v>
      </c>
      <c r="M27" s="9">
        <f t="shared" si="1"/>
        <v>26000</v>
      </c>
      <c r="N27" s="9">
        <f t="shared" si="2"/>
        <v>8000</v>
      </c>
      <c r="O27" s="9">
        <f t="shared" si="3"/>
        <v>18000</v>
      </c>
      <c r="P27" s="289" t="s">
        <v>44</v>
      </c>
      <c r="Q27" s="293">
        <v>1000.0</v>
      </c>
      <c r="R27" s="293">
        <v>2893.0</v>
      </c>
      <c r="S27" s="295">
        <v>45754.0</v>
      </c>
      <c r="T27" s="293">
        <v>7000.0</v>
      </c>
      <c r="U27" s="293">
        <v>3053.0</v>
      </c>
      <c r="V27" s="289" t="s">
        <v>275</v>
      </c>
      <c r="W27" s="289"/>
      <c r="X27" s="289"/>
      <c r="Y27" s="289"/>
      <c r="Z27" s="291"/>
    </row>
    <row r="28">
      <c r="A28" s="6">
        <v>28.0</v>
      </c>
      <c r="B28" s="6" t="s">
        <v>830</v>
      </c>
      <c r="C28" s="6" t="s">
        <v>1165</v>
      </c>
      <c r="D28" s="7" t="s">
        <v>1006</v>
      </c>
      <c r="E28" s="6">
        <v>1273.0</v>
      </c>
      <c r="G28" s="5">
        <v>9.799834512E9</v>
      </c>
      <c r="I28" s="6">
        <v>20000.0</v>
      </c>
      <c r="J28" s="121"/>
      <c r="M28" s="9">
        <f t="shared" si="1"/>
        <v>20000</v>
      </c>
      <c r="N28" s="9">
        <f t="shared" si="2"/>
        <v>4000</v>
      </c>
      <c r="O28" s="9">
        <f t="shared" si="3"/>
        <v>16000</v>
      </c>
      <c r="Q28" s="6">
        <v>4000.0</v>
      </c>
      <c r="R28" s="6">
        <v>3624.0</v>
      </c>
      <c r="S28" s="27">
        <v>45879.0</v>
      </c>
    </row>
    <row r="29">
      <c r="A29" s="287">
        <v>29.0</v>
      </c>
      <c r="B29" s="287" t="s">
        <v>1645</v>
      </c>
      <c r="C29" s="287" t="s">
        <v>1646</v>
      </c>
      <c r="D29" s="288" t="s">
        <v>1006</v>
      </c>
      <c r="E29" s="287">
        <v>1160.0</v>
      </c>
      <c r="F29" s="287" t="s">
        <v>244</v>
      </c>
      <c r="G29" s="298">
        <v>9.530024512E9</v>
      </c>
      <c r="H29" s="287">
        <v>0.0</v>
      </c>
      <c r="I29" s="287">
        <v>20000.0</v>
      </c>
      <c r="J29" s="292">
        <v>5000.0</v>
      </c>
      <c r="K29" s="291"/>
      <c r="L29" s="287">
        <v>2000.0</v>
      </c>
      <c r="M29" s="9">
        <f t="shared" si="1"/>
        <v>23000</v>
      </c>
      <c r="N29" s="9">
        <f t="shared" si="2"/>
        <v>10000</v>
      </c>
      <c r="O29" s="9">
        <f t="shared" si="3"/>
        <v>13000</v>
      </c>
      <c r="P29" s="291"/>
      <c r="Q29" s="287">
        <v>5000.0</v>
      </c>
      <c r="R29" s="287">
        <v>3292.0</v>
      </c>
      <c r="S29" s="287" t="s">
        <v>761</v>
      </c>
      <c r="T29" s="287">
        <v>5000.0</v>
      </c>
      <c r="U29" s="287">
        <v>3696.0</v>
      </c>
      <c r="V29" s="301">
        <v>45940.0</v>
      </c>
      <c r="W29" s="291"/>
      <c r="X29" s="291"/>
      <c r="Y29" s="291"/>
      <c r="Z29" s="291"/>
    </row>
    <row r="30">
      <c r="A30" s="6">
        <v>30.0</v>
      </c>
      <c r="B30" s="6" t="s">
        <v>1647</v>
      </c>
      <c r="C30" s="6" t="s">
        <v>1648</v>
      </c>
      <c r="D30" s="7" t="s">
        <v>1006</v>
      </c>
      <c r="E30" s="6">
        <v>1709.0</v>
      </c>
      <c r="G30" s="5">
        <v>8.769985608E9</v>
      </c>
      <c r="I30" s="6">
        <v>20000.0</v>
      </c>
      <c r="J30" s="121"/>
      <c r="M30" s="9">
        <f t="shared" si="1"/>
        <v>20000</v>
      </c>
      <c r="N30" s="9">
        <f t="shared" si="2"/>
        <v>5000</v>
      </c>
      <c r="O30" s="9">
        <f t="shared" si="3"/>
        <v>15000</v>
      </c>
      <c r="Q30" s="6">
        <v>5000.0</v>
      </c>
      <c r="R30" s="6">
        <v>3939.0</v>
      </c>
      <c r="S30" s="6" t="s">
        <v>132</v>
      </c>
    </row>
    <row r="31">
      <c r="A31" s="287">
        <v>31.0</v>
      </c>
      <c r="B31" s="287" t="s">
        <v>1649</v>
      </c>
      <c r="C31" s="287" t="s">
        <v>1650</v>
      </c>
      <c r="D31" s="288" t="s">
        <v>1006</v>
      </c>
      <c r="E31" s="287">
        <v>1877.0</v>
      </c>
      <c r="F31" s="289" t="s">
        <v>223</v>
      </c>
      <c r="G31" s="290">
        <v>9.988948632E9</v>
      </c>
      <c r="H31" s="290">
        <v>1000.0</v>
      </c>
      <c r="I31" s="287">
        <v>20000.0</v>
      </c>
      <c r="J31" s="293">
        <v>7000.0</v>
      </c>
      <c r="K31" s="289"/>
      <c r="L31" s="290">
        <v>5500.0</v>
      </c>
      <c r="M31" s="9">
        <f t="shared" si="1"/>
        <v>22500</v>
      </c>
      <c r="N31" s="9">
        <f t="shared" si="2"/>
        <v>22500</v>
      </c>
      <c r="O31" s="9">
        <f t="shared" si="3"/>
        <v>0</v>
      </c>
      <c r="P31" s="289" t="s">
        <v>44</v>
      </c>
      <c r="Q31" s="293">
        <v>22500.0</v>
      </c>
      <c r="R31" s="293">
        <v>3002.0</v>
      </c>
      <c r="S31" s="289" t="s">
        <v>191</v>
      </c>
      <c r="T31" s="291"/>
      <c r="U31" s="291"/>
      <c r="V31" s="291"/>
      <c r="W31" s="291"/>
      <c r="X31" s="291"/>
      <c r="Y31" s="291"/>
      <c r="Z31" s="291"/>
    </row>
    <row r="32">
      <c r="A32" s="6">
        <v>32.0</v>
      </c>
      <c r="B32" s="6" t="s">
        <v>1651</v>
      </c>
      <c r="C32" s="6" t="s">
        <v>1356</v>
      </c>
      <c r="D32" s="7" t="s">
        <v>1006</v>
      </c>
      <c r="E32" s="6">
        <v>1652.0</v>
      </c>
      <c r="G32" s="5">
        <v>8.690404513E9</v>
      </c>
      <c r="I32" s="6">
        <v>20000.0</v>
      </c>
      <c r="J32" s="238">
        <v>5000.0</v>
      </c>
      <c r="M32" s="9">
        <f t="shared" si="1"/>
        <v>25000</v>
      </c>
      <c r="N32" s="9">
        <f t="shared" si="2"/>
        <v>5000</v>
      </c>
      <c r="O32" s="9">
        <f t="shared" si="3"/>
        <v>20000</v>
      </c>
      <c r="Q32" s="6">
        <v>5000.0</v>
      </c>
      <c r="R32" s="6">
        <v>3709.0</v>
      </c>
      <c r="S32" s="240">
        <v>45940.0</v>
      </c>
    </row>
    <row r="33">
      <c r="A33" s="287">
        <v>33.0</v>
      </c>
      <c r="B33" s="287" t="s">
        <v>1652</v>
      </c>
      <c r="C33" s="287" t="s">
        <v>1653</v>
      </c>
      <c r="D33" s="288" t="s">
        <v>1006</v>
      </c>
      <c r="E33" s="287">
        <v>1687.0</v>
      </c>
      <c r="F33" s="287" t="s">
        <v>286</v>
      </c>
      <c r="G33" s="298">
        <v>8.529175704E9</v>
      </c>
      <c r="H33" s="287">
        <v>0.0</v>
      </c>
      <c r="I33" s="287">
        <v>20000.0</v>
      </c>
      <c r="J33" s="292">
        <v>0.0</v>
      </c>
      <c r="K33" s="287">
        <v>0.0</v>
      </c>
      <c r="L33" s="287">
        <v>4000.0</v>
      </c>
      <c r="M33" s="9">
        <f t="shared" si="1"/>
        <v>16000</v>
      </c>
      <c r="N33" s="9">
        <f t="shared" si="2"/>
        <v>0</v>
      </c>
      <c r="O33" s="9">
        <f t="shared" si="3"/>
        <v>16000</v>
      </c>
      <c r="P33" s="287" t="s">
        <v>44</v>
      </c>
      <c r="Q33" s="291"/>
      <c r="R33" s="291"/>
      <c r="S33" s="291"/>
      <c r="T33" s="291"/>
      <c r="U33" s="291"/>
      <c r="V33" s="291"/>
      <c r="W33" s="291"/>
      <c r="X33" s="291"/>
      <c r="Y33" s="291"/>
      <c r="Z33" s="291"/>
    </row>
    <row r="34">
      <c r="A34" s="287">
        <v>34.0</v>
      </c>
      <c r="B34" s="287" t="s">
        <v>1654</v>
      </c>
      <c r="C34" s="287" t="s">
        <v>1655</v>
      </c>
      <c r="D34" s="288" t="s">
        <v>1006</v>
      </c>
      <c r="E34" s="287">
        <v>1906.0</v>
      </c>
      <c r="F34" s="289" t="s">
        <v>1656</v>
      </c>
      <c r="G34" s="290">
        <v>8.239901096E9</v>
      </c>
      <c r="H34" s="290">
        <v>1000.0</v>
      </c>
      <c r="I34" s="287">
        <v>20000.0</v>
      </c>
      <c r="J34" s="293">
        <v>7000.0</v>
      </c>
      <c r="K34" s="289"/>
      <c r="L34" s="290">
        <v>4000.0</v>
      </c>
      <c r="M34" s="9">
        <f t="shared" si="1"/>
        <v>24000</v>
      </c>
      <c r="N34" s="9">
        <f t="shared" si="2"/>
        <v>16000</v>
      </c>
      <c r="O34" s="9">
        <f t="shared" si="3"/>
        <v>8000</v>
      </c>
      <c r="P34" s="289" t="s">
        <v>44</v>
      </c>
      <c r="Q34" s="293">
        <v>8000.0</v>
      </c>
      <c r="R34" s="293">
        <v>2950.0</v>
      </c>
      <c r="S34" s="295">
        <v>45907.0</v>
      </c>
      <c r="T34" s="287">
        <v>8000.0</v>
      </c>
      <c r="U34" s="287">
        <v>3913.0</v>
      </c>
      <c r="V34" s="287" t="s">
        <v>525</v>
      </c>
      <c r="W34" s="291"/>
      <c r="X34" s="291"/>
      <c r="Y34" s="291"/>
      <c r="Z34" s="291"/>
    </row>
    <row r="35">
      <c r="A35" s="6">
        <v>35.0</v>
      </c>
      <c r="B35" s="6" t="s">
        <v>621</v>
      </c>
      <c r="C35" s="6" t="s">
        <v>1657</v>
      </c>
      <c r="D35" s="7" t="s">
        <v>1006</v>
      </c>
      <c r="E35" s="6">
        <v>1690.0</v>
      </c>
      <c r="G35" s="5">
        <v>8.000807982E9</v>
      </c>
      <c r="I35" s="6">
        <v>20000.0</v>
      </c>
      <c r="J35" s="121"/>
      <c r="M35" s="9">
        <f t="shared" si="1"/>
        <v>20000</v>
      </c>
      <c r="N35" s="9">
        <f t="shared" si="2"/>
        <v>5000</v>
      </c>
      <c r="O35" s="9">
        <f t="shared" si="3"/>
        <v>15000</v>
      </c>
      <c r="Q35" s="6">
        <v>5000.0</v>
      </c>
      <c r="R35" s="6">
        <v>3684.0</v>
      </c>
      <c r="S35" s="27">
        <v>45910.0</v>
      </c>
    </row>
    <row r="36">
      <c r="A36" s="287">
        <v>36.0</v>
      </c>
      <c r="B36" s="287" t="s">
        <v>1658</v>
      </c>
      <c r="C36" s="287" t="s">
        <v>1659</v>
      </c>
      <c r="D36" s="288" t="s">
        <v>2</v>
      </c>
      <c r="E36" s="287">
        <v>1258.0</v>
      </c>
      <c r="F36" s="287" t="s">
        <v>1660</v>
      </c>
      <c r="G36" s="287">
        <v>9.784526264E9</v>
      </c>
      <c r="H36" s="291"/>
      <c r="I36" s="287">
        <v>24500.0</v>
      </c>
      <c r="J36" s="292">
        <v>7500.0</v>
      </c>
      <c r="K36" s="291"/>
      <c r="L36" s="287">
        <v>2000.0</v>
      </c>
      <c r="M36" s="9">
        <f t="shared" si="1"/>
        <v>30000</v>
      </c>
      <c r="N36" s="9">
        <f t="shared" si="2"/>
        <v>0</v>
      </c>
      <c r="O36" s="9">
        <f t="shared" si="3"/>
        <v>30000</v>
      </c>
      <c r="P36" s="291"/>
      <c r="Q36" s="291"/>
      <c r="R36" s="291"/>
      <c r="S36" s="291"/>
      <c r="T36" s="291"/>
      <c r="U36" s="291"/>
      <c r="V36" s="291"/>
      <c r="W36" s="291"/>
      <c r="X36" s="291"/>
      <c r="Y36" s="291"/>
      <c r="Z36" s="291"/>
    </row>
    <row r="37">
      <c r="A37" s="6">
        <v>37.0</v>
      </c>
      <c r="B37" s="6" t="s">
        <v>1661</v>
      </c>
      <c r="C37" s="6" t="s">
        <v>1662</v>
      </c>
      <c r="D37" s="7" t="s">
        <v>2</v>
      </c>
      <c r="E37" s="6">
        <v>946.0</v>
      </c>
      <c r="F37" s="6" t="s">
        <v>1663</v>
      </c>
      <c r="I37" s="6">
        <v>25000.0</v>
      </c>
      <c r="J37" s="121"/>
      <c r="M37" s="9">
        <f t="shared" si="1"/>
        <v>25000</v>
      </c>
      <c r="N37" s="9">
        <f t="shared" si="2"/>
        <v>0</v>
      </c>
      <c r="O37" s="9">
        <f t="shared" si="3"/>
        <v>25000</v>
      </c>
    </row>
    <row r="38">
      <c r="A38" s="6">
        <v>38.0</v>
      </c>
      <c r="B38" s="6" t="s">
        <v>972</v>
      </c>
      <c r="C38" s="6" t="s">
        <v>1664</v>
      </c>
      <c r="D38" s="7" t="s">
        <v>1006</v>
      </c>
      <c r="E38" s="6">
        <v>1277.0</v>
      </c>
      <c r="G38" s="5">
        <v>9.216623653E9</v>
      </c>
      <c r="I38" s="6">
        <v>20000.0</v>
      </c>
      <c r="J38" s="121"/>
      <c r="M38" s="9">
        <f t="shared" si="1"/>
        <v>20000</v>
      </c>
      <c r="N38" s="9">
        <f t="shared" si="2"/>
        <v>5000</v>
      </c>
      <c r="O38" s="9">
        <f t="shared" si="3"/>
        <v>15000</v>
      </c>
      <c r="Q38" s="6">
        <v>5000.0</v>
      </c>
      <c r="R38" s="6">
        <v>4005.0</v>
      </c>
      <c r="S38" s="6" t="s">
        <v>312</v>
      </c>
    </row>
    <row r="39">
      <c r="A39" s="287">
        <v>39.0</v>
      </c>
      <c r="B39" s="287" t="s">
        <v>1665</v>
      </c>
      <c r="C39" s="287" t="s">
        <v>1184</v>
      </c>
      <c r="D39" s="288" t="s">
        <v>1006</v>
      </c>
      <c r="E39" s="287">
        <v>1262.0</v>
      </c>
      <c r="F39" s="289" t="s">
        <v>188</v>
      </c>
      <c r="G39" s="290">
        <v>8.955972633E9</v>
      </c>
      <c r="H39" s="290">
        <v>0.0</v>
      </c>
      <c r="I39" s="287">
        <v>20000.0</v>
      </c>
      <c r="J39" s="293">
        <v>5000.0</v>
      </c>
      <c r="K39" s="289"/>
      <c r="L39" s="294">
        <v>4000.0</v>
      </c>
      <c r="M39" s="9">
        <f t="shared" si="1"/>
        <v>21000</v>
      </c>
      <c r="N39" s="9">
        <f t="shared" si="2"/>
        <v>6000</v>
      </c>
      <c r="O39" s="9">
        <f t="shared" si="3"/>
        <v>15000</v>
      </c>
      <c r="P39" s="289" t="s">
        <v>44</v>
      </c>
      <c r="Q39" s="287">
        <v>6000.0</v>
      </c>
      <c r="R39" s="287">
        <v>3568.0</v>
      </c>
      <c r="S39" s="297">
        <v>45848.0</v>
      </c>
      <c r="T39" s="291"/>
      <c r="U39" s="291"/>
      <c r="V39" s="291"/>
      <c r="W39" s="291"/>
      <c r="X39" s="291"/>
      <c r="Y39" s="291"/>
      <c r="Z39" s="291"/>
    </row>
    <row r="40">
      <c r="A40" s="287">
        <v>40.0</v>
      </c>
      <c r="B40" s="287" t="s">
        <v>1666</v>
      </c>
      <c r="C40" s="287" t="s">
        <v>1667</v>
      </c>
      <c r="D40" s="288" t="s">
        <v>1006</v>
      </c>
      <c r="E40" s="287">
        <v>1978.0</v>
      </c>
      <c r="F40" s="289" t="s">
        <v>662</v>
      </c>
      <c r="G40" s="290">
        <v>9.352342901E9</v>
      </c>
      <c r="H40" s="290">
        <v>1000.0</v>
      </c>
      <c r="I40" s="287">
        <v>20000.0</v>
      </c>
      <c r="J40" s="293">
        <v>6500.0</v>
      </c>
      <c r="K40" s="289"/>
      <c r="L40" s="290">
        <v>2500.0</v>
      </c>
      <c r="M40" s="9">
        <f t="shared" si="1"/>
        <v>25000</v>
      </c>
      <c r="N40" s="9">
        <f t="shared" si="2"/>
        <v>12000</v>
      </c>
      <c r="O40" s="9">
        <f t="shared" si="3"/>
        <v>13000</v>
      </c>
      <c r="P40" s="289" t="s">
        <v>44</v>
      </c>
      <c r="Q40" s="293">
        <v>6000.0</v>
      </c>
      <c r="R40" s="293">
        <v>3082.0</v>
      </c>
      <c r="S40" s="289" t="s">
        <v>1074</v>
      </c>
      <c r="T40" s="287">
        <v>6000.0</v>
      </c>
      <c r="U40" s="287">
        <v>3330.0</v>
      </c>
      <c r="V40" s="287" t="s">
        <v>1533</v>
      </c>
      <c r="W40" s="291"/>
      <c r="X40" s="291"/>
      <c r="Y40" s="291"/>
      <c r="Z40" s="291"/>
    </row>
    <row r="41">
      <c r="A41" s="6">
        <v>41.0</v>
      </c>
      <c r="B41" s="6" t="s">
        <v>1668</v>
      </c>
      <c r="C41" s="6" t="s">
        <v>1669</v>
      </c>
      <c r="D41" s="7" t="s">
        <v>1006</v>
      </c>
      <c r="E41" s="6">
        <v>1624.0</v>
      </c>
      <c r="G41" s="9"/>
      <c r="I41" s="6">
        <v>20000.0</v>
      </c>
      <c r="J41" s="121"/>
      <c r="M41" s="9">
        <f t="shared" si="1"/>
        <v>20000</v>
      </c>
      <c r="N41" s="9">
        <f t="shared" si="2"/>
        <v>0</v>
      </c>
      <c r="O41" s="9">
        <f t="shared" si="3"/>
        <v>20000</v>
      </c>
    </row>
    <row r="42">
      <c r="A42" s="6">
        <v>42.0</v>
      </c>
      <c r="B42" s="6" t="s">
        <v>1670</v>
      </c>
      <c r="C42" s="6" t="s">
        <v>1671</v>
      </c>
      <c r="D42" s="7" t="s">
        <v>1006</v>
      </c>
      <c r="E42" s="6">
        <v>2005.0</v>
      </c>
      <c r="G42" s="5">
        <v>9.00163076E9</v>
      </c>
      <c r="I42" s="6">
        <v>20000.0</v>
      </c>
      <c r="J42" s="121"/>
      <c r="M42" s="9">
        <f t="shared" si="1"/>
        <v>20000</v>
      </c>
      <c r="N42" s="9">
        <f t="shared" si="2"/>
        <v>0</v>
      </c>
      <c r="O42" s="9">
        <f t="shared" si="3"/>
        <v>20000</v>
      </c>
    </row>
    <row r="43">
      <c r="A43" s="287">
        <v>43.0</v>
      </c>
      <c r="B43" s="287" t="s">
        <v>1672</v>
      </c>
      <c r="C43" s="287" t="s">
        <v>1673</v>
      </c>
      <c r="D43" s="288" t="s">
        <v>1006</v>
      </c>
      <c r="E43" s="287">
        <v>1264.0</v>
      </c>
      <c r="F43" s="289" t="s">
        <v>474</v>
      </c>
      <c r="G43" s="290">
        <v>9.602178025E9</v>
      </c>
      <c r="H43" s="290">
        <v>0.0</v>
      </c>
      <c r="I43" s="287">
        <v>20000.0</v>
      </c>
      <c r="J43" s="293">
        <v>5000.0</v>
      </c>
      <c r="K43" s="289"/>
      <c r="L43" s="290">
        <v>5000.0</v>
      </c>
      <c r="M43" s="9">
        <f t="shared" si="1"/>
        <v>20000</v>
      </c>
      <c r="N43" s="9">
        <f t="shared" si="2"/>
        <v>12500</v>
      </c>
      <c r="O43" s="9">
        <f t="shared" si="3"/>
        <v>7500</v>
      </c>
      <c r="P43" s="289" t="s">
        <v>159</v>
      </c>
      <c r="Q43" s="287">
        <v>5000.0</v>
      </c>
      <c r="R43" s="287">
        <v>3276.0</v>
      </c>
      <c r="S43" s="287" t="s">
        <v>761</v>
      </c>
      <c r="T43" s="287">
        <v>2500.0</v>
      </c>
      <c r="U43" s="287">
        <v>3808.0</v>
      </c>
      <c r="V43" s="297">
        <v>45911.0</v>
      </c>
      <c r="W43" s="287">
        <v>5000.0</v>
      </c>
      <c r="X43" s="287">
        <v>4045.0</v>
      </c>
      <c r="Y43" s="287" t="s">
        <v>207</v>
      </c>
      <c r="Z43" s="291"/>
    </row>
    <row r="44">
      <c r="A44" s="6">
        <v>44.0</v>
      </c>
      <c r="B44" s="6" t="s">
        <v>1674</v>
      </c>
      <c r="C44" s="6" t="s">
        <v>1675</v>
      </c>
      <c r="D44" s="7" t="s">
        <v>1006</v>
      </c>
      <c r="E44" s="6">
        <v>1267.0</v>
      </c>
      <c r="G44" s="5">
        <v>9.928053479E9</v>
      </c>
      <c r="I44" s="6">
        <v>20000.0</v>
      </c>
      <c r="J44" s="121"/>
      <c r="M44" s="9">
        <f t="shared" si="1"/>
        <v>20000</v>
      </c>
      <c r="N44" s="9">
        <f t="shared" si="2"/>
        <v>10000</v>
      </c>
      <c r="O44" s="9">
        <f t="shared" si="3"/>
        <v>10000</v>
      </c>
      <c r="Q44" s="6">
        <v>10000.0</v>
      </c>
      <c r="R44" s="6">
        <v>4008.0</v>
      </c>
      <c r="S44" s="6" t="s">
        <v>312</v>
      </c>
    </row>
    <row r="45">
      <c r="A45" s="287">
        <v>45.0</v>
      </c>
      <c r="B45" s="287" t="s">
        <v>1676</v>
      </c>
      <c r="C45" s="287" t="s">
        <v>1677</v>
      </c>
      <c r="D45" s="288" t="s">
        <v>1006</v>
      </c>
      <c r="E45" s="287">
        <v>1908.0</v>
      </c>
      <c r="F45" s="289" t="s">
        <v>1678</v>
      </c>
      <c r="G45" s="290">
        <v>8.302181864E9</v>
      </c>
      <c r="H45" s="291"/>
      <c r="I45" s="287">
        <v>20000.0</v>
      </c>
      <c r="J45" s="302"/>
      <c r="K45" s="291"/>
      <c r="L45" s="291"/>
      <c r="M45" s="9">
        <f t="shared" si="1"/>
        <v>20000</v>
      </c>
      <c r="N45" s="9">
        <f t="shared" si="2"/>
        <v>10000</v>
      </c>
      <c r="O45" s="9">
        <f t="shared" si="3"/>
        <v>10000</v>
      </c>
      <c r="P45" s="291"/>
      <c r="Q45" s="287">
        <v>10000.0</v>
      </c>
      <c r="R45" s="287">
        <v>3621.0</v>
      </c>
      <c r="S45" s="297">
        <v>45879.0</v>
      </c>
      <c r="T45" s="291"/>
      <c r="U45" s="291"/>
      <c r="V45" s="291"/>
      <c r="W45" s="291"/>
      <c r="X45" s="291"/>
      <c r="Y45" s="291"/>
      <c r="Z45" s="291"/>
    </row>
    <row r="46">
      <c r="A46" s="287">
        <v>46.0</v>
      </c>
      <c r="B46" s="287" t="s">
        <v>1679</v>
      </c>
      <c r="C46" s="287" t="s">
        <v>1680</v>
      </c>
      <c r="D46" s="288" t="s">
        <v>1006</v>
      </c>
      <c r="E46" s="287">
        <v>1851.0</v>
      </c>
      <c r="F46" s="289" t="s">
        <v>646</v>
      </c>
      <c r="G46" s="290">
        <v>8.290258209E9</v>
      </c>
      <c r="H46" s="290">
        <v>1000.0</v>
      </c>
      <c r="I46" s="287">
        <v>20000.0</v>
      </c>
      <c r="J46" s="293">
        <v>6500.0</v>
      </c>
      <c r="K46" s="289"/>
      <c r="L46" s="290">
        <v>2500.0</v>
      </c>
      <c r="M46" s="9">
        <f t="shared" si="1"/>
        <v>25000</v>
      </c>
      <c r="N46" s="9">
        <f t="shared" si="2"/>
        <v>7000</v>
      </c>
      <c r="O46" s="9">
        <f t="shared" si="3"/>
        <v>18000</v>
      </c>
      <c r="P46" s="289" t="s">
        <v>159</v>
      </c>
      <c r="Q46" s="293">
        <v>2000.0</v>
      </c>
      <c r="R46" s="293">
        <v>2953.0</v>
      </c>
      <c r="S46" s="295">
        <v>45907.0</v>
      </c>
      <c r="T46" s="287">
        <v>5000.0</v>
      </c>
      <c r="U46" s="287">
        <v>3293.0</v>
      </c>
      <c r="V46" s="287" t="s">
        <v>761</v>
      </c>
      <c r="W46" s="291"/>
      <c r="X46" s="291"/>
      <c r="Y46" s="291"/>
      <c r="Z46" s="291"/>
    </row>
    <row r="47">
      <c r="A47" s="6">
        <v>47.0</v>
      </c>
      <c r="B47" s="6" t="s">
        <v>1681</v>
      </c>
      <c r="C47" s="6" t="s">
        <v>1682</v>
      </c>
      <c r="D47" s="7" t="s">
        <v>1006</v>
      </c>
      <c r="E47" s="6">
        <v>1729.0</v>
      </c>
      <c r="G47" s="5">
        <v>9.950169875E9</v>
      </c>
      <c r="I47" s="6">
        <v>20000.0</v>
      </c>
      <c r="J47" s="121"/>
      <c r="M47" s="9">
        <f t="shared" si="1"/>
        <v>20000</v>
      </c>
      <c r="N47" s="9">
        <f t="shared" si="2"/>
        <v>6000</v>
      </c>
      <c r="O47" s="9">
        <f t="shared" si="3"/>
        <v>14000</v>
      </c>
      <c r="Q47" s="6">
        <v>6000.0</v>
      </c>
      <c r="R47" s="6">
        <v>3275.0</v>
      </c>
      <c r="S47" s="6" t="s">
        <v>761</v>
      </c>
    </row>
    <row r="48">
      <c r="A48" s="287">
        <v>48.0</v>
      </c>
      <c r="B48" s="287" t="s">
        <v>1683</v>
      </c>
      <c r="C48" s="287" t="s">
        <v>1684</v>
      </c>
      <c r="D48" s="299" t="s">
        <v>1006</v>
      </c>
      <c r="E48" s="287">
        <v>2033.0</v>
      </c>
      <c r="F48" s="287" t="s">
        <v>126</v>
      </c>
      <c r="G48" s="298">
        <v>9.928637347E9</v>
      </c>
      <c r="H48" s="287">
        <v>1000.0</v>
      </c>
      <c r="I48" s="287">
        <v>20000.0</v>
      </c>
      <c r="J48" s="292">
        <v>5000.0</v>
      </c>
      <c r="K48" s="291"/>
      <c r="L48" s="291"/>
      <c r="M48" s="9">
        <f t="shared" si="1"/>
        <v>26000</v>
      </c>
      <c r="N48" s="9">
        <f t="shared" si="2"/>
        <v>14000</v>
      </c>
      <c r="O48" s="9">
        <f t="shared" si="3"/>
        <v>12000</v>
      </c>
      <c r="P48" s="287" t="s">
        <v>131</v>
      </c>
      <c r="Q48" s="287">
        <v>4000.0</v>
      </c>
      <c r="R48" s="287">
        <v>3711.0</v>
      </c>
      <c r="S48" s="301">
        <v>45940.0</v>
      </c>
      <c r="T48" s="287">
        <v>10000.0</v>
      </c>
      <c r="U48" s="291"/>
      <c r="V48" s="291"/>
      <c r="W48" s="291"/>
      <c r="X48" s="291"/>
      <c r="Y48" s="291"/>
      <c r="Z48" s="291"/>
    </row>
    <row r="49">
      <c r="A49" s="287">
        <v>49.0</v>
      </c>
      <c r="B49" s="287" t="s">
        <v>1685</v>
      </c>
      <c r="C49" s="287" t="s">
        <v>1686</v>
      </c>
      <c r="D49" s="288" t="s">
        <v>1006</v>
      </c>
      <c r="E49" s="287">
        <v>1261.0</v>
      </c>
      <c r="F49" s="287" t="s">
        <v>1687</v>
      </c>
      <c r="G49" s="298">
        <v>9.636026886E9</v>
      </c>
      <c r="H49" s="291"/>
      <c r="I49" s="287">
        <v>20000.0</v>
      </c>
      <c r="J49" s="292">
        <v>5000.0</v>
      </c>
      <c r="K49" s="291"/>
      <c r="L49" s="291"/>
      <c r="M49" s="9">
        <f t="shared" si="1"/>
        <v>25000</v>
      </c>
      <c r="N49" s="9">
        <f t="shared" si="2"/>
        <v>10000</v>
      </c>
      <c r="O49" s="9">
        <f t="shared" si="3"/>
        <v>15000</v>
      </c>
      <c r="P49" s="291"/>
      <c r="Q49" s="287">
        <v>5000.0</v>
      </c>
      <c r="R49" s="287">
        <v>3299.0</v>
      </c>
      <c r="S49" s="287" t="s">
        <v>962</v>
      </c>
      <c r="T49" s="287">
        <v>5000.0</v>
      </c>
      <c r="U49" s="287">
        <v>3539.0</v>
      </c>
      <c r="V49" s="297">
        <v>45818.0</v>
      </c>
      <c r="W49" s="291"/>
      <c r="X49" s="291"/>
      <c r="Y49" s="291"/>
      <c r="Z49" s="291"/>
    </row>
    <row r="50">
      <c r="A50" s="287">
        <v>50.0</v>
      </c>
      <c r="B50" s="287" t="s">
        <v>1688</v>
      </c>
      <c r="C50" s="287" t="s">
        <v>1689</v>
      </c>
      <c r="D50" s="288" t="s">
        <v>2</v>
      </c>
      <c r="E50" s="287">
        <v>1937.0</v>
      </c>
      <c r="F50" s="289" t="s">
        <v>165</v>
      </c>
      <c r="G50" s="290">
        <v>7.378116013E9</v>
      </c>
      <c r="H50" s="290">
        <v>1000.0</v>
      </c>
      <c r="I50" s="287">
        <v>25000.0</v>
      </c>
      <c r="J50" s="292">
        <v>7000.0</v>
      </c>
      <c r="K50" s="291"/>
      <c r="L50" s="291"/>
      <c r="M50" s="9">
        <f t="shared" si="1"/>
        <v>33000</v>
      </c>
      <c r="N50" s="9">
        <f t="shared" si="2"/>
        <v>20000</v>
      </c>
      <c r="O50" s="9">
        <f t="shared" si="3"/>
        <v>13000</v>
      </c>
      <c r="P50" s="291"/>
      <c r="Q50" s="293">
        <v>10000.0</v>
      </c>
      <c r="R50" s="293">
        <v>3102.0</v>
      </c>
      <c r="S50" s="289" t="s">
        <v>496</v>
      </c>
      <c r="T50" s="287">
        <v>10000.0</v>
      </c>
      <c r="U50" s="287">
        <v>3810.0</v>
      </c>
      <c r="V50" s="297">
        <v>45911.0</v>
      </c>
      <c r="W50" s="291"/>
      <c r="X50" s="291"/>
      <c r="Y50" s="291"/>
      <c r="Z50" s="291"/>
    </row>
    <row r="51">
      <c r="A51" s="287">
        <v>51.0</v>
      </c>
      <c r="B51" s="287" t="s">
        <v>1690</v>
      </c>
      <c r="C51" s="287" t="s">
        <v>1691</v>
      </c>
      <c r="D51" s="288" t="s">
        <v>1006</v>
      </c>
      <c r="E51" s="287">
        <v>1925.0</v>
      </c>
      <c r="F51" s="289" t="s">
        <v>662</v>
      </c>
      <c r="G51" s="290">
        <v>9.166537901E9</v>
      </c>
      <c r="H51" s="290">
        <v>1000.0</v>
      </c>
      <c r="I51" s="287">
        <v>20000.0</v>
      </c>
      <c r="J51" s="293">
        <v>5000.0</v>
      </c>
      <c r="K51" s="289"/>
      <c r="L51" s="290">
        <v>4000.0</v>
      </c>
      <c r="M51" s="9">
        <f t="shared" si="1"/>
        <v>22000</v>
      </c>
      <c r="N51" s="9">
        <f t="shared" si="2"/>
        <v>7000</v>
      </c>
      <c r="O51" s="9">
        <f t="shared" si="3"/>
        <v>15000</v>
      </c>
      <c r="P51" s="289" t="s">
        <v>44</v>
      </c>
      <c r="Q51" s="293">
        <v>7000.0</v>
      </c>
      <c r="R51" s="293">
        <v>3078.0</v>
      </c>
      <c r="S51" s="289" t="s">
        <v>1074</v>
      </c>
      <c r="T51" s="291"/>
      <c r="U51" s="291"/>
      <c r="V51" s="291"/>
      <c r="W51" s="291"/>
      <c r="X51" s="291"/>
      <c r="Y51" s="291"/>
      <c r="Z51" s="291"/>
    </row>
    <row r="52">
      <c r="A52" s="6">
        <v>52.0</v>
      </c>
      <c r="B52" s="6" t="s">
        <v>1692</v>
      </c>
      <c r="C52" s="6" t="s">
        <v>1327</v>
      </c>
      <c r="D52" s="7" t="s">
        <v>1006</v>
      </c>
      <c r="E52" s="6">
        <v>2003.0</v>
      </c>
      <c r="G52" s="5">
        <v>9.001242781E9</v>
      </c>
      <c r="I52" s="6">
        <v>20000.0</v>
      </c>
      <c r="J52" s="121"/>
      <c r="M52" s="9">
        <f t="shared" si="1"/>
        <v>20000</v>
      </c>
      <c r="N52" s="9">
        <f t="shared" si="2"/>
        <v>12000</v>
      </c>
      <c r="O52" s="9">
        <f t="shared" si="3"/>
        <v>8000</v>
      </c>
      <c r="Q52" s="6">
        <v>12000.0</v>
      </c>
    </row>
    <row r="53">
      <c r="A53" s="6">
        <v>53.0</v>
      </c>
      <c r="B53" s="6" t="s">
        <v>199</v>
      </c>
      <c r="C53" s="6" t="s">
        <v>1693</v>
      </c>
      <c r="D53" s="7" t="s">
        <v>1006</v>
      </c>
      <c r="E53" s="6">
        <v>1270.0</v>
      </c>
      <c r="G53" s="5">
        <v>7.357926217E9</v>
      </c>
      <c r="I53" s="6">
        <v>20000.0</v>
      </c>
      <c r="J53" s="238">
        <v>6500.0</v>
      </c>
      <c r="L53" s="6">
        <v>3500.0</v>
      </c>
      <c r="M53" s="9">
        <f t="shared" si="1"/>
        <v>23000</v>
      </c>
      <c r="N53" s="9">
        <f t="shared" si="2"/>
        <v>5000</v>
      </c>
      <c r="O53" s="9">
        <f t="shared" si="3"/>
        <v>18000</v>
      </c>
      <c r="P53" s="6" t="s">
        <v>44</v>
      </c>
      <c r="Q53" s="6">
        <v>5000.0</v>
      </c>
      <c r="R53" s="6">
        <v>3955.0</v>
      </c>
      <c r="S53" s="6" t="s">
        <v>132</v>
      </c>
    </row>
    <row r="54">
      <c r="A54" s="6">
        <v>54.0</v>
      </c>
      <c r="B54" s="6" t="s">
        <v>1694</v>
      </c>
      <c r="C54" s="6" t="s">
        <v>1695</v>
      </c>
      <c r="D54" s="254" t="s">
        <v>1006</v>
      </c>
      <c r="E54" s="6">
        <v>1902.0</v>
      </c>
      <c r="F54" s="10" t="s">
        <v>1109</v>
      </c>
      <c r="G54" s="15">
        <v>9.928407842E9</v>
      </c>
      <c r="H54" s="15">
        <v>1000.0</v>
      </c>
      <c r="I54" s="6">
        <v>20000.0</v>
      </c>
      <c r="J54" s="16">
        <v>5000.0</v>
      </c>
      <c r="K54" s="10"/>
      <c r="L54" s="15">
        <v>2000.0</v>
      </c>
      <c r="M54" s="9">
        <f t="shared" si="1"/>
        <v>24000</v>
      </c>
      <c r="N54" s="9">
        <f t="shared" si="2"/>
        <v>10000</v>
      </c>
      <c r="O54" s="9">
        <f t="shared" si="3"/>
        <v>14000</v>
      </c>
      <c r="P54" s="10" t="s">
        <v>44</v>
      </c>
      <c r="Q54" s="16">
        <v>10000.0</v>
      </c>
      <c r="R54" s="16">
        <v>2911.0</v>
      </c>
      <c r="S54" s="17">
        <v>45845.0</v>
      </c>
    </row>
    <row r="55">
      <c r="A55" s="287">
        <v>55.0</v>
      </c>
      <c r="B55" s="287" t="s">
        <v>1696</v>
      </c>
      <c r="C55" s="287" t="s">
        <v>1697</v>
      </c>
      <c r="D55" s="288" t="s">
        <v>1006</v>
      </c>
      <c r="E55" s="287">
        <v>2034.0</v>
      </c>
      <c r="F55" s="287" t="s">
        <v>702</v>
      </c>
      <c r="G55" s="298">
        <v>9.636994533E9</v>
      </c>
      <c r="H55" s="287">
        <v>0.0</v>
      </c>
      <c r="I55" s="287">
        <v>20000.0</v>
      </c>
      <c r="J55" s="292">
        <v>0.0</v>
      </c>
      <c r="K55" s="287">
        <v>30000.0</v>
      </c>
      <c r="L55" s="291"/>
      <c r="M55" s="9">
        <f t="shared" si="1"/>
        <v>50000</v>
      </c>
      <c r="N55" s="9">
        <f t="shared" si="2"/>
        <v>15000</v>
      </c>
      <c r="O55" s="9">
        <f t="shared" si="3"/>
        <v>35000</v>
      </c>
      <c r="P55" s="287" t="s">
        <v>44</v>
      </c>
      <c r="Q55" s="287">
        <v>15000.0</v>
      </c>
      <c r="R55" s="287">
        <v>3409.0</v>
      </c>
      <c r="S55" s="297">
        <v>45970.0</v>
      </c>
      <c r="T55" s="291"/>
      <c r="U55" s="291"/>
      <c r="V55" s="291"/>
      <c r="W55" s="291"/>
      <c r="X55" s="291"/>
      <c r="Y55" s="291"/>
      <c r="Z55" s="291"/>
    </row>
    <row r="56">
      <c r="D56" s="13"/>
      <c r="G56" s="9"/>
      <c r="J56" s="121"/>
      <c r="M56" s="9"/>
      <c r="N56" s="9"/>
      <c r="O56" s="9"/>
    </row>
    <row r="57">
      <c r="D57" s="13"/>
      <c r="G57" s="9"/>
      <c r="J57" s="121"/>
      <c r="M57" s="9"/>
      <c r="N57" s="9"/>
      <c r="O57" s="9"/>
    </row>
    <row r="58">
      <c r="D58" s="13"/>
      <c r="G58" s="9"/>
      <c r="J58" s="121"/>
      <c r="M58" s="9"/>
      <c r="N58" s="9"/>
      <c r="O58" s="9"/>
    </row>
    <row r="59">
      <c r="D59" s="13"/>
      <c r="G59" s="9"/>
      <c r="J59" s="121"/>
      <c r="M59" s="9"/>
      <c r="N59" s="9"/>
      <c r="O59" s="9"/>
    </row>
    <row r="60">
      <c r="D60" s="13"/>
      <c r="G60" s="9"/>
      <c r="J60" s="121"/>
      <c r="M60" s="9"/>
      <c r="N60" s="9"/>
      <c r="O60" s="9"/>
    </row>
    <row r="61">
      <c r="D61" s="13"/>
      <c r="G61" s="9"/>
      <c r="J61" s="121"/>
      <c r="M61" s="9"/>
      <c r="N61" s="9"/>
      <c r="O61" s="9"/>
    </row>
    <row r="62">
      <c r="D62" s="13"/>
      <c r="G62" s="9"/>
      <c r="J62" s="121"/>
      <c r="M62" s="9"/>
      <c r="N62" s="9"/>
      <c r="O62" s="9"/>
    </row>
    <row r="63">
      <c r="D63" s="13"/>
      <c r="G63" s="9"/>
      <c r="J63" s="121"/>
      <c r="M63" s="9"/>
      <c r="N63" s="9"/>
      <c r="O63" s="9"/>
    </row>
    <row r="64">
      <c r="D64" s="13"/>
      <c r="G64" s="9"/>
      <c r="J64" s="121"/>
      <c r="M64" s="9"/>
      <c r="N64" s="9"/>
      <c r="O64" s="9"/>
    </row>
    <row r="65">
      <c r="D65" s="13"/>
      <c r="G65" s="9"/>
      <c r="J65" s="121"/>
      <c r="M65" s="9"/>
      <c r="N65" s="9"/>
      <c r="O65" s="9"/>
    </row>
    <row r="66">
      <c r="D66" s="13"/>
      <c r="G66" s="9"/>
      <c r="J66" s="121"/>
      <c r="M66" s="9"/>
      <c r="N66" s="9"/>
      <c r="O66" s="9"/>
    </row>
    <row r="67">
      <c r="D67" s="13"/>
      <c r="G67" s="9"/>
      <c r="J67" s="121"/>
      <c r="M67" s="9"/>
      <c r="N67" s="9"/>
      <c r="O67" s="9"/>
    </row>
    <row r="68">
      <c r="D68" s="13"/>
      <c r="G68" s="9"/>
      <c r="J68" s="121"/>
      <c r="M68" s="9"/>
      <c r="N68" s="9"/>
      <c r="O68" s="9"/>
    </row>
    <row r="69">
      <c r="D69" s="13"/>
      <c r="G69" s="9"/>
      <c r="J69" s="121"/>
      <c r="M69" s="9"/>
      <c r="N69" s="9"/>
      <c r="O69" s="9"/>
    </row>
    <row r="70">
      <c r="D70" s="13"/>
      <c r="G70" s="9"/>
      <c r="J70" s="121"/>
      <c r="M70" s="9"/>
      <c r="N70" s="9"/>
      <c r="O70" s="9"/>
    </row>
    <row r="71">
      <c r="D71" s="13"/>
      <c r="G71" s="9"/>
      <c r="J71" s="121"/>
      <c r="M71" s="9"/>
      <c r="N71" s="9"/>
      <c r="O71" s="9"/>
    </row>
    <row r="72">
      <c r="D72" s="13"/>
      <c r="G72" s="9"/>
      <c r="J72" s="121"/>
      <c r="M72" s="9"/>
      <c r="N72" s="9"/>
      <c r="O72" s="9"/>
    </row>
    <row r="73">
      <c r="D73" s="13"/>
      <c r="G73" s="9"/>
      <c r="J73" s="121"/>
      <c r="M73" s="9"/>
      <c r="N73" s="9"/>
      <c r="O73" s="9"/>
    </row>
    <row r="74">
      <c r="D74" s="13"/>
      <c r="G74" s="9"/>
      <c r="J74" s="121"/>
      <c r="M74" s="9"/>
      <c r="N74" s="9"/>
      <c r="O74" s="9"/>
    </row>
    <row r="75">
      <c r="D75" s="13"/>
      <c r="G75" s="9"/>
      <c r="J75" s="121"/>
      <c r="M75" s="9"/>
      <c r="N75" s="9"/>
      <c r="O75" s="9"/>
    </row>
    <row r="76">
      <c r="D76" s="13"/>
      <c r="G76" s="9"/>
      <c r="J76" s="121"/>
      <c r="M76" s="9"/>
      <c r="N76" s="9"/>
      <c r="O76" s="9"/>
    </row>
    <row r="77">
      <c r="D77" s="13"/>
      <c r="G77" s="9"/>
      <c r="J77" s="121"/>
      <c r="M77" s="9"/>
      <c r="N77" s="9"/>
      <c r="O77" s="9"/>
    </row>
    <row r="78">
      <c r="D78" s="13"/>
      <c r="G78" s="9"/>
      <c r="J78" s="121"/>
      <c r="M78" s="9"/>
      <c r="N78" s="9"/>
      <c r="O78" s="9"/>
    </row>
    <row r="79">
      <c r="D79" s="13"/>
      <c r="G79" s="9"/>
      <c r="J79" s="121"/>
      <c r="M79" s="9"/>
      <c r="N79" s="9"/>
      <c r="O79" s="9"/>
    </row>
    <row r="80">
      <c r="D80" s="13"/>
      <c r="G80" s="9"/>
      <c r="J80" s="121"/>
      <c r="M80" s="9"/>
      <c r="N80" s="9"/>
      <c r="O80" s="9"/>
    </row>
    <row r="81">
      <c r="D81" s="13"/>
      <c r="G81" s="9"/>
      <c r="J81" s="121"/>
      <c r="M81" s="9"/>
      <c r="N81" s="9"/>
      <c r="O81" s="9"/>
    </row>
    <row r="82">
      <c r="D82" s="13"/>
      <c r="G82" s="9"/>
      <c r="J82" s="121"/>
      <c r="M82" s="9"/>
      <c r="N82" s="9"/>
      <c r="O82" s="9"/>
    </row>
    <row r="83">
      <c r="D83" s="13"/>
      <c r="G83" s="9"/>
      <c r="J83" s="121"/>
      <c r="M83" s="9"/>
      <c r="N83" s="9"/>
      <c r="O83" s="9"/>
    </row>
    <row r="84">
      <c r="D84" s="13"/>
      <c r="G84" s="9"/>
      <c r="J84" s="121"/>
      <c r="M84" s="9"/>
      <c r="N84" s="9"/>
      <c r="O84" s="9"/>
    </row>
    <row r="85">
      <c r="D85" s="13"/>
      <c r="G85" s="9"/>
      <c r="J85" s="121"/>
      <c r="M85" s="9"/>
      <c r="N85" s="9"/>
      <c r="O85" s="9"/>
    </row>
    <row r="86">
      <c r="D86" s="13"/>
      <c r="G86" s="9"/>
      <c r="J86" s="121"/>
      <c r="M86" s="9"/>
      <c r="N86" s="9"/>
      <c r="O86" s="9"/>
    </row>
    <row r="87">
      <c r="D87" s="13"/>
      <c r="G87" s="9"/>
      <c r="J87" s="121"/>
      <c r="M87" s="9"/>
      <c r="N87" s="9"/>
      <c r="O87" s="9"/>
    </row>
    <row r="88">
      <c r="D88" s="13"/>
      <c r="G88" s="9"/>
      <c r="J88" s="121"/>
      <c r="M88" s="9"/>
      <c r="N88" s="9"/>
      <c r="O88" s="9"/>
    </row>
    <row r="89">
      <c r="D89" s="13"/>
      <c r="G89" s="9"/>
      <c r="J89" s="121"/>
      <c r="M89" s="9"/>
      <c r="N89" s="9"/>
      <c r="O89" s="9"/>
    </row>
    <row r="90">
      <c r="D90" s="13"/>
      <c r="G90" s="9"/>
      <c r="J90" s="121"/>
      <c r="M90" s="9"/>
      <c r="N90" s="9"/>
      <c r="O90" s="9"/>
    </row>
    <row r="91">
      <c r="D91" s="13"/>
      <c r="G91" s="9"/>
      <c r="J91" s="121"/>
      <c r="M91" s="9"/>
      <c r="N91" s="9"/>
      <c r="O91" s="9"/>
    </row>
    <row r="92">
      <c r="D92" s="13"/>
      <c r="G92" s="9"/>
      <c r="J92" s="121"/>
      <c r="M92" s="9"/>
      <c r="N92" s="9"/>
      <c r="O92" s="9"/>
    </row>
    <row r="93">
      <c r="D93" s="13"/>
      <c r="G93" s="9"/>
      <c r="J93" s="121"/>
      <c r="M93" s="9"/>
      <c r="N93" s="9"/>
      <c r="O93" s="9"/>
    </row>
    <row r="94">
      <c r="D94" s="13"/>
      <c r="G94" s="9"/>
      <c r="J94" s="121"/>
      <c r="M94" s="9"/>
      <c r="N94" s="9"/>
      <c r="O94" s="9"/>
    </row>
    <row r="95">
      <c r="D95" s="13"/>
      <c r="G95" s="9"/>
      <c r="J95" s="121"/>
      <c r="M95" s="9"/>
      <c r="N95" s="9"/>
      <c r="O95" s="9"/>
    </row>
    <row r="96">
      <c r="D96" s="13"/>
      <c r="G96" s="9"/>
      <c r="J96" s="121"/>
      <c r="M96" s="9"/>
      <c r="N96" s="9"/>
      <c r="O96" s="9"/>
    </row>
    <row r="97">
      <c r="D97" s="13"/>
      <c r="G97" s="9"/>
      <c r="J97" s="121"/>
      <c r="M97" s="9"/>
      <c r="N97" s="9"/>
      <c r="O97" s="9"/>
    </row>
    <row r="98">
      <c r="D98" s="13"/>
      <c r="G98" s="9"/>
      <c r="J98" s="121"/>
      <c r="M98" s="9"/>
      <c r="N98" s="9"/>
      <c r="O98" s="9"/>
    </row>
    <row r="99">
      <c r="D99" s="13"/>
      <c r="G99" s="9"/>
      <c r="J99" s="121"/>
      <c r="M99" s="9"/>
      <c r="N99" s="9"/>
      <c r="O99" s="9"/>
    </row>
    <row r="100">
      <c r="D100" s="13"/>
      <c r="G100" s="9"/>
      <c r="J100" s="121"/>
      <c r="M100" s="9"/>
      <c r="N100" s="9"/>
      <c r="O100" s="9"/>
    </row>
    <row r="101">
      <c r="D101" s="13"/>
      <c r="G101" s="9"/>
      <c r="J101" s="121"/>
      <c r="M101" s="9"/>
      <c r="N101" s="9"/>
      <c r="O101" s="9"/>
    </row>
    <row r="102">
      <c r="D102" s="13"/>
      <c r="G102" s="9"/>
      <c r="J102" s="121"/>
      <c r="M102" s="9"/>
      <c r="N102" s="9"/>
      <c r="O102" s="9"/>
    </row>
    <row r="103">
      <c r="D103" s="13"/>
      <c r="G103" s="9"/>
      <c r="J103" s="121"/>
      <c r="M103" s="9"/>
      <c r="N103" s="9"/>
      <c r="O103" s="9"/>
    </row>
    <row r="104">
      <c r="D104" s="13"/>
      <c r="G104" s="9"/>
      <c r="J104" s="121"/>
      <c r="M104" s="9"/>
      <c r="N104" s="9"/>
      <c r="O104" s="9"/>
    </row>
    <row r="105">
      <c r="D105" s="13"/>
      <c r="G105" s="9"/>
      <c r="J105" s="121"/>
      <c r="M105" s="9"/>
      <c r="N105" s="9"/>
      <c r="O105" s="9"/>
    </row>
    <row r="106">
      <c r="D106" s="13"/>
      <c r="G106" s="9"/>
      <c r="J106" s="121"/>
      <c r="M106" s="9"/>
      <c r="N106" s="9"/>
      <c r="O106" s="9"/>
    </row>
    <row r="107">
      <c r="D107" s="13"/>
      <c r="G107" s="9"/>
      <c r="J107" s="121"/>
      <c r="M107" s="9"/>
      <c r="N107" s="9"/>
      <c r="O107" s="9"/>
    </row>
    <row r="108">
      <c r="D108" s="13"/>
      <c r="G108" s="9"/>
      <c r="J108" s="121"/>
      <c r="M108" s="9"/>
      <c r="N108" s="9"/>
      <c r="O108" s="9"/>
    </row>
    <row r="109">
      <c r="D109" s="13"/>
      <c r="G109" s="9"/>
      <c r="J109" s="121"/>
      <c r="M109" s="9"/>
      <c r="N109" s="9"/>
      <c r="O109" s="9"/>
    </row>
    <row r="110">
      <c r="D110" s="13"/>
      <c r="G110" s="9"/>
      <c r="J110" s="121"/>
      <c r="M110" s="9"/>
      <c r="N110" s="9"/>
      <c r="O110" s="9"/>
    </row>
    <row r="111">
      <c r="D111" s="13"/>
      <c r="G111" s="9"/>
      <c r="J111" s="121"/>
      <c r="M111" s="9"/>
      <c r="N111" s="9"/>
      <c r="O111" s="9"/>
    </row>
    <row r="112">
      <c r="D112" s="13"/>
      <c r="G112" s="9"/>
      <c r="J112" s="121"/>
      <c r="M112" s="9"/>
      <c r="N112" s="9"/>
      <c r="O112" s="9"/>
    </row>
    <row r="113">
      <c r="D113" s="13"/>
      <c r="G113" s="9"/>
      <c r="J113" s="121"/>
      <c r="M113" s="9"/>
      <c r="N113" s="9"/>
      <c r="O113" s="9"/>
    </row>
    <row r="114">
      <c r="D114" s="13"/>
      <c r="G114" s="9"/>
      <c r="J114" s="121"/>
      <c r="M114" s="9"/>
      <c r="N114" s="9"/>
      <c r="O114" s="9"/>
    </row>
    <row r="115">
      <c r="D115" s="13"/>
      <c r="G115" s="9"/>
      <c r="J115" s="121"/>
      <c r="M115" s="9"/>
      <c r="N115" s="9"/>
      <c r="O115" s="9"/>
    </row>
    <row r="116">
      <c r="D116" s="13"/>
      <c r="G116" s="9"/>
      <c r="J116" s="121"/>
      <c r="M116" s="9"/>
      <c r="N116" s="9"/>
      <c r="O116" s="9"/>
    </row>
    <row r="117">
      <c r="D117" s="13"/>
      <c r="G117" s="9"/>
      <c r="J117" s="121"/>
      <c r="M117" s="9"/>
      <c r="N117" s="9"/>
      <c r="O117" s="9"/>
    </row>
    <row r="118">
      <c r="D118" s="13"/>
      <c r="G118" s="9"/>
      <c r="J118" s="121"/>
      <c r="M118" s="9"/>
      <c r="N118" s="9"/>
      <c r="O118" s="9"/>
    </row>
    <row r="119">
      <c r="D119" s="13"/>
      <c r="G119" s="9"/>
      <c r="J119" s="121"/>
      <c r="M119" s="9"/>
      <c r="N119" s="9"/>
      <c r="O119" s="9"/>
    </row>
    <row r="120">
      <c r="D120" s="13"/>
      <c r="G120" s="9"/>
      <c r="J120" s="121"/>
      <c r="M120" s="9"/>
      <c r="N120" s="9"/>
      <c r="O120" s="9"/>
    </row>
    <row r="121">
      <c r="D121" s="13"/>
      <c r="G121" s="9"/>
      <c r="J121" s="121"/>
      <c r="M121" s="9"/>
      <c r="N121" s="9"/>
      <c r="O121" s="9"/>
    </row>
    <row r="122">
      <c r="D122" s="13"/>
      <c r="G122" s="9"/>
      <c r="J122" s="121"/>
      <c r="M122" s="9"/>
      <c r="N122" s="9"/>
      <c r="O122" s="9"/>
    </row>
    <row r="123">
      <c r="D123" s="13"/>
      <c r="G123" s="9"/>
      <c r="J123" s="121"/>
      <c r="M123" s="9"/>
      <c r="N123" s="9"/>
      <c r="O123" s="9"/>
    </row>
    <row r="124">
      <c r="D124" s="13"/>
      <c r="G124" s="9"/>
      <c r="J124" s="121"/>
      <c r="M124" s="9"/>
      <c r="N124" s="9"/>
      <c r="O124" s="9"/>
    </row>
    <row r="125">
      <c r="D125" s="13"/>
      <c r="G125" s="9"/>
      <c r="J125" s="121"/>
      <c r="M125" s="9"/>
      <c r="N125" s="9"/>
      <c r="O125" s="9"/>
    </row>
    <row r="126">
      <c r="D126" s="13"/>
      <c r="G126" s="9"/>
      <c r="J126" s="121"/>
      <c r="M126" s="9"/>
      <c r="N126" s="9"/>
      <c r="O126" s="9"/>
    </row>
    <row r="127">
      <c r="D127" s="13"/>
      <c r="G127" s="9"/>
      <c r="J127" s="121"/>
      <c r="M127" s="9"/>
      <c r="N127" s="9"/>
      <c r="O127" s="9"/>
    </row>
    <row r="128">
      <c r="D128" s="13"/>
      <c r="G128" s="9"/>
      <c r="J128" s="121"/>
      <c r="M128" s="9"/>
      <c r="N128" s="9"/>
      <c r="O128" s="9"/>
    </row>
    <row r="129">
      <c r="D129" s="13"/>
      <c r="G129" s="9"/>
      <c r="J129" s="121"/>
      <c r="M129" s="9"/>
      <c r="N129" s="9"/>
      <c r="O129" s="9"/>
    </row>
    <row r="130">
      <c r="D130" s="13"/>
      <c r="G130" s="9"/>
      <c r="J130" s="121"/>
      <c r="M130" s="9"/>
      <c r="N130" s="9"/>
      <c r="O130" s="9"/>
    </row>
    <row r="131">
      <c r="D131" s="13"/>
      <c r="G131" s="9"/>
      <c r="J131" s="121"/>
      <c r="M131" s="9"/>
      <c r="N131" s="9"/>
      <c r="O131" s="9"/>
    </row>
    <row r="132">
      <c r="D132" s="13"/>
      <c r="G132" s="9"/>
      <c r="J132" s="121"/>
      <c r="M132" s="9"/>
      <c r="N132" s="9"/>
      <c r="O132" s="9"/>
    </row>
    <row r="133">
      <c r="D133" s="13"/>
      <c r="G133" s="9"/>
      <c r="J133" s="121"/>
      <c r="M133" s="9"/>
      <c r="N133" s="9"/>
      <c r="O133" s="9"/>
    </row>
    <row r="134">
      <c r="D134" s="13"/>
      <c r="G134" s="9"/>
      <c r="J134" s="121"/>
      <c r="M134" s="9"/>
      <c r="N134" s="9"/>
      <c r="O134" s="9"/>
    </row>
    <row r="135">
      <c r="D135" s="13"/>
      <c r="G135" s="9"/>
      <c r="J135" s="121"/>
      <c r="M135" s="9"/>
      <c r="N135" s="9"/>
      <c r="O135" s="9"/>
    </row>
    <row r="136">
      <c r="D136" s="13"/>
      <c r="G136" s="9"/>
      <c r="J136" s="121"/>
      <c r="M136" s="9"/>
      <c r="N136" s="9"/>
      <c r="O136" s="9"/>
    </row>
    <row r="137">
      <c r="D137" s="13"/>
      <c r="G137" s="9"/>
      <c r="J137" s="121"/>
      <c r="M137" s="9"/>
      <c r="N137" s="9"/>
      <c r="O137" s="9"/>
    </row>
    <row r="138">
      <c r="D138" s="13"/>
      <c r="G138" s="9"/>
      <c r="J138" s="121"/>
      <c r="M138" s="9"/>
      <c r="N138" s="9"/>
      <c r="O138" s="9"/>
    </row>
    <row r="139">
      <c r="D139" s="13"/>
      <c r="G139" s="9"/>
      <c r="J139" s="121"/>
      <c r="M139" s="9"/>
      <c r="N139" s="9"/>
      <c r="O139" s="9"/>
    </row>
    <row r="140">
      <c r="D140" s="13"/>
      <c r="G140" s="9"/>
      <c r="J140" s="121"/>
      <c r="M140" s="9"/>
      <c r="N140" s="9"/>
      <c r="O140" s="9"/>
    </row>
    <row r="141">
      <c r="D141" s="13"/>
      <c r="G141" s="9"/>
      <c r="J141" s="121"/>
      <c r="M141" s="9"/>
      <c r="N141" s="9"/>
      <c r="O141" s="9"/>
    </row>
    <row r="142">
      <c r="D142" s="13"/>
      <c r="G142" s="9"/>
      <c r="J142" s="121"/>
      <c r="M142" s="9"/>
      <c r="N142" s="9"/>
      <c r="O142" s="9"/>
    </row>
    <row r="143">
      <c r="D143" s="13"/>
      <c r="G143" s="9"/>
      <c r="J143" s="121"/>
      <c r="M143" s="9"/>
      <c r="N143" s="9"/>
      <c r="O143" s="9"/>
    </row>
    <row r="144">
      <c r="D144" s="13"/>
      <c r="G144" s="9"/>
      <c r="J144" s="121"/>
      <c r="M144" s="9"/>
      <c r="N144" s="9"/>
      <c r="O144" s="9"/>
    </row>
    <row r="145">
      <c r="D145" s="13"/>
      <c r="G145" s="9"/>
      <c r="J145" s="121"/>
      <c r="M145" s="9"/>
      <c r="N145" s="9"/>
      <c r="O145" s="9"/>
    </row>
    <row r="146">
      <c r="D146" s="13"/>
      <c r="G146" s="9"/>
      <c r="J146" s="121"/>
      <c r="M146" s="9"/>
      <c r="N146" s="9"/>
      <c r="O146" s="9"/>
    </row>
    <row r="147">
      <c r="D147" s="13"/>
      <c r="G147" s="9"/>
      <c r="J147" s="121"/>
      <c r="M147" s="9"/>
      <c r="N147" s="9"/>
      <c r="O147" s="9"/>
    </row>
    <row r="148">
      <c r="D148" s="13"/>
      <c r="G148" s="9"/>
      <c r="J148" s="121"/>
      <c r="M148" s="9"/>
      <c r="N148" s="9"/>
      <c r="O148" s="9"/>
    </row>
    <row r="149">
      <c r="D149" s="13"/>
      <c r="G149" s="9"/>
      <c r="J149" s="121"/>
      <c r="M149" s="9"/>
      <c r="N149" s="9"/>
      <c r="O149" s="9"/>
    </row>
    <row r="150">
      <c r="D150" s="13"/>
      <c r="G150" s="9"/>
      <c r="J150" s="121"/>
      <c r="M150" s="9"/>
      <c r="N150" s="9"/>
      <c r="O150" s="9"/>
    </row>
    <row r="151">
      <c r="D151" s="13"/>
      <c r="G151" s="9"/>
      <c r="J151" s="121"/>
      <c r="M151" s="9"/>
      <c r="N151" s="9"/>
      <c r="O151" s="9"/>
    </row>
    <row r="152">
      <c r="D152" s="13"/>
      <c r="G152" s="9"/>
      <c r="J152" s="121"/>
      <c r="M152" s="9"/>
      <c r="N152" s="9"/>
      <c r="O152" s="9"/>
    </row>
    <row r="153">
      <c r="D153" s="13"/>
      <c r="G153" s="9"/>
      <c r="J153" s="121"/>
      <c r="M153" s="9"/>
      <c r="N153" s="9"/>
      <c r="O153" s="9"/>
    </row>
    <row r="154">
      <c r="D154" s="13"/>
      <c r="G154" s="9"/>
      <c r="J154" s="121"/>
      <c r="M154" s="9"/>
      <c r="N154" s="9"/>
      <c r="O154" s="9"/>
    </row>
    <row r="155">
      <c r="D155" s="13"/>
      <c r="G155" s="9"/>
      <c r="J155" s="121"/>
      <c r="M155" s="9"/>
      <c r="N155" s="9"/>
      <c r="O155" s="9"/>
    </row>
    <row r="156">
      <c r="D156" s="13"/>
      <c r="G156" s="9"/>
      <c r="J156" s="121"/>
      <c r="M156" s="9"/>
      <c r="N156" s="9"/>
      <c r="O156" s="9"/>
    </row>
    <row r="157">
      <c r="D157" s="13"/>
      <c r="G157" s="9"/>
      <c r="J157" s="121"/>
      <c r="M157" s="9"/>
      <c r="N157" s="9"/>
      <c r="O157" s="9"/>
    </row>
    <row r="158">
      <c r="D158" s="13"/>
      <c r="G158" s="9"/>
      <c r="J158" s="121"/>
      <c r="M158" s="9"/>
      <c r="N158" s="9"/>
      <c r="O158" s="9"/>
    </row>
    <row r="159">
      <c r="D159" s="13"/>
      <c r="G159" s="9"/>
      <c r="J159" s="121"/>
      <c r="M159" s="9"/>
      <c r="N159" s="9"/>
      <c r="O159" s="9"/>
    </row>
    <row r="160">
      <c r="D160" s="13"/>
      <c r="G160" s="9"/>
      <c r="J160" s="121"/>
      <c r="M160" s="9"/>
      <c r="N160" s="9"/>
      <c r="O160" s="9"/>
    </row>
    <row r="161">
      <c r="D161" s="13"/>
      <c r="G161" s="9"/>
      <c r="J161" s="121"/>
      <c r="M161" s="9"/>
      <c r="N161" s="9"/>
      <c r="O161" s="9"/>
    </row>
    <row r="162">
      <c r="D162" s="13"/>
      <c r="G162" s="9"/>
      <c r="J162" s="121"/>
      <c r="M162" s="9"/>
      <c r="N162" s="9"/>
      <c r="O162" s="9"/>
    </row>
    <row r="163">
      <c r="D163" s="13"/>
      <c r="G163" s="9"/>
      <c r="J163" s="121"/>
      <c r="M163" s="9"/>
      <c r="N163" s="9"/>
      <c r="O163" s="9"/>
    </row>
    <row r="164">
      <c r="D164" s="13"/>
      <c r="G164" s="9"/>
      <c r="J164" s="121"/>
      <c r="M164" s="9"/>
      <c r="N164" s="9"/>
      <c r="O164" s="9"/>
    </row>
    <row r="165">
      <c r="D165" s="13"/>
      <c r="G165" s="9"/>
      <c r="J165" s="121"/>
      <c r="M165" s="9"/>
      <c r="N165" s="9"/>
      <c r="O165" s="9"/>
    </row>
    <row r="166">
      <c r="D166" s="13"/>
      <c r="G166" s="9"/>
      <c r="J166" s="121"/>
      <c r="M166" s="9"/>
      <c r="N166" s="9"/>
      <c r="O166" s="9"/>
    </row>
    <row r="167">
      <c r="D167" s="13"/>
      <c r="G167" s="9"/>
      <c r="J167" s="121"/>
      <c r="M167" s="9"/>
      <c r="N167" s="9"/>
      <c r="O167" s="9"/>
    </row>
    <row r="168">
      <c r="D168" s="13"/>
      <c r="G168" s="9"/>
      <c r="J168" s="121"/>
      <c r="M168" s="9"/>
      <c r="N168" s="9"/>
      <c r="O168" s="9"/>
    </row>
    <row r="169">
      <c r="D169" s="13"/>
      <c r="G169" s="9"/>
      <c r="J169" s="121"/>
      <c r="M169" s="9"/>
      <c r="N169" s="9"/>
      <c r="O169" s="9"/>
    </row>
    <row r="170">
      <c r="D170" s="13"/>
      <c r="G170" s="9"/>
      <c r="J170" s="121"/>
      <c r="M170" s="9"/>
      <c r="N170" s="9"/>
      <c r="O170" s="9"/>
    </row>
    <row r="171">
      <c r="D171" s="13"/>
      <c r="G171" s="9"/>
      <c r="J171" s="121"/>
      <c r="M171" s="9"/>
      <c r="N171" s="9"/>
      <c r="O171" s="9"/>
    </row>
    <row r="172">
      <c r="D172" s="13"/>
      <c r="G172" s="9"/>
      <c r="J172" s="121"/>
      <c r="M172" s="9"/>
      <c r="N172" s="9"/>
      <c r="O172" s="9"/>
    </row>
    <row r="173">
      <c r="D173" s="13"/>
      <c r="G173" s="9"/>
      <c r="J173" s="121"/>
      <c r="M173" s="9"/>
      <c r="N173" s="9"/>
      <c r="O173" s="9"/>
    </row>
    <row r="174">
      <c r="D174" s="13"/>
      <c r="G174" s="9"/>
      <c r="J174" s="121"/>
      <c r="M174" s="9"/>
      <c r="N174" s="9"/>
      <c r="O174" s="9"/>
    </row>
    <row r="175">
      <c r="D175" s="13"/>
      <c r="G175" s="9"/>
      <c r="J175" s="121"/>
      <c r="M175" s="9"/>
      <c r="N175" s="9"/>
      <c r="O175" s="9"/>
    </row>
    <row r="176">
      <c r="D176" s="13"/>
      <c r="G176" s="9"/>
      <c r="J176" s="121"/>
      <c r="M176" s="9"/>
      <c r="N176" s="9"/>
      <c r="O176" s="9"/>
    </row>
    <row r="177">
      <c r="D177" s="13"/>
      <c r="G177" s="9"/>
      <c r="J177" s="121"/>
      <c r="M177" s="9"/>
      <c r="N177" s="9"/>
      <c r="O177" s="9"/>
    </row>
    <row r="178">
      <c r="D178" s="13"/>
      <c r="G178" s="9"/>
      <c r="J178" s="121"/>
      <c r="M178" s="9"/>
      <c r="N178" s="9"/>
      <c r="O178" s="9"/>
    </row>
    <row r="179">
      <c r="D179" s="13"/>
      <c r="G179" s="9"/>
      <c r="J179" s="121"/>
      <c r="M179" s="9"/>
      <c r="N179" s="9"/>
      <c r="O179" s="9"/>
    </row>
    <row r="180">
      <c r="D180" s="13"/>
      <c r="G180" s="9"/>
      <c r="J180" s="121"/>
      <c r="M180" s="9"/>
      <c r="N180" s="9"/>
      <c r="O180" s="9"/>
    </row>
    <row r="181">
      <c r="D181" s="13"/>
      <c r="G181" s="9"/>
      <c r="J181" s="121"/>
      <c r="M181" s="9"/>
      <c r="N181" s="9"/>
      <c r="O181" s="9"/>
    </row>
    <row r="182">
      <c r="D182" s="13"/>
      <c r="G182" s="9"/>
      <c r="J182" s="121"/>
      <c r="M182" s="9"/>
      <c r="N182" s="9"/>
      <c r="O182" s="9"/>
    </row>
    <row r="183">
      <c r="D183" s="13"/>
      <c r="G183" s="9"/>
      <c r="J183" s="121"/>
      <c r="M183" s="9"/>
      <c r="N183" s="9"/>
      <c r="O183" s="9"/>
    </row>
    <row r="184">
      <c r="D184" s="13"/>
      <c r="G184" s="9"/>
      <c r="J184" s="121"/>
      <c r="M184" s="9"/>
      <c r="N184" s="9"/>
      <c r="O184" s="9"/>
    </row>
    <row r="185">
      <c r="D185" s="13"/>
      <c r="G185" s="9"/>
      <c r="J185" s="121"/>
      <c r="M185" s="9"/>
      <c r="N185" s="9"/>
      <c r="O185" s="9"/>
    </row>
    <row r="186">
      <c r="D186" s="13"/>
      <c r="G186" s="9"/>
      <c r="J186" s="121"/>
      <c r="M186" s="9"/>
      <c r="N186" s="9"/>
      <c r="O186" s="9"/>
    </row>
    <row r="187">
      <c r="D187" s="13"/>
      <c r="G187" s="9"/>
      <c r="J187" s="121"/>
      <c r="M187" s="9"/>
      <c r="N187" s="9"/>
      <c r="O187" s="9"/>
    </row>
    <row r="188">
      <c r="D188" s="13"/>
      <c r="G188" s="9"/>
      <c r="J188" s="121"/>
      <c r="M188" s="9"/>
      <c r="N188" s="9"/>
      <c r="O188" s="9"/>
    </row>
    <row r="189">
      <c r="D189" s="13"/>
      <c r="G189" s="9"/>
      <c r="J189" s="121"/>
      <c r="M189" s="9"/>
      <c r="N189" s="9"/>
      <c r="O189" s="9"/>
    </row>
    <row r="190">
      <c r="D190" s="13"/>
      <c r="G190" s="9"/>
      <c r="J190" s="121"/>
      <c r="M190" s="9"/>
      <c r="N190" s="9"/>
      <c r="O190" s="9"/>
    </row>
    <row r="191">
      <c r="D191" s="13"/>
      <c r="G191" s="9"/>
      <c r="J191" s="121"/>
      <c r="M191" s="9"/>
      <c r="N191" s="9"/>
      <c r="O191" s="9"/>
    </row>
    <row r="192">
      <c r="D192" s="13"/>
      <c r="G192" s="9"/>
      <c r="J192" s="121"/>
      <c r="M192" s="9"/>
      <c r="N192" s="9"/>
      <c r="O192" s="9"/>
    </row>
    <row r="193">
      <c r="D193" s="13"/>
      <c r="G193" s="9"/>
      <c r="J193" s="121"/>
      <c r="M193" s="9"/>
      <c r="N193" s="9"/>
      <c r="O193" s="9"/>
    </row>
    <row r="194">
      <c r="D194" s="13"/>
      <c r="G194" s="9"/>
      <c r="J194" s="121"/>
      <c r="M194" s="9"/>
      <c r="N194" s="9"/>
      <c r="O194" s="9"/>
    </row>
    <row r="195">
      <c r="D195" s="13"/>
      <c r="G195" s="9"/>
      <c r="J195" s="121"/>
      <c r="M195" s="9"/>
      <c r="N195" s="9"/>
      <c r="O195" s="9"/>
    </row>
    <row r="196">
      <c r="D196" s="13"/>
      <c r="G196" s="9"/>
      <c r="J196" s="121"/>
      <c r="M196" s="9"/>
      <c r="N196" s="9"/>
      <c r="O196" s="9"/>
    </row>
    <row r="197">
      <c r="D197" s="13"/>
      <c r="G197" s="9"/>
      <c r="J197" s="121"/>
      <c r="M197" s="9"/>
      <c r="N197" s="9"/>
      <c r="O197" s="9"/>
    </row>
    <row r="198">
      <c r="D198" s="13"/>
      <c r="G198" s="9"/>
      <c r="J198" s="121"/>
      <c r="M198" s="9"/>
      <c r="N198" s="9"/>
      <c r="O198" s="9"/>
    </row>
    <row r="199">
      <c r="D199" s="13"/>
      <c r="G199" s="9"/>
      <c r="J199" s="121"/>
      <c r="M199" s="9"/>
      <c r="N199" s="9"/>
      <c r="O199" s="9"/>
    </row>
    <row r="200">
      <c r="D200" s="13"/>
      <c r="G200" s="9"/>
      <c r="J200" s="121"/>
      <c r="M200" s="9"/>
      <c r="N200" s="9"/>
      <c r="O200" s="9"/>
    </row>
    <row r="201">
      <c r="D201" s="13"/>
      <c r="G201" s="9"/>
      <c r="J201" s="121"/>
      <c r="M201" s="9"/>
      <c r="N201" s="9"/>
      <c r="O201" s="9"/>
    </row>
    <row r="202">
      <c r="D202" s="13"/>
      <c r="G202" s="9"/>
      <c r="J202" s="121"/>
      <c r="M202" s="9"/>
      <c r="N202" s="9"/>
      <c r="O202" s="9"/>
    </row>
    <row r="203">
      <c r="D203" s="13"/>
      <c r="G203" s="9"/>
      <c r="J203" s="121"/>
      <c r="M203" s="9"/>
      <c r="N203" s="9"/>
      <c r="O203" s="9"/>
    </row>
    <row r="204">
      <c r="D204" s="13"/>
      <c r="G204" s="9"/>
      <c r="J204" s="121"/>
      <c r="M204" s="9"/>
      <c r="N204" s="9"/>
      <c r="O204" s="9"/>
    </row>
    <row r="205">
      <c r="D205" s="13"/>
      <c r="G205" s="9"/>
      <c r="J205" s="121"/>
      <c r="M205" s="9"/>
      <c r="N205" s="9"/>
      <c r="O205" s="9"/>
    </row>
    <row r="206">
      <c r="D206" s="13"/>
      <c r="G206" s="9"/>
      <c r="J206" s="121"/>
      <c r="M206" s="9"/>
      <c r="N206" s="9"/>
      <c r="O206" s="9"/>
    </row>
    <row r="207">
      <c r="D207" s="13"/>
      <c r="G207" s="9"/>
      <c r="J207" s="121"/>
      <c r="M207" s="9"/>
      <c r="N207" s="9"/>
      <c r="O207" s="9"/>
    </row>
    <row r="208">
      <c r="D208" s="13"/>
      <c r="G208" s="9"/>
      <c r="J208" s="121"/>
      <c r="M208" s="9"/>
      <c r="N208" s="9"/>
      <c r="O208" s="9"/>
    </row>
    <row r="209">
      <c r="D209" s="13"/>
      <c r="G209" s="9"/>
      <c r="J209" s="121"/>
      <c r="M209" s="9"/>
      <c r="N209" s="9"/>
      <c r="O209" s="9"/>
    </row>
    <row r="210">
      <c r="D210" s="13"/>
      <c r="G210" s="9"/>
      <c r="J210" s="121"/>
      <c r="M210" s="9"/>
      <c r="N210" s="9"/>
      <c r="O210" s="9"/>
    </row>
    <row r="211">
      <c r="D211" s="13"/>
      <c r="G211" s="9"/>
      <c r="J211" s="121"/>
      <c r="M211" s="9"/>
      <c r="N211" s="9"/>
      <c r="O211" s="9"/>
    </row>
    <row r="212">
      <c r="D212" s="13"/>
      <c r="G212" s="9"/>
      <c r="J212" s="121"/>
      <c r="M212" s="9"/>
      <c r="N212" s="9"/>
      <c r="O212" s="9"/>
    </row>
    <row r="213">
      <c r="D213" s="13"/>
      <c r="G213" s="9"/>
      <c r="J213" s="121"/>
      <c r="M213" s="9"/>
      <c r="N213" s="9"/>
      <c r="O213" s="9"/>
    </row>
    <row r="214">
      <c r="D214" s="13"/>
      <c r="G214" s="9"/>
      <c r="J214" s="121"/>
      <c r="M214" s="9"/>
      <c r="N214" s="9"/>
      <c r="O214" s="9"/>
    </row>
    <row r="215">
      <c r="D215" s="13"/>
      <c r="G215" s="9"/>
      <c r="J215" s="121"/>
      <c r="M215" s="9"/>
      <c r="N215" s="9"/>
      <c r="O215" s="9"/>
    </row>
    <row r="216">
      <c r="D216" s="13"/>
      <c r="G216" s="9"/>
      <c r="J216" s="121"/>
      <c r="M216" s="9"/>
      <c r="N216" s="9"/>
      <c r="O216" s="9"/>
    </row>
    <row r="217">
      <c r="D217" s="13"/>
      <c r="G217" s="9"/>
      <c r="J217" s="121"/>
      <c r="M217" s="9"/>
      <c r="N217" s="9"/>
      <c r="O217" s="9"/>
    </row>
    <row r="218">
      <c r="D218" s="13"/>
      <c r="G218" s="9"/>
      <c r="J218" s="121"/>
      <c r="M218" s="9"/>
      <c r="N218" s="9"/>
      <c r="O218" s="9"/>
    </row>
    <row r="219">
      <c r="D219" s="13"/>
      <c r="G219" s="9"/>
      <c r="J219" s="121"/>
      <c r="M219" s="9"/>
      <c r="N219" s="9"/>
      <c r="O219" s="9"/>
    </row>
    <row r="220">
      <c r="D220" s="13"/>
      <c r="G220" s="9"/>
      <c r="J220" s="121"/>
      <c r="M220" s="9"/>
      <c r="N220" s="9"/>
      <c r="O220" s="9"/>
    </row>
    <row r="221">
      <c r="D221" s="13"/>
      <c r="G221" s="9"/>
      <c r="J221" s="121"/>
      <c r="M221" s="9"/>
      <c r="N221" s="9"/>
      <c r="O221" s="9"/>
    </row>
    <row r="222">
      <c r="D222" s="13"/>
      <c r="G222" s="9"/>
      <c r="J222" s="121"/>
      <c r="M222" s="9"/>
      <c r="N222" s="9"/>
      <c r="O222" s="9"/>
    </row>
    <row r="223">
      <c r="D223" s="13"/>
      <c r="G223" s="9"/>
      <c r="J223" s="121"/>
      <c r="M223" s="9"/>
      <c r="N223" s="9"/>
      <c r="O223" s="9"/>
    </row>
    <row r="224">
      <c r="D224" s="13"/>
      <c r="G224" s="9"/>
      <c r="J224" s="121"/>
      <c r="M224" s="9"/>
      <c r="N224" s="9"/>
      <c r="O224" s="9"/>
    </row>
    <row r="225">
      <c r="D225" s="13"/>
      <c r="G225" s="9"/>
      <c r="J225" s="121"/>
      <c r="M225" s="9"/>
      <c r="N225" s="9"/>
      <c r="O225" s="9"/>
    </row>
    <row r="226">
      <c r="D226" s="13"/>
      <c r="G226" s="9"/>
      <c r="J226" s="121"/>
      <c r="M226" s="9"/>
      <c r="N226" s="9"/>
      <c r="O226" s="9"/>
    </row>
    <row r="227">
      <c r="D227" s="13"/>
      <c r="G227" s="9"/>
      <c r="J227" s="121"/>
      <c r="M227" s="9"/>
      <c r="N227" s="9"/>
      <c r="O227" s="9"/>
    </row>
    <row r="228">
      <c r="D228" s="13"/>
      <c r="G228" s="9"/>
      <c r="J228" s="121"/>
      <c r="M228" s="9"/>
      <c r="N228" s="9"/>
      <c r="O228" s="9"/>
    </row>
    <row r="229">
      <c r="D229" s="13"/>
      <c r="G229" s="9"/>
      <c r="J229" s="121"/>
      <c r="M229" s="9"/>
      <c r="N229" s="9"/>
      <c r="O229" s="9"/>
    </row>
    <row r="230">
      <c r="D230" s="13"/>
      <c r="G230" s="9"/>
      <c r="J230" s="121"/>
      <c r="M230" s="9"/>
      <c r="N230" s="9"/>
      <c r="O230" s="9"/>
    </row>
    <row r="231">
      <c r="D231" s="13"/>
      <c r="G231" s="9"/>
      <c r="J231" s="121"/>
      <c r="M231" s="9"/>
      <c r="N231" s="9"/>
      <c r="O231" s="9"/>
    </row>
    <row r="232">
      <c r="D232" s="13"/>
      <c r="G232" s="9"/>
      <c r="J232" s="121"/>
      <c r="M232" s="9"/>
      <c r="N232" s="9"/>
      <c r="O232" s="9"/>
    </row>
    <row r="233">
      <c r="D233" s="13"/>
      <c r="G233" s="9"/>
      <c r="J233" s="121"/>
      <c r="M233" s="9"/>
      <c r="N233" s="9"/>
      <c r="O233" s="9"/>
    </row>
    <row r="234">
      <c r="D234" s="13"/>
      <c r="G234" s="9"/>
      <c r="J234" s="121"/>
      <c r="M234" s="9"/>
      <c r="N234" s="9"/>
      <c r="O234" s="9"/>
    </row>
    <row r="235">
      <c r="D235" s="13"/>
      <c r="G235" s="9"/>
      <c r="J235" s="121"/>
      <c r="M235" s="9"/>
      <c r="N235" s="9"/>
      <c r="O235" s="9"/>
    </row>
    <row r="236">
      <c r="D236" s="13"/>
      <c r="G236" s="9"/>
      <c r="J236" s="121"/>
      <c r="M236" s="9"/>
      <c r="N236" s="9"/>
      <c r="O236" s="9"/>
    </row>
    <row r="237">
      <c r="D237" s="13"/>
      <c r="G237" s="9"/>
      <c r="J237" s="121"/>
      <c r="M237" s="9"/>
      <c r="N237" s="9"/>
      <c r="O237" s="9"/>
    </row>
    <row r="238">
      <c r="D238" s="13"/>
      <c r="G238" s="9"/>
      <c r="J238" s="121"/>
      <c r="M238" s="9"/>
      <c r="N238" s="9"/>
      <c r="O238" s="9"/>
    </row>
    <row r="239">
      <c r="D239" s="13"/>
      <c r="G239" s="9"/>
      <c r="J239" s="121"/>
      <c r="M239" s="9"/>
      <c r="N239" s="9"/>
      <c r="O239" s="9"/>
    </row>
    <row r="240">
      <c r="D240" s="13"/>
      <c r="G240" s="9"/>
      <c r="J240" s="121"/>
      <c r="M240" s="9"/>
      <c r="N240" s="9"/>
      <c r="O240" s="9"/>
    </row>
    <row r="241">
      <c r="D241" s="13"/>
      <c r="G241" s="9"/>
      <c r="J241" s="121"/>
      <c r="M241" s="9"/>
      <c r="N241" s="9"/>
      <c r="O241" s="9"/>
    </row>
    <row r="242">
      <c r="D242" s="13"/>
      <c r="G242" s="9"/>
      <c r="J242" s="121"/>
      <c r="M242" s="9"/>
      <c r="N242" s="9"/>
      <c r="O242" s="9"/>
    </row>
    <row r="243">
      <c r="D243" s="13"/>
      <c r="G243" s="9"/>
      <c r="J243" s="121"/>
      <c r="M243" s="9"/>
      <c r="N243" s="9"/>
      <c r="O243" s="9"/>
    </row>
    <row r="244">
      <c r="D244" s="13"/>
      <c r="G244" s="9"/>
      <c r="J244" s="121"/>
      <c r="M244" s="9"/>
      <c r="N244" s="9"/>
      <c r="O244" s="9"/>
    </row>
    <row r="245">
      <c r="D245" s="13"/>
      <c r="G245" s="9"/>
      <c r="J245" s="121"/>
      <c r="M245" s="9"/>
      <c r="N245" s="9"/>
      <c r="O245" s="9"/>
    </row>
    <row r="246">
      <c r="D246" s="13"/>
      <c r="G246" s="9"/>
      <c r="J246" s="121"/>
      <c r="M246" s="9"/>
      <c r="N246" s="9"/>
      <c r="O246" s="9"/>
    </row>
    <row r="247">
      <c r="D247" s="13"/>
      <c r="G247" s="9"/>
      <c r="J247" s="121"/>
      <c r="M247" s="9"/>
      <c r="N247" s="9"/>
      <c r="O247" s="9"/>
    </row>
    <row r="248">
      <c r="D248" s="13"/>
      <c r="G248" s="9"/>
      <c r="J248" s="121"/>
      <c r="M248" s="9"/>
      <c r="N248" s="9"/>
      <c r="O248" s="9"/>
    </row>
    <row r="249">
      <c r="D249" s="13"/>
      <c r="G249" s="9"/>
      <c r="J249" s="121"/>
      <c r="M249" s="9"/>
      <c r="N249" s="9"/>
      <c r="O249" s="9"/>
    </row>
    <row r="250">
      <c r="D250" s="13"/>
      <c r="G250" s="9"/>
      <c r="J250" s="121"/>
      <c r="M250" s="9"/>
      <c r="N250" s="9"/>
      <c r="O250" s="9"/>
    </row>
    <row r="251">
      <c r="D251" s="13"/>
      <c r="G251" s="9"/>
      <c r="J251" s="121"/>
      <c r="M251" s="9"/>
      <c r="N251" s="9"/>
      <c r="O251" s="9"/>
    </row>
    <row r="252">
      <c r="D252" s="13"/>
      <c r="G252" s="9"/>
      <c r="J252" s="121"/>
      <c r="M252" s="9"/>
      <c r="N252" s="9"/>
      <c r="O252" s="9"/>
    </row>
    <row r="253">
      <c r="D253" s="13"/>
      <c r="G253" s="9"/>
      <c r="J253" s="121"/>
      <c r="M253" s="9"/>
      <c r="N253" s="9"/>
      <c r="O253" s="9"/>
    </row>
    <row r="254">
      <c r="D254" s="13"/>
      <c r="G254" s="9"/>
      <c r="J254" s="121"/>
      <c r="M254" s="9"/>
      <c r="N254" s="9"/>
      <c r="O254" s="9"/>
    </row>
    <row r="255">
      <c r="D255" s="13"/>
      <c r="G255" s="9"/>
      <c r="J255" s="121"/>
      <c r="M255" s="9"/>
      <c r="N255" s="9"/>
      <c r="O255" s="9"/>
    </row>
    <row r="256">
      <c r="D256" s="13"/>
      <c r="G256" s="9"/>
      <c r="J256" s="121"/>
      <c r="M256" s="9"/>
      <c r="N256" s="9"/>
      <c r="O256" s="9"/>
    </row>
    <row r="257">
      <c r="D257" s="13"/>
      <c r="G257" s="9"/>
      <c r="J257" s="121"/>
      <c r="M257" s="9"/>
      <c r="N257" s="9"/>
      <c r="O257" s="9"/>
    </row>
    <row r="258">
      <c r="D258" s="13"/>
      <c r="G258" s="9"/>
      <c r="J258" s="121"/>
      <c r="M258" s="9"/>
      <c r="N258" s="9"/>
      <c r="O258" s="9"/>
    </row>
    <row r="259">
      <c r="D259" s="13"/>
      <c r="G259" s="9"/>
      <c r="J259" s="121"/>
      <c r="M259" s="9"/>
      <c r="N259" s="9"/>
      <c r="O259" s="9"/>
    </row>
    <row r="260">
      <c r="D260" s="13"/>
      <c r="G260" s="9"/>
      <c r="J260" s="121"/>
      <c r="M260" s="9"/>
      <c r="N260" s="9"/>
      <c r="O260" s="9"/>
    </row>
    <row r="261">
      <c r="D261" s="13"/>
      <c r="G261" s="9"/>
      <c r="J261" s="121"/>
      <c r="M261" s="9"/>
      <c r="N261" s="9"/>
      <c r="O261" s="9"/>
    </row>
    <row r="262">
      <c r="D262" s="13"/>
      <c r="G262" s="9"/>
      <c r="J262" s="121"/>
      <c r="M262" s="9"/>
      <c r="N262" s="9"/>
      <c r="O262" s="9"/>
    </row>
    <row r="263">
      <c r="D263" s="13"/>
      <c r="G263" s="9"/>
      <c r="J263" s="121"/>
      <c r="M263" s="9"/>
      <c r="N263" s="9"/>
      <c r="O263" s="9"/>
    </row>
    <row r="264">
      <c r="D264" s="13"/>
      <c r="G264" s="9"/>
      <c r="J264" s="121"/>
      <c r="M264" s="9"/>
      <c r="N264" s="9"/>
      <c r="O264" s="9"/>
    </row>
    <row r="265">
      <c r="D265" s="13"/>
      <c r="G265" s="9"/>
      <c r="J265" s="121"/>
      <c r="M265" s="9"/>
      <c r="N265" s="9"/>
      <c r="O265" s="9"/>
    </row>
    <row r="266">
      <c r="D266" s="13"/>
      <c r="G266" s="9"/>
      <c r="J266" s="121"/>
      <c r="M266" s="9"/>
      <c r="N266" s="9"/>
      <c r="O266" s="9"/>
    </row>
    <row r="267">
      <c r="D267" s="13"/>
      <c r="G267" s="9"/>
      <c r="J267" s="121"/>
      <c r="M267" s="9"/>
      <c r="N267" s="9"/>
      <c r="O267" s="9"/>
    </row>
    <row r="268">
      <c r="D268" s="13"/>
      <c r="G268" s="9"/>
      <c r="J268" s="121"/>
      <c r="M268" s="9"/>
      <c r="N268" s="9"/>
      <c r="O268" s="9"/>
    </row>
    <row r="269">
      <c r="D269" s="13"/>
      <c r="G269" s="9"/>
      <c r="J269" s="121"/>
      <c r="M269" s="9"/>
      <c r="N269" s="9"/>
      <c r="O269" s="9"/>
    </row>
    <row r="270">
      <c r="D270" s="13"/>
      <c r="G270" s="9"/>
      <c r="J270" s="121"/>
      <c r="M270" s="9"/>
      <c r="N270" s="9"/>
      <c r="O270" s="9"/>
    </row>
    <row r="271">
      <c r="D271" s="13"/>
      <c r="G271" s="9"/>
      <c r="J271" s="121"/>
      <c r="M271" s="9"/>
      <c r="N271" s="9"/>
      <c r="O271" s="9"/>
    </row>
    <row r="272">
      <c r="D272" s="13"/>
      <c r="G272" s="9"/>
      <c r="J272" s="121"/>
      <c r="M272" s="9"/>
      <c r="N272" s="9"/>
      <c r="O272" s="9"/>
    </row>
    <row r="273">
      <c r="D273" s="13"/>
      <c r="G273" s="9"/>
      <c r="J273" s="121"/>
      <c r="M273" s="9"/>
      <c r="N273" s="9"/>
      <c r="O273" s="9"/>
    </row>
    <row r="274">
      <c r="D274" s="13"/>
      <c r="G274" s="9"/>
      <c r="J274" s="121"/>
      <c r="M274" s="9"/>
      <c r="N274" s="9"/>
      <c r="O274" s="9"/>
    </row>
    <row r="275">
      <c r="D275" s="13"/>
      <c r="G275" s="9"/>
      <c r="J275" s="121"/>
      <c r="M275" s="9"/>
      <c r="N275" s="9"/>
      <c r="O275" s="9"/>
    </row>
    <row r="276">
      <c r="D276" s="13"/>
      <c r="G276" s="9"/>
      <c r="J276" s="121"/>
      <c r="M276" s="9"/>
      <c r="N276" s="9"/>
      <c r="O276" s="9"/>
    </row>
    <row r="277">
      <c r="D277" s="13"/>
      <c r="G277" s="9"/>
      <c r="J277" s="121"/>
      <c r="M277" s="9"/>
      <c r="N277" s="9"/>
      <c r="O277" s="9"/>
    </row>
    <row r="278">
      <c r="D278" s="13"/>
      <c r="G278" s="9"/>
      <c r="J278" s="121"/>
      <c r="M278" s="9"/>
      <c r="N278" s="9"/>
      <c r="O278" s="9"/>
    </row>
    <row r="279">
      <c r="D279" s="13"/>
      <c r="G279" s="9"/>
      <c r="J279" s="121"/>
      <c r="M279" s="9"/>
      <c r="N279" s="9"/>
      <c r="O279" s="9"/>
    </row>
    <row r="280">
      <c r="D280" s="13"/>
      <c r="G280" s="9"/>
      <c r="J280" s="121"/>
      <c r="M280" s="9"/>
      <c r="N280" s="9"/>
      <c r="O280" s="9"/>
    </row>
    <row r="281">
      <c r="D281" s="13"/>
      <c r="G281" s="9"/>
      <c r="J281" s="121"/>
      <c r="M281" s="9"/>
      <c r="N281" s="9"/>
      <c r="O281" s="9"/>
    </row>
    <row r="282">
      <c r="D282" s="13"/>
      <c r="G282" s="9"/>
      <c r="J282" s="121"/>
      <c r="M282" s="9"/>
      <c r="N282" s="9"/>
      <c r="O282" s="9"/>
    </row>
    <row r="283">
      <c r="D283" s="13"/>
      <c r="G283" s="9"/>
      <c r="J283" s="121"/>
      <c r="M283" s="9"/>
      <c r="N283" s="9"/>
      <c r="O283" s="9"/>
    </row>
    <row r="284">
      <c r="D284" s="13"/>
      <c r="G284" s="9"/>
      <c r="J284" s="121"/>
      <c r="M284" s="9"/>
      <c r="N284" s="9"/>
      <c r="O284" s="9"/>
    </row>
    <row r="285">
      <c r="D285" s="13"/>
      <c r="G285" s="9"/>
      <c r="J285" s="121"/>
      <c r="M285" s="9"/>
      <c r="N285" s="9"/>
      <c r="O285" s="9"/>
    </row>
    <row r="286">
      <c r="D286" s="13"/>
      <c r="G286" s="9"/>
      <c r="J286" s="121"/>
      <c r="M286" s="9"/>
      <c r="N286" s="9"/>
      <c r="O286" s="9"/>
    </row>
    <row r="287">
      <c r="D287" s="13"/>
      <c r="G287" s="9"/>
      <c r="J287" s="121"/>
      <c r="M287" s="9"/>
      <c r="N287" s="9"/>
      <c r="O287" s="9"/>
    </row>
    <row r="288">
      <c r="D288" s="13"/>
      <c r="G288" s="9"/>
      <c r="J288" s="121"/>
      <c r="M288" s="9"/>
      <c r="N288" s="9"/>
      <c r="O288" s="9"/>
    </row>
    <row r="289">
      <c r="D289" s="13"/>
      <c r="G289" s="9"/>
      <c r="J289" s="121"/>
      <c r="M289" s="9"/>
      <c r="N289" s="9"/>
      <c r="O289" s="9"/>
    </row>
    <row r="290">
      <c r="D290" s="13"/>
      <c r="G290" s="9"/>
      <c r="J290" s="121"/>
      <c r="M290" s="9"/>
      <c r="N290" s="9"/>
      <c r="O290" s="9"/>
    </row>
    <row r="291">
      <c r="D291" s="13"/>
      <c r="G291" s="9"/>
      <c r="J291" s="121"/>
      <c r="M291" s="9"/>
      <c r="N291" s="9"/>
      <c r="O291" s="9"/>
    </row>
    <row r="292">
      <c r="D292" s="13"/>
      <c r="G292" s="9"/>
      <c r="J292" s="121"/>
      <c r="M292" s="9"/>
      <c r="N292" s="9"/>
      <c r="O292" s="9"/>
    </row>
    <row r="293">
      <c r="D293" s="13"/>
      <c r="G293" s="9"/>
      <c r="J293" s="121"/>
      <c r="M293" s="9"/>
      <c r="N293" s="9"/>
      <c r="O293" s="9"/>
    </row>
    <row r="294">
      <c r="D294" s="13"/>
      <c r="G294" s="9"/>
      <c r="J294" s="121"/>
      <c r="M294" s="9"/>
      <c r="N294" s="9"/>
      <c r="O294" s="9"/>
    </row>
    <row r="295">
      <c r="D295" s="13"/>
      <c r="G295" s="9"/>
      <c r="J295" s="121"/>
      <c r="M295" s="9"/>
      <c r="N295" s="9"/>
      <c r="O295" s="9"/>
    </row>
    <row r="296">
      <c r="D296" s="13"/>
      <c r="G296" s="9"/>
      <c r="J296" s="121"/>
      <c r="M296" s="9"/>
      <c r="N296" s="9"/>
      <c r="O296" s="9"/>
    </row>
    <row r="297">
      <c r="D297" s="13"/>
      <c r="G297" s="9"/>
      <c r="J297" s="121"/>
      <c r="M297" s="9"/>
      <c r="N297" s="9"/>
      <c r="O297" s="9"/>
    </row>
    <row r="298">
      <c r="D298" s="13"/>
      <c r="G298" s="9"/>
      <c r="J298" s="121"/>
      <c r="M298" s="9"/>
      <c r="N298" s="9"/>
      <c r="O298" s="9"/>
    </row>
    <row r="299">
      <c r="D299" s="13"/>
      <c r="G299" s="9"/>
      <c r="J299" s="121"/>
      <c r="M299" s="9"/>
      <c r="N299" s="9"/>
      <c r="O299" s="9"/>
    </row>
    <row r="300">
      <c r="D300" s="13"/>
      <c r="G300" s="9"/>
      <c r="J300" s="121"/>
      <c r="M300" s="9"/>
      <c r="N300" s="9"/>
      <c r="O300" s="9"/>
    </row>
    <row r="301">
      <c r="D301" s="13"/>
      <c r="G301" s="9"/>
      <c r="J301" s="121"/>
      <c r="M301" s="9"/>
      <c r="N301" s="9"/>
      <c r="O301" s="9"/>
    </row>
    <row r="302">
      <c r="D302" s="13"/>
      <c r="G302" s="9"/>
      <c r="J302" s="121"/>
      <c r="M302" s="9"/>
      <c r="N302" s="9"/>
      <c r="O302" s="9"/>
    </row>
    <row r="303">
      <c r="D303" s="13"/>
      <c r="G303" s="9"/>
      <c r="J303" s="121"/>
      <c r="M303" s="9"/>
      <c r="N303" s="9"/>
      <c r="O303" s="9"/>
    </row>
    <row r="304">
      <c r="D304" s="13"/>
      <c r="G304" s="9"/>
      <c r="J304" s="121"/>
      <c r="M304" s="9"/>
      <c r="N304" s="9"/>
      <c r="O304" s="9"/>
    </row>
    <row r="305">
      <c r="D305" s="13"/>
      <c r="G305" s="9"/>
      <c r="J305" s="121"/>
      <c r="M305" s="9"/>
      <c r="N305" s="9"/>
      <c r="O305" s="9"/>
    </row>
    <row r="306">
      <c r="D306" s="13"/>
      <c r="G306" s="9"/>
      <c r="J306" s="121"/>
      <c r="M306" s="9"/>
      <c r="N306" s="9"/>
      <c r="O306" s="9"/>
    </row>
    <row r="307">
      <c r="D307" s="13"/>
      <c r="G307" s="9"/>
      <c r="J307" s="121"/>
      <c r="M307" s="9"/>
      <c r="N307" s="9"/>
      <c r="O307" s="9"/>
    </row>
    <row r="308">
      <c r="D308" s="13"/>
      <c r="G308" s="9"/>
      <c r="J308" s="121"/>
      <c r="M308" s="9"/>
      <c r="N308" s="9"/>
      <c r="O308" s="9"/>
    </row>
    <row r="309">
      <c r="D309" s="13"/>
      <c r="G309" s="9"/>
      <c r="J309" s="121"/>
      <c r="M309" s="9"/>
      <c r="N309" s="9"/>
      <c r="O309" s="9"/>
    </row>
    <row r="310">
      <c r="D310" s="13"/>
      <c r="G310" s="9"/>
      <c r="J310" s="121"/>
      <c r="M310" s="9"/>
      <c r="N310" s="9"/>
      <c r="O310" s="9"/>
    </row>
    <row r="311">
      <c r="D311" s="13"/>
      <c r="G311" s="9"/>
      <c r="J311" s="121"/>
      <c r="M311" s="9"/>
      <c r="N311" s="9"/>
      <c r="O311" s="9"/>
    </row>
    <row r="312">
      <c r="D312" s="13"/>
      <c r="G312" s="9"/>
      <c r="J312" s="121"/>
      <c r="M312" s="9"/>
      <c r="N312" s="9"/>
      <c r="O312" s="9"/>
    </row>
    <row r="313">
      <c r="D313" s="13"/>
      <c r="G313" s="9"/>
      <c r="J313" s="121"/>
      <c r="M313" s="9"/>
      <c r="N313" s="9"/>
      <c r="O313" s="9"/>
    </row>
    <row r="314">
      <c r="D314" s="13"/>
      <c r="G314" s="9"/>
      <c r="J314" s="121"/>
      <c r="M314" s="9"/>
      <c r="N314" s="9"/>
      <c r="O314" s="9"/>
    </row>
    <row r="315">
      <c r="D315" s="13"/>
      <c r="G315" s="9"/>
      <c r="J315" s="121"/>
      <c r="M315" s="9"/>
      <c r="N315" s="9"/>
      <c r="O315" s="9"/>
    </row>
    <row r="316">
      <c r="D316" s="13"/>
      <c r="G316" s="9"/>
      <c r="J316" s="121"/>
      <c r="M316" s="9"/>
      <c r="N316" s="9"/>
      <c r="O316" s="9"/>
    </row>
    <row r="317">
      <c r="D317" s="13"/>
      <c r="G317" s="9"/>
      <c r="J317" s="121"/>
      <c r="M317" s="9"/>
      <c r="N317" s="9"/>
      <c r="O317" s="9"/>
    </row>
    <row r="318">
      <c r="D318" s="13"/>
      <c r="G318" s="9"/>
      <c r="J318" s="121"/>
      <c r="M318" s="9"/>
      <c r="N318" s="9"/>
      <c r="O318" s="9"/>
    </row>
    <row r="319">
      <c r="D319" s="13"/>
      <c r="G319" s="9"/>
      <c r="J319" s="121"/>
      <c r="M319" s="9"/>
      <c r="N319" s="9"/>
      <c r="O319" s="9"/>
    </row>
    <row r="320">
      <c r="D320" s="13"/>
      <c r="G320" s="9"/>
      <c r="J320" s="121"/>
      <c r="M320" s="9"/>
      <c r="N320" s="9"/>
      <c r="O320" s="9"/>
    </row>
    <row r="321">
      <c r="D321" s="13"/>
      <c r="G321" s="9"/>
      <c r="J321" s="121"/>
      <c r="M321" s="9"/>
      <c r="N321" s="9"/>
      <c r="O321" s="9"/>
    </row>
    <row r="322">
      <c r="D322" s="13"/>
      <c r="G322" s="9"/>
      <c r="J322" s="121"/>
      <c r="M322" s="9"/>
      <c r="N322" s="9"/>
      <c r="O322" s="9"/>
    </row>
    <row r="323">
      <c r="D323" s="13"/>
      <c r="G323" s="9"/>
      <c r="J323" s="121"/>
      <c r="M323" s="9"/>
      <c r="N323" s="9"/>
      <c r="O323" s="9"/>
    </row>
    <row r="324">
      <c r="D324" s="13"/>
      <c r="G324" s="9"/>
      <c r="J324" s="121"/>
      <c r="M324" s="9"/>
      <c r="N324" s="9"/>
      <c r="O324" s="9"/>
    </row>
    <row r="325">
      <c r="D325" s="13"/>
      <c r="G325" s="9"/>
      <c r="J325" s="121"/>
      <c r="M325" s="9"/>
      <c r="N325" s="9"/>
      <c r="O325" s="9"/>
    </row>
    <row r="326">
      <c r="D326" s="13"/>
      <c r="G326" s="9"/>
      <c r="J326" s="121"/>
      <c r="M326" s="9"/>
      <c r="N326" s="9"/>
      <c r="O326" s="9"/>
    </row>
    <row r="327">
      <c r="D327" s="13"/>
      <c r="G327" s="9"/>
      <c r="J327" s="121"/>
      <c r="M327" s="9"/>
      <c r="N327" s="9"/>
      <c r="O327" s="9"/>
    </row>
    <row r="328">
      <c r="D328" s="13"/>
      <c r="G328" s="9"/>
      <c r="J328" s="121"/>
      <c r="M328" s="9"/>
      <c r="N328" s="9"/>
      <c r="O328" s="9"/>
    </row>
    <row r="329">
      <c r="D329" s="13"/>
      <c r="G329" s="9"/>
      <c r="J329" s="121"/>
      <c r="M329" s="9"/>
      <c r="N329" s="9"/>
      <c r="O329" s="9"/>
    </row>
    <row r="330">
      <c r="D330" s="13"/>
      <c r="G330" s="9"/>
      <c r="J330" s="121"/>
      <c r="M330" s="9"/>
      <c r="N330" s="9"/>
      <c r="O330" s="9"/>
    </row>
    <row r="331">
      <c r="D331" s="13"/>
      <c r="G331" s="9"/>
      <c r="J331" s="121"/>
      <c r="M331" s="9"/>
      <c r="N331" s="9"/>
      <c r="O331" s="9"/>
    </row>
    <row r="332">
      <c r="D332" s="13"/>
      <c r="G332" s="9"/>
      <c r="J332" s="121"/>
      <c r="M332" s="9"/>
      <c r="N332" s="9"/>
      <c r="O332" s="9"/>
    </row>
    <row r="333">
      <c r="D333" s="13"/>
      <c r="G333" s="9"/>
      <c r="J333" s="121"/>
      <c r="M333" s="9"/>
      <c r="N333" s="9"/>
      <c r="O333" s="9"/>
    </row>
    <row r="334">
      <c r="D334" s="13"/>
      <c r="G334" s="9"/>
      <c r="J334" s="121"/>
      <c r="M334" s="9"/>
      <c r="N334" s="9"/>
      <c r="O334" s="9"/>
    </row>
    <row r="335">
      <c r="D335" s="13"/>
      <c r="G335" s="9"/>
      <c r="J335" s="121"/>
      <c r="M335" s="9"/>
      <c r="N335" s="9"/>
      <c r="O335" s="9"/>
    </row>
    <row r="336">
      <c r="D336" s="13"/>
      <c r="G336" s="9"/>
      <c r="J336" s="121"/>
      <c r="M336" s="9"/>
      <c r="N336" s="9"/>
      <c r="O336" s="9"/>
    </row>
    <row r="337">
      <c r="D337" s="13"/>
      <c r="G337" s="9"/>
      <c r="J337" s="121"/>
      <c r="M337" s="9"/>
      <c r="N337" s="9"/>
      <c r="O337" s="9"/>
    </row>
    <row r="338">
      <c r="D338" s="13"/>
      <c r="G338" s="9"/>
      <c r="J338" s="121"/>
      <c r="M338" s="9"/>
      <c r="N338" s="9"/>
      <c r="O338" s="9"/>
    </row>
    <row r="339">
      <c r="D339" s="13"/>
      <c r="G339" s="9"/>
      <c r="J339" s="121"/>
      <c r="M339" s="9"/>
      <c r="N339" s="9"/>
      <c r="O339" s="9"/>
    </row>
    <row r="340">
      <c r="D340" s="13"/>
      <c r="G340" s="9"/>
      <c r="J340" s="121"/>
      <c r="M340" s="9"/>
      <c r="N340" s="9"/>
      <c r="O340" s="9"/>
    </row>
    <row r="341">
      <c r="D341" s="13"/>
      <c r="G341" s="9"/>
      <c r="J341" s="121"/>
      <c r="M341" s="9"/>
      <c r="N341" s="9"/>
      <c r="O341" s="9"/>
    </row>
    <row r="342">
      <c r="D342" s="13"/>
      <c r="G342" s="9"/>
      <c r="J342" s="121"/>
      <c r="M342" s="9"/>
      <c r="N342" s="9"/>
      <c r="O342" s="9"/>
    </row>
    <row r="343">
      <c r="D343" s="13"/>
      <c r="G343" s="9"/>
      <c r="J343" s="121"/>
      <c r="M343" s="9"/>
      <c r="N343" s="9"/>
      <c r="O343" s="9"/>
    </row>
    <row r="344">
      <c r="D344" s="13"/>
      <c r="G344" s="9"/>
      <c r="J344" s="121"/>
      <c r="M344" s="9"/>
      <c r="N344" s="9"/>
      <c r="O344" s="9"/>
    </row>
    <row r="345">
      <c r="D345" s="13"/>
      <c r="G345" s="9"/>
      <c r="J345" s="121"/>
      <c r="M345" s="9"/>
      <c r="N345" s="9"/>
      <c r="O345" s="9"/>
    </row>
    <row r="346">
      <c r="D346" s="13"/>
      <c r="G346" s="9"/>
      <c r="J346" s="121"/>
      <c r="M346" s="9"/>
      <c r="N346" s="9"/>
      <c r="O346" s="9"/>
    </row>
    <row r="347">
      <c r="D347" s="13"/>
      <c r="G347" s="9"/>
      <c r="J347" s="121"/>
      <c r="M347" s="9"/>
      <c r="N347" s="9"/>
      <c r="O347" s="9"/>
    </row>
    <row r="348">
      <c r="D348" s="13"/>
      <c r="G348" s="9"/>
      <c r="J348" s="121"/>
      <c r="M348" s="9"/>
      <c r="N348" s="9"/>
      <c r="O348" s="9"/>
    </row>
    <row r="349">
      <c r="D349" s="13"/>
      <c r="G349" s="9"/>
      <c r="J349" s="121"/>
      <c r="M349" s="9"/>
      <c r="N349" s="9"/>
      <c r="O349" s="9"/>
    </row>
    <row r="350">
      <c r="D350" s="13"/>
      <c r="G350" s="9"/>
      <c r="J350" s="121"/>
      <c r="M350" s="9"/>
      <c r="N350" s="9"/>
      <c r="O350" s="9"/>
    </row>
    <row r="351">
      <c r="D351" s="13"/>
      <c r="G351" s="9"/>
      <c r="J351" s="121"/>
      <c r="M351" s="9"/>
      <c r="N351" s="9"/>
      <c r="O351" s="9"/>
    </row>
    <row r="352">
      <c r="D352" s="13"/>
      <c r="G352" s="9"/>
      <c r="J352" s="121"/>
      <c r="M352" s="9"/>
      <c r="N352" s="9"/>
      <c r="O352" s="9"/>
    </row>
    <row r="353">
      <c r="D353" s="13"/>
      <c r="G353" s="9"/>
      <c r="J353" s="121"/>
      <c r="M353" s="9"/>
      <c r="N353" s="9"/>
      <c r="O353" s="9"/>
    </row>
    <row r="354">
      <c r="D354" s="13"/>
      <c r="G354" s="9"/>
      <c r="J354" s="121"/>
      <c r="M354" s="9"/>
      <c r="N354" s="9"/>
      <c r="O354" s="9"/>
    </row>
    <row r="355">
      <c r="D355" s="13"/>
      <c r="G355" s="9"/>
      <c r="J355" s="121"/>
      <c r="M355" s="9"/>
      <c r="N355" s="9"/>
      <c r="O355" s="9"/>
    </row>
    <row r="356">
      <c r="D356" s="13"/>
      <c r="G356" s="9"/>
      <c r="J356" s="121"/>
      <c r="M356" s="9"/>
      <c r="N356" s="9"/>
      <c r="O356" s="9"/>
    </row>
    <row r="357">
      <c r="D357" s="13"/>
      <c r="G357" s="9"/>
      <c r="J357" s="121"/>
      <c r="M357" s="9"/>
      <c r="N357" s="9"/>
      <c r="O357" s="9"/>
    </row>
    <row r="358">
      <c r="D358" s="13"/>
      <c r="G358" s="9"/>
      <c r="J358" s="121"/>
      <c r="M358" s="9"/>
      <c r="N358" s="9"/>
      <c r="O358" s="9"/>
    </row>
    <row r="359">
      <c r="D359" s="13"/>
      <c r="G359" s="9"/>
      <c r="J359" s="121"/>
      <c r="M359" s="9"/>
      <c r="N359" s="9"/>
      <c r="O359" s="9"/>
    </row>
    <row r="360">
      <c r="D360" s="13"/>
      <c r="G360" s="9"/>
      <c r="J360" s="121"/>
      <c r="M360" s="9"/>
      <c r="N360" s="9"/>
      <c r="O360" s="9"/>
    </row>
    <row r="361">
      <c r="D361" s="13"/>
      <c r="G361" s="9"/>
      <c r="J361" s="121"/>
      <c r="M361" s="9"/>
      <c r="N361" s="9"/>
      <c r="O361" s="9"/>
    </row>
    <row r="362">
      <c r="D362" s="13"/>
      <c r="G362" s="9"/>
      <c r="J362" s="121"/>
      <c r="M362" s="9"/>
      <c r="N362" s="9"/>
      <c r="O362" s="9"/>
    </row>
    <row r="363">
      <c r="D363" s="13"/>
      <c r="G363" s="9"/>
      <c r="J363" s="121"/>
      <c r="M363" s="9"/>
      <c r="N363" s="9"/>
      <c r="O363" s="9"/>
    </row>
    <row r="364">
      <c r="D364" s="13"/>
      <c r="G364" s="9"/>
      <c r="J364" s="121"/>
      <c r="M364" s="9"/>
      <c r="N364" s="9"/>
      <c r="O364" s="9"/>
    </row>
    <row r="365">
      <c r="D365" s="13"/>
      <c r="G365" s="9"/>
      <c r="J365" s="121"/>
      <c r="M365" s="9"/>
      <c r="N365" s="9"/>
      <c r="O365" s="9"/>
    </row>
    <row r="366">
      <c r="D366" s="13"/>
      <c r="G366" s="9"/>
      <c r="J366" s="121"/>
      <c r="M366" s="9"/>
      <c r="N366" s="9"/>
      <c r="O366" s="9"/>
    </row>
    <row r="367">
      <c r="D367" s="13"/>
      <c r="G367" s="9"/>
      <c r="J367" s="121"/>
      <c r="M367" s="9"/>
      <c r="N367" s="9"/>
      <c r="O367" s="9"/>
    </row>
    <row r="368">
      <c r="D368" s="13"/>
      <c r="G368" s="9"/>
      <c r="J368" s="121"/>
      <c r="M368" s="9"/>
      <c r="N368" s="9"/>
      <c r="O368" s="9"/>
    </row>
    <row r="369">
      <c r="D369" s="13"/>
      <c r="G369" s="9"/>
      <c r="J369" s="121"/>
      <c r="M369" s="9"/>
      <c r="N369" s="9"/>
      <c r="O369" s="9"/>
    </row>
    <row r="370">
      <c r="D370" s="13"/>
      <c r="G370" s="9"/>
      <c r="J370" s="121"/>
      <c r="M370" s="9"/>
      <c r="N370" s="9"/>
      <c r="O370" s="9"/>
    </row>
    <row r="371">
      <c r="D371" s="13"/>
      <c r="G371" s="9"/>
      <c r="J371" s="121"/>
      <c r="M371" s="9"/>
      <c r="N371" s="9"/>
      <c r="O371" s="9"/>
    </row>
    <row r="372">
      <c r="D372" s="13"/>
      <c r="G372" s="9"/>
      <c r="J372" s="121"/>
      <c r="M372" s="9"/>
      <c r="N372" s="9"/>
      <c r="O372" s="9"/>
    </row>
    <row r="373">
      <c r="D373" s="13"/>
      <c r="G373" s="9"/>
      <c r="J373" s="121"/>
      <c r="M373" s="9"/>
      <c r="N373" s="9"/>
      <c r="O373" s="9"/>
    </row>
    <row r="374">
      <c r="D374" s="13"/>
      <c r="G374" s="9"/>
      <c r="J374" s="121"/>
      <c r="M374" s="9"/>
      <c r="N374" s="9"/>
      <c r="O374" s="9"/>
    </row>
    <row r="375">
      <c r="D375" s="13"/>
      <c r="G375" s="9"/>
      <c r="J375" s="121"/>
      <c r="M375" s="9"/>
      <c r="N375" s="9"/>
      <c r="O375" s="9"/>
    </row>
    <row r="376">
      <c r="D376" s="13"/>
      <c r="G376" s="9"/>
      <c r="J376" s="121"/>
      <c r="M376" s="9"/>
      <c r="N376" s="9"/>
      <c r="O376" s="9"/>
    </row>
    <row r="377">
      <c r="D377" s="13"/>
      <c r="G377" s="9"/>
      <c r="J377" s="121"/>
      <c r="M377" s="9"/>
      <c r="N377" s="9"/>
      <c r="O377" s="9"/>
    </row>
    <row r="378">
      <c r="D378" s="13"/>
      <c r="G378" s="9"/>
      <c r="J378" s="121"/>
      <c r="M378" s="9"/>
      <c r="N378" s="9"/>
      <c r="O378" s="9"/>
    </row>
    <row r="379">
      <c r="D379" s="13"/>
      <c r="G379" s="9"/>
      <c r="J379" s="121"/>
      <c r="M379" s="9"/>
      <c r="N379" s="9"/>
      <c r="O379" s="9"/>
    </row>
    <row r="380">
      <c r="D380" s="13"/>
      <c r="G380" s="9"/>
      <c r="J380" s="121"/>
      <c r="M380" s="9"/>
      <c r="N380" s="9"/>
      <c r="O380" s="9"/>
    </row>
    <row r="381">
      <c r="D381" s="13"/>
      <c r="G381" s="9"/>
      <c r="J381" s="121"/>
      <c r="M381" s="9"/>
      <c r="N381" s="9"/>
      <c r="O381" s="9"/>
    </row>
    <row r="382">
      <c r="D382" s="13"/>
      <c r="G382" s="9"/>
      <c r="J382" s="121"/>
      <c r="M382" s="9"/>
      <c r="N382" s="9"/>
      <c r="O382" s="9"/>
    </row>
    <row r="383">
      <c r="D383" s="13"/>
      <c r="G383" s="9"/>
      <c r="J383" s="121"/>
      <c r="M383" s="9"/>
      <c r="N383" s="9"/>
      <c r="O383" s="9"/>
    </row>
    <row r="384">
      <c r="D384" s="13"/>
      <c r="G384" s="9"/>
      <c r="J384" s="121"/>
      <c r="M384" s="9"/>
      <c r="N384" s="9"/>
      <c r="O384" s="9"/>
    </row>
    <row r="385">
      <c r="D385" s="13"/>
      <c r="G385" s="9"/>
      <c r="J385" s="121"/>
      <c r="M385" s="9"/>
      <c r="N385" s="9"/>
      <c r="O385" s="9"/>
    </row>
    <row r="386">
      <c r="D386" s="13"/>
      <c r="G386" s="9"/>
      <c r="J386" s="121"/>
      <c r="M386" s="9"/>
      <c r="N386" s="9"/>
      <c r="O386" s="9"/>
    </row>
    <row r="387">
      <c r="D387" s="13"/>
      <c r="G387" s="9"/>
      <c r="J387" s="121"/>
      <c r="M387" s="9"/>
      <c r="N387" s="9"/>
      <c r="O387" s="9"/>
    </row>
    <row r="388">
      <c r="D388" s="13"/>
      <c r="G388" s="9"/>
      <c r="J388" s="121"/>
      <c r="M388" s="9"/>
      <c r="N388" s="9"/>
      <c r="O388" s="9"/>
    </row>
    <row r="389">
      <c r="D389" s="13"/>
      <c r="G389" s="9"/>
      <c r="J389" s="121"/>
      <c r="M389" s="9"/>
      <c r="N389" s="9"/>
      <c r="O389" s="9"/>
    </row>
    <row r="390">
      <c r="D390" s="13"/>
      <c r="G390" s="9"/>
      <c r="J390" s="121"/>
      <c r="M390" s="9"/>
      <c r="N390" s="9"/>
      <c r="O390" s="9"/>
    </row>
    <row r="391">
      <c r="D391" s="13"/>
      <c r="G391" s="9"/>
      <c r="J391" s="121"/>
      <c r="M391" s="9"/>
      <c r="N391" s="9"/>
      <c r="O391" s="9"/>
    </row>
    <row r="392">
      <c r="D392" s="13"/>
      <c r="G392" s="9"/>
      <c r="J392" s="121"/>
      <c r="M392" s="9"/>
      <c r="N392" s="9"/>
      <c r="O392" s="9"/>
    </row>
    <row r="393">
      <c r="D393" s="13"/>
      <c r="G393" s="9"/>
      <c r="J393" s="121"/>
      <c r="M393" s="9"/>
      <c r="N393" s="9"/>
      <c r="O393" s="9"/>
    </row>
    <row r="394">
      <c r="D394" s="13"/>
      <c r="G394" s="9"/>
      <c r="J394" s="121"/>
      <c r="M394" s="9"/>
      <c r="N394" s="9"/>
      <c r="O394" s="9"/>
    </row>
    <row r="395">
      <c r="D395" s="13"/>
      <c r="G395" s="9"/>
      <c r="J395" s="121"/>
      <c r="M395" s="9"/>
      <c r="N395" s="9"/>
      <c r="O395" s="9"/>
    </row>
    <row r="396">
      <c r="D396" s="13"/>
      <c r="G396" s="9"/>
      <c r="J396" s="121"/>
      <c r="M396" s="9"/>
      <c r="N396" s="9"/>
      <c r="O396" s="9"/>
    </row>
    <row r="397">
      <c r="D397" s="13"/>
      <c r="G397" s="9"/>
      <c r="J397" s="121"/>
      <c r="M397" s="9"/>
      <c r="N397" s="9"/>
      <c r="O397" s="9"/>
    </row>
    <row r="398">
      <c r="D398" s="13"/>
      <c r="G398" s="9"/>
      <c r="J398" s="121"/>
      <c r="M398" s="9"/>
      <c r="N398" s="9"/>
      <c r="O398" s="9"/>
    </row>
    <row r="399">
      <c r="D399" s="13"/>
      <c r="G399" s="9"/>
      <c r="J399" s="121"/>
      <c r="M399" s="9"/>
      <c r="N399" s="9"/>
      <c r="O399" s="9"/>
    </row>
    <row r="400">
      <c r="D400" s="13"/>
      <c r="G400" s="9"/>
      <c r="J400" s="121"/>
      <c r="M400" s="9"/>
      <c r="N400" s="9"/>
      <c r="O400" s="9"/>
    </row>
    <row r="401">
      <c r="D401" s="13"/>
      <c r="G401" s="9"/>
      <c r="J401" s="121"/>
      <c r="M401" s="9"/>
      <c r="N401" s="9"/>
      <c r="O401" s="9"/>
    </row>
    <row r="402">
      <c r="D402" s="13"/>
      <c r="G402" s="9"/>
      <c r="J402" s="121"/>
      <c r="M402" s="9"/>
      <c r="N402" s="9"/>
      <c r="O402" s="9"/>
    </row>
    <row r="403">
      <c r="D403" s="13"/>
      <c r="G403" s="9"/>
      <c r="J403" s="121"/>
      <c r="M403" s="9"/>
      <c r="N403" s="9"/>
      <c r="O403" s="9"/>
    </row>
    <row r="404">
      <c r="D404" s="13"/>
      <c r="G404" s="9"/>
      <c r="J404" s="121"/>
      <c r="M404" s="9"/>
      <c r="N404" s="9"/>
      <c r="O404" s="9"/>
    </row>
    <row r="405">
      <c r="D405" s="13"/>
      <c r="G405" s="9"/>
      <c r="J405" s="121"/>
      <c r="M405" s="9"/>
      <c r="N405" s="9"/>
      <c r="O405" s="9"/>
    </row>
    <row r="406">
      <c r="D406" s="13"/>
      <c r="G406" s="9"/>
      <c r="J406" s="121"/>
      <c r="M406" s="9"/>
      <c r="N406" s="9"/>
      <c r="O406" s="9"/>
    </row>
    <row r="407">
      <c r="D407" s="13"/>
      <c r="G407" s="9"/>
      <c r="J407" s="121"/>
      <c r="M407" s="9"/>
      <c r="N407" s="9"/>
      <c r="O407" s="9"/>
    </row>
    <row r="408">
      <c r="D408" s="13"/>
      <c r="G408" s="9"/>
      <c r="J408" s="121"/>
      <c r="M408" s="9"/>
      <c r="N408" s="9"/>
      <c r="O408" s="9"/>
    </row>
    <row r="409">
      <c r="D409" s="13"/>
      <c r="G409" s="9"/>
      <c r="J409" s="121"/>
      <c r="M409" s="9"/>
      <c r="N409" s="9"/>
      <c r="O409" s="9"/>
    </row>
    <row r="410">
      <c r="D410" s="13"/>
      <c r="G410" s="9"/>
      <c r="J410" s="121"/>
      <c r="M410" s="9"/>
      <c r="N410" s="9"/>
      <c r="O410" s="9"/>
    </row>
    <row r="411">
      <c r="D411" s="13"/>
      <c r="G411" s="9"/>
      <c r="J411" s="121"/>
      <c r="M411" s="9"/>
      <c r="N411" s="9"/>
      <c r="O411" s="9"/>
    </row>
    <row r="412">
      <c r="D412" s="13"/>
      <c r="G412" s="9"/>
      <c r="J412" s="121"/>
      <c r="M412" s="9"/>
      <c r="N412" s="9"/>
      <c r="O412" s="9"/>
    </row>
    <row r="413">
      <c r="D413" s="13"/>
      <c r="G413" s="9"/>
      <c r="J413" s="121"/>
      <c r="M413" s="9"/>
      <c r="N413" s="9"/>
      <c r="O413" s="9"/>
    </row>
    <row r="414">
      <c r="D414" s="13"/>
      <c r="G414" s="9"/>
      <c r="J414" s="121"/>
      <c r="M414" s="9"/>
      <c r="N414" s="9"/>
      <c r="O414" s="9"/>
    </row>
    <row r="415">
      <c r="D415" s="13"/>
      <c r="G415" s="9"/>
      <c r="J415" s="121"/>
      <c r="M415" s="9"/>
      <c r="N415" s="9"/>
      <c r="O415" s="9"/>
    </row>
    <row r="416">
      <c r="D416" s="13"/>
      <c r="G416" s="9"/>
      <c r="J416" s="121"/>
      <c r="M416" s="9"/>
      <c r="N416" s="9"/>
      <c r="O416" s="9"/>
    </row>
    <row r="417">
      <c r="D417" s="13"/>
      <c r="G417" s="9"/>
      <c r="J417" s="121"/>
      <c r="M417" s="9"/>
      <c r="N417" s="9"/>
      <c r="O417" s="9"/>
    </row>
    <row r="418">
      <c r="D418" s="13"/>
      <c r="G418" s="9"/>
      <c r="J418" s="121"/>
      <c r="M418" s="9"/>
      <c r="N418" s="9"/>
      <c r="O418" s="9"/>
    </row>
    <row r="419">
      <c r="D419" s="13"/>
      <c r="G419" s="9"/>
      <c r="J419" s="121"/>
      <c r="M419" s="9"/>
      <c r="N419" s="9"/>
      <c r="O419" s="9"/>
    </row>
    <row r="420">
      <c r="D420" s="13"/>
      <c r="G420" s="9"/>
      <c r="J420" s="121"/>
      <c r="M420" s="9"/>
      <c r="N420" s="9"/>
      <c r="O420" s="9"/>
    </row>
    <row r="421">
      <c r="D421" s="13"/>
      <c r="G421" s="9"/>
      <c r="J421" s="121"/>
      <c r="M421" s="9"/>
      <c r="N421" s="9"/>
      <c r="O421" s="9"/>
    </row>
    <row r="422">
      <c r="D422" s="13"/>
      <c r="G422" s="9"/>
      <c r="J422" s="121"/>
      <c r="M422" s="9"/>
      <c r="N422" s="9"/>
      <c r="O422" s="9"/>
    </row>
    <row r="423">
      <c r="D423" s="13"/>
      <c r="G423" s="9"/>
      <c r="J423" s="121"/>
      <c r="M423" s="9"/>
      <c r="N423" s="9"/>
      <c r="O423" s="9"/>
    </row>
    <row r="424">
      <c r="D424" s="13"/>
      <c r="G424" s="9"/>
      <c r="J424" s="121"/>
      <c r="M424" s="9"/>
      <c r="N424" s="9"/>
      <c r="O424" s="9"/>
    </row>
    <row r="425">
      <c r="D425" s="13"/>
      <c r="G425" s="9"/>
      <c r="J425" s="121"/>
      <c r="M425" s="9"/>
      <c r="N425" s="9"/>
      <c r="O425" s="9"/>
    </row>
    <row r="426">
      <c r="D426" s="13"/>
      <c r="G426" s="9"/>
      <c r="J426" s="121"/>
      <c r="M426" s="9"/>
      <c r="N426" s="9"/>
      <c r="O426" s="9"/>
    </row>
    <row r="427">
      <c r="D427" s="13"/>
      <c r="G427" s="9"/>
      <c r="J427" s="121"/>
      <c r="M427" s="9"/>
      <c r="N427" s="9"/>
      <c r="O427" s="9"/>
    </row>
    <row r="428">
      <c r="D428" s="13"/>
      <c r="G428" s="9"/>
      <c r="J428" s="121"/>
      <c r="M428" s="9"/>
      <c r="N428" s="9"/>
      <c r="O428" s="9"/>
    </row>
    <row r="429">
      <c r="D429" s="13"/>
      <c r="G429" s="9"/>
      <c r="J429" s="121"/>
      <c r="M429" s="9"/>
      <c r="N429" s="9"/>
      <c r="O429" s="9"/>
    </row>
    <row r="430">
      <c r="D430" s="13"/>
      <c r="G430" s="9"/>
      <c r="J430" s="121"/>
      <c r="M430" s="9"/>
      <c r="N430" s="9"/>
      <c r="O430" s="9"/>
    </row>
    <row r="431">
      <c r="D431" s="13"/>
      <c r="G431" s="9"/>
      <c r="J431" s="121"/>
      <c r="M431" s="9"/>
      <c r="N431" s="9"/>
      <c r="O431" s="9"/>
    </row>
    <row r="432">
      <c r="D432" s="13"/>
      <c r="G432" s="9"/>
      <c r="J432" s="121"/>
      <c r="M432" s="9"/>
      <c r="N432" s="9"/>
      <c r="O432" s="9"/>
    </row>
    <row r="433">
      <c r="D433" s="13"/>
      <c r="G433" s="9"/>
      <c r="J433" s="121"/>
      <c r="M433" s="9"/>
      <c r="N433" s="9"/>
      <c r="O433" s="9"/>
    </row>
    <row r="434">
      <c r="D434" s="13"/>
      <c r="G434" s="9"/>
      <c r="J434" s="121"/>
      <c r="M434" s="9"/>
      <c r="N434" s="9"/>
      <c r="O434" s="9"/>
    </row>
    <row r="435">
      <c r="D435" s="13"/>
      <c r="G435" s="9"/>
      <c r="J435" s="121"/>
      <c r="M435" s="9"/>
      <c r="N435" s="9"/>
      <c r="O435" s="9"/>
    </row>
    <row r="436">
      <c r="D436" s="13"/>
      <c r="G436" s="9"/>
      <c r="J436" s="121"/>
      <c r="M436" s="9"/>
      <c r="N436" s="9"/>
      <c r="O436" s="9"/>
    </row>
    <row r="437">
      <c r="D437" s="13"/>
      <c r="G437" s="9"/>
      <c r="J437" s="121"/>
      <c r="M437" s="9"/>
      <c r="N437" s="9"/>
      <c r="O437" s="9"/>
    </row>
    <row r="438">
      <c r="D438" s="13"/>
      <c r="G438" s="9"/>
      <c r="J438" s="121"/>
      <c r="M438" s="9"/>
      <c r="N438" s="9"/>
      <c r="O438" s="9"/>
    </row>
    <row r="439">
      <c r="D439" s="13"/>
      <c r="G439" s="9"/>
      <c r="J439" s="121"/>
      <c r="M439" s="9"/>
      <c r="N439" s="9"/>
      <c r="O439" s="9"/>
    </row>
    <row r="440">
      <c r="D440" s="13"/>
      <c r="G440" s="9"/>
      <c r="J440" s="121"/>
      <c r="M440" s="9"/>
      <c r="N440" s="9"/>
      <c r="O440" s="9"/>
    </row>
    <row r="441">
      <c r="D441" s="13"/>
      <c r="G441" s="9"/>
      <c r="J441" s="121"/>
      <c r="M441" s="9"/>
      <c r="N441" s="9"/>
      <c r="O441" s="9"/>
    </row>
    <row r="442">
      <c r="D442" s="13"/>
      <c r="G442" s="9"/>
      <c r="J442" s="121"/>
      <c r="M442" s="9"/>
      <c r="N442" s="9"/>
      <c r="O442" s="9"/>
    </row>
    <row r="443">
      <c r="D443" s="13"/>
      <c r="G443" s="9"/>
      <c r="J443" s="121"/>
      <c r="M443" s="9"/>
      <c r="N443" s="9"/>
      <c r="O443" s="9"/>
    </row>
    <row r="444">
      <c r="D444" s="13"/>
      <c r="G444" s="9"/>
      <c r="J444" s="121"/>
      <c r="M444" s="9"/>
      <c r="N444" s="9"/>
      <c r="O444" s="9"/>
    </row>
    <row r="445">
      <c r="D445" s="13"/>
      <c r="G445" s="9"/>
      <c r="J445" s="121"/>
      <c r="M445" s="9"/>
      <c r="N445" s="9"/>
      <c r="O445" s="9"/>
    </row>
    <row r="446">
      <c r="D446" s="13"/>
      <c r="G446" s="9"/>
      <c r="J446" s="121"/>
      <c r="M446" s="9"/>
      <c r="N446" s="9"/>
      <c r="O446" s="9"/>
    </row>
    <row r="447">
      <c r="D447" s="13"/>
      <c r="G447" s="9"/>
      <c r="J447" s="121"/>
      <c r="M447" s="9"/>
      <c r="N447" s="9"/>
      <c r="O447" s="9"/>
    </row>
    <row r="448">
      <c r="D448" s="13"/>
      <c r="G448" s="9"/>
      <c r="J448" s="121"/>
      <c r="M448" s="9"/>
      <c r="N448" s="9"/>
      <c r="O448" s="9"/>
    </row>
    <row r="449">
      <c r="D449" s="13"/>
      <c r="G449" s="9"/>
      <c r="J449" s="121"/>
      <c r="M449" s="9"/>
      <c r="N449" s="9"/>
      <c r="O449" s="9"/>
    </row>
    <row r="450">
      <c r="D450" s="13"/>
      <c r="G450" s="9"/>
      <c r="J450" s="121"/>
      <c r="M450" s="9"/>
      <c r="N450" s="9"/>
      <c r="O450" s="9"/>
    </row>
    <row r="451">
      <c r="D451" s="13"/>
      <c r="G451" s="9"/>
      <c r="J451" s="121"/>
      <c r="M451" s="9"/>
      <c r="N451" s="9"/>
      <c r="O451" s="9"/>
    </row>
    <row r="452">
      <c r="D452" s="13"/>
      <c r="G452" s="9"/>
      <c r="J452" s="121"/>
      <c r="M452" s="9"/>
      <c r="N452" s="9"/>
      <c r="O452" s="9"/>
    </row>
    <row r="453">
      <c r="D453" s="13"/>
      <c r="G453" s="9"/>
      <c r="J453" s="121"/>
      <c r="M453" s="9"/>
      <c r="N453" s="9"/>
      <c r="O453" s="9"/>
    </row>
    <row r="454">
      <c r="D454" s="13"/>
      <c r="G454" s="9"/>
      <c r="J454" s="121"/>
      <c r="M454" s="9"/>
      <c r="N454" s="9"/>
      <c r="O454" s="9"/>
    </row>
    <row r="455">
      <c r="D455" s="13"/>
      <c r="G455" s="9"/>
      <c r="J455" s="121"/>
      <c r="M455" s="9"/>
      <c r="N455" s="9"/>
      <c r="O455" s="9"/>
    </row>
    <row r="456">
      <c r="D456" s="13"/>
      <c r="G456" s="9"/>
      <c r="J456" s="121"/>
      <c r="M456" s="9"/>
      <c r="N456" s="9"/>
      <c r="O456" s="9"/>
    </row>
    <row r="457">
      <c r="D457" s="13"/>
      <c r="G457" s="9"/>
      <c r="J457" s="121"/>
      <c r="M457" s="9"/>
      <c r="N457" s="9"/>
      <c r="O457" s="9"/>
    </row>
    <row r="458">
      <c r="D458" s="13"/>
      <c r="G458" s="9"/>
      <c r="J458" s="121"/>
      <c r="M458" s="9"/>
      <c r="N458" s="9"/>
      <c r="O458" s="9"/>
    </row>
    <row r="459">
      <c r="D459" s="13"/>
      <c r="G459" s="9"/>
      <c r="J459" s="121"/>
      <c r="M459" s="9"/>
      <c r="N459" s="9"/>
      <c r="O459" s="9"/>
    </row>
    <row r="460">
      <c r="D460" s="13"/>
      <c r="G460" s="9"/>
      <c r="J460" s="121"/>
      <c r="M460" s="9"/>
      <c r="N460" s="9"/>
      <c r="O460" s="9"/>
    </row>
    <row r="461">
      <c r="D461" s="13"/>
      <c r="G461" s="9"/>
      <c r="J461" s="121"/>
      <c r="M461" s="9"/>
      <c r="N461" s="9"/>
      <c r="O461" s="9"/>
    </row>
    <row r="462">
      <c r="D462" s="13"/>
      <c r="G462" s="9"/>
      <c r="J462" s="121"/>
      <c r="M462" s="9"/>
      <c r="N462" s="9"/>
      <c r="O462" s="9"/>
    </row>
    <row r="463">
      <c r="D463" s="13"/>
      <c r="G463" s="9"/>
      <c r="J463" s="121"/>
      <c r="M463" s="9"/>
      <c r="N463" s="9"/>
      <c r="O463" s="9"/>
    </row>
    <row r="464">
      <c r="D464" s="13"/>
      <c r="G464" s="9"/>
      <c r="J464" s="121"/>
      <c r="M464" s="9"/>
      <c r="N464" s="9"/>
      <c r="O464" s="9"/>
    </row>
    <row r="465">
      <c r="D465" s="13"/>
      <c r="G465" s="9"/>
      <c r="J465" s="121"/>
      <c r="M465" s="9"/>
      <c r="N465" s="9"/>
      <c r="O465" s="9"/>
    </row>
    <row r="466">
      <c r="D466" s="13"/>
      <c r="G466" s="9"/>
      <c r="J466" s="121"/>
      <c r="M466" s="9"/>
      <c r="N466" s="9"/>
      <c r="O466" s="9"/>
    </row>
    <row r="467">
      <c r="D467" s="13"/>
      <c r="G467" s="9"/>
      <c r="J467" s="121"/>
      <c r="M467" s="9"/>
      <c r="N467" s="9"/>
      <c r="O467" s="9"/>
    </row>
    <row r="468">
      <c r="D468" s="13"/>
      <c r="G468" s="9"/>
      <c r="J468" s="121"/>
      <c r="M468" s="9"/>
      <c r="N468" s="9"/>
      <c r="O468" s="9"/>
    </row>
    <row r="469">
      <c r="D469" s="13"/>
      <c r="G469" s="9"/>
      <c r="J469" s="121"/>
      <c r="M469" s="9"/>
      <c r="N469" s="9"/>
      <c r="O469" s="9"/>
    </row>
    <row r="470">
      <c r="D470" s="13"/>
      <c r="G470" s="9"/>
      <c r="J470" s="121"/>
      <c r="M470" s="9"/>
      <c r="N470" s="9"/>
      <c r="O470" s="9"/>
    </row>
    <row r="471">
      <c r="D471" s="13"/>
      <c r="G471" s="9"/>
      <c r="J471" s="121"/>
      <c r="M471" s="9"/>
      <c r="N471" s="9"/>
      <c r="O471" s="9"/>
    </row>
    <row r="472">
      <c r="D472" s="13"/>
      <c r="G472" s="9"/>
      <c r="J472" s="121"/>
      <c r="M472" s="9"/>
      <c r="N472" s="9"/>
      <c r="O472" s="9"/>
    </row>
    <row r="473">
      <c r="D473" s="13"/>
      <c r="G473" s="9"/>
      <c r="J473" s="121"/>
      <c r="M473" s="9"/>
      <c r="N473" s="9"/>
      <c r="O473" s="9"/>
    </row>
    <row r="474">
      <c r="D474" s="13"/>
      <c r="G474" s="9"/>
      <c r="J474" s="121"/>
      <c r="M474" s="9"/>
      <c r="N474" s="9"/>
      <c r="O474" s="9"/>
    </row>
    <row r="475">
      <c r="D475" s="13"/>
      <c r="G475" s="9"/>
      <c r="J475" s="121"/>
      <c r="M475" s="9"/>
      <c r="N475" s="9"/>
      <c r="O475" s="9"/>
    </row>
    <row r="476">
      <c r="D476" s="13"/>
      <c r="G476" s="9"/>
      <c r="J476" s="121"/>
      <c r="M476" s="9"/>
      <c r="N476" s="9"/>
      <c r="O476" s="9"/>
    </row>
    <row r="477">
      <c r="D477" s="13"/>
      <c r="G477" s="9"/>
      <c r="J477" s="121"/>
      <c r="M477" s="9"/>
      <c r="N477" s="9"/>
      <c r="O477" s="9"/>
    </row>
    <row r="478">
      <c r="D478" s="13"/>
      <c r="G478" s="9"/>
      <c r="J478" s="121"/>
      <c r="M478" s="9"/>
      <c r="N478" s="9"/>
      <c r="O478" s="9"/>
    </row>
    <row r="479">
      <c r="D479" s="13"/>
      <c r="G479" s="9"/>
      <c r="J479" s="121"/>
      <c r="M479" s="9"/>
      <c r="N479" s="9"/>
      <c r="O479" s="9"/>
    </row>
    <row r="480">
      <c r="D480" s="13"/>
      <c r="G480" s="9"/>
      <c r="J480" s="121"/>
      <c r="M480" s="9"/>
      <c r="N480" s="9"/>
      <c r="O480" s="9"/>
    </row>
    <row r="481">
      <c r="D481" s="13"/>
      <c r="G481" s="9"/>
      <c r="J481" s="121"/>
      <c r="M481" s="9"/>
      <c r="N481" s="9"/>
      <c r="O481" s="9"/>
    </row>
    <row r="482">
      <c r="D482" s="13"/>
      <c r="G482" s="9"/>
      <c r="J482" s="121"/>
      <c r="M482" s="9"/>
      <c r="N482" s="9"/>
      <c r="O482" s="9"/>
    </row>
    <row r="483">
      <c r="D483" s="13"/>
      <c r="G483" s="9"/>
      <c r="J483" s="121"/>
      <c r="M483" s="9"/>
      <c r="N483" s="9"/>
      <c r="O483" s="9"/>
    </row>
    <row r="484">
      <c r="D484" s="13"/>
      <c r="G484" s="9"/>
      <c r="J484" s="121"/>
      <c r="M484" s="9"/>
      <c r="N484" s="9"/>
      <c r="O484" s="9"/>
    </row>
    <row r="485">
      <c r="D485" s="13"/>
      <c r="G485" s="9"/>
      <c r="J485" s="121"/>
      <c r="M485" s="9"/>
      <c r="N485" s="9"/>
      <c r="O485" s="9"/>
    </row>
    <row r="486">
      <c r="D486" s="13"/>
      <c r="G486" s="9"/>
      <c r="J486" s="121"/>
      <c r="M486" s="9"/>
      <c r="N486" s="9"/>
      <c r="O486" s="9"/>
    </row>
    <row r="487">
      <c r="D487" s="13"/>
      <c r="G487" s="9"/>
      <c r="J487" s="121"/>
      <c r="M487" s="9"/>
      <c r="N487" s="9"/>
      <c r="O487" s="9"/>
    </row>
    <row r="488">
      <c r="D488" s="13"/>
      <c r="G488" s="9"/>
      <c r="J488" s="121"/>
      <c r="M488" s="9"/>
      <c r="N488" s="9"/>
      <c r="O488" s="9"/>
    </row>
    <row r="489">
      <c r="D489" s="13"/>
      <c r="G489" s="9"/>
      <c r="J489" s="121"/>
      <c r="M489" s="9"/>
      <c r="N489" s="9"/>
      <c r="O489" s="9"/>
    </row>
    <row r="490">
      <c r="D490" s="13"/>
      <c r="G490" s="9"/>
      <c r="J490" s="121"/>
      <c r="M490" s="9"/>
      <c r="N490" s="9"/>
      <c r="O490" s="9"/>
    </row>
    <row r="491">
      <c r="D491" s="13"/>
      <c r="G491" s="9"/>
      <c r="J491" s="121"/>
      <c r="M491" s="9"/>
      <c r="N491" s="9"/>
      <c r="O491" s="9"/>
    </row>
    <row r="492">
      <c r="D492" s="13"/>
      <c r="G492" s="9"/>
      <c r="J492" s="121"/>
      <c r="M492" s="9"/>
      <c r="N492" s="9"/>
      <c r="O492" s="9"/>
    </row>
    <row r="493">
      <c r="D493" s="13"/>
      <c r="G493" s="9"/>
      <c r="J493" s="121"/>
      <c r="M493" s="9"/>
      <c r="N493" s="9"/>
      <c r="O493" s="9"/>
    </row>
    <row r="494">
      <c r="D494" s="13"/>
      <c r="G494" s="9"/>
      <c r="J494" s="121"/>
      <c r="M494" s="9"/>
      <c r="N494" s="9"/>
      <c r="O494" s="9"/>
    </row>
    <row r="495">
      <c r="D495" s="13"/>
      <c r="G495" s="9"/>
      <c r="J495" s="121"/>
      <c r="M495" s="9"/>
      <c r="N495" s="9"/>
      <c r="O495" s="9"/>
    </row>
    <row r="496">
      <c r="D496" s="13"/>
      <c r="G496" s="9"/>
      <c r="J496" s="121"/>
      <c r="M496" s="9"/>
      <c r="N496" s="9"/>
      <c r="O496" s="9"/>
    </row>
    <row r="497">
      <c r="D497" s="13"/>
      <c r="G497" s="9"/>
      <c r="J497" s="121"/>
      <c r="M497" s="9"/>
      <c r="N497" s="9"/>
      <c r="O497" s="9"/>
    </row>
    <row r="498">
      <c r="D498" s="13"/>
      <c r="G498" s="9"/>
      <c r="J498" s="121"/>
      <c r="M498" s="9"/>
      <c r="N498" s="9"/>
      <c r="O498" s="9"/>
    </row>
    <row r="499">
      <c r="D499" s="13"/>
      <c r="G499" s="9"/>
      <c r="J499" s="121"/>
      <c r="M499" s="9"/>
      <c r="N499" s="9"/>
      <c r="O499" s="9"/>
    </row>
    <row r="500">
      <c r="D500" s="13"/>
      <c r="G500" s="9"/>
      <c r="J500" s="121"/>
      <c r="M500" s="9"/>
      <c r="N500" s="9"/>
      <c r="O500" s="9"/>
    </row>
    <row r="501">
      <c r="D501" s="13"/>
      <c r="G501" s="9"/>
      <c r="J501" s="121"/>
      <c r="M501" s="9"/>
      <c r="N501" s="9"/>
      <c r="O501" s="9"/>
    </row>
    <row r="502">
      <c r="D502" s="13"/>
      <c r="G502" s="9"/>
      <c r="J502" s="121"/>
      <c r="M502" s="9"/>
      <c r="N502" s="9"/>
      <c r="O502" s="9"/>
    </row>
    <row r="503">
      <c r="D503" s="13"/>
      <c r="G503" s="9"/>
      <c r="J503" s="121"/>
      <c r="M503" s="9"/>
      <c r="N503" s="9"/>
      <c r="O503" s="9"/>
    </row>
    <row r="504">
      <c r="D504" s="13"/>
      <c r="G504" s="9"/>
      <c r="J504" s="121"/>
      <c r="M504" s="9"/>
      <c r="N504" s="9"/>
      <c r="O504" s="9"/>
    </row>
    <row r="505">
      <c r="D505" s="13"/>
      <c r="G505" s="9"/>
      <c r="J505" s="121"/>
      <c r="M505" s="9"/>
      <c r="N505" s="9"/>
      <c r="O505" s="9"/>
    </row>
    <row r="506">
      <c r="D506" s="13"/>
      <c r="G506" s="9"/>
      <c r="J506" s="121"/>
      <c r="M506" s="9"/>
      <c r="N506" s="9"/>
      <c r="O506" s="9"/>
    </row>
    <row r="507">
      <c r="D507" s="13"/>
      <c r="G507" s="9"/>
      <c r="J507" s="121"/>
      <c r="M507" s="9"/>
      <c r="N507" s="9"/>
      <c r="O507" s="9"/>
    </row>
    <row r="508">
      <c r="D508" s="13"/>
      <c r="G508" s="9"/>
      <c r="J508" s="121"/>
      <c r="M508" s="9"/>
      <c r="N508" s="9"/>
      <c r="O508" s="9"/>
    </row>
    <row r="509">
      <c r="D509" s="13"/>
      <c r="G509" s="9"/>
      <c r="J509" s="121"/>
      <c r="M509" s="9"/>
      <c r="N509" s="9"/>
      <c r="O509" s="9"/>
    </row>
    <row r="510">
      <c r="D510" s="13"/>
      <c r="G510" s="9"/>
      <c r="J510" s="121"/>
      <c r="M510" s="9"/>
      <c r="N510" s="9"/>
      <c r="O510" s="9"/>
    </row>
    <row r="511">
      <c r="D511" s="13"/>
      <c r="G511" s="9"/>
      <c r="J511" s="121"/>
      <c r="M511" s="9"/>
      <c r="N511" s="9"/>
      <c r="O511" s="9"/>
    </row>
    <row r="512">
      <c r="D512" s="13"/>
      <c r="G512" s="9"/>
      <c r="J512" s="121"/>
      <c r="M512" s="9"/>
      <c r="N512" s="9"/>
      <c r="O512" s="9"/>
    </row>
    <row r="513">
      <c r="D513" s="13"/>
      <c r="G513" s="9"/>
      <c r="J513" s="121"/>
      <c r="M513" s="9"/>
      <c r="N513" s="9"/>
      <c r="O513" s="9"/>
    </row>
    <row r="514">
      <c r="D514" s="13"/>
      <c r="G514" s="9"/>
      <c r="J514" s="121"/>
      <c r="M514" s="9"/>
      <c r="N514" s="9"/>
      <c r="O514" s="9"/>
    </row>
    <row r="515">
      <c r="D515" s="13"/>
      <c r="G515" s="9"/>
      <c r="J515" s="121"/>
      <c r="M515" s="9"/>
      <c r="N515" s="9"/>
      <c r="O515" s="9"/>
    </row>
    <row r="516">
      <c r="D516" s="13"/>
      <c r="G516" s="9"/>
      <c r="J516" s="121"/>
      <c r="M516" s="9"/>
      <c r="N516" s="9"/>
      <c r="O516" s="9"/>
    </row>
    <row r="517">
      <c r="D517" s="13"/>
      <c r="G517" s="9"/>
      <c r="J517" s="121"/>
      <c r="M517" s="9"/>
      <c r="N517" s="9"/>
      <c r="O517" s="9"/>
    </row>
    <row r="518">
      <c r="D518" s="13"/>
      <c r="G518" s="9"/>
      <c r="J518" s="121"/>
      <c r="M518" s="9"/>
      <c r="N518" s="9"/>
      <c r="O518" s="9"/>
    </row>
    <row r="519">
      <c r="D519" s="13"/>
      <c r="G519" s="9"/>
      <c r="J519" s="121"/>
      <c r="M519" s="9"/>
      <c r="N519" s="9"/>
      <c r="O519" s="9"/>
    </row>
    <row r="520">
      <c r="D520" s="13"/>
      <c r="G520" s="9"/>
      <c r="J520" s="121"/>
      <c r="M520" s="9"/>
      <c r="N520" s="9"/>
      <c r="O520" s="9"/>
    </row>
    <row r="521">
      <c r="D521" s="13"/>
      <c r="G521" s="9"/>
      <c r="J521" s="121"/>
      <c r="M521" s="9"/>
      <c r="N521" s="9"/>
      <c r="O521" s="9"/>
    </row>
    <row r="522">
      <c r="D522" s="13"/>
      <c r="G522" s="9"/>
      <c r="J522" s="121"/>
      <c r="M522" s="9"/>
      <c r="N522" s="9"/>
      <c r="O522" s="9"/>
    </row>
    <row r="523">
      <c r="D523" s="13"/>
      <c r="G523" s="9"/>
      <c r="J523" s="121"/>
      <c r="M523" s="9"/>
      <c r="N523" s="9"/>
      <c r="O523" s="9"/>
    </row>
    <row r="524">
      <c r="D524" s="13"/>
      <c r="G524" s="9"/>
      <c r="J524" s="121"/>
      <c r="M524" s="9"/>
      <c r="N524" s="9"/>
      <c r="O524" s="9"/>
    </row>
    <row r="525">
      <c r="D525" s="13"/>
      <c r="G525" s="9"/>
      <c r="J525" s="121"/>
      <c r="M525" s="9"/>
      <c r="N525" s="9"/>
      <c r="O525" s="9"/>
    </row>
    <row r="526">
      <c r="D526" s="13"/>
      <c r="G526" s="9"/>
      <c r="J526" s="121"/>
      <c r="M526" s="9"/>
      <c r="N526" s="9"/>
      <c r="O526" s="9"/>
    </row>
    <row r="527">
      <c r="D527" s="13"/>
      <c r="G527" s="9"/>
      <c r="J527" s="121"/>
      <c r="M527" s="9"/>
      <c r="N527" s="9"/>
      <c r="O527" s="9"/>
    </row>
    <row r="528">
      <c r="D528" s="13"/>
      <c r="G528" s="9"/>
      <c r="J528" s="121"/>
      <c r="M528" s="9"/>
      <c r="N528" s="9"/>
      <c r="O528" s="9"/>
    </row>
    <row r="529">
      <c r="D529" s="13"/>
      <c r="G529" s="9"/>
      <c r="J529" s="121"/>
      <c r="M529" s="9"/>
      <c r="N529" s="9"/>
      <c r="O529" s="9"/>
    </row>
    <row r="530">
      <c r="D530" s="13"/>
      <c r="G530" s="9"/>
      <c r="J530" s="121"/>
      <c r="M530" s="9"/>
      <c r="N530" s="9"/>
      <c r="O530" s="9"/>
    </row>
    <row r="531">
      <c r="D531" s="13"/>
      <c r="G531" s="9"/>
      <c r="J531" s="121"/>
      <c r="M531" s="9"/>
      <c r="N531" s="9"/>
      <c r="O531" s="9"/>
    </row>
    <row r="532">
      <c r="D532" s="13"/>
      <c r="G532" s="9"/>
      <c r="J532" s="121"/>
      <c r="M532" s="9"/>
      <c r="N532" s="9"/>
      <c r="O532" s="9"/>
    </row>
    <row r="533">
      <c r="D533" s="13"/>
      <c r="G533" s="9"/>
      <c r="J533" s="121"/>
      <c r="M533" s="9"/>
      <c r="N533" s="9"/>
      <c r="O533" s="9"/>
    </row>
    <row r="534">
      <c r="D534" s="13"/>
      <c r="G534" s="9"/>
      <c r="J534" s="121"/>
      <c r="M534" s="9"/>
      <c r="N534" s="9"/>
      <c r="O534" s="9"/>
    </row>
    <row r="535">
      <c r="D535" s="13"/>
      <c r="G535" s="9"/>
      <c r="J535" s="121"/>
      <c r="M535" s="9"/>
      <c r="N535" s="9"/>
      <c r="O535" s="9"/>
    </row>
    <row r="536">
      <c r="D536" s="13"/>
      <c r="G536" s="9"/>
      <c r="J536" s="121"/>
      <c r="M536" s="9"/>
      <c r="N536" s="9"/>
      <c r="O536" s="9"/>
    </row>
    <row r="537">
      <c r="D537" s="13"/>
      <c r="G537" s="9"/>
      <c r="J537" s="121"/>
      <c r="M537" s="9"/>
      <c r="N537" s="9"/>
      <c r="O537" s="9"/>
    </row>
    <row r="538">
      <c r="D538" s="13"/>
      <c r="G538" s="9"/>
      <c r="J538" s="121"/>
      <c r="M538" s="9"/>
      <c r="N538" s="9"/>
      <c r="O538" s="9"/>
    </row>
    <row r="539">
      <c r="D539" s="13"/>
      <c r="G539" s="9"/>
      <c r="J539" s="121"/>
      <c r="M539" s="9"/>
      <c r="N539" s="9"/>
      <c r="O539" s="9"/>
    </row>
    <row r="540">
      <c r="D540" s="13"/>
      <c r="G540" s="9"/>
      <c r="J540" s="121"/>
      <c r="M540" s="9"/>
      <c r="N540" s="9"/>
      <c r="O540" s="9"/>
    </row>
    <row r="541">
      <c r="D541" s="13"/>
      <c r="G541" s="9"/>
      <c r="J541" s="121"/>
      <c r="M541" s="9"/>
      <c r="N541" s="9"/>
      <c r="O541" s="9"/>
    </row>
    <row r="542">
      <c r="D542" s="13"/>
      <c r="G542" s="9"/>
      <c r="J542" s="121"/>
      <c r="M542" s="9"/>
      <c r="N542" s="9"/>
      <c r="O542" s="9"/>
    </row>
    <row r="543">
      <c r="D543" s="13"/>
      <c r="G543" s="9"/>
      <c r="J543" s="121"/>
      <c r="M543" s="9"/>
      <c r="N543" s="9"/>
      <c r="O543" s="9"/>
    </row>
    <row r="544">
      <c r="D544" s="13"/>
      <c r="G544" s="9"/>
      <c r="J544" s="121"/>
      <c r="M544" s="9"/>
      <c r="N544" s="9"/>
      <c r="O544" s="9"/>
    </row>
    <row r="545">
      <c r="D545" s="13"/>
      <c r="G545" s="9"/>
      <c r="J545" s="121"/>
      <c r="M545" s="9"/>
      <c r="N545" s="9"/>
      <c r="O545" s="9"/>
    </row>
    <row r="546">
      <c r="D546" s="13"/>
      <c r="G546" s="9"/>
      <c r="J546" s="121"/>
      <c r="M546" s="9"/>
      <c r="N546" s="9"/>
      <c r="O546" s="9"/>
    </row>
    <row r="547">
      <c r="D547" s="13"/>
      <c r="G547" s="9"/>
      <c r="J547" s="121"/>
      <c r="M547" s="9"/>
      <c r="N547" s="9"/>
      <c r="O547" s="9"/>
    </row>
    <row r="548">
      <c r="D548" s="13"/>
      <c r="G548" s="9"/>
      <c r="J548" s="121"/>
      <c r="M548" s="9"/>
      <c r="N548" s="9"/>
      <c r="O548" s="9"/>
    </row>
    <row r="549">
      <c r="D549" s="13"/>
      <c r="G549" s="9"/>
      <c r="J549" s="121"/>
      <c r="M549" s="9"/>
      <c r="N549" s="9"/>
      <c r="O549" s="9"/>
    </row>
    <row r="550">
      <c r="D550" s="13"/>
      <c r="G550" s="9"/>
      <c r="J550" s="121"/>
      <c r="M550" s="9"/>
      <c r="N550" s="9"/>
      <c r="O550" s="9"/>
    </row>
    <row r="551">
      <c r="D551" s="13"/>
      <c r="G551" s="9"/>
      <c r="J551" s="121"/>
      <c r="M551" s="9"/>
      <c r="N551" s="9"/>
      <c r="O551" s="9"/>
    </row>
    <row r="552">
      <c r="D552" s="13"/>
      <c r="G552" s="9"/>
      <c r="J552" s="121"/>
      <c r="M552" s="9"/>
      <c r="N552" s="9"/>
      <c r="O552" s="9"/>
    </row>
    <row r="553">
      <c r="D553" s="13"/>
      <c r="G553" s="9"/>
      <c r="J553" s="121"/>
      <c r="M553" s="9"/>
      <c r="N553" s="9"/>
      <c r="O553" s="9"/>
    </row>
    <row r="554">
      <c r="D554" s="13"/>
      <c r="G554" s="9"/>
      <c r="J554" s="121"/>
      <c r="M554" s="9"/>
      <c r="N554" s="9"/>
      <c r="O554" s="9"/>
    </row>
    <row r="555">
      <c r="D555" s="13"/>
      <c r="G555" s="9"/>
      <c r="J555" s="121"/>
      <c r="M555" s="9"/>
      <c r="N555" s="9"/>
      <c r="O555" s="9"/>
    </row>
    <row r="556">
      <c r="D556" s="13"/>
      <c r="G556" s="9"/>
      <c r="J556" s="121"/>
      <c r="M556" s="9"/>
      <c r="N556" s="9"/>
      <c r="O556" s="9"/>
    </row>
    <row r="557">
      <c r="D557" s="13"/>
      <c r="G557" s="9"/>
      <c r="J557" s="121"/>
      <c r="M557" s="9"/>
      <c r="N557" s="9"/>
      <c r="O557" s="9"/>
    </row>
    <row r="558">
      <c r="D558" s="13"/>
      <c r="G558" s="9"/>
      <c r="J558" s="121"/>
      <c r="M558" s="9"/>
      <c r="N558" s="9"/>
      <c r="O558" s="9"/>
    </row>
    <row r="559">
      <c r="D559" s="13"/>
      <c r="G559" s="9"/>
      <c r="J559" s="121"/>
      <c r="M559" s="9"/>
      <c r="N559" s="9"/>
      <c r="O559" s="9"/>
    </row>
    <row r="560">
      <c r="D560" s="13"/>
      <c r="G560" s="9"/>
      <c r="J560" s="121"/>
      <c r="M560" s="9"/>
      <c r="N560" s="9"/>
      <c r="O560" s="9"/>
    </row>
    <row r="561">
      <c r="D561" s="13"/>
      <c r="G561" s="9"/>
      <c r="J561" s="121"/>
      <c r="M561" s="9"/>
      <c r="N561" s="9"/>
      <c r="O561" s="9"/>
    </row>
    <row r="562">
      <c r="D562" s="13"/>
      <c r="G562" s="9"/>
      <c r="J562" s="121"/>
      <c r="M562" s="9"/>
      <c r="N562" s="9"/>
      <c r="O562" s="9"/>
    </row>
    <row r="563">
      <c r="D563" s="13"/>
      <c r="G563" s="9"/>
      <c r="J563" s="121"/>
      <c r="M563" s="9"/>
      <c r="N563" s="9"/>
      <c r="O563" s="9"/>
    </row>
    <row r="564">
      <c r="D564" s="13"/>
      <c r="G564" s="9"/>
      <c r="J564" s="121"/>
      <c r="M564" s="9"/>
      <c r="N564" s="9"/>
      <c r="O564" s="9"/>
    </row>
    <row r="565">
      <c r="D565" s="13"/>
      <c r="G565" s="9"/>
      <c r="J565" s="121"/>
      <c r="M565" s="9"/>
      <c r="N565" s="9"/>
      <c r="O565" s="9"/>
    </row>
    <row r="566">
      <c r="D566" s="13"/>
      <c r="G566" s="9"/>
      <c r="J566" s="121"/>
      <c r="M566" s="9"/>
      <c r="N566" s="9"/>
      <c r="O566" s="9"/>
    </row>
    <row r="567">
      <c r="D567" s="13"/>
      <c r="G567" s="9"/>
      <c r="J567" s="121"/>
      <c r="M567" s="9"/>
      <c r="N567" s="9"/>
      <c r="O567" s="9"/>
    </row>
    <row r="568">
      <c r="D568" s="13"/>
      <c r="G568" s="9"/>
      <c r="J568" s="121"/>
      <c r="M568" s="9"/>
      <c r="N568" s="9"/>
      <c r="O568" s="9"/>
    </row>
    <row r="569">
      <c r="D569" s="13"/>
      <c r="G569" s="9"/>
      <c r="J569" s="121"/>
      <c r="M569" s="9"/>
      <c r="N569" s="9"/>
      <c r="O569" s="9"/>
    </row>
    <row r="570">
      <c r="D570" s="13"/>
      <c r="G570" s="9"/>
      <c r="J570" s="121"/>
      <c r="M570" s="9"/>
      <c r="N570" s="9"/>
      <c r="O570" s="9"/>
    </row>
    <row r="571">
      <c r="D571" s="13"/>
      <c r="G571" s="9"/>
      <c r="J571" s="121"/>
      <c r="M571" s="9"/>
      <c r="N571" s="9"/>
      <c r="O571" s="9"/>
    </row>
    <row r="572">
      <c r="D572" s="13"/>
      <c r="G572" s="9"/>
      <c r="J572" s="121"/>
      <c r="M572" s="9"/>
      <c r="N572" s="9"/>
      <c r="O572" s="9"/>
    </row>
    <row r="573">
      <c r="D573" s="13"/>
      <c r="G573" s="9"/>
      <c r="J573" s="121"/>
      <c r="M573" s="9"/>
      <c r="N573" s="9"/>
      <c r="O573" s="9"/>
    </row>
    <row r="574">
      <c r="D574" s="13"/>
      <c r="G574" s="9"/>
      <c r="J574" s="121"/>
      <c r="M574" s="9"/>
      <c r="N574" s="9"/>
      <c r="O574" s="9"/>
    </row>
    <row r="575">
      <c r="D575" s="13"/>
      <c r="G575" s="9"/>
      <c r="J575" s="121"/>
      <c r="M575" s="9"/>
      <c r="N575" s="9"/>
      <c r="O575" s="9"/>
    </row>
    <row r="576">
      <c r="D576" s="13"/>
      <c r="G576" s="9"/>
      <c r="J576" s="121"/>
      <c r="M576" s="9"/>
      <c r="N576" s="9"/>
      <c r="O576" s="9"/>
    </row>
    <row r="577">
      <c r="D577" s="13"/>
      <c r="G577" s="9"/>
      <c r="J577" s="121"/>
      <c r="M577" s="9"/>
      <c r="N577" s="9"/>
      <c r="O577" s="9"/>
    </row>
    <row r="578">
      <c r="D578" s="13"/>
      <c r="G578" s="9"/>
      <c r="J578" s="121"/>
      <c r="M578" s="9"/>
      <c r="N578" s="9"/>
      <c r="O578" s="9"/>
    </row>
    <row r="579">
      <c r="D579" s="13"/>
      <c r="G579" s="9"/>
      <c r="J579" s="121"/>
      <c r="M579" s="9"/>
      <c r="N579" s="9"/>
      <c r="O579" s="9"/>
    </row>
    <row r="580">
      <c r="D580" s="13"/>
      <c r="G580" s="9"/>
      <c r="J580" s="121"/>
      <c r="M580" s="9"/>
      <c r="N580" s="9"/>
      <c r="O580" s="9"/>
    </row>
    <row r="581">
      <c r="D581" s="13"/>
      <c r="G581" s="9"/>
      <c r="J581" s="121"/>
      <c r="M581" s="9"/>
      <c r="N581" s="9"/>
      <c r="O581" s="9"/>
    </row>
    <row r="582">
      <c r="D582" s="13"/>
      <c r="G582" s="9"/>
      <c r="J582" s="121"/>
      <c r="M582" s="9"/>
      <c r="N582" s="9"/>
      <c r="O582" s="9"/>
    </row>
    <row r="583">
      <c r="D583" s="13"/>
      <c r="G583" s="9"/>
      <c r="J583" s="121"/>
      <c r="M583" s="9"/>
      <c r="N583" s="9"/>
      <c r="O583" s="9"/>
    </row>
    <row r="584">
      <c r="D584" s="13"/>
      <c r="G584" s="9"/>
      <c r="J584" s="121"/>
      <c r="M584" s="9"/>
      <c r="N584" s="9"/>
      <c r="O584" s="9"/>
    </row>
    <row r="585">
      <c r="D585" s="13"/>
      <c r="G585" s="9"/>
      <c r="J585" s="121"/>
      <c r="M585" s="9"/>
      <c r="N585" s="9"/>
      <c r="O585" s="9"/>
    </row>
    <row r="586">
      <c r="D586" s="13"/>
      <c r="G586" s="9"/>
      <c r="J586" s="121"/>
      <c r="M586" s="9"/>
      <c r="N586" s="9"/>
      <c r="O586" s="9"/>
    </row>
    <row r="587">
      <c r="D587" s="13"/>
      <c r="G587" s="9"/>
      <c r="J587" s="121"/>
      <c r="M587" s="9"/>
      <c r="N587" s="9"/>
      <c r="O587" s="9"/>
    </row>
    <row r="588">
      <c r="D588" s="13"/>
      <c r="G588" s="9"/>
      <c r="J588" s="121"/>
      <c r="M588" s="9"/>
      <c r="N588" s="9"/>
      <c r="O588" s="9"/>
    </row>
    <row r="589">
      <c r="D589" s="13"/>
      <c r="G589" s="9"/>
      <c r="J589" s="121"/>
      <c r="M589" s="9"/>
      <c r="N589" s="9"/>
      <c r="O589" s="9"/>
    </row>
    <row r="590">
      <c r="D590" s="13"/>
      <c r="G590" s="9"/>
      <c r="J590" s="121"/>
      <c r="M590" s="9"/>
      <c r="N590" s="9"/>
      <c r="O590" s="9"/>
    </row>
    <row r="591">
      <c r="D591" s="13"/>
      <c r="G591" s="9"/>
      <c r="J591" s="121"/>
      <c r="M591" s="9"/>
      <c r="N591" s="9"/>
      <c r="O591" s="9"/>
    </row>
    <row r="592">
      <c r="D592" s="13"/>
      <c r="G592" s="9"/>
      <c r="J592" s="121"/>
      <c r="M592" s="9"/>
      <c r="N592" s="9"/>
      <c r="O592" s="9"/>
    </row>
    <row r="593">
      <c r="D593" s="13"/>
      <c r="G593" s="9"/>
      <c r="J593" s="121"/>
      <c r="M593" s="9"/>
      <c r="N593" s="9"/>
      <c r="O593" s="9"/>
    </row>
    <row r="594">
      <c r="D594" s="13"/>
      <c r="G594" s="9"/>
      <c r="J594" s="121"/>
      <c r="M594" s="9"/>
      <c r="N594" s="9"/>
      <c r="O594" s="9"/>
    </row>
    <row r="595">
      <c r="D595" s="13"/>
      <c r="G595" s="9"/>
      <c r="J595" s="121"/>
      <c r="M595" s="9"/>
      <c r="N595" s="9"/>
      <c r="O595" s="9"/>
    </row>
    <row r="596">
      <c r="D596" s="13"/>
      <c r="G596" s="9"/>
      <c r="J596" s="121"/>
      <c r="M596" s="9"/>
      <c r="N596" s="9"/>
      <c r="O596" s="9"/>
    </row>
    <row r="597">
      <c r="D597" s="13"/>
      <c r="G597" s="9"/>
      <c r="J597" s="121"/>
      <c r="M597" s="9"/>
      <c r="N597" s="9"/>
      <c r="O597" s="9"/>
    </row>
    <row r="598">
      <c r="D598" s="13"/>
      <c r="G598" s="9"/>
      <c r="J598" s="121"/>
      <c r="M598" s="9"/>
      <c r="N598" s="9"/>
      <c r="O598" s="9"/>
    </row>
    <row r="599">
      <c r="D599" s="13"/>
      <c r="G599" s="9"/>
      <c r="J599" s="121"/>
      <c r="M599" s="9"/>
      <c r="N599" s="9"/>
      <c r="O599" s="9"/>
    </row>
    <row r="600">
      <c r="D600" s="13"/>
      <c r="G600" s="9"/>
      <c r="J600" s="121"/>
      <c r="M600" s="9"/>
      <c r="N600" s="9"/>
      <c r="O600" s="9"/>
    </row>
    <row r="601">
      <c r="D601" s="13"/>
      <c r="G601" s="9"/>
      <c r="J601" s="121"/>
      <c r="M601" s="9"/>
      <c r="N601" s="9"/>
      <c r="O601" s="9"/>
    </row>
    <row r="602">
      <c r="D602" s="13"/>
      <c r="G602" s="9"/>
      <c r="J602" s="121"/>
      <c r="M602" s="9"/>
      <c r="N602" s="9"/>
      <c r="O602" s="9"/>
    </row>
    <row r="603">
      <c r="D603" s="13"/>
      <c r="G603" s="9"/>
      <c r="J603" s="121"/>
      <c r="M603" s="9"/>
      <c r="N603" s="9"/>
      <c r="O603" s="9"/>
    </row>
    <row r="604">
      <c r="D604" s="13"/>
      <c r="G604" s="9"/>
      <c r="J604" s="121"/>
      <c r="M604" s="9"/>
      <c r="N604" s="9"/>
      <c r="O604" s="9"/>
    </row>
    <row r="605">
      <c r="D605" s="13"/>
      <c r="G605" s="9"/>
      <c r="J605" s="121"/>
      <c r="M605" s="9"/>
      <c r="N605" s="9"/>
      <c r="O605" s="9"/>
    </row>
    <row r="606">
      <c r="D606" s="13"/>
      <c r="G606" s="9"/>
      <c r="J606" s="121"/>
      <c r="M606" s="9"/>
      <c r="N606" s="9"/>
      <c r="O606" s="9"/>
    </row>
    <row r="607">
      <c r="D607" s="13"/>
      <c r="G607" s="9"/>
      <c r="J607" s="121"/>
      <c r="M607" s="9"/>
      <c r="N607" s="9"/>
      <c r="O607" s="9"/>
    </row>
    <row r="608">
      <c r="D608" s="13"/>
      <c r="G608" s="9"/>
      <c r="J608" s="121"/>
      <c r="M608" s="9"/>
      <c r="N608" s="9"/>
      <c r="O608" s="9"/>
    </row>
    <row r="609">
      <c r="D609" s="13"/>
      <c r="G609" s="9"/>
      <c r="J609" s="121"/>
      <c r="M609" s="9"/>
      <c r="N609" s="9"/>
      <c r="O609" s="9"/>
    </row>
    <row r="610">
      <c r="D610" s="13"/>
      <c r="G610" s="9"/>
      <c r="J610" s="121"/>
      <c r="M610" s="9"/>
      <c r="N610" s="9"/>
      <c r="O610" s="9"/>
    </row>
    <row r="611">
      <c r="D611" s="13"/>
      <c r="G611" s="9"/>
      <c r="J611" s="121"/>
      <c r="M611" s="9"/>
      <c r="N611" s="9"/>
      <c r="O611" s="9"/>
    </row>
    <row r="612">
      <c r="D612" s="13"/>
      <c r="G612" s="9"/>
      <c r="J612" s="121"/>
      <c r="M612" s="9"/>
      <c r="N612" s="9"/>
      <c r="O612" s="9"/>
    </row>
    <row r="613">
      <c r="D613" s="13"/>
      <c r="G613" s="9"/>
      <c r="J613" s="121"/>
      <c r="M613" s="9"/>
      <c r="N613" s="9"/>
      <c r="O613" s="9"/>
    </row>
    <row r="614">
      <c r="D614" s="13"/>
      <c r="G614" s="9"/>
      <c r="J614" s="121"/>
      <c r="M614" s="9"/>
      <c r="N614" s="9"/>
      <c r="O614" s="9"/>
    </row>
    <row r="615">
      <c r="D615" s="13"/>
      <c r="G615" s="9"/>
      <c r="J615" s="121"/>
      <c r="M615" s="9"/>
      <c r="N615" s="9"/>
      <c r="O615" s="9"/>
    </row>
    <row r="616">
      <c r="D616" s="13"/>
      <c r="G616" s="9"/>
      <c r="J616" s="121"/>
      <c r="M616" s="9"/>
      <c r="N616" s="9"/>
      <c r="O616" s="9"/>
    </row>
    <row r="617">
      <c r="D617" s="13"/>
      <c r="G617" s="9"/>
      <c r="J617" s="121"/>
      <c r="M617" s="9"/>
      <c r="N617" s="9"/>
      <c r="O617" s="9"/>
    </row>
    <row r="618">
      <c r="D618" s="13"/>
      <c r="G618" s="9"/>
      <c r="J618" s="121"/>
      <c r="M618" s="9"/>
      <c r="N618" s="9"/>
      <c r="O618" s="9"/>
    </row>
    <row r="619">
      <c r="D619" s="13"/>
      <c r="G619" s="9"/>
      <c r="J619" s="121"/>
      <c r="M619" s="9"/>
      <c r="N619" s="9"/>
      <c r="O619" s="9"/>
    </row>
    <row r="620">
      <c r="D620" s="13"/>
      <c r="G620" s="9"/>
      <c r="J620" s="121"/>
      <c r="M620" s="9"/>
      <c r="N620" s="9"/>
      <c r="O620" s="9"/>
    </row>
    <row r="621">
      <c r="D621" s="13"/>
      <c r="G621" s="9"/>
      <c r="J621" s="121"/>
      <c r="M621" s="9"/>
      <c r="N621" s="9"/>
      <c r="O621" s="9"/>
    </row>
    <row r="622">
      <c r="D622" s="13"/>
      <c r="G622" s="9"/>
      <c r="J622" s="121"/>
      <c r="M622" s="9"/>
      <c r="N622" s="9"/>
      <c r="O622" s="9"/>
    </row>
    <row r="623">
      <c r="D623" s="13"/>
      <c r="G623" s="9"/>
      <c r="J623" s="121"/>
      <c r="M623" s="9"/>
      <c r="N623" s="9"/>
      <c r="O623" s="9"/>
    </row>
    <row r="624">
      <c r="D624" s="13"/>
      <c r="G624" s="9"/>
      <c r="J624" s="121"/>
      <c r="M624" s="9"/>
      <c r="N624" s="9"/>
      <c r="O624" s="9"/>
    </row>
    <row r="625">
      <c r="D625" s="13"/>
      <c r="G625" s="9"/>
      <c r="J625" s="121"/>
      <c r="M625" s="9"/>
      <c r="N625" s="9"/>
      <c r="O625" s="9"/>
    </row>
    <row r="626">
      <c r="D626" s="13"/>
      <c r="G626" s="9"/>
      <c r="J626" s="121"/>
      <c r="M626" s="9"/>
      <c r="N626" s="9"/>
      <c r="O626" s="9"/>
    </row>
    <row r="627">
      <c r="D627" s="13"/>
      <c r="G627" s="9"/>
      <c r="J627" s="121"/>
      <c r="M627" s="9"/>
      <c r="N627" s="9"/>
      <c r="O627" s="9"/>
    </row>
    <row r="628">
      <c r="D628" s="13"/>
      <c r="G628" s="9"/>
      <c r="J628" s="121"/>
      <c r="M628" s="9"/>
      <c r="N628" s="9"/>
      <c r="O628" s="9"/>
    </row>
    <row r="629">
      <c r="D629" s="13"/>
      <c r="G629" s="9"/>
      <c r="J629" s="121"/>
      <c r="M629" s="9"/>
      <c r="N629" s="9"/>
      <c r="O629" s="9"/>
    </row>
    <row r="630">
      <c r="D630" s="13"/>
      <c r="G630" s="9"/>
      <c r="J630" s="121"/>
      <c r="M630" s="9"/>
      <c r="N630" s="9"/>
      <c r="O630" s="9"/>
    </row>
    <row r="631">
      <c r="D631" s="13"/>
      <c r="G631" s="9"/>
      <c r="J631" s="121"/>
      <c r="M631" s="9"/>
      <c r="N631" s="9"/>
      <c r="O631" s="9"/>
    </row>
    <row r="632">
      <c r="D632" s="13"/>
      <c r="G632" s="9"/>
      <c r="J632" s="121"/>
      <c r="M632" s="9"/>
      <c r="N632" s="9"/>
      <c r="O632" s="9"/>
    </row>
    <row r="633">
      <c r="D633" s="13"/>
      <c r="G633" s="9"/>
      <c r="J633" s="121"/>
      <c r="M633" s="9"/>
      <c r="N633" s="9"/>
      <c r="O633" s="9"/>
    </row>
    <row r="634">
      <c r="D634" s="13"/>
      <c r="G634" s="9"/>
      <c r="J634" s="121"/>
      <c r="M634" s="9"/>
      <c r="N634" s="9"/>
      <c r="O634" s="9"/>
    </row>
    <row r="635">
      <c r="D635" s="13"/>
      <c r="G635" s="9"/>
      <c r="J635" s="121"/>
      <c r="M635" s="9"/>
      <c r="N635" s="9"/>
      <c r="O635" s="9"/>
    </row>
    <row r="636">
      <c r="D636" s="13"/>
      <c r="G636" s="9"/>
      <c r="J636" s="121"/>
      <c r="M636" s="9"/>
      <c r="N636" s="9"/>
      <c r="O636" s="9"/>
    </row>
    <row r="637">
      <c r="D637" s="13"/>
      <c r="G637" s="9"/>
      <c r="J637" s="121"/>
      <c r="M637" s="9"/>
      <c r="N637" s="9"/>
      <c r="O637" s="9"/>
    </row>
    <row r="638">
      <c r="D638" s="13"/>
      <c r="G638" s="9"/>
      <c r="J638" s="121"/>
      <c r="M638" s="9"/>
      <c r="N638" s="9"/>
      <c r="O638" s="9"/>
    </row>
    <row r="639">
      <c r="D639" s="13"/>
      <c r="G639" s="9"/>
      <c r="J639" s="121"/>
      <c r="M639" s="9"/>
      <c r="N639" s="9"/>
      <c r="O639" s="9"/>
    </row>
    <row r="640">
      <c r="D640" s="13"/>
      <c r="G640" s="9"/>
      <c r="J640" s="121"/>
      <c r="M640" s="9"/>
      <c r="N640" s="9"/>
      <c r="O640" s="9"/>
    </row>
    <row r="641">
      <c r="D641" s="13"/>
      <c r="G641" s="9"/>
      <c r="J641" s="121"/>
      <c r="M641" s="9"/>
      <c r="N641" s="9"/>
      <c r="O641" s="9"/>
    </row>
    <row r="642">
      <c r="D642" s="13"/>
      <c r="G642" s="9"/>
      <c r="J642" s="121"/>
      <c r="M642" s="9"/>
      <c r="N642" s="9"/>
      <c r="O642" s="9"/>
    </row>
    <row r="643">
      <c r="D643" s="13"/>
      <c r="G643" s="9"/>
      <c r="J643" s="121"/>
      <c r="M643" s="9"/>
      <c r="N643" s="9"/>
      <c r="O643" s="9"/>
    </row>
    <row r="644">
      <c r="D644" s="13"/>
      <c r="G644" s="9"/>
      <c r="J644" s="121"/>
      <c r="M644" s="9"/>
      <c r="N644" s="9"/>
      <c r="O644" s="9"/>
    </row>
    <row r="645">
      <c r="D645" s="13"/>
      <c r="G645" s="9"/>
      <c r="J645" s="121"/>
      <c r="M645" s="9"/>
      <c r="N645" s="9"/>
      <c r="O645" s="9"/>
    </row>
    <row r="646">
      <c r="D646" s="13"/>
      <c r="G646" s="9"/>
      <c r="J646" s="121"/>
      <c r="M646" s="9"/>
      <c r="N646" s="9"/>
      <c r="O646" s="9"/>
    </row>
    <row r="647">
      <c r="D647" s="13"/>
      <c r="G647" s="9"/>
      <c r="J647" s="121"/>
      <c r="M647" s="9"/>
      <c r="N647" s="9"/>
      <c r="O647" s="9"/>
    </row>
    <row r="648">
      <c r="D648" s="13"/>
      <c r="G648" s="9"/>
      <c r="J648" s="121"/>
      <c r="M648" s="9"/>
      <c r="N648" s="9"/>
      <c r="O648" s="9"/>
    </row>
    <row r="649">
      <c r="D649" s="13"/>
      <c r="G649" s="9"/>
      <c r="J649" s="121"/>
      <c r="M649" s="9"/>
      <c r="N649" s="9"/>
      <c r="O649" s="9"/>
    </row>
    <row r="650">
      <c r="D650" s="13"/>
      <c r="G650" s="9"/>
      <c r="J650" s="121"/>
      <c r="M650" s="9"/>
      <c r="N650" s="9"/>
      <c r="O650" s="9"/>
    </row>
    <row r="651">
      <c r="D651" s="13"/>
      <c r="G651" s="9"/>
      <c r="J651" s="121"/>
      <c r="M651" s="9"/>
      <c r="N651" s="9"/>
      <c r="O651" s="9"/>
    </row>
    <row r="652">
      <c r="D652" s="13"/>
      <c r="G652" s="9"/>
      <c r="J652" s="121"/>
      <c r="M652" s="9"/>
      <c r="N652" s="9"/>
      <c r="O652" s="9"/>
    </row>
    <row r="653">
      <c r="D653" s="13"/>
      <c r="G653" s="9"/>
      <c r="J653" s="121"/>
      <c r="M653" s="9"/>
      <c r="N653" s="9"/>
      <c r="O653" s="9"/>
    </row>
    <row r="654">
      <c r="D654" s="13"/>
      <c r="G654" s="9"/>
      <c r="J654" s="121"/>
      <c r="M654" s="9"/>
      <c r="N654" s="9"/>
      <c r="O654" s="9"/>
    </row>
    <row r="655">
      <c r="D655" s="13"/>
      <c r="G655" s="9"/>
      <c r="J655" s="121"/>
      <c r="M655" s="9"/>
      <c r="N655" s="9"/>
      <c r="O655" s="9"/>
    </row>
    <row r="656">
      <c r="D656" s="13"/>
      <c r="G656" s="9"/>
      <c r="J656" s="121"/>
      <c r="M656" s="9"/>
      <c r="N656" s="9"/>
      <c r="O656" s="9"/>
    </row>
    <row r="657">
      <c r="D657" s="13"/>
      <c r="G657" s="9"/>
      <c r="J657" s="121"/>
      <c r="M657" s="9"/>
      <c r="N657" s="9"/>
      <c r="O657" s="9"/>
    </row>
    <row r="658">
      <c r="D658" s="13"/>
      <c r="G658" s="9"/>
      <c r="J658" s="121"/>
      <c r="M658" s="9"/>
      <c r="N658" s="9"/>
      <c r="O658" s="9"/>
    </row>
    <row r="659">
      <c r="D659" s="13"/>
      <c r="G659" s="9"/>
      <c r="J659" s="121"/>
      <c r="M659" s="9"/>
      <c r="N659" s="9"/>
      <c r="O659" s="9"/>
    </row>
    <row r="660">
      <c r="D660" s="13"/>
      <c r="G660" s="9"/>
      <c r="J660" s="121"/>
      <c r="M660" s="9"/>
      <c r="N660" s="9"/>
      <c r="O660" s="9"/>
    </row>
    <row r="661">
      <c r="D661" s="13"/>
      <c r="G661" s="9"/>
      <c r="J661" s="121"/>
      <c r="M661" s="9"/>
      <c r="N661" s="9"/>
      <c r="O661" s="9"/>
    </row>
    <row r="662">
      <c r="D662" s="13"/>
      <c r="G662" s="9"/>
      <c r="J662" s="121"/>
      <c r="M662" s="9"/>
      <c r="N662" s="9"/>
      <c r="O662" s="9"/>
    </row>
    <row r="663">
      <c r="D663" s="13"/>
      <c r="G663" s="9"/>
      <c r="J663" s="121"/>
      <c r="M663" s="9"/>
      <c r="N663" s="9"/>
      <c r="O663" s="9"/>
    </row>
    <row r="664">
      <c r="D664" s="13"/>
      <c r="G664" s="9"/>
      <c r="J664" s="121"/>
      <c r="M664" s="9"/>
      <c r="N664" s="9"/>
      <c r="O664" s="9"/>
    </row>
    <row r="665">
      <c r="D665" s="13"/>
      <c r="G665" s="9"/>
      <c r="J665" s="121"/>
      <c r="M665" s="9"/>
      <c r="N665" s="9"/>
      <c r="O665" s="9"/>
    </row>
    <row r="666">
      <c r="D666" s="13"/>
      <c r="G666" s="9"/>
      <c r="J666" s="121"/>
      <c r="M666" s="9"/>
      <c r="N666" s="9"/>
      <c r="O666" s="9"/>
    </row>
    <row r="667">
      <c r="D667" s="13"/>
      <c r="G667" s="9"/>
      <c r="J667" s="121"/>
      <c r="M667" s="9"/>
      <c r="N667" s="9"/>
      <c r="O667" s="9"/>
    </row>
    <row r="668">
      <c r="D668" s="13"/>
      <c r="G668" s="9"/>
      <c r="J668" s="121"/>
      <c r="M668" s="9"/>
      <c r="N668" s="9"/>
      <c r="O668" s="9"/>
    </row>
    <row r="669">
      <c r="D669" s="13"/>
      <c r="G669" s="9"/>
      <c r="J669" s="121"/>
      <c r="M669" s="9"/>
      <c r="N669" s="9"/>
      <c r="O669" s="9"/>
    </row>
    <row r="670">
      <c r="D670" s="13"/>
      <c r="G670" s="9"/>
      <c r="J670" s="121"/>
      <c r="M670" s="9"/>
      <c r="N670" s="9"/>
      <c r="O670" s="9"/>
    </row>
    <row r="671">
      <c r="D671" s="13"/>
      <c r="G671" s="9"/>
      <c r="J671" s="121"/>
      <c r="M671" s="9"/>
      <c r="N671" s="9"/>
      <c r="O671" s="9"/>
    </row>
    <row r="672">
      <c r="D672" s="13"/>
      <c r="G672" s="9"/>
      <c r="J672" s="121"/>
      <c r="M672" s="9"/>
      <c r="N672" s="9"/>
      <c r="O672" s="9"/>
    </row>
    <row r="673">
      <c r="D673" s="13"/>
      <c r="G673" s="9"/>
      <c r="J673" s="121"/>
      <c r="M673" s="9"/>
      <c r="N673" s="9"/>
      <c r="O673" s="9"/>
    </row>
    <row r="674">
      <c r="D674" s="13"/>
      <c r="G674" s="9"/>
      <c r="J674" s="121"/>
      <c r="M674" s="9"/>
      <c r="N674" s="9"/>
      <c r="O674" s="9"/>
    </row>
    <row r="675">
      <c r="D675" s="13"/>
      <c r="G675" s="9"/>
      <c r="J675" s="121"/>
      <c r="M675" s="9"/>
      <c r="N675" s="9"/>
      <c r="O675" s="9"/>
    </row>
    <row r="676">
      <c r="D676" s="13"/>
      <c r="G676" s="9"/>
      <c r="J676" s="121"/>
      <c r="M676" s="9"/>
      <c r="N676" s="9"/>
      <c r="O676" s="9"/>
    </row>
    <row r="677">
      <c r="D677" s="13"/>
      <c r="G677" s="9"/>
      <c r="J677" s="121"/>
      <c r="M677" s="9"/>
      <c r="N677" s="9"/>
      <c r="O677" s="9"/>
    </row>
    <row r="678">
      <c r="D678" s="13"/>
      <c r="G678" s="9"/>
      <c r="J678" s="121"/>
      <c r="M678" s="9"/>
      <c r="N678" s="9"/>
      <c r="O678" s="9"/>
    </row>
    <row r="679">
      <c r="D679" s="13"/>
      <c r="G679" s="9"/>
      <c r="J679" s="121"/>
      <c r="M679" s="9"/>
      <c r="N679" s="9"/>
      <c r="O679" s="9"/>
    </row>
    <row r="680">
      <c r="D680" s="13"/>
      <c r="G680" s="9"/>
      <c r="J680" s="121"/>
      <c r="M680" s="9"/>
      <c r="N680" s="9"/>
      <c r="O680" s="9"/>
    </row>
    <row r="681">
      <c r="D681" s="13"/>
      <c r="G681" s="9"/>
      <c r="J681" s="121"/>
      <c r="M681" s="9"/>
      <c r="N681" s="9"/>
      <c r="O681" s="9"/>
    </row>
    <row r="682">
      <c r="D682" s="13"/>
      <c r="G682" s="9"/>
      <c r="J682" s="121"/>
      <c r="M682" s="9"/>
      <c r="N682" s="9"/>
      <c r="O682" s="9"/>
    </row>
    <row r="683">
      <c r="D683" s="13"/>
      <c r="G683" s="9"/>
      <c r="J683" s="121"/>
      <c r="M683" s="9"/>
      <c r="N683" s="9"/>
      <c r="O683" s="9"/>
    </row>
    <row r="684">
      <c r="D684" s="13"/>
      <c r="G684" s="9"/>
      <c r="J684" s="121"/>
      <c r="M684" s="9"/>
      <c r="N684" s="9"/>
      <c r="O684" s="9"/>
    </row>
    <row r="685">
      <c r="D685" s="13"/>
      <c r="G685" s="9"/>
      <c r="J685" s="121"/>
      <c r="M685" s="9"/>
      <c r="N685" s="9"/>
      <c r="O685" s="9"/>
    </row>
    <row r="686">
      <c r="D686" s="13"/>
      <c r="G686" s="9"/>
      <c r="J686" s="121"/>
      <c r="M686" s="9"/>
      <c r="N686" s="9"/>
      <c r="O686" s="9"/>
    </row>
    <row r="687">
      <c r="D687" s="13"/>
      <c r="G687" s="9"/>
      <c r="J687" s="121"/>
      <c r="M687" s="9"/>
      <c r="N687" s="9"/>
      <c r="O687" s="9"/>
    </row>
    <row r="688">
      <c r="D688" s="13"/>
      <c r="G688" s="9"/>
      <c r="J688" s="121"/>
      <c r="M688" s="9"/>
      <c r="N688" s="9"/>
      <c r="O688" s="9"/>
    </row>
    <row r="689">
      <c r="D689" s="13"/>
      <c r="G689" s="9"/>
      <c r="J689" s="121"/>
      <c r="M689" s="9"/>
      <c r="N689" s="9"/>
      <c r="O689" s="9"/>
    </row>
    <row r="690">
      <c r="D690" s="13"/>
      <c r="G690" s="9"/>
      <c r="J690" s="121"/>
      <c r="M690" s="9"/>
      <c r="N690" s="9"/>
      <c r="O690" s="9"/>
    </row>
    <row r="691">
      <c r="D691" s="13"/>
      <c r="G691" s="9"/>
      <c r="J691" s="121"/>
      <c r="M691" s="9"/>
      <c r="N691" s="9"/>
      <c r="O691" s="9"/>
    </row>
    <row r="692">
      <c r="D692" s="13"/>
      <c r="G692" s="9"/>
      <c r="J692" s="121"/>
      <c r="M692" s="9"/>
      <c r="N692" s="9"/>
      <c r="O692" s="9"/>
    </row>
    <row r="693">
      <c r="D693" s="13"/>
      <c r="G693" s="9"/>
      <c r="J693" s="121"/>
      <c r="M693" s="9"/>
      <c r="N693" s="9"/>
      <c r="O693" s="9"/>
    </row>
    <row r="694">
      <c r="D694" s="13"/>
      <c r="G694" s="9"/>
      <c r="J694" s="121"/>
      <c r="M694" s="9"/>
      <c r="N694" s="9"/>
      <c r="O694" s="9"/>
    </row>
    <row r="695">
      <c r="D695" s="13"/>
      <c r="G695" s="9"/>
      <c r="J695" s="121"/>
      <c r="M695" s="9"/>
      <c r="N695" s="9"/>
      <c r="O695" s="9"/>
    </row>
    <row r="696">
      <c r="D696" s="13"/>
      <c r="G696" s="9"/>
      <c r="J696" s="121"/>
      <c r="M696" s="9"/>
      <c r="N696" s="9"/>
      <c r="O696" s="9"/>
    </row>
    <row r="697">
      <c r="D697" s="13"/>
      <c r="G697" s="9"/>
      <c r="J697" s="121"/>
      <c r="M697" s="9"/>
      <c r="N697" s="9"/>
      <c r="O697" s="9"/>
    </row>
    <row r="698">
      <c r="D698" s="13"/>
      <c r="G698" s="9"/>
      <c r="J698" s="121"/>
      <c r="M698" s="9"/>
      <c r="N698" s="9"/>
      <c r="O698" s="9"/>
    </row>
    <row r="699">
      <c r="D699" s="13"/>
      <c r="G699" s="9"/>
      <c r="J699" s="121"/>
      <c r="M699" s="9"/>
      <c r="N699" s="9"/>
      <c r="O699" s="9"/>
    </row>
    <row r="700">
      <c r="D700" s="13"/>
      <c r="G700" s="9"/>
      <c r="J700" s="121"/>
      <c r="M700" s="9"/>
      <c r="N700" s="9"/>
      <c r="O700" s="9"/>
    </row>
    <row r="701">
      <c r="D701" s="13"/>
      <c r="G701" s="9"/>
      <c r="J701" s="121"/>
      <c r="M701" s="9"/>
      <c r="N701" s="9"/>
      <c r="O701" s="9"/>
    </row>
    <row r="702">
      <c r="D702" s="13"/>
      <c r="G702" s="9"/>
      <c r="J702" s="121"/>
      <c r="M702" s="9"/>
      <c r="N702" s="9"/>
      <c r="O702" s="9"/>
    </row>
    <row r="703">
      <c r="D703" s="13"/>
      <c r="G703" s="9"/>
      <c r="J703" s="121"/>
      <c r="M703" s="9"/>
      <c r="N703" s="9"/>
      <c r="O703" s="9"/>
    </row>
    <row r="704">
      <c r="D704" s="13"/>
      <c r="G704" s="9"/>
      <c r="J704" s="121"/>
      <c r="M704" s="9"/>
      <c r="N704" s="9"/>
      <c r="O704" s="9"/>
    </row>
    <row r="705">
      <c r="D705" s="13"/>
      <c r="G705" s="9"/>
      <c r="J705" s="121"/>
      <c r="M705" s="9"/>
      <c r="N705" s="9"/>
      <c r="O705" s="9"/>
    </row>
    <row r="706">
      <c r="D706" s="13"/>
      <c r="G706" s="9"/>
      <c r="J706" s="121"/>
      <c r="M706" s="9"/>
      <c r="N706" s="9"/>
      <c r="O706" s="9"/>
    </row>
    <row r="707">
      <c r="D707" s="13"/>
      <c r="G707" s="9"/>
      <c r="J707" s="121"/>
      <c r="M707" s="9"/>
      <c r="N707" s="9"/>
      <c r="O707" s="9"/>
    </row>
    <row r="708">
      <c r="D708" s="13"/>
      <c r="G708" s="9"/>
      <c r="J708" s="121"/>
      <c r="M708" s="9"/>
      <c r="N708" s="9"/>
      <c r="O708" s="9"/>
    </row>
    <row r="709">
      <c r="D709" s="13"/>
      <c r="G709" s="9"/>
      <c r="J709" s="121"/>
      <c r="M709" s="9"/>
      <c r="N709" s="9"/>
      <c r="O709" s="9"/>
    </row>
    <row r="710">
      <c r="D710" s="13"/>
      <c r="G710" s="9"/>
      <c r="J710" s="121"/>
      <c r="M710" s="9"/>
      <c r="N710" s="9"/>
      <c r="O710" s="9"/>
    </row>
    <row r="711">
      <c r="D711" s="13"/>
      <c r="G711" s="9"/>
      <c r="J711" s="121"/>
      <c r="M711" s="9"/>
      <c r="N711" s="9"/>
      <c r="O711" s="9"/>
    </row>
    <row r="712">
      <c r="D712" s="13"/>
      <c r="G712" s="9"/>
      <c r="J712" s="121"/>
      <c r="M712" s="9"/>
      <c r="N712" s="9"/>
      <c r="O712" s="9"/>
    </row>
    <row r="713">
      <c r="D713" s="13"/>
      <c r="G713" s="9"/>
      <c r="J713" s="121"/>
      <c r="M713" s="9"/>
      <c r="N713" s="9"/>
      <c r="O713" s="9"/>
    </row>
    <row r="714">
      <c r="D714" s="13"/>
      <c r="G714" s="9"/>
      <c r="J714" s="121"/>
      <c r="M714" s="9"/>
      <c r="N714" s="9"/>
      <c r="O714" s="9"/>
    </row>
    <row r="715">
      <c r="D715" s="13"/>
      <c r="G715" s="9"/>
      <c r="J715" s="121"/>
      <c r="M715" s="9"/>
      <c r="N715" s="9"/>
      <c r="O715" s="9"/>
    </row>
    <row r="716">
      <c r="D716" s="13"/>
      <c r="G716" s="9"/>
      <c r="J716" s="121"/>
      <c r="M716" s="9"/>
      <c r="N716" s="9"/>
      <c r="O716" s="9"/>
    </row>
    <row r="717">
      <c r="D717" s="13"/>
      <c r="G717" s="9"/>
      <c r="J717" s="121"/>
      <c r="M717" s="9"/>
      <c r="N717" s="9"/>
      <c r="O717" s="9"/>
    </row>
    <row r="718">
      <c r="D718" s="13"/>
      <c r="G718" s="9"/>
      <c r="J718" s="121"/>
      <c r="M718" s="9"/>
      <c r="N718" s="9"/>
      <c r="O718" s="9"/>
    </row>
    <row r="719">
      <c r="D719" s="13"/>
      <c r="G719" s="9"/>
      <c r="J719" s="121"/>
      <c r="M719" s="9"/>
      <c r="N719" s="9"/>
      <c r="O719" s="9"/>
    </row>
    <row r="720">
      <c r="D720" s="13"/>
      <c r="G720" s="9"/>
      <c r="J720" s="121"/>
      <c r="M720" s="9"/>
      <c r="N720" s="9"/>
      <c r="O720" s="9"/>
    </row>
    <row r="721">
      <c r="D721" s="13"/>
      <c r="G721" s="9"/>
      <c r="J721" s="121"/>
      <c r="M721" s="9"/>
      <c r="N721" s="9"/>
      <c r="O721" s="9"/>
    </row>
    <row r="722">
      <c r="D722" s="13"/>
      <c r="G722" s="9"/>
      <c r="J722" s="121"/>
      <c r="M722" s="9"/>
      <c r="N722" s="9"/>
      <c r="O722" s="9"/>
    </row>
    <row r="723">
      <c r="D723" s="13"/>
      <c r="G723" s="9"/>
      <c r="J723" s="121"/>
      <c r="M723" s="9"/>
      <c r="N723" s="9"/>
      <c r="O723" s="9"/>
    </row>
    <row r="724">
      <c r="D724" s="13"/>
      <c r="G724" s="9"/>
      <c r="J724" s="121"/>
      <c r="M724" s="9"/>
      <c r="N724" s="9"/>
      <c r="O724" s="9"/>
    </row>
    <row r="725">
      <c r="D725" s="13"/>
      <c r="G725" s="9"/>
      <c r="J725" s="121"/>
      <c r="M725" s="9"/>
      <c r="N725" s="9"/>
      <c r="O725" s="9"/>
    </row>
    <row r="726">
      <c r="D726" s="13"/>
      <c r="G726" s="9"/>
      <c r="J726" s="121"/>
      <c r="M726" s="9"/>
      <c r="N726" s="9"/>
      <c r="O726" s="9"/>
    </row>
    <row r="727">
      <c r="D727" s="13"/>
      <c r="G727" s="9"/>
      <c r="J727" s="121"/>
      <c r="M727" s="9"/>
      <c r="N727" s="9"/>
      <c r="O727" s="9"/>
    </row>
    <row r="728">
      <c r="D728" s="13"/>
      <c r="G728" s="9"/>
      <c r="J728" s="121"/>
      <c r="M728" s="9"/>
      <c r="N728" s="9"/>
      <c r="O728" s="9"/>
    </row>
    <row r="729">
      <c r="D729" s="13"/>
      <c r="G729" s="9"/>
      <c r="J729" s="121"/>
      <c r="M729" s="9"/>
      <c r="N729" s="9"/>
      <c r="O729" s="9"/>
    </row>
    <row r="730">
      <c r="D730" s="13"/>
      <c r="G730" s="9"/>
      <c r="J730" s="121"/>
      <c r="M730" s="9"/>
      <c r="N730" s="9"/>
      <c r="O730" s="9"/>
    </row>
    <row r="731">
      <c r="D731" s="13"/>
      <c r="G731" s="9"/>
      <c r="J731" s="121"/>
      <c r="M731" s="9"/>
      <c r="N731" s="9"/>
      <c r="O731" s="9"/>
    </row>
    <row r="732">
      <c r="D732" s="13"/>
      <c r="G732" s="9"/>
      <c r="J732" s="121"/>
      <c r="M732" s="9"/>
      <c r="N732" s="9"/>
      <c r="O732" s="9"/>
    </row>
    <row r="733">
      <c r="D733" s="13"/>
      <c r="G733" s="9"/>
      <c r="J733" s="121"/>
      <c r="M733" s="9"/>
      <c r="N733" s="9"/>
      <c r="O733" s="9"/>
    </row>
    <row r="734">
      <c r="D734" s="13"/>
      <c r="G734" s="9"/>
      <c r="J734" s="121"/>
      <c r="M734" s="9"/>
      <c r="N734" s="9"/>
      <c r="O734" s="9"/>
    </row>
    <row r="735">
      <c r="D735" s="13"/>
      <c r="G735" s="9"/>
      <c r="J735" s="121"/>
      <c r="M735" s="9"/>
      <c r="N735" s="9"/>
      <c r="O735" s="9"/>
    </row>
    <row r="736">
      <c r="D736" s="13"/>
      <c r="G736" s="9"/>
      <c r="J736" s="121"/>
      <c r="M736" s="9"/>
      <c r="N736" s="9"/>
      <c r="O736" s="9"/>
    </row>
    <row r="737">
      <c r="D737" s="13"/>
      <c r="G737" s="9"/>
      <c r="J737" s="121"/>
      <c r="M737" s="9"/>
      <c r="N737" s="9"/>
      <c r="O737" s="9"/>
    </row>
    <row r="738">
      <c r="D738" s="13"/>
      <c r="G738" s="9"/>
      <c r="J738" s="121"/>
      <c r="M738" s="9"/>
      <c r="N738" s="9"/>
      <c r="O738" s="9"/>
    </row>
    <row r="739">
      <c r="D739" s="13"/>
      <c r="G739" s="9"/>
      <c r="J739" s="121"/>
      <c r="M739" s="9"/>
      <c r="N739" s="9"/>
      <c r="O739" s="9"/>
    </row>
    <row r="740">
      <c r="D740" s="13"/>
      <c r="G740" s="9"/>
      <c r="J740" s="121"/>
      <c r="M740" s="9"/>
      <c r="N740" s="9"/>
      <c r="O740" s="9"/>
    </row>
    <row r="741">
      <c r="D741" s="13"/>
      <c r="G741" s="9"/>
      <c r="J741" s="121"/>
      <c r="M741" s="9"/>
      <c r="N741" s="9"/>
      <c r="O741" s="9"/>
    </row>
    <row r="742">
      <c r="D742" s="13"/>
      <c r="G742" s="9"/>
      <c r="J742" s="121"/>
      <c r="M742" s="9"/>
      <c r="N742" s="9"/>
      <c r="O742" s="9"/>
    </row>
    <row r="743">
      <c r="D743" s="13"/>
      <c r="G743" s="9"/>
      <c r="J743" s="121"/>
      <c r="M743" s="9"/>
      <c r="N743" s="9"/>
      <c r="O743" s="9"/>
    </row>
    <row r="744">
      <c r="D744" s="13"/>
      <c r="G744" s="9"/>
      <c r="J744" s="121"/>
      <c r="M744" s="9"/>
      <c r="N744" s="9"/>
      <c r="O744" s="9"/>
    </row>
    <row r="745">
      <c r="D745" s="13"/>
      <c r="G745" s="9"/>
      <c r="J745" s="121"/>
      <c r="M745" s="9"/>
      <c r="N745" s="9"/>
      <c r="O745" s="9"/>
    </row>
    <row r="746">
      <c r="D746" s="13"/>
      <c r="G746" s="9"/>
      <c r="J746" s="121"/>
      <c r="M746" s="9"/>
      <c r="N746" s="9"/>
      <c r="O746" s="9"/>
    </row>
    <row r="747">
      <c r="D747" s="13"/>
      <c r="G747" s="9"/>
      <c r="J747" s="121"/>
      <c r="M747" s="9"/>
      <c r="N747" s="9"/>
      <c r="O747" s="9"/>
    </row>
    <row r="748">
      <c r="D748" s="13"/>
      <c r="G748" s="9"/>
      <c r="J748" s="121"/>
      <c r="M748" s="9"/>
      <c r="N748" s="9"/>
      <c r="O748" s="9"/>
    </row>
    <row r="749">
      <c r="D749" s="13"/>
      <c r="G749" s="9"/>
      <c r="J749" s="121"/>
      <c r="M749" s="9"/>
      <c r="N749" s="9"/>
      <c r="O749" s="9"/>
    </row>
    <row r="750">
      <c r="D750" s="13"/>
      <c r="G750" s="9"/>
      <c r="J750" s="121"/>
      <c r="M750" s="9"/>
      <c r="N750" s="9"/>
      <c r="O750" s="9"/>
    </row>
    <row r="751">
      <c r="D751" s="13"/>
      <c r="G751" s="9"/>
      <c r="J751" s="121"/>
      <c r="M751" s="9"/>
      <c r="N751" s="9"/>
      <c r="O751" s="9"/>
    </row>
    <row r="752">
      <c r="D752" s="13"/>
      <c r="G752" s="9"/>
      <c r="J752" s="121"/>
      <c r="M752" s="9"/>
      <c r="N752" s="9"/>
      <c r="O752" s="9"/>
    </row>
    <row r="753">
      <c r="D753" s="13"/>
      <c r="G753" s="9"/>
      <c r="J753" s="121"/>
      <c r="M753" s="9"/>
      <c r="N753" s="9"/>
      <c r="O753" s="9"/>
    </row>
    <row r="754">
      <c r="D754" s="13"/>
      <c r="G754" s="9"/>
      <c r="J754" s="121"/>
      <c r="M754" s="9"/>
      <c r="N754" s="9"/>
      <c r="O754" s="9"/>
    </row>
    <row r="755">
      <c r="D755" s="13"/>
      <c r="G755" s="9"/>
      <c r="J755" s="121"/>
      <c r="M755" s="9"/>
      <c r="N755" s="9"/>
      <c r="O755" s="9"/>
    </row>
    <row r="756">
      <c r="D756" s="13"/>
      <c r="G756" s="9"/>
      <c r="J756" s="121"/>
      <c r="M756" s="9"/>
      <c r="N756" s="9"/>
      <c r="O756" s="9"/>
    </row>
    <row r="757">
      <c r="D757" s="13"/>
      <c r="G757" s="9"/>
      <c r="J757" s="121"/>
      <c r="M757" s="9"/>
      <c r="N757" s="9"/>
      <c r="O757" s="9"/>
    </row>
    <row r="758">
      <c r="D758" s="13"/>
      <c r="G758" s="9"/>
      <c r="J758" s="121"/>
      <c r="M758" s="9"/>
      <c r="N758" s="9"/>
      <c r="O758" s="9"/>
    </row>
    <row r="759">
      <c r="D759" s="13"/>
      <c r="G759" s="9"/>
      <c r="J759" s="121"/>
      <c r="M759" s="9"/>
      <c r="N759" s="9"/>
      <c r="O759" s="9"/>
    </row>
    <row r="760">
      <c r="D760" s="13"/>
      <c r="G760" s="9"/>
      <c r="J760" s="121"/>
      <c r="M760" s="9"/>
      <c r="N760" s="9"/>
      <c r="O760" s="9"/>
    </row>
    <row r="761">
      <c r="D761" s="13"/>
      <c r="G761" s="9"/>
      <c r="J761" s="121"/>
      <c r="M761" s="9"/>
      <c r="N761" s="9"/>
      <c r="O761" s="9"/>
    </row>
    <row r="762">
      <c r="D762" s="13"/>
      <c r="G762" s="9"/>
      <c r="J762" s="121"/>
      <c r="M762" s="9"/>
      <c r="N762" s="9"/>
      <c r="O762" s="9"/>
    </row>
    <row r="763">
      <c r="D763" s="13"/>
      <c r="G763" s="9"/>
      <c r="J763" s="121"/>
      <c r="M763" s="9"/>
      <c r="N763" s="9"/>
      <c r="O763" s="9"/>
    </row>
    <row r="764">
      <c r="D764" s="13"/>
      <c r="G764" s="9"/>
      <c r="J764" s="121"/>
      <c r="M764" s="9"/>
      <c r="N764" s="9"/>
      <c r="O764" s="9"/>
    </row>
    <row r="765">
      <c r="D765" s="13"/>
      <c r="G765" s="9"/>
      <c r="J765" s="121"/>
      <c r="M765" s="9"/>
      <c r="N765" s="9"/>
      <c r="O765" s="9"/>
    </row>
    <row r="766">
      <c r="D766" s="13"/>
      <c r="G766" s="9"/>
      <c r="J766" s="121"/>
      <c r="M766" s="9"/>
      <c r="N766" s="9"/>
      <c r="O766" s="9"/>
    </row>
    <row r="767">
      <c r="D767" s="13"/>
      <c r="G767" s="9"/>
      <c r="J767" s="121"/>
      <c r="M767" s="9"/>
      <c r="N767" s="9"/>
      <c r="O767" s="9"/>
    </row>
    <row r="768">
      <c r="D768" s="13"/>
      <c r="G768" s="9"/>
      <c r="J768" s="121"/>
      <c r="M768" s="9"/>
      <c r="N768" s="9"/>
      <c r="O768" s="9"/>
    </row>
    <row r="769">
      <c r="D769" s="13"/>
      <c r="G769" s="9"/>
      <c r="J769" s="121"/>
      <c r="M769" s="9"/>
      <c r="N769" s="9"/>
      <c r="O769" s="9"/>
    </row>
    <row r="770">
      <c r="D770" s="13"/>
      <c r="G770" s="9"/>
      <c r="J770" s="121"/>
      <c r="M770" s="9"/>
      <c r="N770" s="9"/>
      <c r="O770" s="9"/>
    </row>
    <row r="771">
      <c r="D771" s="13"/>
      <c r="G771" s="9"/>
      <c r="J771" s="121"/>
      <c r="M771" s="9"/>
      <c r="N771" s="9"/>
      <c r="O771" s="9"/>
    </row>
    <row r="772">
      <c r="D772" s="13"/>
      <c r="G772" s="9"/>
      <c r="J772" s="121"/>
      <c r="M772" s="9"/>
      <c r="N772" s="9"/>
      <c r="O772" s="9"/>
    </row>
    <row r="773">
      <c r="D773" s="13"/>
      <c r="G773" s="9"/>
      <c r="J773" s="121"/>
      <c r="M773" s="9"/>
      <c r="N773" s="9"/>
      <c r="O773" s="9"/>
    </row>
    <row r="774">
      <c r="D774" s="13"/>
      <c r="G774" s="9"/>
      <c r="J774" s="121"/>
      <c r="M774" s="9"/>
      <c r="N774" s="9"/>
      <c r="O774" s="9"/>
    </row>
    <row r="775">
      <c r="D775" s="13"/>
      <c r="G775" s="9"/>
      <c r="J775" s="121"/>
      <c r="M775" s="9"/>
      <c r="N775" s="9"/>
      <c r="O775" s="9"/>
    </row>
    <row r="776">
      <c r="D776" s="13"/>
      <c r="G776" s="9"/>
      <c r="J776" s="121"/>
      <c r="M776" s="9"/>
      <c r="N776" s="9"/>
      <c r="O776" s="9"/>
    </row>
    <row r="777">
      <c r="D777" s="13"/>
      <c r="G777" s="9"/>
      <c r="J777" s="121"/>
      <c r="M777" s="9"/>
      <c r="N777" s="9"/>
      <c r="O777" s="9"/>
    </row>
    <row r="778">
      <c r="D778" s="13"/>
      <c r="G778" s="9"/>
      <c r="J778" s="121"/>
      <c r="M778" s="9"/>
      <c r="N778" s="9"/>
      <c r="O778" s="9"/>
    </row>
    <row r="779">
      <c r="D779" s="13"/>
      <c r="G779" s="9"/>
      <c r="J779" s="121"/>
      <c r="M779" s="9"/>
      <c r="N779" s="9"/>
      <c r="O779" s="9"/>
    </row>
    <row r="780">
      <c r="D780" s="13"/>
      <c r="G780" s="9"/>
      <c r="J780" s="121"/>
      <c r="M780" s="9"/>
      <c r="N780" s="9"/>
      <c r="O780" s="9"/>
    </row>
    <row r="781">
      <c r="D781" s="13"/>
      <c r="G781" s="9"/>
      <c r="J781" s="121"/>
      <c r="M781" s="9"/>
      <c r="N781" s="9"/>
      <c r="O781" s="9"/>
    </row>
    <row r="782">
      <c r="D782" s="13"/>
      <c r="G782" s="9"/>
      <c r="J782" s="121"/>
      <c r="M782" s="9"/>
      <c r="N782" s="9"/>
      <c r="O782" s="9"/>
    </row>
    <row r="783">
      <c r="D783" s="13"/>
      <c r="G783" s="9"/>
      <c r="J783" s="121"/>
      <c r="M783" s="9"/>
      <c r="N783" s="9"/>
      <c r="O783" s="9"/>
    </row>
    <row r="784">
      <c r="D784" s="13"/>
      <c r="G784" s="9"/>
      <c r="J784" s="121"/>
      <c r="M784" s="9"/>
      <c r="N784" s="9"/>
      <c r="O784" s="9"/>
    </row>
    <row r="785">
      <c r="D785" s="13"/>
      <c r="G785" s="9"/>
      <c r="J785" s="121"/>
      <c r="M785" s="9"/>
      <c r="N785" s="9"/>
      <c r="O785" s="9"/>
    </row>
    <row r="786">
      <c r="D786" s="13"/>
      <c r="G786" s="9"/>
      <c r="J786" s="121"/>
      <c r="M786" s="9"/>
      <c r="N786" s="9"/>
      <c r="O786" s="9"/>
    </row>
    <row r="787">
      <c r="D787" s="13"/>
      <c r="G787" s="9"/>
      <c r="J787" s="121"/>
      <c r="M787" s="9"/>
      <c r="N787" s="9"/>
      <c r="O787" s="9"/>
    </row>
    <row r="788">
      <c r="D788" s="13"/>
      <c r="G788" s="9"/>
      <c r="J788" s="121"/>
      <c r="M788" s="9"/>
      <c r="N788" s="9"/>
      <c r="O788" s="9"/>
    </row>
    <row r="789">
      <c r="D789" s="13"/>
      <c r="G789" s="9"/>
      <c r="J789" s="121"/>
      <c r="M789" s="9"/>
      <c r="N789" s="9"/>
      <c r="O789" s="9"/>
    </row>
    <row r="790">
      <c r="D790" s="13"/>
      <c r="G790" s="9"/>
      <c r="J790" s="121"/>
      <c r="M790" s="9"/>
      <c r="N790" s="9"/>
      <c r="O790" s="9"/>
    </row>
    <row r="791">
      <c r="D791" s="13"/>
      <c r="G791" s="9"/>
      <c r="J791" s="121"/>
      <c r="M791" s="9"/>
      <c r="N791" s="9"/>
      <c r="O791" s="9"/>
    </row>
    <row r="792">
      <c r="D792" s="13"/>
      <c r="G792" s="9"/>
      <c r="J792" s="121"/>
      <c r="M792" s="9"/>
      <c r="N792" s="9"/>
      <c r="O792" s="9"/>
    </row>
    <row r="793">
      <c r="D793" s="13"/>
      <c r="G793" s="9"/>
      <c r="J793" s="121"/>
      <c r="M793" s="9"/>
      <c r="N793" s="9"/>
      <c r="O793" s="9"/>
    </row>
    <row r="794">
      <c r="D794" s="13"/>
      <c r="G794" s="9"/>
      <c r="J794" s="121"/>
      <c r="M794" s="9"/>
      <c r="N794" s="9"/>
      <c r="O794" s="9"/>
    </row>
    <row r="795">
      <c r="D795" s="13"/>
      <c r="G795" s="9"/>
      <c r="J795" s="121"/>
      <c r="M795" s="9"/>
      <c r="N795" s="9"/>
      <c r="O795" s="9"/>
    </row>
    <row r="796">
      <c r="D796" s="13"/>
      <c r="G796" s="9"/>
      <c r="J796" s="121"/>
      <c r="M796" s="9"/>
      <c r="N796" s="9"/>
      <c r="O796" s="9"/>
    </row>
    <row r="797">
      <c r="D797" s="13"/>
      <c r="G797" s="9"/>
      <c r="J797" s="121"/>
      <c r="M797" s="9"/>
      <c r="N797" s="9"/>
      <c r="O797" s="9"/>
    </row>
    <row r="798">
      <c r="D798" s="13"/>
      <c r="G798" s="9"/>
      <c r="J798" s="121"/>
      <c r="M798" s="9"/>
      <c r="N798" s="9"/>
      <c r="O798" s="9"/>
    </row>
    <row r="799">
      <c r="D799" s="13"/>
      <c r="G799" s="9"/>
      <c r="J799" s="121"/>
      <c r="M799" s="9"/>
      <c r="N799" s="9"/>
      <c r="O799" s="9"/>
    </row>
    <row r="800">
      <c r="D800" s="13"/>
      <c r="G800" s="9"/>
      <c r="J800" s="121"/>
      <c r="M800" s="9"/>
      <c r="N800" s="9"/>
      <c r="O800" s="9"/>
    </row>
    <row r="801">
      <c r="D801" s="13"/>
      <c r="G801" s="9"/>
      <c r="J801" s="121"/>
      <c r="M801" s="9"/>
      <c r="N801" s="9"/>
      <c r="O801" s="9"/>
    </row>
    <row r="802">
      <c r="D802" s="13"/>
      <c r="G802" s="9"/>
      <c r="J802" s="121"/>
      <c r="M802" s="9"/>
      <c r="N802" s="9"/>
      <c r="O802" s="9"/>
    </row>
    <row r="803">
      <c r="D803" s="13"/>
      <c r="G803" s="9"/>
      <c r="J803" s="121"/>
      <c r="M803" s="9"/>
      <c r="N803" s="9"/>
      <c r="O803" s="9"/>
    </row>
    <row r="804">
      <c r="D804" s="13"/>
      <c r="G804" s="9"/>
      <c r="J804" s="121"/>
      <c r="M804" s="9"/>
      <c r="N804" s="9"/>
      <c r="O804" s="9"/>
    </row>
    <row r="805">
      <c r="D805" s="13"/>
      <c r="G805" s="9"/>
      <c r="J805" s="121"/>
      <c r="M805" s="9"/>
      <c r="N805" s="9"/>
      <c r="O805" s="9"/>
    </row>
    <row r="806">
      <c r="D806" s="13"/>
      <c r="G806" s="9"/>
      <c r="J806" s="121"/>
      <c r="M806" s="9"/>
      <c r="N806" s="9"/>
      <c r="O806" s="9"/>
    </row>
    <row r="807">
      <c r="D807" s="13"/>
      <c r="G807" s="9"/>
      <c r="J807" s="121"/>
      <c r="M807" s="9"/>
      <c r="N807" s="9"/>
      <c r="O807" s="9"/>
    </row>
    <row r="808">
      <c r="D808" s="13"/>
      <c r="G808" s="9"/>
      <c r="J808" s="121"/>
      <c r="M808" s="9"/>
      <c r="N808" s="9"/>
      <c r="O808" s="9"/>
    </row>
    <row r="809">
      <c r="D809" s="13"/>
      <c r="G809" s="9"/>
      <c r="J809" s="121"/>
      <c r="M809" s="9"/>
      <c r="N809" s="9"/>
      <c r="O809" s="9"/>
    </row>
    <row r="810">
      <c r="D810" s="13"/>
      <c r="G810" s="9"/>
      <c r="J810" s="121"/>
      <c r="M810" s="9"/>
      <c r="N810" s="9"/>
      <c r="O810" s="9"/>
    </row>
    <row r="811">
      <c r="D811" s="13"/>
      <c r="G811" s="9"/>
      <c r="J811" s="121"/>
      <c r="M811" s="9"/>
      <c r="N811" s="9"/>
      <c r="O811" s="9"/>
    </row>
    <row r="812">
      <c r="D812" s="13"/>
      <c r="G812" s="9"/>
      <c r="J812" s="121"/>
      <c r="M812" s="9"/>
      <c r="N812" s="9"/>
      <c r="O812" s="9"/>
    </row>
    <row r="813">
      <c r="D813" s="13"/>
      <c r="G813" s="9"/>
      <c r="J813" s="121"/>
      <c r="M813" s="9"/>
      <c r="N813" s="9"/>
      <c r="O813" s="9"/>
    </row>
    <row r="814">
      <c r="D814" s="13"/>
      <c r="G814" s="9"/>
      <c r="J814" s="121"/>
      <c r="M814" s="9"/>
      <c r="N814" s="9"/>
      <c r="O814" s="9"/>
    </row>
    <row r="815">
      <c r="D815" s="13"/>
      <c r="G815" s="9"/>
      <c r="J815" s="121"/>
      <c r="M815" s="9"/>
      <c r="N815" s="9"/>
      <c r="O815" s="9"/>
    </row>
    <row r="816">
      <c r="D816" s="13"/>
      <c r="G816" s="9"/>
      <c r="J816" s="121"/>
      <c r="M816" s="9"/>
      <c r="N816" s="9"/>
      <c r="O816" s="9"/>
    </row>
    <row r="817">
      <c r="D817" s="13"/>
      <c r="G817" s="9"/>
      <c r="J817" s="121"/>
      <c r="M817" s="9"/>
      <c r="N817" s="9"/>
      <c r="O817" s="9"/>
    </row>
    <row r="818">
      <c r="D818" s="13"/>
      <c r="G818" s="9"/>
      <c r="J818" s="121"/>
      <c r="M818" s="9"/>
      <c r="N818" s="9"/>
      <c r="O818" s="9"/>
    </row>
    <row r="819">
      <c r="D819" s="13"/>
      <c r="G819" s="9"/>
      <c r="J819" s="121"/>
      <c r="M819" s="9"/>
      <c r="N819" s="9"/>
      <c r="O819" s="9"/>
    </row>
    <row r="820">
      <c r="D820" s="13"/>
      <c r="G820" s="9"/>
      <c r="J820" s="121"/>
      <c r="M820" s="9"/>
      <c r="N820" s="9"/>
      <c r="O820" s="9"/>
    </row>
    <row r="821">
      <c r="D821" s="13"/>
      <c r="G821" s="9"/>
      <c r="J821" s="121"/>
      <c r="M821" s="9"/>
      <c r="N821" s="9"/>
      <c r="O821" s="9"/>
    </row>
    <row r="822">
      <c r="D822" s="13"/>
      <c r="G822" s="9"/>
      <c r="J822" s="121"/>
      <c r="M822" s="9"/>
      <c r="N822" s="9"/>
      <c r="O822" s="9"/>
    </row>
    <row r="823">
      <c r="D823" s="13"/>
      <c r="G823" s="9"/>
      <c r="J823" s="121"/>
      <c r="M823" s="9"/>
      <c r="N823" s="9"/>
      <c r="O823" s="9"/>
    </row>
    <row r="824">
      <c r="D824" s="13"/>
      <c r="G824" s="9"/>
      <c r="J824" s="121"/>
      <c r="M824" s="9"/>
      <c r="N824" s="9"/>
      <c r="O824" s="9"/>
    </row>
    <row r="825">
      <c r="D825" s="13"/>
      <c r="G825" s="9"/>
      <c r="J825" s="121"/>
      <c r="M825" s="9"/>
      <c r="N825" s="9"/>
      <c r="O825" s="9"/>
    </row>
    <row r="826">
      <c r="D826" s="13"/>
      <c r="G826" s="9"/>
      <c r="J826" s="121"/>
      <c r="M826" s="9"/>
      <c r="N826" s="9"/>
      <c r="O826" s="9"/>
    </row>
    <row r="827">
      <c r="D827" s="13"/>
      <c r="G827" s="9"/>
      <c r="J827" s="121"/>
      <c r="M827" s="9"/>
      <c r="N827" s="9"/>
      <c r="O827" s="9"/>
    </row>
    <row r="828">
      <c r="D828" s="13"/>
      <c r="G828" s="9"/>
      <c r="J828" s="121"/>
      <c r="M828" s="9"/>
      <c r="N828" s="9"/>
      <c r="O828" s="9"/>
    </row>
    <row r="829">
      <c r="D829" s="13"/>
      <c r="G829" s="9"/>
      <c r="J829" s="121"/>
      <c r="M829" s="9"/>
      <c r="N829" s="9"/>
      <c r="O829" s="9"/>
    </row>
    <row r="830">
      <c r="D830" s="13"/>
      <c r="G830" s="9"/>
      <c r="J830" s="121"/>
      <c r="M830" s="9"/>
      <c r="N830" s="9"/>
      <c r="O830" s="9"/>
    </row>
    <row r="831">
      <c r="D831" s="13"/>
      <c r="G831" s="9"/>
      <c r="J831" s="121"/>
      <c r="M831" s="9"/>
      <c r="N831" s="9"/>
      <c r="O831" s="9"/>
    </row>
    <row r="832">
      <c r="D832" s="13"/>
      <c r="G832" s="9"/>
      <c r="J832" s="121"/>
      <c r="M832" s="9"/>
      <c r="N832" s="9"/>
      <c r="O832" s="9"/>
    </row>
    <row r="833">
      <c r="D833" s="13"/>
      <c r="G833" s="9"/>
      <c r="J833" s="121"/>
      <c r="M833" s="9"/>
      <c r="N833" s="9"/>
      <c r="O833" s="9"/>
    </row>
    <row r="834">
      <c r="D834" s="13"/>
      <c r="G834" s="9"/>
      <c r="J834" s="121"/>
      <c r="M834" s="9"/>
      <c r="N834" s="9"/>
      <c r="O834" s="9"/>
    </row>
    <row r="835">
      <c r="D835" s="13"/>
      <c r="G835" s="9"/>
      <c r="J835" s="121"/>
      <c r="M835" s="9"/>
      <c r="N835" s="9"/>
      <c r="O835" s="9"/>
    </row>
    <row r="836">
      <c r="D836" s="13"/>
      <c r="G836" s="9"/>
      <c r="J836" s="121"/>
      <c r="M836" s="9"/>
      <c r="N836" s="9"/>
      <c r="O836" s="9"/>
    </row>
    <row r="837">
      <c r="D837" s="13"/>
      <c r="G837" s="9"/>
      <c r="J837" s="121"/>
      <c r="M837" s="9"/>
      <c r="N837" s="9"/>
      <c r="O837" s="9"/>
    </row>
    <row r="838">
      <c r="D838" s="13"/>
      <c r="G838" s="9"/>
      <c r="J838" s="121"/>
      <c r="M838" s="9"/>
      <c r="N838" s="9"/>
      <c r="O838" s="9"/>
    </row>
    <row r="839">
      <c r="D839" s="13"/>
      <c r="G839" s="9"/>
      <c r="J839" s="121"/>
      <c r="M839" s="9"/>
      <c r="N839" s="9"/>
      <c r="O839" s="9"/>
    </row>
    <row r="840">
      <c r="D840" s="13"/>
      <c r="G840" s="9"/>
      <c r="J840" s="121"/>
      <c r="M840" s="9"/>
      <c r="N840" s="9"/>
      <c r="O840" s="9"/>
    </row>
    <row r="841">
      <c r="D841" s="13"/>
      <c r="G841" s="9"/>
      <c r="J841" s="121"/>
      <c r="M841" s="9"/>
      <c r="N841" s="9"/>
      <c r="O841" s="9"/>
    </row>
    <row r="842">
      <c r="D842" s="13"/>
      <c r="G842" s="9"/>
      <c r="J842" s="121"/>
      <c r="M842" s="9"/>
      <c r="N842" s="9"/>
      <c r="O842" s="9"/>
    </row>
    <row r="843">
      <c r="D843" s="13"/>
      <c r="G843" s="9"/>
      <c r="J843" s="121"/>
      <c r="M843" s="9"/>
      <c r="N843" s="9"/>
      <c r="O843" s="9"/>
    </row>
    <row r="844">
      <c r="D844" s="13"/>
      <c r="G844" s="9"/>
      <c r="J844" s="121"/>
      <c r="M844" s="9"/>
      <c r="N844" s="9"/>
      <c r="O844" s="9"/>
    </row>
    <row r="845">
      <c r="D845" s="13"/>
      <c r="G845" s="9"/>
      <c r="J845" s="121"/>
      <c r="M845" s="9"/>
      <c r="N845" s="9"/>
      <c r="O845" s="9"/>
    </row>
    <row r="846">
      <c r="D846" s="13"/>
      <c r="G846" s="9"/>
      <c r="J846" s="121"/>
      <c r="M846" s="9"/>
      <c r="N846" s="9"/>
      <c r="O846" s="9"/>
    </row>
    <row r="847">
      <c r="D847" s="13"/>
      <c r="G847" s="9"/>
      <c r="J847" s="121"/>
      <c r="M847" s="9"/>
      <c r="N847" s="9"/>
      <c r="O847" s="9"/>
    </row>
    <row r="848">
      <c r="D848" s="13"/>
      <c r="G848" s="9"/>
      <c r="J848" s="121"/>
      <c r="M848" s="9"/>
      <c r="N848" s="9"/>
      <c r="O848" s="9"/>
    </row>
    <row r="849">
      <c r="D849" s="13"/>
      <c r="G849" s="9"/>
      <c r="J849" s="121"/>
      <c r="M849" s="9"/>
      <c r="N849" s="9"/>
      <c r="O849" s="9"/>
    </row>
    <row r="850">
      <c r="D850" s="13"/>
      <c r="G850" s="9"/>
      <c r="J850" s="121"/>
      <c r="M850" s="9"/>
      <c r="N850" s="9"/>
      <c r="O850" s="9"/>
    </row>
    <row r="851">
      <c r="D851" s="13"/>
      <c r="G851" s="9"/>
      <c r="J851" s="121"/>
      <c r="M851" s="9"/>
      <c r="N851" s="9"/>
      <c r="O851" s="9"/>
    </row>
    <row r="852">
      <c r="D852" s="13"/>
      <c r="G852" s="9"/>
      <c r="J852" s="121"/>
      <c r="M852" s="9"/>
      <c r="N852" s="9"/>
      <c r="O852" s="9"/>
    </row>
    <row r="853">
      <c r="D853" s="13"/>
      <c r="G853" s="9"/>
      <c r="J853" s="121"/>
      <c r="M853" s="9"/>
      <c r="N853" s="9"/>
      <c r="O853" s="9"/>
    </row>
    <row r="854">
      <c r="D854" s="13"/>
      <c r="G854" s="9"/>
      <c r="J854" s="121"/>
      <c r="M854" s="9"/>
      <c r="N854" s="9"/>
      <c r="O854" s="9"/>
    </row>
    <row r="855">
      <c r="D855" s="13"/>
      <c r="G855" s="9"/>
      <c r="J855" s="121"/>
      <c r="M855" s="9"/>
      <c r="N855" s="9"/>
      <c r="O855" s="9"/>
    </row>
    <row r="856">
      <c r="D856" s="13"/>
      <c r="G856" s="9"/>
      <c r="J856" s="121"/>
      <c r="M856" s="9"/>
      <c r="N856" s="9"/>
      <c r="O856" s="9"/>
    </row>
    <row r="857">
      <c r="D857" s="13"/>
      <c r="G857" s="9"/>
      <c r="J857" s="121"/>
      <c r="M857" s="9"/>
      <c r="N857" s="9"/>
      <c r="O857" s="9"/>
    </row>
    <row r="858">
      <c r="D858" s="13"/>
      <c r="G858" s="9"/>
      <c r="J858" s="121"/>
      <c r="M858" s="9"/>
      <c r="N858" s="9"/>
      <c r="O858" s="9"/>
    </row>
    <row r="859">
      <c r="D859" s="13"/>
      <c r="G859" s="9"/>
      <c r="J859" s="121"/>
      <c r="M859" s="9"/>
      <c r="N859" s="9"/>
      <c r="O859" s="9"/>
    </row>
    <row r="860">
      <c r="D860" s="13"/>
      <c r="G860" s="9"/>
      <c r="J860" s="121"/>
      <c r="M860" s="9"/>
      <c r="N860" s="9"/>
      <c r="O860" s="9"/>
    </row>
    <row r="861">
      <c r="D861" s="13"/>
      <c r="G861" s="9"/>
      <c r="J861" s="121"/>
      <c r="M861" s="9"/>
      <c r="N861" s="9"/>
      <c r="O861" s="9"/>
    </row>
    <row r="862">
      <c r="D862" s="13"/>
      <c r="G862" s="9"/>
      <c r="J862" s="121"/>
      <c r="M862" s="9"/>
      <c r="N862" s="9"/>
      <c r="O862" s="9"/>
    </row>
    <row r="863">
      <c r="D863" s="13"/>
      <c r="G863" s="9"/>
      <c r="J863" s="121"/>
      <c r="M863" s="9"/>
      <c r="N863" s="9"/>
      <c r="O863" s="9"/>
    </row>
    <row r="864">
      <c r="D864" s="13"/>
      <c r="G864" s="9"/>
      <c r="J864" s="121"/>
      <c r="M864" s="9"/>
      <c r="N864" s="9"/>
      <c r="O864" s="9"/>
    </row>
    <row r="865">
      <c r="D865" s="13"/>
      <c r="G865" s="9"/>
      <c r="J865" s="121"/>
      <c r="M865" s="9"/>
      <c r="N865" s="9"/>
      <c r="O865" s="9"/>
    </row>
    <row r="866">
      <c r="D866" s="13"/>
      <c r="G866" s="9"/>
      <c r="J866" s="121"/>
      <c r="M866" s="9"/>
      <c r="N866" s="9"/>
      <c r="O866" s="9"/>
    </row>
    <row r="867">
      <c r="D867" s="13"/>
      <c r="G867" s="9"/>
      <c r="J867" s="121"/>
      <c r="M867" s="9"/>
      <c r="N867" s="9"/>
      <c r="O867" s="9"/>
    </row>
    <row r="868">
      <c r="D868" s="13"/>
      <c r="G868" s="9"/>
      <c r="J868" s="121"/>
      <c r="M868" s="9"/>
      <c r="N868" s="9"/>
      <c r="O868" s="9"/>
    </row>
    <row r="869">
      <c r="D869" s="13"/>
      <c r="G869" s="9"/>
      <c r="J869" s="121"/>
      <c r="M869" s="9"/>
      <c r="N869" s="9"/>
      <c r="O869" s="9"/>
    </row>
    <row r="870">
      <c r="D870" s="13"/>
      <c r="G870" s="9"/>
      <c r="J870" s="121"/>
      <c r="M870" s="9"/>
      <c r="N870" s="9"/>
      <c r="O870" s="9"/>
    </row>
    <row r="871">
      <c r="D871" s="13"/>
      <c r="G871" s="9"/>
      <c r="J871" s="121"/>
      <c r="M871" s="9"/>
      <c r="N871" s="9"/>
      <c r="O871" s="9"/>
    </row>
    <row r="872">
      <c r="D872" s="13"/>
      <c r="G872" s="9"/>
      <c r="J872" s="121"/>
      <c r="M872" s="9"/>
      <c r="N872" s="9"/>
      <c r="O872" s="9"/>
    </row>
    <row r="873">
      <c r="D873" s="13"/>
      <c r="G873" s="9"/>
      <c r="J873" s="121"/>
      <c r="M873" s="9"/>
      <c r="N873" s="9"/>
      <c r="O873" s="9"/>
    </row>
    <row r="874">
      <c r="D874" s="13"/>
      <c r="G874" s="9"/>
      <c r="J874" s="121"/>
      <c r="M874" s="9"/>
      <c r="N874" s="9"/>
      <c r="O874" s="9"/>
    </row>
    <row r="875">
      <c r="D875" s="13"/>
      <c r="G875" s="9"/>
      <c r="J875" s="121"/>
      <c r="M875" s="9"/>
      <c r="N875" s="9"/>
      <c r="O875" s="9"/>
    </row>
    <row r="876">
      <c r="D876" s="13"/>
      <c r="G876" s="9"/>
      <c r="J876" s="121"/>
      <c r="M876" s="9"/>
      <c r="N876" s="9"/>
      <c r="O876" s="9"/>
    </row>
    <row r="877">
      <c r="D877" s="13"/>
      <c r="G877" s="9"/>
      <c r="J877" s="121"/>
      <c r="M877" s="9"/>
      <c r="N877" s="9"/>
      <c r="O877" s="9"/>
    </row>
    <row r="878">
      <c r="D878" s="13"/>
      <c r="G878" s="9"/>
      <c r="J878" s="121"/>
      <c r="M878" s="9"/>
      <c r="N878" s="9"/>
      <c r="O878" s="9"/>
    </row>
    <row r="879">
      <c r="D879" s="13"/>
      <c r="G879" s="9"/>
      <c r="J879" s="121"/>
      <c r="M879" s="9"/>
      <c r="N879" s="9"/>
      <c r="O879" s="9"/>
    </row>
    <row r="880">
      <c r="D880" s="13"/>
      <c r="G880" s="9"/>
      <c r="J880" s="121"/>
      <c r="M880" s="9"/>
      <c r="N880" s="9"/>
      <c r="O880" s="9"/>
    </row>
    <row r="881">
      <c r="D881" s="13"/>
      <c r="G881" s="9"/>
      <c r="J881" s="121"/>
      <c r="M881" s="9"/>
      <c r="N881" s="9"/>
      <c r="O881" s="9"/>
    </row>
    <row r="882">
      <c r="D882" s="13"/>
      <c r="G882" s="9"/>
      <c r="J882" s="121"/>
      <c r="M882" s="9"/>
      <c r="N882" s="9"/>
      <c r="O882" s="9"/>
    </row>
    <row r="883">
      <c r="D883" s="13"/>
      <c r="G883" s="9"/>
      <c r="J883" s="121"/>
      <c r="M883" s="9"/>
      <c r="N883" s="9"/>
      <c r="O883" s="9"/>
    </row>
    <row r="884">
      <c r="D884" s="13"/>
      <c r="G884" s="9"/>
      <c r="J884" s="121"/>
      <c r="M884" s="9"/>
      <c r="N884" s="9"/>
      <c r="O884" s="9"/>
    </row>
    <row r="885">
      <c r="D885" s="13"/>
      <c r="G885" s="9"/>
      <c r="J885" s="121"/>
      <c r="M885" s="9"/>
      <c r="N885" s="9"/>
      <c r="O885" s="9"/>
    </row>
    <row r="886">
      <c r="D886" s="13"/>
      <c r="G886" s="9"/>
      <c r="J886" s="121"/>
      <c r="M886" s="9"/>
      <c r="N886" s="9"/>
      <c r="O886" s="9"/>
    </row>
    <row r="887">
      <c r="D887" s="13"/>
      <c r="G887" s="9"/>
      <c r="J887" s="121"/>
      <c r="M887" s="9"/>
      <c r="N887" s="9"/>
      <c r="O887" s="9"/>
    </row>
    <row r="888">
      <c r="D888" s="13"/>
      <c r="G888" s="9"/>
      <c r="J888" s="121"/>
      <c r="M888" s="9"/>
      <c r="N888" s="9"/>
      <c r="O888" s="9"/>
    </row>
    <row r="889">
      <c r="D889" s="13"/>
      <c r="G889" s="9"/>
      <c r="J889" s="121"/>
      <c r="M889" s="9"/>
      <c r="N889" s="9"/>
      <c r="O889" s="9"/>
    </row>
    <row r="890">
      <c r="D890" s="13"/>
      <c r="G890" s="9"/>
      <c r="J890" s="121"/>
      <c r="M890" s="9"/>
      <c r="N890" s="9"/>
      <c r="O890" s="9"/>
    </row>
    <row r="891">
      <c r="D891" s="13"/>
      <c r="G891" s="9"/>
      <c r="J891" s="121"/>
      <c r="M891" s="9"/>
      <c r="N891" s="9"/>
      <c r="O891" s="9"/>
    </row>
    <row r="892">
      <c r="D892" s="13"/>
      <c r="G892" s="9"/>
      <c r="J892" s="121"/>
      <c r="M892" s="9"/>
      <c r="N892" s="9"/>
      <c r="O892" s="9"/>
    </row>
    <row r="893">
      <c r="D893" s="13"/>
      <c r="G893" s="9"/>
      <c r="J893" s="121"/>
      <c r="M893" s="9"/>
      <c r="N893" s="9"/>
      <c r="O893" s="9"/>
    </row>
    <row r="894">
      <c r="D894" s="13"/>
      <c r="G894" s="9"/>
      <c r="J894" s="121"/>
      <c r="M894" s="9"/>
      <c r="N894" s="9"/>
      <c r="O894" s="9"/>
    </row>
    <row r="895">
      <c r="D895" s="13"/>
      <c r="G895" s="9"/>
      <c r="J895" s="121"/>
      <c r="M895" s="9"/>
      <c r="N895" s="9"/>
      <c r="O895" s="9"/>
    </row>
    <row r="896">
      <c r="D896" s="13"/>
      <c r="G896" s="9"/>
      <c r="J896" s="121"/>
      <c r="M896" s="9"/>
      <c r="N896" s="9"/>
      <c r="O896" s="9"/>
    </row>
    <row r="897">
      <c r="D897" s="13"/>
      <c r="G897" s="9"/>
      <c r="J897" s="121"/>
      <c r="M897" s="9"/>
      <c r="N897" s="9"/>
      <c r="O897" s="9"/>
    </row>
    <row r="898">
      <c r="D898" s="13"/>
      <c r="G898" s="9"/>
      <c r="J898" s="121"/>
      <c r="M898" s="9"/>
      <c r="N898" s="9"/>
      <c r="O898" s="9"/>
    </row>
    <row r="899">
      <c r="D899" s="13"/>
      <c r="G899" s="9"/>
      <c r="J899" s="121"/>
      <c r="M899" s="9"/>
      <c r="N899" s="9"/>
      <c r="O899" s="9"/>
    </row>
    <row r="900">
      <c r="D900" s="13"/>
      <c r="G900" s="9"/>
      <c r="J900" s="121"/>
      <c r="M900" s="9"/>
      <c r="N900" s="9"/>
      <c r="O900" s="9"/>
    </row>
    <row r="901">
      <c r="D901" s="13"/>
      <c r="G901" s="9"/>
      <c r="J901" s="121"/>
      <c r="M901" s="9"/>
      <c r="N901" s="9"/>
      <c r="O901" s="9"/>
    </row>
    <row r="902">
      <c r="D902" s="13"/>
      <c r="G902" s="9"/>
      <c r="J902" s="121"/>
      <c r="M902" s="9"/>
      <c r="N902" s="9"/>
      <c r="O902" s="9"/>
    </row>
    <row r="903">
      <c r="D903" s="13"/>
      <c r="G903" s="9"/>
      <c r="J903" s="121"/>
      <c r="M903" s="9"/>
      <c r="N903" s="9"/>
      <c r="O903" s="9"/>
    </row>
    <row r="904">
      <c r="D904" s="13"/>
      <c r="G904" s="9"/>
      <c r="J904" s="121"/>
      <c r="M904" s="9"/>
      <c r="N904" s="9"/>
      <c r="O904" s="9"/>
    </row>
    <row r="905">
      <c r="D905" s="13"/>
      <c r="G905" s="9"/>
      <c r="J905" s="121"/>
      <c r="M905" s="9"/>
      <c r="N905" s="9"/>
      <c r="O905" s="9"/>
    </row>
    <row r="906">
      <c r="D906" s="13"/>
      <c r="G906" s="9"/>
      <c r="J906" s="121"/>
      <c r="M906" s="9"/>
      <c r="N906" s="9"/>
      <c r="O906" s="9"/>
    </row>
    <row r="907">
      <c r="D907" s="13"/>
      <c r="G907" s="9"/>
      <c r="J907" s="121"/>
      <c r="M907" s="9"/>
      <c r="N907" s="9"/>
      <c r="O907" s="9"/>
    </row>
    <row r="908">
      <c r="D908" s="13"/>
      <c r="G908" s="9"/>
      <c r="J908" s="121"/>
      <c r="M908" s="9"/>
      <c r="N908" s="9"/>
      <c r="O908" s="9"/>
    </row>
    <row r="909">
      <c r="D909" s="13"/>
      <c r="G909" s="9"/>
      <c r="J909" s="121"/>
      <c r="M909" s="9"/>
      <c r="N909" s="9"/>
      <c r="O909" s="9"/>
    </row>
    <row r="910">
      <c r="D910" s="13"/>
      <c r="G910" s="9"/>
      <c r="J910" s="121"/>
      <c r="M910" s="9"/>
      <c r="N910" s="9"/>
      <c r="O910" s="9"/>
    </row>
    <row r="911">
      <c r="D911" s="13"/>
      <c r="G911" s="9"/>
      <c r="J911" s="121"/>
      <c r="M911" s="9"/>
      <c r="N911" s="9"/>
      <c r="O911" s="9"/>
    </row>
    <row r="912">
      <c r="D912" s="13"/>
      <c r="G912" s="9"/>
      <c r="J912" s="121"/>
      <c r="M912" s="9"/>
      <c r="N912" s="9"/>
      <c r="O912" s="9"/>
    </row>
    <row r="913">
      <c r="D913" s="13"/>
      <c r="G913" s="9"/>
      <c r="J913" s="121"/>
      <c r="M913" s="9"/>
      <c r="N913" s="9"/>
      <c r="O913" s="9"/>
    </row>
    <row r="914">
      <c r="D914" s="13"/>
      <c r="G914" s="9"/>
      <c r="J914" s="121"/>
      <c r="M914" s="9"/>
      <c r="N914" s="9"/>
      <c r="O914" s="9"/>
    </row>
    <row r="915">
      <c r="D915" s="13"/>
      <c r="G915" s="9"/>
      <c r="J915" s="121"/>
      <c r="M915" s="9"/>
      <c r="N915" s="9"/>
      <c r="O915" s="9"/>
    </row>
    <row r="916">
      <c r="D916" s="13"/>
      <c r="G916" s="9"/>
      <c r="J916" s="121"/>
      <c r="M916" s="9"/>
      <c r="N916" s="9"/>
      <c r="O916" s="9"/>
    </row>
    <row r="917">
      <c r="D917" s="13"/>
      <c r="G917" s="9"/>
      <c r="J917" s="121"/>
      <c r="M917" s="9"/>
      <c r="N917" s="9"/>
      <c r="O917" s="9"/>
    </row>
    <row r="918">
      <c r="D918" s="13"/>
      <c r="G918" s="9"/>
      <c r="J918" s="121"/>
      <c r="M918" s="9"/>
      <c r="N918" s="9"/>
      <c r="O918" s="9"/>
    </row>
    <row r="919">
      <c r="D919" s="13"/>
      <c r="G919" s="9"/>
      <c r="J919" s="121"/>
      <c r="M919" s="9"/>
      <c r="N919" s="9"/>
      <c r="O919" s="9"/>
    </row>
    <row r="920">
      <c r="D920" s="13"/>
      <c r="G920" s="9"/>
      <c r="J920" s="121"/>
      <c r="M920" s="9"/>
      <c r="N920" s="9"/>
      <c r="O920" s="9"/>
    </row>
    <row r="921">
      <c r="D921" s="13"/>
      <c r="G921" s="9"/>
      <c r="J921" s="121"/>
      <c r="M921" s="9"/>
      <c r="N921" s="9"/>
      <c r="O921" s="9"/>
    </row>
    <row r="922">
      <c r="D922" s="13"/>
      <c r="G922" s="9"/>
      <c r="J922" s="121"/>
      <c r="M922" s="9"/>
      <c r="N922" s="9"/>
      <c r="O922" s="9"/>
    </row>
    <row r="923">
      <c r="D923" s="13"/>
      <c r="G923" s="9"/>
      <c r="J923" s="121"/>
      <c r="M923" s="9"/>
      <c r="N923" s="9"/>
      <c r="O923" s="9"/>
    </row>
    <row r="924">
      <c r="D924" s="13"/>
      <c r="G924" s="9"/>
      <c r="J924" s="121"/>
      <c r="M924" s="9"/>
      <c r="N924" s="9"/>
      <c r="O924" s="9"/>
    </row>
    <row r="925">
      <c r="D925" s="13"/>
      <c r="G925" s="9"/>
      <c r="J925" s="121"/>
      <c r="M925" s="9"/>
      <c r="N925" s="9"/>
      <c r="O925" s="9"/>
    </row>
    <row r="926">
      <c r="D926" s="13"/>
      <c r="G926" s="9"/>
      <c r="J926" s="121"/>
      <c r="M926" s="9"/>
      <c r="N926" s="9"/>
      <c r="O926" s="9"/>
    </row>
    <row r="927">
      <c r="D927" s="13"/>
      <c r="G927" s="9"/>
      <c r="J927" s="121"/>
      <c r="M927" s="9"/>
      <c r="N927" s="9"/>
      <c r="O927" s="9"/>
    </row>
    <row r="928">
      <c r="D928" s="13"/>
      <c r="G928" s="9"/>
      <c r="J928" s="121"/>
      <c r="M928" s="9"/>
      <c r="N928" s="9"/>
      <c r="O928" s="9"/>
    </row>
    <row r="929">
      <c r="D929" s="13"/>
      <c r="G929" s="9"/>
      <c r="J929" s="121"/>
      <c r="M929" s="9"/>
      <c r="N929" s="9"/>
      <c r="O929" s="9"/>
    </row>
    <row r="930">
      <c r="D930" s="13"/>
      <c r="G930" s="9"/>
      <c r="J930" s="121"/>
      <c r="M930" s="9"/>
      <c r="N930" s="9"/>
      <c r="O930" s="9"/>
    </row>
    <row r="931">
      <c r="D931" s="13"/>
      <c r="G931" s="9"/>
      <c r="J931" s="121"/>
      <c r="M931" s="9"/>
      <c r="N931" s="9"/>
      <c r="O931" s="9"/>
    </row>
    <row r="932">
      <c r="D932" s="13"/>
      <c r="G932" s="9"/>
      <c r="J932" s="121"/>
      <c r="M932" s="9"/>
      <c r="N932" s="9"/>
      <c r="O932" s="9"/>
    </row>
    <row r="933">
      <c r="D933" s="13"/>
      <c r="G933" s="9"/>
      <c r="J933" s="121"/>
      <c r="M933" s="9"/>
      <c r="N933" s="9"/>
      <c r="O933" s="9"/>
    </row>
    <row r="934">
      <c r="D934" s="13"/>
      <c r="G934" s="9"/>
      <c r="J934" s="121"/>
      <c r="M934" s="9"/>
      <c r="N934" s="9"/>
      <c r="O934" s="9"/>
    </row>
    <row r="935">
      <c r="D935" s="13"/>
      <c r="G935" s="9"/>
      <c r="J935" s="121"/>
      <c r="M935" s="9"/>
      <c r="N935" s="9"/>
      <c r="O935" s="9"/>
    </row>
    <row r="936">
      <c r="D936" s="13"/>
      <c r="G936" s="9"/>
      <c r="J936" s="121"/>
      <c r="M936" s="9"/>
      <c r="N936" s="9"/>
      <c r="O936" s="9"/>
    </row>
    <row r="937">
      <c r="D937" s="13"/>
      <c r="G937" s="9"/>
      <c r="J937" s="121"/>
      <c r="M937" s="9"/>
      <c r="N937" s="9"/>
      <c r="O937" s="9"/>
    </row>
    <row r="938">
      <c r="D938" s="13"/>
      <c r="G938" s="9"/>
      <c r="J938" s="121"/>
      <c r="M938" s="9"/>
      <c r="N938" s="9"/>
      <c r="O938" s="9"/>
    </row>
    <row r="939">
      <c r="D939" s="13"/>
      <c r="G939" s="9"/>
      <c r="J939" s="121"/>
      <c r="M939" s="9"/>
      <c r="N939" s="9"/>
      <c r="O939" s="9"/>
    </row>
    <row r="940">
      <c r="D940" s="13"/>
      <c r="G940" s="9"/>
      <c r="J940" s="121"/>
      <c r="M940" s="9"/>
      <c r="N940" s="9"/>
      <c r="O940" s="9"/>
    </row>
    <row r="941">
      <c r="D941" s="13"/>
      <c r="G941" s="9"/>
      <c r="J941" s="121"/>
      <c r="M941" s="9"/>
      <c r="N941" s="9"/>
      <c r="O941" s="9"/>
    </row>
    <row r="942">
      <c r="D942" s="13"/>
      <c r="G942" s="9"/>
      <c r="J942" s="121"/>
      <c r="M942" s="9"/>
      <c r="N942" s="9"/>
      <c r="O942" s="9"/>
    </row>
    <row r="943">
      <c r="D943" s="13"/>
      <c r="G943" s="9"/>
      <c r="J943" s="121"/>
      <c r="M943" s="9"/>
      <c r="N943" s="9"/>
      <c r="O943" s="9"/>
    </row>
    <row r="944">
      <c r="D944" s="13"/>
      <c r="G944" s="9"/>
      <c r="J944" s="121"/>
      <c r="M944" s="9"/>
      <c r="N944" s="9"/>
      <c r="O944" s="9"/>
    </row>
    <row r="945">
      <c r="D945" s="13"/>
      <c r="G945" s="9"/>
      <c r="J945" s="121"/>
      <c r="M945" s="9"/>
      <c r="N945" s="9"/>
      <c r="O945" s="9"/>
    </row>
    <row r="946">
      <c r="D946" s="13"/>
      <c r="G946" s="9"/>
      <c r="J946" s="121"/>
      <c r="M946" s="9"/>
      <c r="N946" s="9"/>
      <c r="O946" s="9"/>
    </row>
    <row r="947">
      <c r="D947" s="13"/>
      <c r="G947" s="9"/>
      <c r="J947" s="121"/>
      <c r="M947" s="9"/>
      <c r="N947" s="9"/>
      <c r="O947" s="9"/>
    </row>
    <row r="948">
      <c r="D948" s="13"/>
      <c r="G948" s="9"/>
      <c r="J948" s="121"/>
      <c r="M948" s="9"/>
      <c r="N948" s="9"/>
      <c r="O948" s="9"/>
    </row>
    <row r="949">
      <c r="D949" s="13"/>
      <c r="G949" s="9"/>
      <c r="J949" s="121"/>
      <c r="M949" s="9"/>
      <c r="N949" s="9"/>
      <c r="O949" s="9"/>
    </row>
    <row r="950">
      <c r="D950" s="13"/>
      <c r="G950" s="9"/>
      <c r="J950" s="121"/>
      <c r="M950" s="9"/>
      <c r="N950" s="9"/>
      <c r="O950" s="9"/>
    </row>
    <row r="951">
      <c r="D951" s="13"/>
      <c r="G951" s="9"/>
      <c r="J951" s="121"/>
      <c r="M951" s="9"/>
      <c r="N951" s="9"/>
      <c r="O951" s="9"/>
    </row>
    <row r="952">
      <c r="D952" s="13"/>
      <c r="G952" s="9"/>
      <c r="J952" s="121"/>
      <c r="M952" s="9"/>
      <c r="N952" s="9"/>
      <c r="O952" s="9"/>
    </row>
    <row r="953">
      <c r="D953" s="13"/>
      <c r="G953" s="9"/>
      <c r="J953" s="121"/>
      <c r="M953" s="9"/>
      <c r="N953" s="9"/>
      <c r="O953" s="9"/>
    </row>
    <row r="954">
      <c r="D954" s="13"/>
      <c r="G954" s="9"/>
      <c r="J954" s="121"/>
      <c r="M954" s="9"/>
      <c r="N954" s="9"/>
      <c r="O954" s="9"/>
    </row>
    <row r="955">
      <c r="D955" s="13"/>
      <c r="G955" s="9"/>
      <c r="J955" s="121"/>
      <c r="M955" s="9"/>
      <c r="N955" s="9"/>
      <c r="O955" s="9"/>
    </row>
    <row r="956">
      <c r="D956" s="13"/>
      <c r="G956" s="9"/>
      <c r="J956" s="121"/>
      <c r="M956" s="9"/>
      <c r="N956" s="9"/>
      <c r="O956" s="9"/>
    </row>
    <row r="957">
      <c r="D957" s="13"/>
      <c r="G957" s="9"/>
      <c r="J957" s="121"/>
      <c r="M957" s="9"/>
      <c r="N957" s="9"/>
      <c r="O957" s="9"/>
    </row>
    <row r="958">
      <c r="D958" s="13"/>
      <c r="G958" s="9"/>
      <c r="J958" s="121"/>
      <c r="M958" s="9"/>
      <c r="N958" s="9"/>
      <c r="O958" s="9"/>
    </row>
    <row r="959">
      <c r="D959" s="13"/>
      <c r="G959" s="9"/>
      <c r="J959" s="121"/>
      <c r="M959" s="9"/>
      <c r="N959" s="9"/>
      <c r="O959" s="9"/>
    </row>
    <row r="960">
      <c r="D960" s="13"/>
      <c r="G960" s="9"/>
      <c r="J960" s="121"/>
      <c r="M960" s="9"/>
      <c r="N960" s="9"/>
      <c r="O960" s="9"/>
    </row>
    <row r="961">
      <c r="D961" s="13"/>
      <c r="G961" s="9"/>
      <c r="J961" s="121"/>
      <c r="M961" s="9"/>
      <c r="N961" s="9"/>
      <c r="O961" s="9"/>
    </row>
    <row r="962">
      <c r="D962" s="13"/>
      <c r="G962" s="9"/>
      <c r="J962" s="121"/>
      <c r="M962" s="9"/>
      <c r="N962" s="9"/>
      <c r="O962" s="9"/>
    </row>
    <row r="963">
      <c r="D963" s="13"/>
      <c r="G963" s="9"/>
      <c r="J963" s="121"/>
      <c r="M963" s="9"/>
      <c r="N963" s="9"/>
      <c r="O963" s="9"/>
    </row>
    <row r="964">
      <c r="D964" s="13"/>
      <c r="G964" s="9"/>
      <c r="J964" s="121"/>
      <c r="M964" s="9"/>
      <c r="N964" s="9"/>
      <c r="O964" s="9"/>
    </row>
    <row r="965">
      <c r="D965" s="13"/>
      <c r="G965" s="9"/>
      <c r="J965" s="121"/>
      <c r="M965" s="9"/>
      <c r="N965" s="9"/>
      <c r="O965" s="9"/>
    </row>
    <row r="966">
      <c r="D966" s="13"/>
      <c r="G966" s="9"/>
      <c r="J966" s="121"/>
      <c r="M966" s="9"/>
      <c r="N966" s="9"/>
      <c r="O966" s="9"/>
    </row>
    <row r="967">
      <c r="D967" s="13"/>
      <c r="G967" s="9"/>
      <c r="J967" s="121"/>
      <c r="M967" s="9"/>
      <c r="N967" s="9"/>
      <c r="O967" s="9"/>
    </row>
    <row r="968">
      <c r="D968" s="13"/>
      <c r="G968" s="9"/>
      <c r="J968" s="121"/>
      <c r="M968" s="9"/>
      <c r="N968" s="9"/>
      <c r="O968" s="9"/>
    </row>
    <row r="969">
      <c r="D969" s="13"/>
      <c r="G969" s="9"/>
      <c r="J969" s="121"/>
      <c r="M969" s="9"/>
      <c r="N969" s="9"/>
      <c r="O969" s="9"/>
    </row>
    <row r="970">
      <c r="D970" s="13"/>
      <c r="G970" s="9"/>
      <c r="J970" s="121"/>
      <c r="M970" s="9"/>
      <c r="N970" s="9"/>
      <c r="O970" s="9"/>
    </row>
    <row r="971">
      <c r="D971" s="13"/>
      <c r="G971" s="9"/>
      <c r="J971" s="121"/>
      <c r="M971" s="9"/>
      <c r="N971" s="9"/>
      <c r="O971" s="9"/>
    </row>
    <row r="972">
      <c r="D972" s="13"/>
      <c r="G972" s="9"/>
      <c r="J972" s="121"/>
      <c r="M972" s="9"/>
      <c r="N972" s="9"/>
      <c r="O972" s="9"/>
    </row>
    <row r="973">
      <c r="D973" s="13"/>
      <c r="G973" s="9"/>
      <c r="J973" s="121"/>
      <c r="M973" s="9"/>
      <c r="N973" s="9"/>
      <c r="O973" s="9"/>
    </row>
    <row r="974">
      <c r="D974" s="13"/>
      <c r="G974" s="9"/>
      <c r="J974" s="121"/>
      <c r="M974" s="9"/>
      <c r="N974" s="9"/>
      <c r="O974" s="9"/>
    </row>
    <row r="975">
      <c r="D975" s="13"/>
      <c r="G975" s="9"/>
      <c r="J975" s="121"/>
      <c r="M975" s="9"/>
      <c r="N975" s="9"/>
      <c r="O975" s="9"/>
    </row>
    <row r="976">
      <c r="D976" s="13"/>
      <c r="G976" s="9"/>
      <c r="J976" s="121"/>
      <c r="M976" s="9"/>
      <c r="N976" s="9"/>
      <c r="O976" s="9"/>
    </row>
    <row r="977">
      <c r="D977" s="13"/>
      <c r="G977" s="9"/>
      <c r="J977" s="121"/>
      <c r="M977" s="9"/>
      <c r="N977" s="9"/>
      <c r="O977" s="9"/>
    </row>
    <row r="978">
      <c r="D978" s="13"/>
      <c r="G978" s="9"/>
      <c r="J978" s="121"/>
      <c r="M978" s="9"/>
      <c r="N978" s="9"/>
      <c r="O978" s="9"/>
    </row>
    <row r="979">
      <c r="D979" s="13"/>
      <c r="G979" s="9"/>
      <c r="J979" s="121"/>
      <c r="M979" s="9"/>
      <c r="N979" s="9"/>
      <c r="O979" s="9"/>
    </row>
    <row r="980">
      <c r="D980" s="13"/>
      <c r="G980" s="9"/>
      <c r="J980" s="121"/>
      <c r="M980" s="9"/>
      <c r="N980" s="9"/>
      <c r="O980" s="9"/>
    </row>
    <row r="981">
      <c r="D981" s="13"/>
      <c r="G981" s="9"/>
      <c r="J981" s="121"/>
      <c r="M981" s="9"/>
      <c r="N981" s="9"/>
      <c r="O981" s="9"/>
    </row>
    <row r="982">
      <c r="D982" s="13"/>
      <c r="G982" s="9"/>
      <c r="J982" s="121"/>
      <c r="M982" s="9"/>
      <c r="N982" s="9"/>
      <c r="O982" s="9"/>
    </row>
    <row r="983">
      <c r="D983" s="13"/>
      <c r="G983" s="9"/>
      <c r="J983" s="121"/>
      <c r="M983" s="9"/>
      <c r="N983" s="9"/>
      <c r="O983" s="9"/>
    </row>
    <row r="984">
      <c r="D984" s="13"/>
      <c r="G984" s="9"/>
      <c r="J984" s="121"/>
      <c r="M984" s="9"/>
      <c r="N984" s="9"/>
      <c r="O984" s="9"/>
    </row>
    <row r="985">
      <c r="D985" s="13"/>
      <c r="G985" s="9"/>
      <c r="J985" s="121"/>
      <c r="M985" s="9"/>
      <c r="N985" s="9"/>
      <c r="O985" s="9"/>
    </row>
    <row r="986">
      <c r="D986" s="13"/>
      <c r="G986" s="9"/>
      <c r="J986" s="121"/>
      <c r="M986" s="9"/>
      <c r="N986" s="9"/>
      <c r="O986" s="9"/>
    </row>
    <row r="987">
      <c r="D987" s="13"/>
      <c r="G987" s="9"/>
      <c r="J987" s="121"/>
      <c r="M987" s="9"/>
      <c r="N987" s="9"/>
      <c r="O987" s="9"/>
    </row>
    <row r="988">
      <c r="D988" s="13"/>
      <c r="G988" s="9"/>
      <c r="J988" s="121"/>
      <c r="M988" s="9"/>
      <c r="N988" s="9"/>
      <c r="O988" s="9"/>
    </row>
    <row r="989">
      <c r="D989" s="13"/>
      <c r="G989" s="9"/>
      <c r="J989" s="121"/>
      <c r="M989" s="9"/>
      <c r="N989" s="9"/>
      <c r="O989" s="9"/>
    </row>
    <row r="990">
      <c r="D990" s="13"/>
      <c r="G990" s="9"/>
      <c r="J990" s="121"/>
      <c r="M990" s="9"/>
      <c r="N990" s="9"/>
      <c r="O990" s="9"/>
    </row>
    <row r="991">
      <c r="D991" s="13"/>
      <c r="G991" s="9"/>
      <c r="J991" s="121"/>
      <c r="M991" s="9"/>
      <c r="N991" s="9"/>
      <c r="O991" s="9"/>
    </row>
    <row r="992">
      <c r="D992" s="13"/>
      <c r="G992" s="9"/>
      <c r="J992" s="121"/>
      <c r="M992" s="9"/>
      <c r="N992" s="9"/>
      <c r="O992" s="9"/>
    </row>
    <row r="993">
      <c r="D993" s="13"/>
      <c r="G993" s="9"/>
      <c r="J993" s="121"/>
      <c r="M993" s="9"/>
      <c r="N993" s="9"/>
      <c r="O993" s="9"/>
    </row>
    <row r="994">
      <c r="D994" s="13"/>
      <c r="G994" s="9"/>
      <c r="J994" s="121"/>
      <c r="M994" s="9"/>
      <c r="N994" s="9"/>
      <c r="O994" s="9"/>
    </row>
    <row r="995">
      <c r="D995" s="13"/>
      <c r="G995" s="9"/>
      <c r="J995" s="121"/>
      <c r="M995" s="9"/>
      <c r="N995" s="9"/>
      <c r="O995" s="9"/>
    </row>
    <row r="996">
      <c r="D996" s="13"/>
      <c r="G996" s="9"/>
      <c r="J996" s="121"/>
      <c r="M996" s="9"/>
      <c r="N996" s="9"/>
      <c r="O996" s="9"/>
    </row>
    <row r="997">
      <c r="D997" s="13"/>
      <c r="G997" s="9"/>
      <c r="J997" s="121"/>
      <c r="M997" s="9"/>
      <c r="N997" s="9"/>
      <c r="O997" s="9"/>
    </row>
  </sheetData>
  <mergeCells count="1">
    <mergeCell ref="A1:P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5"/>
    <col customWidth="1" min="2" max="2" width="22.38"/>
    <col customWidth="1" min="3" max="3" width="23.5"/>
    <col customWidth="1" min="4" max="4" width="5.5"/>
    <col customWidth="1" min="5" max="5" width="6.5"/>
    <col customWidth="1" min="6" max="6" width="16.88"/>
    <col customWidth="1" min="7" max="7" width="10.25"/>
    <col customWidth="1" min="8" max="8" width="4.75"/>
    <col customWidth="1" min="9" max="9" width="5.63"/>
    <col customWidth="1" min="10" max="10" width="4.75"/>
    <col customWidth="1" min="11" max="11" width="8.25"/>
    <col customWidth="1" min="12" max="12" width="5.63"/>
    <col customWidth="1" min="13" max="13" width="6.88"/>
    <col customWidth="1" min="14" max="14" width="6.5"/>
    <col customWidth="1" min="15" max="15" width="5.63"/>
    <col customWidth="1" min="16" max="16" width="11.38"/>
    <col customWidth="1" min="17" max="17" width="5.88"/>
    <col customWidth="1" min="18" max="18" width="4.75"/>
    <col customWidth="1" min="19" max="19" width="7.5"/>
    <col customWidth="1" min="20" max="20" width="5.88"/>
    <col customWidth="1" min="21" max="21" width="4.75"/>
    <col customWidth="1" min="22" max="22" width="9.38"/>
    <col customWidth="1" min="23" max="23" width="5.88"/>
    <col customWidth="1" min="24" max="24" width="3.5"/>
    <col customWidth="1" min="25" max="25" width="7.5"/>
    <col customWidth="1" min="26" max="26" width="8.38"/>
  </cols>
  <sheetData>
    <row r="1">
      <c r="A1" s="4" t="s">
        <v>1698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2" t="s">
        <v>8</v>
      </c>
      <c r="B2" s="31" t="s">
        <v>9</v>
      </c>
      <c r="C2" s="31" t="s">
        <v>10</v>
      </c>
      <c r="D2" s="31" t="s">
        <v>11</v>
      </c>
      <c r="E2" s="247" t="s">
        <v>12</v>
      </c>
      <c r="F2" s="247" t="s">
        <v>13</v>
      </c>
      <c r="G2" s="31" t="s">
        <v>14</v>
      </c>
      <c r="H2" s="31" t="s">
        <v>896</v>
      </c>
      <c r="I2" s="31" t="s">
        <v>16</v>
      </c>
      <c r="J2" s="236" t="s">
        <v>17</v>
      </c>
      <c r="K2" s="31" t="s">
        <v>18</v>
      </c>
      <c r="L2" s="31" t="s">
        <v>19</v>
      </c>
      <c r="M2" s="32" t="s">
        <v>20</v>
      </c>
      <c r="N2" s="32" t="s">
        <v>249</v>
      </c>
      <c r="O2" s="32" t="s">
        <v>250</v>
      </c>
      <c r="P2" s="31" t="s">
        <v>23</v>
      </c>
      <c r="Q2" s="31" t="s">
        <v>251</v>
      </c>
      <c r="R2" s="31" t="s">
        <v>252</v>
      </c>
      <c r="S2" s="31" t="s">
        <v>253</v>
      </c>
      <c r="T2" s="31" t="s">
        <v>251</v>
      </c>
      <c r="U2" s="31" t="s">
        <v>252</v>
      </c>
      <c r="V2" s="31" t="s">
        <v>253</v>
      </c>
      <c r="W2" s="31" t="s">
        <v>251</v>
      </c>
      <c r="X2" s="31" t="s">
        <v>252</v>
      </c>
      <c r="Y2" s="31" t="s">
        <v>253</v>
      </c>
      <c r="Z2" s="31"/>
    </row>
    <row r="3">
      <c r="A3" s="6">
        <v>1.0</v>
      </c>
      <c r="B3" s="6" t="s">
        <v>1699</v>
      </c>
      <c r="C3" s="6" t="s">
        <v>1490</v>
      </c>
      <c r="D3" s="6" t="s">
        <v>1700</v>
      </c>
      <c r="E3" s="7">
        <v>1156.0</v>
      </c>
      <c r="F3" s="303" t="s">
        <v>33</v>
      </c>
      <c r="G3" s="15">
        <v>9.116465986E9</v>
      </c>
      <c r="H3" s="10"/>
      <c r="I3" s="14">
        <v>21000.0</v>
      </c>
      <c r="J3" s="228">
        <v>5000.0</v>
      </c>
      <c r="K3" s="10"/>
      <c r="L3" s="10"/>
      <c r="M3" s="15">
        <f t="shared" ref="M3:M48" si="1">(H3+I3+J3+K3-L3)</f>
        <v>26000</v>
      </c>
      <c r="N3" s="15">
        <f t="shared" ref="N3:N48" si="2">(Q3+T3+W3)</f>
        <v>20000</v>
      </c>
      <c r="O3" s="9">
        <f t="shared" ref="O3:O48" si="3">(M3-N3)</f>
        <v>6000</v>
      </c>
      <c r="Q3" s="16">
        <v>10000.0</v>
      </c>
      <c r="R3" s="16">
        <v>3127.0</v>
      </c>
      <c r="S3" s="17">
        <v>45665.0</v>
      </c>
      <c r="T3" s="6">
        <v>10000.0</v>
      </c>
      <c r="U3" s="6">
        <v>3970.0</v>
      </c>
      <c r="V3" s="6" t="s">
        <v>132</v>
      </c>
    </row>
    <row r="4">
      <c r="A4" s="6">
        <v>2.0</v>
      </c>
      <c r="B4" s="6" t="s">
        <v>1701</v>
      </c>
      <c r="C4" s="6" t="s">
        <v>1702</v>
      </c>
      <c r="D4" s="6" t="s">
        <v>1700</v>
      </c>
      <c r="E4" s="7">
        <v>1509.0</v>
      </c>
      <c r="F4" s="303" t="s">
        <v>354</v>
      </c>
      <c r="G4" s="15">
        <v>9.929575601E9</v>
      </c>
      <c r="H4" s="10"/>
      <c r="I4" s="14">
        <v>21000.0</v>
      </c>
      <c r="J4" s="228">
        <v>8000.0</v>
      </c>
      <c r="K4" s="10"/>
      <c r="L4" s="10"/>
      <c r="M4" s="15">
        <f t="shared" si="1"/>
        <v>29000</v>
      </c>
      <c r="N4" s="15">
        <f t="shared" si="2"/>
        <v>10000</v>
      </c>
      <c r="O4" s="9">
        <f t="shared" si="3"/>
        <v>19000</v>
      </c>
      <c r="Q4" s="16">
        <v>6000.0</v>
      </c>
      <c r="R4" s="16">
        <v>3212.0</v>
      </c>
      <c r="S4" s="17">
        <v>45999.0</v>
      </c>
      <c r="T4" s="6">
        <v>4000.0</v>
      </c>
      <c r="U4" s="6">
        <v>349.0</v>
      </c>
      <c r="V4" s="6" t="s">
        <v>1703</v>
      </c>
    </row>
    <row r="5">
      <c r="A5" s="6">
        <v>3.0</v>
      </c>
      <c r="B5" s="6" t="s">
        <v>1704</v>
      </c>
      <c r="C5" s="6" t="s">
        <v>1677</v>
      </c>
      <c r="D5" s="6" t="s">
        <v>1700</v>
      </c>
      <c r="E5" s="7">
        <v>1510.0</v>
      </c>
      <c r="F5" s="13"/>
      <c r="G5" s="6">
        <v>8.302181864E9</v>
      </c>
      <c r="I5" s="14">
        <v>21000.0</v>
      </c>
      <c r="J5" s="121"/>
      <c r="M5" s="15">
        <f t="shared" si="1"/>
        <v>21000</v>
      </c>
      <c r="N5" s="15">
        <f t="shared" si="2"/>
        <v>10000</v>
      </c>
      <c r="O5" s="9">
        <f t="shared" si="3"/>
        <v>11000</v>
      </c>
      <c r="Q5" s="6">
        <v>10000.0</v>
      </c>
      <c r="R5" s="6">
        <v>3620.0</v>
      </c>
      <c r="S5" s="27">
        <v>45879.0</v>
      </c>
    </row>
    <row r="6">
      <c r="A6" s="272">
        <v>4.0</v>
      </c>
      <c r="B6" s="272" t="s">
        <v>1705</v>
      </c>
      <c r="C6" s="272" t="s">
        <v>1706</v>
      </c>
      <c r="D6" s="272" t="s">
        <v>1700</v>
      </c>
      <c r="E6" s="273">
        <v>1518.0</v>
      </c>
      <c r="F6" s="304" t="s">
        <v>354</v>
      </c>
      <c r="G6" s="276">
        <v>9.799128815E9</v>
      </c>
      <c r="H6" s="280"/>
      <c r="I6" s="305">
        <v>21000.0</v>
      </c>
      <c r="J6" s="281">
        <v>8000.0</v>
      </c>
      <c r="K6" s="280"/>
      <c r="L6" s="305">
        <v>8000.0</v>
      </c>
      <c r="M6" s="276">
        <f t="shared" si="1"/>
        <v>21000</v>
      </c>
      <c r="N6" s="276">
        <f t="shared" si="2"/>
        <v>18000</v>
      </c>
      <c r="O6" s="277">
        <f t="shared" si="3"/>
        <v>3000</v>
      </c>
      <c r="P6" s="274"/>
      <c r="Q6" s="282">
        <v>18000.0</v>
      </c>
      <c r="R6" s="282">
        <v>3084.0</v>
      </c>
      <c r="S6" s="280" t="s">
        <v>1074</v>
      </c>
      <c r="T6" s="274"/>
      <c r="U6" s="274"/>
      <c r="V6" s="274"/>
      <c r="W6" s="274"/>
      <c r="X6" s="274"/>
      <c r="Y6" s="274"/>
      <c r="Z6" s="274"/>
    </row>
    <row r="7">
      <c r="A7" s="287">
        <v>5.0</v>
      </c>
      <c r="B7" s="287" t="s">
        <v>1707</v>
      </c>
      <c r="C7" s="287" t="s">
        <v>1708</v>
      </c>
      <c r="D7" s="287" t="s">
        <v>1700</v>
      </c>
      <c r="E7" s="288">
        <v>1058.0</v>
      </c>
      <c r="F7" s="288" t="s">
        <v>474</v>
      </c>
      <c r="G7" s="287">
        <v>8.003539533E9</v>
      </c>
      <c r="H7" s="291"/>
      <c r="I7" s="300">
        <v>21000.0</v>
      </c>
      <c r="J7" s="292">
        <v>5000.0</v>
      </c>
      <c r="K7" s="291"/>
      <c r="L7" s="287">
        <v>3000.0</v>
      </c>
      <c r="M7" s="15">
        <f t="shared" si="1"/>
        <v>23000</v>
      </c>
      <c r="N7" s="15">
        <f t="shared" si="2"/>
        <v>3000</v>
      </c>
      <c r="O7" s="9">
        <f t="shared" si="3"/>
        <v>20000</v>
      </c>
      <c r="P7" s="287" t="s">
        <v>44</v>
      </c>
      <c r="Q7" s="287">
        <v>3000.0</v>
      </c>
      <c r="R7" s="287">
        <v>3762.0</v>
      </c>
      <c r="S7" s="297">
        <v>45668.0</v>
      </c>
      <c r="T7" s="291"/>
      <c r="U7" s="291"/>
      <c r="V7" s="291"/>
      <c r="W7" s="291"/>
      <c r="X7" s="291"/>
      <c r="Y7" s="291"/>
      <c r="Z7" s="291"/>
    </row>
    <row r="8">
      <c r="A8" s="287">
        <v>6.0</v>
      </c>
      <c r="B8" s="287" t="s">
        <v>1709</v>
      </c>
      <c r="C8" s="287" t="s">
        <v>1710</v>
      </c>
      <c r="D8" s="287" t="s">
        <v>1700</v>
      </c>
      <c r="E8" s="288">
        <v>1536.0</v>
      </c>
      <c r="F8" s="306" t="s">
        <v>48</v>
      </c>
      <c r="G8" s="290">
        <v>9.649447467E9</v>
      </c>
      <c r="H8" s="290">
        <v>0.0</v>
      </c>
      <c r="I8" s="300">
        <v>21000.0</v>
      </c>
      <c r="J8" s="293">
        <v>9500.0</v>
      </c>
      <c r="K8" s="289"/>
      <c r="L8" s="290">
        <v>2500.0</v>
      </c>
      <c r="M8" s="15">
        <f t="shared" si="1"/>
        <v>28000</v>
      </c>
      <c r="N8" s="15">
        <f t="shared" si="2"/>
        <v>9000</v>
      </c>
      <c r="O8" s="9">
        <f t="shared" si="3"/>
        <v>19000</v>
      </c>
      <c r="P8" s="289" t="s">
        <v>44</v>
      </c>
      <c r="Q8" s="293">
        <v>9000.0</v>
      </c>
      <c r="R8" s="293">
        <v>3148.0</v>
      </c>
      <c r="S8" s="295">
        <v>45755.0</v>
      </c>
      <c r="T8" s="291"/>
      <c r="U8" s="291"/>
      <c r="V8" s="291"/>
      <c r="W8" s="291"/>
      <c r="X8" s="291"/>
      <c r="Y8" s="291"/>
      <c r="Z8" s="291"/>
    </row>
    <row r="9">
      <c r="A9" s="6">
        <v>7.0</v>
      </c>
      <c r="B9" s="6" t="s">
        <v>1711</v>
      </c>
      <c r="C9" s="6" t="s">
        <v>1712</v>
      </c>
      <c r="D9" s="6" t="s">
        <v>1700</v>
      </c>
      <c r="E9" s="7">
        <v>1488.0</v>
      </c>
      <c r="F9" s="13"/>
      <c r="G9" s="6">
        <v>7.0735074E9</v>
      </c>
      <c r="I9" s="14">
        <v>21000.0</v>
      </c>
      <c r="J9" s="121"/>
      <c r="M9" s="15">
        <f t="shared" si="1"/>
        <v>21000</v>
      </c>
      <c r="N9" s="15">
        <f t="shared" si="2"/>
        <v>10000</v>
      </c>
      <c r="O9" s="9">
        <f t="shared" si="3"/>
        <v>11000</v>
      </c>
      <c r="Q9" s="6">
        <v>5000.0</v>
      </c>
      <c r="R9" s="6">
        <v>3263.0</v>
      </c>
      <c r="S9" s="6" t="s">
        <v>727</v>
      </c>
      <c r="T9" s="6">
        <v>5000.0</v>
      </c>
      <c r="U9" s="6">
        <v>4050.0</v>
      </c>
      <c r="V9" s="6" t="s">
        <v>207</v>
      </c>
    </row>
    <row r="10">
      <c r="A10" s="6">
        <v>8.0</v>
      </c>
      <c r="B10" s="6" t="s">
        <v>1713</v>
      </c>
      <c r="C10" s="6" t="s">
        <v>1714</v>
      </c>
      <c r="D10" s="6" t="s">
        <v>1700</v>
      </c>
      <c r="E10" s="7">
        <v>1067.0</v>
      </c>
      <c r="F10" s="303" t="s">
        <v>1431</v>
      </c>
      <c r="G10" s="15">
        <v>9.95086607E9</v>
      </c>
      <c r="H10" s="10"/>
      <c r="I10" s="14">
        <v>21000.0</v>
      </c>
      <c r="J10" s="228">
        <v>5000.0</v>
      </c>
      <c r="K10" s="10"/>
      <c r="L10" s="10"/>
      <c r="M10" s="15">
        <f t="shared" si="1"/>
        <v>26000</v>
      </c>
      <c r="N10" s="15">
        <f t="shared" si="2"/>
        <v>15000</v>
      </c>
      <c r="O10" s="9">
        <f t="shared" si="3"/>
        <v>11000</v>
      </c>
      <c r="Q10" s="16">
        <v>15000.0</v>
      </c>
      <c r="R10" s="16">
        <v>3112.0</v>
      </c>
      <c r="S10" s="10" t="s">
        <v>1432</v>
      </c>
    </row>
    <row r="11">
      <c r="A11" s="287">
        <v>9.0</v>
      </c>
      <c r="B11" s="287" t="s">
        <v>1715</v>
      </c>
      <c r="C11" s="287" t="s">
        <v>560</v>
      </c>
      <c r="D11" s="287" t="s">
        <v>1700</v>
      </c>
      <c r="E11" s="288">
        <v>1545.0</v>
      </c>
      <c r="F11" s="288" t="s">
        <v>145</v>
      </c>
      <c r="G11" s="287">
        <v>9.928920343E9</v>
      </c>
      <c r="H11" s="291"/>
      <c r="I11" s="300">
        <v>21000.0</v>
      </c>
      <c r="J11" s="292">
        <v>0.0</v>
      </c>
      <c r="K11" s="291"/>
      <c r="L11" s="287">
        <v>2000.0</v>
      </c>
      <c r="M11" s="15">
        <f t="shared" si="1"/>
        <v>19000</v>
      </c>
      <c r="N11" s="15">
        <f t="shared" si="2"/>
        <v>0</v>
      </c>
      <c r="O11" s="9">
        <f t="shared" si="3"/>
        <v>19000</v>
      </c>
      <c r="P11" s="291"/>
      <c r="Q11" s="291"/>
      <c r="R11" s="291"/>
      <c r="S11" s="291"/>
      <c r="T11" s="291"/>
      <c r="U11" s="291"/>
      <c r="V11" s="291"/>
      <c r="W11" s="291"/>
      <c r="X11" s="291"/>
      <c r="Y11" s="291"/>
      <c r="Z11" s="291"/>
    </row>
    <row r="12">
      <c r="A12" s="6">
        <v>10.0</v>
      </c>
      <c r="B12" s="6" t="s">
        <v>1716</v>
      </c>
      <c r="C12" s="6" t="s">
        <v>1717</v>
      </c>
      <c r="D12" s="6" t="s">
        <v>1700</v>
      </c>
      <c r="E12" s="7">
        <v>1562.0</v>
      </c>
      <c r="F12" s="13"/>
      <c r="G12" s="6">
        <v>9.00114896E9</v>
      </c>
      <c r="I12" s="14">
        <v>21000.0</v>
      </c>
      <c r="J12" s="121"/>
      <c r="M12" s="15">
        <f t="shared" si="1"/>
        <v>21000</v>
      </c>
      <c r="N12" s="15">
        <f t="shared" si="2"/>
        <v>4000</v>
      </c>
      <c r="O12" s="9">
        <f t="shared" si="3"/>
        <v>17000</v>
      </c>
      <c r="Q12" s="6">
        <v>4000.0</v>
      </c>
      <c r="R12" s="6">
        <v>3774.0</v>
      </c>
      <c r="S12" s="27">
        <v>45819.0</v>
      </c>
    </row>
    <row r="13">
      <c r="A13" s="6">
        <v>11.0</v>
      </c>
      <c r="B13" s="6" t="s">
        <v>1718</v>
      </c>
      <c r="C13" s="6" t="s">
        <v>1719</v>
      </c>
      <c r="D13" s="6" t="s">
        <v>1700</v>
      </c>
      <c r="E13" s="7">
        <v>1157.0</v>
      </c>
      <c r="F13" s="7" t="s">
        <v>1720</v>
      </c>
      <c r="G13" s="6">
        <v>9.799738731E9</v>
      </c>
      <c r="I13" s="14">
        <v>21000.0</v>
      </c>
      <c r="J13" s="238">
        <v>6500.0</v>
      </c>
      <c r="M13" s="15">
        <f t="shared" si="1"/>
        <v>27500</v>
      </c>
      <c r="N13" s="15">
        <f t="shared" si="2"/>
        <v>18000</v>
      </c>
      <c r="O13" s="9">
        <f t="shared" si="3"/>
        <v>9500</v>
      </c>
      <c r="Q13" s="6">
        <v>18000.0</v>
      </c>
      <c r="R13" s="6">
        <v>3268.0</v>
      </c>
      <c r="S13" s="6" t="s">
        <v>727</v>
      </c>
    </row>
    <row r="14">
      <c r="A14" s="287">
        <v>12.0</v>
      </c>
      <c r="B14" s="287" t="s">
        <v>1721</v>
      </c>
      <c r="C14" s="287" t="s">
        <v>1722</v>
      </c>
      <c r="D14" s="287" t="s">
        <v>1700</v>
      </c>
      <c r="E14" s="288">
        <v>1538.0</v>
      </c>
      <c r="F14" s="306" t="s">
        <v>145</v>
      </c>
      <c r="G14" s="290">
        <v>7.891797592E9</v>
      </c>
      <c r="H14" s="290">
        <v>0.0</v>
      </c>
      <c r="I14" s="290">
        <v>20000.0</v>
      </c>
      <c r="J14" s="293">
        <v>0.0</v>
      </c>
      <c r="K14" s="289"/>
      <c r="L14" s="290">
        <v>10000.0</v>
      </c>
      <c r="M14" s="15">
        <f t="shared" si="1"/>
        <v>10000</v>
      </c>
      <c r="N14" s="15">
        <f t="shared" si="2"/>
        <v>5000</v>
      </c>
      <c r="O14" s="9">
        <f t="shared" si="3"/>
        <v>5000</v>
      </c>
      <c r="P14" s="289" t="s">
        <v>131</v>
      </c>
      <c r="Q14" s="287">
        <v>5000.0</v>
      </c>
      <c r="R14" s="287">
        <v>4065.0</v>
      </c>
      <c r="S14" s="297">
        <v>45669.0</v>
      </c>
      <c r="T14" s="291"/>
      <c r="U14" s="291"/>
      <c r="V14" s="291"/>
      <c r="W14" s="291"/>
      <c r="X14" s="291"/>
      <c r="Y14" s="291"/>
      <c r="Z14" s="291"/>
    </row>
    <row r="15">
      <c r="A15" s="287">
        <v>13.0</v>
      </c>
      <c r="B15" s="287" t="s">
        <v>1723</v>
      </c>
      <c r="C15" s="287" t="s">
        <v>1724</v>
      </c>
      <c r="D15" s="287" t="s">
        <v>1700</v>
      </c>
      <c r="E15" s="288">
        <v>1516.0</v>
      </c>
      <c r="F15" s="288" t="s">
        <v>845</v>
      </c>
      <c r="G15" s="287">
        <v>9.602157408E9</v>
      </c>
      <c r="H15" s="291"/>
      <c r="I15" s="287">
        <v>21000.0</v>
      </c>
      <c r="J15" s="292">
        <v>9000.0</v>
      </c>
      <c r="K15" s="291"/>
      <c r="L15" s="287">
        <v>3500.0</v>
      </c>
      <c r="M15" s="15">
        <f t="shared" si="1"/>
        <v>26500</v>
      </c>
      <c r="N15" s="15">
        <f t="shared" si="2"/>
        <v>18000</v>
      </c>
      <c r="O15" s="9">
        <f t="shared" si="3"/>
        <v>8500</v>
      </c>
      <c r="P15" s="291"/>
      <c r="Q15" s="287">
        <v>9000.0</v>
      </c>
      <c r="R15" s="287">
        <v>3264.0</v>
      </c>
      <c r="S15" s="287" t="s">
        <v>727</v>
      </c>
      <c r="T15" s="287">
        <v>9000.0</v>
      </c>
      <c r="U15" s="287">
        <v>3543.0</v>
      </c>
      <c r="V15" s="297">
        <v>45818.0</v>
      </c>
      <c r="W15" s="291"/>
      <c r="X15" s="291"/>
      <c r="Y15" s="291"/>
      <c r="Z15" s="289"/>
    </row>
    <row r="16">
      <c r="A16" s="287">
        <v>14.0</v>
      </c>
      <c r="B16" s="287" t="s">
        <v>1725</v>
      </c>
      <c r="C16" s="287" t="s">
        <v>1726</v>
      </c>
      <c r="D16" s="287" t="s">
        <v>1700</v>
      </c>
      <c r="E16" s="288">
        <v>1992.0</v>
      </c>
      <c r="F16" s="306" t="s">
        <v>126</v>
      </c>
      <c r="G16" s="290">
        <v>9.950985311E9</v>
      </c>
      <c r="H16" s="290">
        <v>1000.0</v>
      </c>
      <c r="I16" s="290">
        <v>21000.0</v>
      </c>
      <c r="J16" s="293">
        <v>5000.0</v>
      </c>
      <c r="K16" s="289"/>
      <c r="L16" s="290">
        <v>0.0</v>
      </c>
      <c r="M16" s="15">
        <f t="shared" si="1"/>
        <v>27000</v>
      </c>
      <c r="N16" s="15">
        <f t="shared" si="2"/>
        <v>17000</v>
      </c>
      <c r="O16" s="9">
        <f t="shared" si="3"/>
        <v>10000</v>
      </c>
      <c r="P16" s="289" t="s">
        <v>177</v>
      </c>
      <c r="Q16" s="293">
        <v>5000.0</v>
      </c>
      <c r="R16" s="293">
        <v>2844.0</v>
      </c>
      <c r="S16" s="289" t="s">
        <v>1727</v>
      </c>
      <c r="T16" s="300">
        <v>4000.0</v>
      </c>
      <c r="U16" s="300">
        <v>217.0</v>
      </c>
      <c r="V16" s="300" t="s">
        <v>1728</v>
      </c>
      <c r="W16" s="300">
        <v>8000.0</v>
      </c>
      <c r="X16" s="300">
        <v>3770.0</v>
      </c>
      <c r="Y16" s="307">
        <v>45819.0</v>
      </c>
      <c r="Z16" s="291"/>
    </row>
    <row r="17">
      <c r="A17" s="287">
        <v>15.0</v>
      </c>
      <c r="B17" s="287" t="s">
        <v>1729</v>
      </c>
      <c r="C17" s="287" t="s">
        <v>1730</v>
      </c>
      <c r="D17" s="287" t="s">
        <v>1700</v>
      </c>
      <c r="E17" s="288">
        <v>1971.0</v>
      </c>
      <c r="F17" s="306" t="s">
        <v>48</v>
      </c>
      <c r="G17" s="290">
        <v>9.929381068E9</v>
      </c>
      <c r="H17" s="290">
        <v>1000.0</v>
      </c>
      <c r="I17" s="290">
        <v>21000.0</v>
      </c>
      <c r="J17" s="293">
        <v>9500.0</v>
      </c>
      <c r="K17" s="289"/>
      <c r="L17" s="294"/>
      <c r="M17" s="15">
        <f t="shared" si="1"/>
        <v>31500</v>
      </c>
      <c r="N17" s="15">
        <f t="shared" si="2"/>
        <v>25000</v>
      </c>
      <c r="O17" s="9">
        <f t="shared" si="3"/>
        <v>6500</v>
      </c>
      <c r="P17" s="289" t="s">
        <v>177</v>
      </c>
      <c r="Q17" s="287">
        <v>25000.0</v>
      </c>
      <c r="R17" s="287">
        <v>3341.0</v>
      </c>
      <c r="S17" s="287" t="s">
        <v>140</v>
      </c>
      <c r="T17" s="291"/>
      <c r="U17" s="291"/>
      <c r="V17" s="291"/>
      <c r="W17" s="291"/>
      <c r="X17" s="291"/>
      <c r="Y17" s="291"/>
      <c r="Z17" s="291"/>
    </row>
    <row r="18">
      <c r="A18" s="6">
        <v>16.0</v>
      </c>
      <c r="B18" s="6" t="s">
        <v>1731</v>
      </c>
      <c r="C18" s="6" t="s">
        <v>1732</v>
      </c>
      <c r="D18" s="6" t="s">
        <v>1700</v>
      </c>
      <c r="E18" s="7">
        <v>1497.0</v>
      </c>
      <c r="F18" s="7" t="s">
        <v>223</v>
      </c>
      <c r="G18" s="6">
        <v>9.001050441E9</v>
      </c>
      <c r="I18" s="15">
        <v>21000.0</v>
      </c>
      <c r="J18" s="121"/>
      <c r="M18" s="15">
        <f t="shared" si="1"/>
        <v>21000</v>
      </c>
      <c r="N18" s="15">
        <f t="shared" si="2"/>
        <v>15000</v>
      </c>
      <c r="O18" s="9">
        <f t="shared" si="3"/>
        <v>6000</v>
      </c>
      <c r="Q18" s="6">
        <v>10000.0</v>
      </c>
      <c r="R18" s="6">
        <v>3610.0</v>
      </c>
      <c r="S18" s="27">
        <v>45879.0</v>
      </c>
      <c r="T18" s="6">
        <v>5000.0</v>
      </c>
      <c r="U18" s="6">
        <v>3842.0</v>
      </c>
      <c r="V18" s="240">
        <v>45941.0</v>
      </c>
    </row>
    <row r="19">
      <c r="A19" s="287">
        <v>17.0</v>
      </c>
      <c r="B19" s="287" t="s">
        <v>1733</v>
      </c>
      <c r="C19" s="287" t="s">
        <v>1152</v>
      </c>
      <c r="D19" s="287" t="s">
        <v>1700</v>
      </c>
      <c r="E19" s="288">
        <v>1972.0</v>
      </c>
      <c r="F19" s="306" t="s">
        <v>223</v>
      </c>
      <c r="G19" s="290">
        <v>8.890508061E9</v>
      </c>
      <c r="H19" s="290">
        <v>1000.0</v>
      </c>
      <c r="I19" s="290">
        <v>21000.0</v>
      </c>
      <c r="J19" s="293">
        <v>7000.0</v>
      </c>
      <c r="K19" s="289"/>
      <c r="L19" s="290">
        <v>2000.0</v>
      </c>
      <c r="M19" s="15">
        <f t="shared" si="1"/>
        <v>27000</v>
      </c>
      <c r="N19" s="15">
        <f t="shared" si="2"/>
        <v>18000</v>
      </c>
      <c r="O19" s="9">
        <f t="shared" si="3"/>
        <v>9000</v>
      </c>
      <c r="P19" s="289" t="s">
        <v>177</v>
      </c>
      <c r="Q19" s="293">
        <v>9000.0</v>
      </c>
      <c r="R19" s="293">
        <v>2856.0</v>
      </c>
      <c r="S19" s="289" t="s">
        <v>697</v>
      </c>
      <c r="T19" s="287">
        <v>9000.0</v>
      </c>
      <c r="U19" s="287">
        <v>3747.0</v>
      </c>
      <c r="V19" s="287" t="s">
        <v>291</v>
      </c>
      <c r="W19" s="291"/>
      <c r="X19" s="291"/>
      <c r="Y19" s="291"/>
      <c r="Z19" s="291"/>
    </row>
    <row r="20">
      <c r="A20" s="6">
        <v>18.0</v>
      </c>
      <c r="B20" s="6" t="s">
        <v>1734</v>
      </c>
      <c r="C20" s="6" t="s">
        <v>1735</v>
      </c>
      <c r="D20" s="6" t="s">
        <v>1700</v>
      </c>
      <c r="E20" s="7">
        <v>1634.0</v>
      </c>
      <c r="F20" s="13"/>
      <c r="G20" s="6">
        <v>8.955508093E9</v>
      </c>
      <c r="I20" s="15">
        <v>21000.0</v>
      </c>
      <c r="J20" s="121"/>
      <c r="M20" s="15">
        <f t="shared" si="1"/>
        <v>21000</v>
      </c>
      <c r="N20" s="15">
        <f t="shared" si="2"/>
        <v>5000</v>
      </c>
      <c r="O20" s="9">
        <f t="shared" si="3"/>
        <v>16000</v>
      </c>
      <c r="Q20" s="6">
        <v>5000.0</v>
      </c>
      <c r="R20" s="6">
        <v>3689.0</v>
      </c>
      <c r="S20" s="240">
        <v>45940.0</v>
      </c>
    </row>
    <row r="21">
      <c r="A21" s="287">
        <v>19.0</v>
      </c>
      <c r="B21" s="287" t="s">
        <v>1736</v>
      </c>
      <c r="C21" s="287" t="s">
        <v>1737</v>
      </c>
      <c r="D21" s="287" t="s">
        <v>1700</v>
      </c>
      <c r="E21" s="288">
        <v>1271.0</v>
      </c>
      <c r="F21" s="288" t="s">
        <v>1738</v>
      </c>
      <c r="G21" s="287">
        <v>9.602650467E9</v>
      </c>
      <c r="H21" s="291"/>
      <c r="I21" s="290">
        <v>21000.0</v>
      </c>
      <c r="J21" s="292">
        <v>8000.0</v>
      </c>
      <c r="K21" s="291"/>
      <c r="L21" s="291"/>
      <c r="M21" s="15">
        <f t="shared" si="1"/>
        <v>29000</v>
      </c>
      <c r="N21" s="15">
        <f t="shared" si="2"/>
        <v>10000</v>
      </c>
      <c r="O21" s="9">
        <f t="shared" si="3"/>
        <v>19000</v>
      </c>
      <c r="P21" s="291"/>
      <c r="Q21" s="287">
        <v>10000.0</v>
      </c>
      <c r="R21" s="287">
        <v>3402.0</v>
      </c>
      <c r="S21" s="297">
        <v>45939.0</v>
      </c>
      <c r="T21" s="291"/>
      <c r="U21" s="291"/>
      <c r="V21" s="291"/>
      <c r="W21" s="291"/>
      <c r="X21" s="291"/>
      <c r="Y21" s="291"/>
      <c r="Z21" s="291"/>
    </row>
    <row r="22">
      <c r="A22" s="287">
        <v>20.0</v>
      </c>
      <c r="B22" s="287" t="s">
        <v>1739</v>
      </c>
      <c r="C22" s="287" t="s">
        <v>1740</v>
      </c>
      <c r="D22" s="287" t="s">
        <v>1700</v>
      </c>
      <c r="E22" s="288">
        <v>2001.0</v>
      </c>
      <c r="F22" s="306" t="s">
        <v>48</v>
      </c>
      <c r="G22" s="290">
        <v>9.001957789E9</v>
      </c>
      <c r="H22" s="290">
        <v>1000.0</v>
      </c>
      <c r="I22" s="290">
        <v>21000.0</v>
      </c>
      <c r="J22" s="293">
        <v>9500.0</v>
      </c>
      <c r="K22" s="289"/>
      <c r="L22" s="294">
        <v>6500.0</v>
      </c>
      <c r="M22" s="15">
        <f t="shared" si="1"/>
        <v>25000</v>
      </c>
      <c r="N22" s="15">
        <f t="shared" si="2"/>
        <v>25000</v>
      </c>
      <c r="O22" s="9">
        <f t="shared" si="3"/>
        <v>0</v>
      </c>
      <c r="P22" s="289" t="s">
        <v>177</v>
      </c>
      <c r="Q22" s="293">
        <v>2500.0</v>
      </c>
      <c r="R22" s="293">
        <v>3034.0</v>
      </c>
      <c r="S22" s="289" t="s">
        <v>166</v>
      </c>
      <c r="T22" s="287">
        <v>22500.0</v>
      </c>
      <c r="U22" s="287">
        <v>3342.0</v>
      </c>
      <c r="V22" s="287" t="s">
        <v>321</v>
      </c>
      <c r="W22" s="291"/>
      <c r="X22" s="291"/>
      <c r="Y22" s="291"/>
      <c r="Z22" s="291"/>
    </row>
    <row r="23">
      <c r="A23" s="6">
        <v>21.0</v>
      </c>
      <c r="B23" s="6" t="s">
        <v>1741</v>
      </c>
      <c r="C23" s="6" t="s">
        <v>1742</v>
      </c>
      <c r="D23" s="6" t="s">
        <v>1700</v>
      </c>
      <c r="E23" s="7">
        <v>1066.0</v>
      </c>
      <c r="F23" s="13"/>
      <c r="G23" s="6">
        <v>9.509748357E9</v>
      </c>
      <c r="I23" s="15">
        <v>21000.0</v>
      </c>
      <c r="J23" s="121"/>
      <c r="M23" s="15">
        <f t="shared" si="1"/>
        <v>21000</v>
      </c>
      <c r="N23" s="15">
        <f t="shared" si="2"/>
        <v>8000</v>
      </c>
      <c r="O23" s="9">
        <f t="shared" si="3"/>
        <v>13000</v>
      </c>
      <c r="Q23" s="6">
        <v>5000.0</v>
      </c>
      <c r="R23" s="6">
        <v>3280.0</v>
      </c>
      <c r="S23" s="6" t="s">
        <v>761</v>
      </c>
      <c r="T23" s="6">
        <v>3000.0</v>
      </c>
      <c r="U23" s="6">
        <v>3972.0</v>
      </c>
      <c r="V23" s="6" t="s">
        <v>132</v>
      </c>
    </row>
    <row r="24">
      <c r="A24" s="6">
        <v>22.0</v>
      </c>
      <c r="B24" s="6" t="s">
        <v>1422</v>
      </c>
      <c r="C24" s="6" t="s">
        <v>1743</v>
      </c>
      <c r="D24" s="6" t="s">
        <v>1700</v>
      </c>
      <c r="E24" s="7">
        <v>1500.0</v>
      </c>
      <c r="F24" s="13"/>
      <c r="G24" s="6">
        <v>8.302169722E9</v>
      </c>
      <c r="I24" s="15">
        <v>21000.0</v>
      </c>
      <c r="J24" s="121"/>
      <c r="M24" s="15">
        <f t="shared" si="1"/>
        <v>21000</v>
      </c>
      <c r="N24" s="15">
        <f t="shared" si="2"/>
        <v>5000</v>
      </c>
      <c r="O24" s="9">
        <f t="shared" si="3"/>
        <v>16000</v>
      </c>
      <c r="Q24" s="6">
        <v>5000.0</v>
      </c>
      <c r="R24" s="6">
        <v>3873.0</v>
      </c>
      <c r="S24" s="240">
        <v>45972.0</v>
      </c>
    </row>
    <row r="25">
      <c r="A25" s="287">
        <v>23.0</v>
      </c>
      <c r="B25" s="287" t="s">
        <v>1744</v>
      </c>
      <c r="C25" s="287" t="s">
        <v>1745</v>
      </c>
      <c r="D25" s="287" t="s">
        <v>1700</v>
      </c>
      <c r="E25" s="288">
        <v>1065.0</v>
      </c>
      <c r="F25" s="306" t="s">
        <v>823</v>
      </c>
      <c r="G25" s="290">
        <v>9.829991591E9</v>
      </c>
      <c r="H25" s="290">
        <v>0.0</v>
      </c>
      <c r="I25" s="290">
        <v>21000.0</v>
      </c>
      <c r="J25" s="293">
        <v>6500.0</v>
      </c>
      <c r="K25" s="289"/>
      <c r="L25" s="290">
        <v>5500.0</v>
      </c>
      <c r="M25" s="15">
        <f t="shared" si="1"/>
        <v>22000</v>
      </c>
      <c r="N25" s="15">
        <f t="shared" si="2"/>
        <v>15000</v>
      </c>
      <c r="O25" s="9">
        <f t="shared" si="3"/>
        <v>7000</v>
      </c>
      <c r="P25" s="289" t="s">
        <v>44</v>
      </c>
      <c r="Q25" s="293">
        <v>5000.0</v>
      </c>
      <c r="R25" s="293">
        <v>3207.0</v>
      </c>
      <c r="S25" s="295">
        <v>45999.0</v>
      </c>
      <c r="T25" s="287">
        <v>5000.0</v>
      </c>
      <c r="U25" s="287">
        <v>3456.0</v>
      </c>
      <c r="V25" s="297">
        <v>45726.0</v>
      </c>
      <c r="W25" s="287">
        <v>5000.0</v>
      </c>
      <c r="X25" s="287">
        <v>3904.0</v>
      </c>
      <c r="Y25" s="287" t="s">
        <v>171</v>
      </c>
      <c r="Z25" s="291"/>
    </row>
    <row r="26">
      <c r="A26" s="287">
        <v>24.0</v>
      </c>
      <c r="B26" s="287" t="s">
        <v>1746</v>
      </c>
      <c r="C26" s="287" t="s">
        <v>1528</v>
      </c>
      <c r="D26" s="287" t="s">
        <v>1700</v>
      </c>
      <c r="E26" s="288">
        <v>1928.0</v>
      </c>
      <c r="F26" s="288" t="s">
        <v>3</v>
      </c>
      <c r="G26" s="308">
        <v>9.799695323E9</v>
      </c>
      <c r="H26" s="290">
        <v>1000.0</v>
      </c>
      <c r="I26" s="290">
        <v>21000.0</v>
      </c>
      <c r="J26" s="292">
        <v>6500.0</v>
      </c>
      <c r="K26" s="291"/>
      <c r="L26" s="291"/>
      <c r="M26" s="15">
        <f t="shared" si="1"/>
        <v>28500</v>
      </c>
      <c r="N26" s="15">
        <f t="shared" si="2"/>
        <v>0</v>
      </c>
      <c r="O26" s="9">
        <f t="shared" si="3"/>
        <v>28500</v>
      </c>
      <c r="P26" s="291"/>
      <c r="Q26" s="291"/>
      <c r="R26" s="291"/>
      <c r="S26" s="291"/>
      <c r="T26" s="291"/>
      <c r="U26" s="291"/>
      <c r="V26" s="291"/>
      <c r="W26" s="291"/>
      <c r="X26" s="291"/>
      <c r="Y26" s="291"/>
      <c r="Z26" s="291"/>
    </row>
    <row r="27">
      <c r="A27" s="6">
        <v>25.0</v>
      </c>
      <c r="B27" s="6" t="s">
        <v>1747</v>
      </c>
      <c r="C27" s="6" t="s">
        <v>1748</v>
      </c>
      <c r="D27" s="6" t="s">
        <v>1700</v>
      </c>
      <c r="E27" s="7">
        <v>981.0</v>
      </c>
      <c r="F27" s="303" t="s">
        <v>3</v>
      </c>
      <c r="G27" s="16">
        <v>9.61029431E9</v>
      </c>
      <c r="H27" s="10"/>
      <c r="I27" s="15">
        <v>21000.0</v>
      </c>
      <c r="J27" s="228">
        <v>6500.0</v>
      </c>
      <c r="K27" s="10"/>
      <c r="L27" s="10"/>
      <c r="M27" s="15">
        <f t="shared" si="1"/>
        <v>27500</v>
      </c>
      <c r="N27" s="15">
        <f t="shared" si="2"/>
        <v>20000</v>
      </c>
      <c r="O27" s="9">
        <f t="shared" si="3"/>
        <v>7500</v>
      </c>
      <c r="Q27" s="16">
        <v>10000.0</v>
      </c>
      <c r="R27" s="16">
        <v>3230.0</v>
      </c>
      <c r="S27" s="10" t="s">
        <v>220</v>
      </c>
      <c r="T27" s="6">
        <v>10000.0</v>
      </c>
      <c r="U27" s="6">
        <v>3814.0</v>
      </c>
      <c r="V27" s="240">
        <v>45941.0</v>
      </c>
    </row>
    <row r="28">
      <c r="A28" s="287">
        <v>26.0</v>
      </c>
      <c r="B28" s="287" t="s">
        <v>1749</v>
      </c>
      <c r="C28" s="287" t="s">
        <v>1750</v>
      </c>
      <c r="D28" s="287" t="s">
        <v>1700</v>
      </c>
      <c r="E28" s="288">
        <v>1496.0</v>
      </c>
      <c r="F28" s="306" t="s">
        <v>616</v>
      </c>
      <c r="G28" s="290">
        <v>9.166606312E9</v>
      </c>
      <c r="H28" s="290">
        <v>0.0</v>
      </c>
      <c r="I28" s="290">
        <v>21000.0</v>
      </c>
      <c r="J28" s="293">
        <v>9000.0</v>
      </c>
      <c r="K28" s="289"/>
      <c r="L28" s="290">
        <v>3500.0</v>
      </c>
      <c r="M28" s="15">
        <f t="shared" si="1"/>
        <v>26500</v>
      </c>
      <c r="N28" s="15">
        <f t="shared" si="2"/>
        <v>20000</v>
      </c>
      <c r="O28" s="9">
        <f t="shared" si="3"/>
        <v>6500</v>
      </c>
      <c r="P28" s="289" t="s">
        <v>44</v>
      </c>
      <c r="Q28" s="293">
        <v>4000.0</v>
      </c>
      <c r="R28" s="293">
        <v>2976.0</v>
      </c>
      <c r="S28" s="295">
        <v>45937.0</v>
      </c>
      <c r="T28" s="293">
        <v>6000.0</v>
      </c>
      <c r="U28" s="293">
        <v>3221.0</v>
      </c>
      <c r="V28" s="289" t="s">
        <v>562</v>
      </c>
      <c r="W28" s="287">
        <v>10000.0</v>
      </c>
      <c r="X28" s="287">
        <v>3730.0</v>
      </c>
      <c r="Y28" s="301">
        <v>45971.0</v>
      </c>
      <c r="Z28" s="291"/>
    </row>
    <row r="29">
      <c r="A29" s="287">
        <v>27.0</v>
      </c>
      <c r="B29" s="287" t="s">
        <v>1751</v>
      </c>
      <c r="C29" s="287" t="s">
        <v>1752</v>
      </c>
      <c r="D29" s="287" t="s">
        <v>1700</v>
      </c>
      <c r="E29" s="288">
        <v>1033.0</v>
      </c>
      <c r="F29" s="288" t="s">
        <v>244</v>
      </c>
      <c r="G29" s="287">
        <v>9.602178035E9</v>
      </c>
      <c r="H29" s="287">
        <v>0.0</v>
      </c>
      <c r="I29" s="290">
        <v>21000.0</v>
      </c>
      <c r="J29" s="292">
        <v>5000.0</v>
      </c>
      <c r="K29" s="291"/>
      <c r="L29" s="287">
        <v>6000.0</v>
      </c>
      <c r="M29" s="15">
        <f t="shared" si="1"/>
        <v>20000</v>
      </c>
      <c r="N29" s="15">
        <f t="shared" si="2"/>
        <v>11900</v>
      </c>
      <c r="O29" s="9">
        <f t="shared" si="3"/>
        <v>8100</v>
      </c>
      <c r="P29" s="287" t="s">
        <v>44</v>
      </c>
      <c r="Q29" s="287">
        <v>5000.0</v>
      </c>
      <c r="R29" s="287">
        <v>3452.0</v>
      </c>
      <c r="S29" s="287" t="s">
        <v>1279</v>
      </c>
      <c r="T29" s="287">
        <v>2900.0</v>
      </c>
      <c r="U29" s="287">
        <v>3656.0</v>
      </c>
      <c r="V29" s="297">
        <v>45848.0</v>
      </c>
      <c r="W29" s="287">
        <v>4000.0</v>
      </c>
      <c r="X29" s="287">
        <v>3942.0</v>
      </c>
      <c r="Y29" s="287" t="s">
        <v>132</v>
      </c>
      <c r="Z29" s="291"/>
    </row>
    <row r="30">
      <c r="A30" s="6">
        <v>28.0</v>
      </c>
      <c r="B30" s="6" t="s">
        <v>1753</v>
      </c>
      <c r="C30" s="6" t="s">
        <v>1754</v>
      </c>
      <c r="D30" s="6" t="s">
        <v>1700</v>
      </c>
      <c r="E30" s="7">
        <v>1557.0</v>
      </c>
      <c r="F30" s="7" t="s">
        <v>807</v>
      </c>
      <c r="G30" s="6">
        <v>9.001630752E9</v>
      </c>
      <c r="I30" s="15">
        <v>21000.0</v>
      </c>
      <c r="J30" s="121"/>
      <c r="K30" s="242"/>
      <c r="L30" s="242"/>
      <c r="M30" s="15">
        <f t="shared" si="1"/>
        <v>21000</v>
      </c>
      <c r="N30" s="15">
        <f t="shared" si="2"/>
        <v>8000</v>
      </c>
      <c r="O30" s="9">
        <f t="shared" si="3"/>
        <v>13000</v>
      </c>
      <c r="P30" s="242"/>
      <c r="Q30" s="6">
        <v>5000.0</v>
      </c>
      <c r="R30" s="6">
        <v>3400.0</v>
      </c>
      <c r="S30" s="27">
        <v>45939.0</v>
      </c>
      <c r="T30" s="6">
        <v>3000.0</v>
      </c>
      <c r="U30" s="6">
        <v>3737.0</v>
      </c>
      <c r="V30" s="27">
        <v>45849.0</v>
      </c>
    </row>
    <row r="31">
      <c r="A31" s="287">
        <v>29.0</v>
      </c>
      <c r="B31" s="287" t="s">
        <v>368</v>
      </c>
      <c r="C31" s="287" t="s">
        <v>1755</v>
      </c>
      <c r="D31" s="287" t="s">
        <v>1700</v>
      </c>
      <c r="E31" s="288">
        <v>1565.0</v>
      </c>
      <c r="F31" s="306" t="s">
        <v>264</v>
      </c>
      <c r="G31" s="290">
        <v>9.983503311E9</v>
      </c>
      <c r="H31" s="290">
        <v>0.0</v>
      </c>
      <c r="I31" s="290">
        <v>21000.0</v>
      </c>
      <c r="J31" s="293">
        <v>7000.0</v>
      </c>
      <c r="K31" s="289"/>
      <c r="L31" s="290">
        <v>4000.0</v>
      </c>
      <c r="M31" s="15">
        <f t="shared" si="1"/>
        <v>24000</v>
      </c>
      <c r="N31" s="15">
        <f t="shared" si="2"/>
        <v>4000</v>
      </c>
      <c r="O31" s="9">
        <f t="shared" si="3"/>
        <v>20000</v>
      </c>
      <c r="P31" s="289" t="s">
        <v>159</v>
      </c>
      <c r="Q31" s="293">
        <v>4000.0</v>
      </c>
      <c r="R31" s="293">
        <v>3168.0</v>
      </c>
      <c r="S31" s="295">
        <v>45816.0</v>
      </c>
      <c r="T31" s="291"/>
      <c r="U31" s="291"/>
      <c r="V31" s="291"/>
      <c r="W31" s="291"/>
      <c r="X31" s="291"/>
      <c r="Y31" s="291"/>
      <c r="Z31" s="291"/>
    </row>
    <row r="32">
      <c r="A32" s="287">
        <v>30.0</v>
      </c>
      <c r="B32" s="287" t="s">
        <v>1756</v>
      </c>
      <c r="C32" s="287" t="s">
        <v>1757</v>
      </c>
      <c r="D32" s="287" t="s">
        <v>1700</v>
      </c>
      <c r="E32" s="288">
        <v>1985.0</v>
      </c>
      <c r="F32" s="288" t="s">
        <v>169</v>
      </c>
      <c r="G32" s="287">
        <v>7.568084844E9</v>
      </c>
      <c r="H32" s="287">
        <v>1000.0</v>
      </c>
      <c r="I32" s="290">
        <v>21000.0</v>
      </c>
      <c r="J32" s="292">
        <v>7000.0</v>
      </c>
      <c r="K32" s="291"/>
      <c r="L32" s="287">
        <v>5000.0</v>
      </c>
      <c r="M32" s="15">
        <f t="shared" si="1"/>
        <v>24000</v>
      </c>
      <c r="N32" s="15">
        <f t="shared" si="2"/>
        <v>15000</v>
      </c>
      <c r="O32" s="9">
        <f t="shared" si="3"/>
        <v>9000</v>
      </c>
      <c r="P32" s="291"/>
      <c r="Q32" s="293">
        <v>8000.0</v>
      </c>
      <c r="R32" s="293">
        <v>3199.0</v>
      </c>
      <c r="S32" s="295">
        <v>45665.0</v>
      </c>
      <c r="T32" s="287">
        <v>7000.0</v>
      </c>
      <c r="U32" s="287">
        <v>3638.0</v>
      </c>
      <c r="V32" s="297">
        <v>45879.0</v>
      </c>
      <c r="W32" s="291"/>
      <c r="X32" s="291"/>
      <c r="Y32" s="291"/>
      <c r="Z32" s="291"/>
    </row>
    <row r="33">
      <c r="A33" s="287">
        <v>31.0</v>
      </c>
      <c r="B33" s="287" t="s">
        <v>1758</v>
      </c>
      <c r="C33" s="287" t="s">
        <v>1759</v>
      </c>
      <c r="D33" s="287" t="s">
        <v>1700</v>
      </c>
      <c r="E33" s="288">
        <v>1907.0</v>
      </c>
      <c r="F33" s="306" t="s">
        <v>48</v>
      </c>
      <c r="G33" s="290">
        <v>9.079041975E9</v>
      </c>
      <c r="H33" s="290">
        <v>1000.0</v>
      </c>
      <c r="I33" s="290">
        <v>21000.0</v>
      </c>
      <c r="J33" s="293">
        <v>9500.0</v>
      </c>
      <c r="K33" s="289"/>
      <c r="L33" s="294">
        <v>3500.0</v>
      </c>
      <c r="M33" s="15">
        <f t="shared" si="1"/>
        <v>28000</v>
      </c>
      <c r="N33" s="15">
        <f t="shared" si="2"/>
        <v>5000</v>
      </c>
      <c r="O33" s="9">
        <f t="shared" si="3"/>
        <v>23000</v>
      </c>
      <c r="P33" s="289" t="s">
        <v>131</v>
      </c>
      <c r="Q33" s="293">
        <v>5000.0</v>
      </c>
      <c r="R33" s="293">
        <v>3064.0</v>
      </c>
      <c r="S33" s="289" t="s">
        <v>170</v>
      </c>
      <c r="T33" s="291"/>
      <c r="U33" s="291"/>
      <c r="V33" s="291"/>
      <c r="W33" s="291"/>
      <c r="X33" s="291"/>
      <c r="Y33" s="291"/>
      <c r="Z33" s="291"/>
    </row>
    <row r="34">
      <c r="A34" s="6">
        <v>32.0</v>
      </c>
      <c r="B34" s="6" t="s">
        <v>1760</v>
      </c>
      <c r="C34" s="6" t="s">
        <v>1761</v>
      </c>
      <c r="D34" s="6" t="s">
        <v>1700</v>
      </c>
      <c r="E34" s="7">
        <v>1526.0</v>
      </c>
      <c r="F34" s="13"/>
      <c r="G34" s="6">
        <v>9.351433038E9</v>
      </c>
      <c r="I34" s="15">
        <v>21000.0</v>
      </c>
      <c r="J34" s="121"/>
      <c r="M34" s="15">
        <f t="shared" si="1"/>
        <v>21000</v>
      </c>
      <c r="N34" s="15">
        <f t="shared" si="2"/>
        <v>5000</v>
      </c>
      <c r="O34" s="9">
        <f t="shared" si="3"/>
        <v>16000</v>
      </c>
      <c r="Q34" s="6">
        <v>5000.0</v>
      </c>
      <c r="R34" s="6">
        <v>3642.0</v>
      </c>
      <c r="S34" s="27">
        <v>45910.0</v>
      </c>
    </row>
    <row r="35">
      <c r="A35" s="6">
        <v>33.0</v>
      </c>
      <c r="B35" s="6" t="s">
        <v>1762</v>
      </c>
      <c r="C35" s="6" t="s">
        <v>1763</v>
      </c>
      <c r="D35" s="6" t="s">
        <v>1700</v>
      </c>
      <c r="E35" s="7">
        <v>1159.0</v>
      </c>
      <c r="F35" s="13"/>
      <c r="G35" s="6">
        <v>9.660566896E9</v>
      </c>
      <c r="I35" s="15">
        <v>21000.0</v>
      </c>
      <c r="J35" s="121"/>
      <c r="M35" s="15">
        <f t="shared" si="1"/>
        <v>21000</v>
      </c>
      <c r="N35" s="15">
        <f t="shared" si="2"/>
        <v>5000</v>
      </c>
      <c r="O35" s="9">
        <f t="shared" si="3"/>
        <v>16000</v>
      </c>
      <c r="Q35" s="6">
        <v>5000.0</v>
      </c>
      <c r="R35" s="6">
        <v>3741.0</v>
      </c>
      <c r="S35" s="6" t="s">
        <v>291</v>
      </c>
    </row>
    <row r="36">
      <c r="A36" s="287">
        <v>34.0</v>
      </c>
      <c r="B36" s="287" t="s">
        <v>1764</v>
      </c>
      <c r="C36" s="287" t="s">
        <v>1765</v>
      </c>
      <c r="D36" s="287" t="s">
        <v>1700</v>
      </c>
      <c r="E36" s="288">
        <v>1554.0</v>
      </c>
      <c r="F36" s="306" t="s">
        <v>616</v>
      </c>
      <c r="G36" s="290">
        <v>8.824418574E9</v>
      </c>
      <c r="H36" s="289"/>
      <c r="I36" s="290">
        <v>21000.0</v>
      </c>
      <c r="J36" s="296">
        <v>9500.0</v>
      </c>
      <c r="K36" s="289"/>
      <c r="L36" s="300">
        <v>3500.0</v>
      </c>
      <c r="M36" s="15">
        <f t="shared" si="1"/>
        <v>27000</v>
      </c>
      <c r="N36" s="15">
        <f t="shared" si="2"/>
        <v>15000</v>
      </c>
      <c r="O36" s="9">
        <f t="shared" si="3"/>
        <v>12000</v>
      </c>
      <c r="P36" s="291"/>
      <c r="Q36" s="293">
        <v>5000.0</v>
      </c>
      <c r="R36" s="293">
        <v>3068.0</v>
      </c>
      <c r="S36" s="289" t="s">
        <v>170</v>
      </c>
      <c r="T36" s="287">
        <v>10000.0</v>
      </c>
      <c r="U36" s="287">
        <v>3974.0</v>
      </c>
      <c r="V36" s="287" t="s">
        <v>132</v>
      </c>
      <c r="W36" s="291"/>
      <c r="X36" s="291"/>
      <c r="Y36" s="291"/>
      <c r="Z36" s="291"/>
    </row>
    <row r="37">
      <c r="A37" s="287">
        <v>35.0</v>
      </c>
      <c r="B37" s="287" t="s">
        <v>1766</v>
      </c>
      <c r="C37" s="287" t="s">
        <v>1767</v>
      </c>
      <c r="D37" s="287" t="s">
        <v>1700</v>
      </c>
      <c r="E37" s="288">
        <v>1527.0</v>
      </c>
      <c r="F37" s="288" t="s">
        <v>474</v>
      </c>
      <c r="G37" s="287">
        <v>7.742202481E9</v>
      </c>
      <c r="H37" s="291"/>
      <c r="I37" s="290">
        <v>21000.0</v>
      </c>
      <c r="J37" s="292">
        <v>5000.0</v>
      </c>
      <c r="K37" s="291"/>
      <c r="L37" s="287">
        <v>3000.0</v>
      </c>
      <c r="M37" s="15">
        <f t="shared" si="1"/>
        <v>23000</v>
      </c>
      <c r="N37" s="15">
        <f t="shared" si="2"/>
        <v>21500</v>
      </c>
      <c r="O37" s="9">
        <f t="shared" si="3"/>
        <v>1500</v>
      </c>
      <c r="P37" s="291"/>
      <c r="Q37" s="287">
        <v>15000.0</v>
      </c>
      <c r="R37" s="287">
        <v>3285.0</v>
      </c>
      <c r="S37" s="287" t="s">
        <v>761</v>
      </c>
      <c r="T37" s="287">
        <v>6500.0</v>
      </c>
      <c r="U37" s="287">
        <v>3801.0</v>
      </c>
      <c r="V37" s="297">
        <v>45880.0</v>
      </c>
      <c r="W37" s="291"/>
      <c r="X37" s="291"/>
      <c r="Y37" s="291"/>
      <c r="Z37" s="291"/>
    </row>
    <row r="38">
      <c r="A38" s="6">
        <v>36.0</v>
      </c>
      <c r="B38" s="6" t="s">
        <v>1768</v>
      </c>
      <c r="C38" s="6" t="s">
        <v>1769</v>
      </c>
      <c r="D38" s="6" t="s">
        <v>1700</v>
      </c>
      <c r="E38" s="7">
        <v>1501.0</v>
      </c>
      <c r="F38" s="13"/>
      <c r="G38" s="6">
        <v>7.56883621E9</v>
      </c>
      <c r="I38" s="15">
        <v>21000.0</v>
      </c>
      <c r="J38" s="121"/>
      <c r="M38" s="15">
        <f t="shared" si="1"/>
        <v>21000</v>
      </c>
      <c r="N38" s="15">
        <f t="shared" si="2"/>
        <v>0</v>
      </c>
      <c r="O38" s="9">
        <f t="shared" si="3"/>
        <v>21000</v>
      </c>
    </row>
    <row r="39">
      <c r="A39" s="287">
        <v>37.0</v>
      </c>
      <c r="B39" s="287" t="s">
        <v>1770</v>
      </c>
      <c r="C39" s="287" t="s">
        <v>168</v>
      </c>
      <c r="D39" s="287" t="s">
        <v>1700</v>
      </c>
      <c r="E39" s="288">
        <v>1914.0</v>
      </c>
      <c r="F39" s="306" t="s">
        <v>169</v>
      </c>
      <c r="G39" s="290">
        <v>9.001603329E9</v>
      </c>
      <c r="H39" s="290">
        <v>1000.0</v>
      </c>
      <c r="I39" s="290">
        <v>21000.0</v>
      </c>
      <c r="J39" s="293">
        <v>7000.0</v>
      </c>
      <c r="K39" s="289"/>
      <c r="L39" s="290">
        <v>6000.0</v>
      </c>
      <c r="M39" s="15">
        <f t="shared" si="1"/>
        <v>23000</v>
      </c>
      <c r="N39" s="15">
        <f t="shared" si="2"/>
        <v>16000</v>
      </c>
      <c r="O39" s="9">
        <f t="shared" si="3"/>
        <v>7000</v>
      </c>
      <c r="P39" s="289" t="s">
        <v>159</v>
      </c>
      <c r="Q39" s="293">
        <v>10000.0</v>
      </c>
      <c r="R39" s="293">
        <v>3073.0</v>
      </c>
      <c r="S39" s="289" t="s">
        <v>170</v>
      </c>
      <c r="T39" s="287">
        <v>6000.0</v>
      </c>
      <c r="U39" s="287">
        <v>3897.0</v>
      </c>
      <c r="V39" s="287" t="s">
        <v>1319</v>
      </c>
      <c r="W39" s="291"/>
      <c r="X39" s="291"/>
      <c r="Y39" s="291"/>
      <c r="Z39" s="291"/>
    </row>
    <row r="40">
      <c r="A40" s="6">
        <v>38.0</v>
      </c>
      <c r="B40" s="6" t="s">
        <v>1609</v>
      </c>
      <c r="C40" s="6" t="s">
        <v>1771</v>
      </c>
      <c r="D40" s="6" t="s">
        <v>1700</v>
      </c>
      <c r="E40" s="7">
        <v>1601.0</v>
      </c>
      <c r="F40" s="13"/>
      <c r="G40" s="6">
        <v>9.950318397E9</v>
      </c>
      <c r="I40" s="15">
        <v>21000.0</v>
      </c>
      <c r="J40" s="121"/>
      <c r="M40" s="15">
        <f t="shared" si="1"/>
        <v>21000</v>
      </c>
      <c r="N40" s="15">
        <f t="shared" si="2"/>
        <v>20000</v>
      </c>
      <c r="O40" s="9">
        <f t="shared" si="3"/>
        <v>1000</v>
      </c>
      <c r="Q40" s="6">
        <v>10000.0</v>
      </c>
      <c r="R40" s="6">
        <v>3466.0</v>
      </c>
      <c r="S40" s="27">
        <v>45726.0</v>
      </c>
      <c r="T40" s="6">
        <v>10000.0</v>
      </c>
      <c r="U40" s="6">
        <v>3962.0</v>
      </c>
      <c r="V40" s="6" t="s">
        <v>132</v>
      </c>
    </row>
    <row r="41">
      <c r="A41" s="287">
        <v>39.0</v>
      </c>
      <c r="B41" s="287" t="s">
        <v>1772</v>
      </c>
      <c r="C41" s="287" t="s">
        <v>1773</v>
      </c>
      <c r="D41" s="287" t="s">
        <v>1700</v>
      </c>
      <c r="E41" s="288">
        <v>1909.0</v>
      </c>
      <c r="F41" s="306" t="s">
        <v>1540</v>
      </c>
      <c r="G41" s="290">
        <v>7.742549225E9</v>
      </c>
      <c r="H41" s="290">
        <v>1000.0</v>
      </c>
      <c r="I41" s="290">
        <v>21000.0</v>
      </c>
      <c r="J41" s="293">
        <v>7000.0</v>
      </c>
      <c r="K41" s="289"/>
      <c r="L41" s="290">
        <v>2000.0</v>
      </c>
      <c r="M41" s="15">
        <f t="shared" si="1"/>
        <v>27000</v>
      </c>
      <c r="N41" s="15">
        <f t="shared" si="2"/>
        <v>15000</v>
      </c>
      <c r="O41" s="9">
        <f t="shared" si="3"/>
        <v>12000</v>
      </c>
      <c r="P41" s="289" t="s">
        <v>159</v>
      </c>
      <c r="Q41" s="293">
        <v>5000.0</v>
      </c>
      <c r="R41" s="293">
        <v>2888.0</v>
      </c>
      <c r="S41" s="295">
        <v>45754.0</v>
      </c>
      <c r="T41" s="287">
        <v>5000.0</v>
      </c>
      <c r="U41" s="287">
        <v>3461.0</v>
      </c>
      <c r="V41" s="297">
        <v>45726.0</v>
      </c>
      <c r="W41" s="287">
        <v>5000.0</v>
      </c>
      <c r="X41" s="287">
        <v>3612.0</v>
      </c>
      <c r="Y41" s="297">
        <v>45879.0</v>
      </c>
      <c r="Z41" s="291"/>
    </row>
    <row r="42">
      <c r="A42" s="6">
        <v>40.0</v>
      </c>
      <c r="B42" s="6" t="s">
        <v>1568</v>
      </c>
      <c r="C42" s="6" t="s">
        <v>1774</v>
      </c>
      <c r="D42" s="6" t="s">
        <v>1700</v>
      </c>
      <c r="E42" s="7">
        <v>1543.0</v>
      </c>
      <c r="F42" s="13"/>
      <c r="G42" s="6">
        <v>8.619380413E9</v>
      </c>
      <c r="I42" s="15">
        <v>21000.0</v>
      </c>
      <c r="J42" s="121"/>
      <c r="M42" s="15">
        <f t="shared" si="1"/>
        <v>21000</v>
      </c>
      <c r="N42" s="15">
        <f t="shared" si="2"/>
        <v>11000</v>
      </c>
      <c r="O42" s="9">
        <f t="shared" si="3"/>
        <v>10000</v>
      </c>
      <c r="Q42" s="6">
        <v>11000.0</v>
      </c>
      <c r="R42" s="6">
        <v>3650.0</v>
      </c>
      <c r="S42" s="27">
        <v>45910.0</v>
      </c>
    </row>
    <row r="43">
      <c r="A43" s="287">
        <v>41.0</v>
      </c>
      <c r="B43" s="287" t="s">
        <v>1775</v>
      </c>
      <c r="C43" s="287" t="s">
        <v>1776</v>
      </c>
      <c r="D43" s="287" t="s">
        <v>1700</v>
      </c>
      <c r="E43" s="288">
        <v>1897.0</v>
      </c>
      <c r="F43" s="306" t="s">
        <v>662</v>
      </c>
      <c r="G43" s="290">
        <v>9.680484539E9</v>
      </c>
      <c r="H43" s="290">
        <v>1000.0</v>
      </c>
      <c r="I43" s="290">
        <v>21000.0</v>
      </c>
      <c r="J43" s="293">
        <v>6500.0</v>
      </c>
      <c r="K43" s="289"/>
      <c r="L43" s="290">
        <v>2500.0</v>
      </c>
      <c r="M43" s="15">
        <f t="shared" si="1"/>
        <v>26000</v>
      </c>
      <c r="N43" s="15">
        <f t="shared" si="2"/>
        <v>9500</v>
      </c>
      <c r="O43" s="9">
        <f t="shared" si="3"/>
        <v>16500</v>
      </c>
      <c r="P43" s="289" t="s">
        <v>44</v>
      </c>
      <c r="Q43" s="287">
        <v>9500.0</v>
      </c>
      <c r="R43" s="287">
        <v>3690.0</v>
      </c>
      <c r="S43" s="301">
        <v>45940.0</v>
      </c>
      <c r="T43" s="291"/>
      <c r="U43" s="291"/>
      <c r="V43" s="291"/>
      <c r="W43" s="291"/>
      <c r="X43" s="291"/>
      <c r="Y43" s="291"/>
      <c r="Z43" s="291"/>
    </row>
    <row r="44">
      <c r="A44" s="6">
        <v>42.0</v>
      </c>
      <c r="B44" s="6" t="s">
        <v>1777</v>
      </c>
      <c r="C44" s="6" t="s">
        <v>1778</v>
      </c>
      <c r="D44" s="6" t="s">
        <v>1700</v>
      </c>
      <c r="E44" s="7">
        <v>1063.0</v>
      </c>
      <c r="F44" s="13"/>
      <c r="G44" s="6">
        <v>9.783771476E9</v>
      </c>
      <c r="I44" s="15">
        <v>21000.0</v>
      </c>
      <c r="J44" s="121"/>
      <c r="M44" s="15">
        <f t="shared" si="1"/>
        <v>21000</v>
      </c>
      <c r="N44" s="15">
        <f t="shared" si="2"/>
        <v>10000</v>
      </c>
      <c r="O44" s="9">
        <f t="shared" si="3"/>
        <v>11000</v>
      </c>
      <c r="Q44" s="6">
        <v>10000.0</v>
      </c>
      <c r="R44" s="6">
        <v>3450.0</v>
      </c>
      <c r="S44" s="6" t="s">
        <v>1779</v>
      </c>
    </row>
    <row r="45">
      <c r="A45" s="6">
        <v>43.0</v>
      </c>
      <c r="B45" s="6" t="s">
        <v>1780</v>
      </c>
      <c r="C45" s="6" t="s">
        <v>1781</v>
      </c>
      <c r="D45" s="6" t="s">
        <v>1700</v>
      </c>
      <c r="E45" s="7">
        <v>1520.0</v>
      </c>
      <c r="F45" s="13"/>
      <c r="G45" s="6">
        <v>9.829289674E9</v>
      </c>
      <c r="I45" s="15">
        <v>21000.0</v>
      </c>
      <c r="J45" s="121"/>
      <c r="M45" s="15">
        <f t="shared" si="1"/>
        <v>21000</v>
      </c>
      <c r="N45" s="15">
        <f t="shared" si="2"/>
        <v>5000</v>
      </c>
      <c r="O45" s="9">
        <f t="shared" si="3"/>
        <v>16000</v>
      </c>
      <c r="Q45" s="6">
        <v>5000.0</v>
      </c>
      <c r="R45" s="6">
        <v>3252.0</v>
      </c>
      <c r="S45" s="6" t="s">
        <v>727</v>
      </c>
    </row>
    <row r="46">
      <c r="A46" s="6">
        <v>44.0</v>
      </c>
      <c r="B46" s="6" t="s">
        <v>1782</v>
      </c>
      <c r="C46" s="6" t="s">
        <v>1783</v>
      </c>
      <c r="D46" s="6" t="s">
        <v>1700</v>
      </c>
      <c r="E46" s="7">
        <v>1068.0</v>
      </c>
      <c r="F46" s="303" t="s">
        <v>474</v>
      </c>
      <c r="G46" s="15">
        <v>9.001671633E9</v>
      </c>
      <c r="H46" s="10"/>
      <c r="I46" s="15">
        <v>21000.0</v>
      </c>
      <c r="J46" s="228">
        <v>5000.0</v>
      </c>
      <c r="K46" s="10"/>
      <c r="L46" s="10"/>
      <c r="M46" s="15">
        <f t="shared" si="1"/>
        <v>26000</v>
      </c>
      <c r="N46" s="15">
        <f t="shared" si="2"/>
        <v>15000</v>
      </c>
      <c r="O46" s="9">
        <f t="shared" si="3"/>
        <v>11000</v>
      </c>
      <c r="Q46" s="16">
        <v>5000.0</v>
      </c>
      <c r="R46" s="16">
        <v>3186.0</v>
      </c>
      <c r="S46" s="10" t="s">
        <v>191</v>
      </c>
      <c r="T46" s="6">
        <v>5000.0</v>
      </c>
      <c r="U46" s="6">
        <v>3457.0</v>
      </c>
      <c r="V46" s="309">
        <v>45726.0</v>
      </c>
      <c r="W46" s="6">
        <v>5000.0</v>
      </c>
      <c r="X46" s="6">
        <v>3960.0</v>
      </c>
      <c r="Y46" s="6" t="s">
        <v>132</v>
      </c>
    </row>
    <row r="47">
      <c r="A47" s="6">
        <v>45.0</v>
      </c>
      <c r="B47" s="6" t="s">
        <v>1784</v>
      </c>
      <c r="C47" s="6" t="s">
        <v>1785</v>
      </c>
      <c r="D47" s="6" t="s">
        <v>1700</v>
      </c>
      <c r="E47" s="7">
        <v>1514.0</v>
      </c>
      <c r="F47" s="13"/>
      <c r="G47" s="6">
        <v>8.955229507E9</v>
      </c>
      <c r="I47" s="15">
        <v>21000.0</v>
      </c>
      <c r="J47" s="121"/>
      <c r="M47" s="15">
        <f t="shared" si="1"/>
        <v>21000</v>
      </c>
      <c r="N47" s="15">
        <f t="shared" si="2"/>
        <v>5000</v>
      </c>
      <c r="O47" s="9">
        <f t="shared" si="3"/>
        <v>16000</v>
      </c>
      <c r="Q47" s="6">
        <v>5000.0</v>
      </c>
      <c r="R47" s="6">
        <v>3364.0</v>
      </c>
      <c r="S47" s="27">
        <v>45725.0</v>
      </c>
    </row>
    <row r="48">
      <c r="A48" s="6">
        <v>46.0</v>
      </c>
      <c r="B48" s="6" t="s">
        <v>1786</v>
      </c>
      <c r="C48" s="6" t="s">
        <v>1787</v>
      </c>
      <c r="D48" s="6" t="s">
        <v>1700</v>
      </c>
      <c r="E48" s="7">
        <v>1680.0</v>
      </c>
      <c r="F48" s="303" t="s">
        <v>165</v>
      </c>
      <c r="G48" s="16">
        <v>9.001718531E9</v>
      </c>
      <c r="H48" s="10"/>
      <c r="I48" s="15">
        <v>21000.0</v>
      </c>
      <c r="J48" s="228">
        <v>7000.0</v>
      </c>
      <c r="K48" s="10"/>
      <c r="L48" s="10"/>
      <c r="M48" s="15">
        <f t="shared" si="1"/>
        <v>28000</v>
      </c>
      <c r="N48" s="15">
        <f t="shared" si="2"/>
        <v>13000</v>
      </c>
      <c r="O48" s="9">
        <f t="shared" si="3"/>
        <v>15000</v>
      </c>
      <c r="Q48" s="16">
        <v>7000.0</v>
      </c>
      <c r="R48" s="16">
        <v>3226.0</v>
      </c>
      <c r="S48" s="10" t="s">
        <v>160</v>
      </c>
      <c r="T48" s="6">
        <v>6000.0</v>
      </c>
      <c r="U48" s="6">
        <v>3802.0</v>
      </c>
      <c r="V48" s="27">
        <v>45880.0</v>
      </c>
    </row>
    <row r="49">
      <c r="E49" s="13"/>
      <c r="F49" s="13"/>
      <c r="J49" s="121"/>
      <c r="M49" s="9"/>
      <c r="N49" s="9"/>
    </row>
    <row r="50">
      <c r="E50" s="13"/>
      <c r="F50" s="13"/>
      <c r="J50" s="121"/>
      <c r="M50" s="9"/>
      <c r="N50" s="9"/>
    </row>
    <row r="51">
      <c r="E51" s="13"/>
      <c r="F51" s="13"/>
      <c r="J51" s="121"/>
      <c r="M51" s="9"/>
      <c r="N51" s="9"/>
    </row>
    <row r="52">
      <c r="E52" s="13"/>
      <c r="F52" s="13"/>
      <c r="J52" s="121"/>
      <c r="M52" s="9"/>
      <c r="N52" s="9"/>
    </row>
    <row r="53">
      <c r="E53" s="13"/>
      <c r="F53" s="13"/>
      <c r="J53" s="121"/>
      <c r="M53" s="9"/>
      <c r="N53" s="9"/>
    </row>
    <row r="54">
      <c r="E54" s="13"/>
      <c r="F54" s="13"/>
      <c r="J54" s="121"/>
      <c r="M54" s="9"/>
      <c r="N54" s="9"/>
      <c r="O54" s="6" t="s">
        <v>409</v>
      </c>
    </row>
    <row r="55">
      <c r="E55" s="13"/>
      <c r="F55" s="13"/>
      <c r="J55" s="121"/>
      <c r="M55" s="9"/>
      <c r="N55" s="9"/>
    </row>
    <row r="56">
      <c r="E56" s="13"/>
      <c r="F56" s="13"/>
      <c r="J56" s="121"/>
      <c r="M56" s="9"/>
      <c r="N56" s="9"/>
    </row>
    <row r="57">
      <c r="E57" s="13"/>
      <c r="F57" s="13"/>
      <c r="J57" s="121"/>
      <c r="M57" s="9"/>
      <c r="N57" s="9"/>
    </row>
    <row r="58">
      <c r="E58" s="13"/>
      <c r="F58" s="13"/>
      <c r="J58" s="121"/>
      <c r="M58" s="9"/>
      <c r="N58" s="9"/>
    </row>
    <row r="59">
      <c r="E59" s="13"/>
      <c r="F59" s="13"/>
      <c r="J59" s="121"/>
      <c r="M59" s="9"/>
      <c r="N59" s="9"/>
    </row>
    <row r="60">
      <c r="E60" s="13"/>
      <c r="F60" s="13"/>
      <c r="J60" s="121"/>
      <c r="M60" s="9"/>
      <c r="N60" s="9"/>
    </row>
    <row r="61">
      <c r="E61" s="13"/>
      <c r="F61" s="13"/>
      <c r="J61" s="121"/>
      <c r="M61" s="9"/>
      <c r="N61" s="9"/>
    </row>
    <row r="62">
      <c r="E62" s="13"/>
      <c r="F62" s="13"/>
      <c r="J62" s="121"/>
      <c r="M62" s="9"/>
      <c r="N62" s="9"/>
    </row>
    <row r="63">
      <c r="E63" s="13"/>
      <c r="F63" s="13"/>
      <c r="J63" s="121"/>
      <c r="M63" s="9"/>
      <c r="N63" s="9"/>
    </row>
    <row r="64">
      <c r="E64" s="13"/>
      <c r="F64" s="13"/>
      <c r="J64" s="121"/>
      <c r="M64" s="9"/>
      <c r="N64" s="9"/>
    </row>
    <row r="65">
      <c r="E65" s="13"/>
      <c r="F65" s="13"/>
      <c r="J65" s="121"/>
      <c r="M65" s="9"/>
      <c r="N65" s="9"/>
    </row>
    <row r="66">
      <c r="E66" s="13"/>
      <c r="F66" s="13"/>
      <c r="J66" s="121"/>
      <c r="M66" s="9"/>
      <c r="N66" s="9"/>
    </row>
    <row r="67">
      <c r="E67" s="13"/>
      <c r="F67" s="13"/>
      <c r="J67" s="121"/>
      <c r="M67" s="9"/>
      <c r="N67" s="9"/>
    </row>
    <row r="68">
      <c r="E68" s="13"/>
      <c r="F68" s="13"/>
      <c r="J68" s="121"/>
      <c r="M68" s="9"/>
      <c r="N68" s="9"/>
    </row>
    <row r="69">
      <c r="E69" s="13"/>
      <c r="F69" s="13"/>
      <c r="J69" s="121"/>
      <c r="M69" s="9"/>
      <c r="N69" s="9"/>
    </row>
    <row r="70">
      <c r="E70" s="13"/>
      <c r="F70" s="13"/>
      <c r="J70" s="121"/>
      <c r="M70" s="9"/>
      <c r="N70" s="9"/>
    </row>
    <row r="71">
      <c r="E71" s="13"/>
      <c r="F71" s="13"/>
      <c r="J71" s="121"/>
      <c r="M71" s="9"/>
      <c r="N71" s="9"/>
    </row>
    <row r="72">
      <c r="E72" s="13"/>
      <c r="F72" s="13"/>
      <c r="J72" s="121"/>
      <c r="M72" s="9"/>
      <c r="N72" s="9"/>
    </row>
    <row r="73">
      <c r="E73" s="13"/>
      <c r="F73" s="13"/>
      <c r="J73" s="121"/>
      <c r="M73" s="9"/>
      <c r="N73" s="9"/>
    </row>
    <row r="74">
      <c r="E74" s="13"/>
      <c r="F74" s="13"/>
      <c r="J74" s="121"/>
      <c r="M74" s="9"/>
      <c r="N74" s="9"/>
    </row>
    <row r="75">
      <c r="E75" s="13"/>
      <c r="F75" s="13"/>
      <c r="J75" s="121"/>
      <c r="M75" s="9"/>
      <c r="N75" s="9"/>
    </row>
    <row r="76">
      <c r="E76" s="13"/>
      <c r="F76" s="13"/>
      <c r="J76" s="121"/>
      <c r="M76" s="9"/>
      <c r="N76" s="9"/>
    </row>
    <row r="77">
      <c r="E77" s="13"/>
      <c r="F77" s="13"/>
      <c r="J77" s="121"/>
      <c r="M77" s="9"/>
      <c r="N77" s="9"/>
    </row>
    <row r="78">
      <c r="E78" s="13"/>
      <c r="F78" s="13"/>
      <c r="J78" s="121"/>
      <c r="M78" s="9"/>
      <c r="N78" s="9"/>
    </row>
    <row r="79">
      <c r="E79" s="13"/>
      <c r="F79" s="13"/>
      <c r="J79" s="121"/>
      <c r="M79" s="9"/>
      <c r="N79" s="9"/>
    </row>
    <row r="80">
      <c r="E80" s="13"/>
      <c r="F80" s="13"/>
      <c r="J80" s="121"/>
      <c r="M80" s="9"/>
      <c r="N80" s="9"/>
    </row>
    <row r="81">
      <c r="E81" s="13"/>
      <c r="F81" s="13"/>
      <c r="J81" s="121"/>
      <c r="M81" s="9"/>
      <c r="N81" s="9"/>
    </row>
    <row r="82">
      <c r="E82" s="13"/>
      <c r="F82" s="13"/>
      <c r="J82" s="121"/>
      <c r="M82" s="9"/>
      <c r="N82" s="9"/>
    </row>
    <row r="83">
      <c r="E83" s="13"/>
      <c r="F83" s="13"/>
      <c r="J83" s="121"/>
      <c r="M83" s="9"/>
      <c r="N83" s="9"/>
    </row>
    <row r="84">
      <c r="E84" s="13"/>
      <c r="F84" s="13"/>
      <c r="J84" s="121"/>
      <c r="M84" s="9"/>
      <c r="N84" s="9"/>
    </row>
    <row r="85">
      <c r="E85" s="13"/>
      <c r="F85" s="13"/>
      <c r="J85" s="121"/>
      <c r="M85" s="9"/>
      <c r="N85" s="9"/>
    </row>
    <row r="86">
      <c r="E86" s="13"/>
      <c r="F86" s="13"/>
      <c r="J86" s="121"/>
      <c r="M86" s="9"/>
      <c r="N86" s="9"/>
    </row>
    <row r="87">
      <c r="E87" s="13"/>
      <c r="F87" s="13"/>
      <c r="J87" s="121"/>
      <c r="M87" s="9"/>
      <c r="N87" s="9"/>
    </row>
    <row r="88">
      <c r="E88" s="13"/>
      <c r="F88" s="13"/>
      <c r="J88" s="121"/>
      <c r="M88" s="9"/>
      <c r="N88" s="9"/>
    </row>
    <row r="89">
      <c r="E89" s="13"/>
      <c r="F89" s="13"/>
      <c r="J89" s="121"/>
      <c r="M89" s="9"/>
      <c r="N89" s="9"/>
    </row>
    <row r="90">
      <c r="E90" s="13"/>
      <c r="F90" s="13"/>
      <c r="J90" s="121"/>
      <c r="M90" s="9"/>
      <c r="N90" s="9"/>
    </row>
    <row r="91">
      <c r="E91" s="13"/>
      <c r="F91" s="13"/>
      <c r="J91" s="121"/>
      <c r="M91" s="9"/>
      <c r="N91" s="9"/>
    </row>
    <row r="92">
      <c r="E92" s="13"/>
      <c r="F92" s="13"/>
      <c r="J92" s="121"/>
      <c r="M92" s="9"/>
      <c r="N92" s="9"/>
    </row>
    <row r="93">
      <c r="E93" s="13"/>
      <c r="F93" s="13"/>
      <c r="J93" s="121"/>
      <c r="M93" s="9"/>
      <c r="N93" s="9"/>
    </row>
    <row r="94">
      <c r="E94" s="13"/>
      <c r="F94" s="13"/>
      <c r="J94" s="121"/>
      <c r="M94" s="9"/>
      <c r="N94" s="9"/>
    </row>
    <row r="95">
      <c r="E95" s="13"/>
      <c r="F95" s="13"/>
      <c r="J95" s="121"/>
      <c r="M95" s="9"/>
      <c r="N95" s="9"/>
    </row>
    <row r="96">
      <c r="E96" s="13"/>
      <c r="F96" s="13"/>
      <c r="J96" s="121"/>
      <c r="M96" s="9"/>
      <c r="N96" s="9"/>
    </row>
    <row r="97">
      <c r="E97" s="13"/>
      <c r="F97" s="13"/>
      <c r="J97" s="121"/>
      <c r="M97" s="9"/>
      <c r="N97" s="9"/>
    </row>
    <row r="98">
      <c r="E98" s="13"/>
      <c r="F98" s="13"/>
      <c r="J98" s="121"/>
      <c r="M98" s="9"/>
      <c r="N98" s="9"/>
    </row>
    <row r="99">
      <c r="E99" s="13"/>
      <c r="F99" s="13"/>
      <c r="J99" s="121"/>
      <c r="M99" s="9"/>
      <c r="N99" s="9"/>
    </row>
    <row r="100">
      <c r="E100" s="13"/>
      <c r="F100" s="13"/>
      <c r="J100" s="121"/>
      <c r="M100" s="9"/>
      <c r="N100" s="9"/>
    </row>
    <row r="101">
      <c r="E101" s="13"/>
      <c r="F101" s="13"/>
      <c r="J101" s="121"/>
      <c r="M101" s="9"/>
      <c r="N101" s="9"/>
    </row>
    <row r="102">
      <c r="E102" s="13"/>
      <c r="F102" s="13"/>
      <c r="J102" s="121"/>
      <c r="M102" s="9"/>
      <c r="N102" s="9"/>
    </row>
    <row r="103">
      <c r="E103" s="13"/>
      <c r="F103" s="13"/>
      <c r="J103" s="121"/>
      <c r="M103" s="9"/>
      <c r="N103" s="9"/>
    </row>
    <row r="104">
      <c r="E104" s="13"/>
      <c r="F104" s="13"/>
      <c r="J104" s="121"/>
      <c r="M104" s="9"/>
      <c r="N104" s="9"/>
    </row>
    <row r="105">
      <c r="E105" s="13"/>
      <c r="F105" s="13"/>
      <c r="J105" s="121"/>
      <c r="M105" s="9"/>
      <c r="N105" s="9"/>
    </row>
    <row r="106">
      <c r="E106" s="13"/>
      <c r="F106" s="13"/>
      <c r="J106" s="121"/>
      <c r="M106" s="9"/>
      <c r="N106" s="9"/>
    </row>
    <row r="107">
      <c r="E107" s="13"/>
      <c r="F107" s="13"/>
      <c r="J107" s="121"/>
      <c r="M107" s="9"/>
      <c r="N107" s="9"/>
    </row>
    <row r="108">
      <c r="E108" s="13"/>
      <c r="F108" s="13"/>
      <c r="J108" s="121"/>
      <c r="M108" s="9"/>
      <c r="N108" s="9"/>
    </row>
    <row r="109">
      <c r="E109" s="13"/>
      <c r="F109" s="13"/>
      <c r="J109" s="121"/>
      <c r="M109" s="9"/>
      <c r="N109" s="9"/>
    </row>
    <row r="110">
      <c r="E110" s="13"/>
      <c r="F110" s="13"/>
      <c r="J110" s="121"/>
      <c r="M110" s="9"/>
      <c r="N110" s="9"/>
    </row>
    <row r="111">
      <c r="E111" s="13"/>
      <c r="F111" s="13"/>
      <c r="J111" s="121"/>
      <c r="M111" s="9"/>
      <c r="N111" s="9"/>
    </row>
    <row r="112">
      <c r="E112" s="13"/>
      <c r="F112" s="13"/>
      <c r="J112" s="121"/>
      <c r="M112" s="9"/>
      <c r="N112" s="9"/>
    </row>
    <row r="113">
      <c r="E113" s="13"/>
      <c r="F113" s="13"/>
      <c r="J113" s="121"/>
      <c r="M113" s="9"/>
      <c r="N113" s="9"/>
    </row>
    <row r="114">
      <c r="E114" s="13"/>
      <c r="F114" s="13"/>
      <c r="J114" s="121"/>
      <c r="M114" s="9"/>
      <c r="N114" s="9"/>
    </row>
    <row r="115">
      <c r="E115" s="13"/>
      <c r="F115" s="13"/>
      <c r="J115" s="121"/>
      <c r="M115" s="9"/>
      <c r="N115" s="9"/>
    </row>
    <row r="116">
      <c r="E116" s="13"/>
      <c r="F116" s="13"/>
      <c r="J116" s="121"/>
      <c r="M116" s="9"/>
      <c r="N116" s="9"/>
    </row>
    <row r="117">
      <c r="E117" s="13"/>
      <c r="F117" s="13"/>
      <c r="J117" s="121"/>
      <c r="M117" s="9"/>
      <c r="N117" s="9"/>
    </row>
    <row r="118">
      <c r="E118" s="13"/>
      <c r="F118" s="13"/>
      <c r="J118" s="121"/>
      <c r="M118" s="9"/>
      <c r="N118" s="9"/>
    </row>
    <row r="119">
      <c r="E119" s="13"/>
      <c r="F119" s="13"/>
      <c r="J119" s="121"/>
      <c r="M119" s="9"/>
      <c r="N119" s="9"/>
    </row>
    <row r="120">
      <c r="E120" s="13"/>
      <c r="F120" s="13"/>
      <c r="J120" s="121"/>
      <c r="M120" s="9"/>
      <c r="N120" s="9"/>
    </row>
    <row r="121">
      <c r="E121" s="13"/>
      <c r="F121" s="13"/>
      <c r="J121" s="121"/>
      <c r="M121" s="9"/>
      <c r="N121" s="9"/>
    </row>
    <row r="122">
      <c r="E122" s="13"/>
      <c r="F122" s="13"/>
      <c r="J122" s="121"/>
      <c r="M122" s="9"/>
      <c r="N122" s="9"/>
    </row>
    <row r="123">
      <c r="E123" s="13"/>
      <c r="F123" s="13"/>
      <c r="J123" s="121"/>
      <c r="M123" s="9"/>
      <c r="N123" s="9"/>
    </row>
    <row r="124">
      <c r="E124" s="13"/>
      <c r="F124" s="13"/>
      <c r="J124" s="121"/>
      <c r="M124" s="9"/>
      <c r="N124" s="9"/>
    </row>
    <row r="125">
      <c r="E125" s="13"/>
      <c r="F125" s="13"/>
      <c r="J125" s="121"/>
      <c r="M125" s="9"/>
      <c r="N125" s="9"/>
    </row>
    <row r="126">
      <c r="E126" s="13"/>
      <c r="F126" s="13"/>
      <c r="J126" s="121"/>
      <c r="M126" s="9"/>
      <c r="N126" s="9"/>
    </row>
    <row r="127">
      <c r="E127" s="13"/>
      <c r="F127" s="13"/>
      <c r="J127" s="121"/>
      <c r="M127" s="9"/>
      <c r="N127" s="9"/>
    </row>
    <row r="128">
      <c r="E128" s="13"/>
      <c r="F128" s="13"/>
      <c r="J128" s="121"/>
      <c r="M128" s="9"/>
      <c r="N128" s="9"/>
    </row>
    <row r="129">
      <c r="E129" s="13"/>
      <c r="F129" s="13"/>
      <c r="J129" s="121"/>
      <c r="M129" s="9"/>
      <c r="N129" s="9"/>
    </row>
    <row r="130">
      <c r="E130" s="13"/>
      <c r="F130" s="13"/>
      <c r="J130" s="121"/>
      <c r="M130" s="9"/>
      <c r="N130" s="9"/>
    </row>
    <row r="131">
      <c r="E131" s="13"/>
      <c r="F131" s="13"/>
      <c r="J131" s="121"/>
      <c r="M131" s="9"/>
      <c r="N131" s="9"/>
    </row>
    <row r="132">
      <c r="E132" s="13"/>
      <c r="F132" s="13"/>
      <c r="J132" s="121"/>
      <c r="M132" s="9"/>
      <c r="N132" s="9"/>
    </row>
    <row r="133">
      <c r="E133" s="13"/>
      <c r="F133" s="13"/>
      <c r="J133" s="121"/>
      <c r="M133" s="9"/>
      <c r="N133" s="9"/>
    </row>
    <row r="134">
      <c r="E134" s="13"/>
      <c r="F134" s="13"/>
      <c r="J134" s="121"/>
      <c r="M134" s="9"/>
      <c r="N134" s="9"/>
    </row>
    <row r="135">
      <c r="E135" s="13"/>
      <c r="F135" s="13"/>
      <c r="J135" s="121"/>
      <c r="M135" s="9"/>
      <c r="N135" s="9"/>
    </row>
    <row r="136">
      <c r="E136" s="13"/>
      <c r="F136" s="13"/>
      <c r="J136" s="121"/>
      <c r="M136" s="9"/>
      <c r="N136" s="9"/>
    </row>
    <row r="137">
      <c r="E137" s="13"/>
      <c r="F137" s="13"/>
      <c r="J137" s="121"/>
      <c r="M137" s="9"/>
      <c r="N137" s="9"/>
    </row>
    <row r="138">
      <c r="E138" s="13"/>
      <c r="F138" s="13"/>
      <c r="J138" s="121"/>
      <c r="M138" s="9"/>
      <c r="N138" s="9"/>
    </row>
    <row r="139">
      <c r="E139" s="13"/>
      <c r="F139" s="13"/>
      <c r="J139" s="121"/>
      <c r="M139" s="9"/>
      <c r="N139" s="9"/>
    </row>
    <row r="140">
      <c r="E140" s="13"/>
      <c r="F140" s="13"/>
      <c r="J140" s="121"/>
      <c r="M140" s="9"/>
      <c r="N140" s="9"/>
    </row>
    <row r="141">
      <c r="E141" s="13"/>
      <c r="F141" s="13"/>
      <c r="J141" s="121"/>
      <c r="M141" s="9"/>
      <c r="N141" s="9"/>
    </row>
    <row r="142">
      <c r="E142" s="13"/>
      <c r="F142" s="13"/>
      <c r="J142" s="121"/>
      <c r="M142" s="9"/>
      <c r="N142" s="9"/>
    </row>
    <row r="143">
      <c r="E143" s="13"/>
      <c r="F143" s="13"/>
      <c r="J143" s="121"/>
      <c r="M143" s="9"/>
      <c r="N143" s="9"/>
    </row>
    <row r="144">
      <c r="E144" s="13"/>
      <c r="F144" s="13"/>
      <c r="J144" s="121"/>
      <c r="M144" s="9"/>
      <c r="N144" s="9"/>
    </row>
    <row r="145">
      <c r="E145" s="13"/>
      <c r="F145" s="13"/>
      <c r="J145" s="121"/>
      <c r="M145" s="9"/>
      <c r="N145" s="9"/>
    </row>
    <row r="146">
      <c r="E146" s="13"/>
      <c r="F146" s="13"/>
      <c r="J146" s="121"/>
      <c r="M146" s="9"/>
      <c r="N146" s="9"/>
    </row>
    <row r="147">
      <c r="E147" s="13"/>
      <c r="F147" s="13"/>
      <c r="J147" s="121"/>
      <c r="M147" s="9"/>
      <c r="N147" s="9"/>
    </row>
    <row r="148">
      <c r="E148" s="13"/>
      <c r="F148" s="13"/>
      <c r="J148" s="121"/>
      <c r="M148" s="9"/>
      <c r="N148" s="9"/>
    </row>
    <row r="149">
      <c r="E149" s="13"/>
      <c r="F149" s="13"/>
      <c r="J149" s="121"/>
      <c r="M149" s="9"/>
      <c r="N149" s="9"/>
    </row>
    <row r="150">
      <c r="E150" s="13"/>
      <c r="F150" s="13"/>
      <c r="J150" s="121"/>
      <c r="M150" s="9"/>
      <c r="N150" s="9"/>
    </row>
    <row r="151">
      <c r="E151" s="13"/>
      <c r="F151" s="13"/>
      <c r="J151" s="121"/>
      <c r="M151" s="9"/>
      <c r="N151" s="9"/>
    </row>
    <row r="152">
      <c r="E152" s="13"/>
      <c r="F152" s="13"/>
      <c r="J152" s="121"/>
      <c r="M152" s="9"/>
      <c r="N152" s="9"/>
    </row>
    <row r="153">
      <c r="E153" s="13"/>
      <c r="F153" s="13"/>
      <c r="J153" s="121"/>
      <c r="M153" s="9"/>
      <c r="N153" s="9"/>
    </row>
    <row r="154">
      <c r="E154" s="13"/>
      <c r="F154" s="13"/>
      <c r="J154" s="121"/>
      <c r="M154" s="9"/>
      <c r="N154" s="9"/>
    </row>
    <row r="155">
      <c r="E155" s="13"/>
      <c r="F155" s="13"/>
      <c r="J155" s="121"/>
      <c r="M155" s="9"/>
      <c r="N155" s="9"/>
    </row>
    <row r="156">
      <c r="E156" s="13"/>
      <c r="F156" s="13"/>
      <c r="J156" s="121"/>
      <c r="M156" s="9"/>
      <c r="N156" s="9"/>
    </row>
    <row r="157">
      <c r="E157" s="13"/>
      <c r="F157" s="13"/>
      <c r="J157" s="121"/>
      <c r="M157" s="9"/>
      <c r="N157" s="9"/>
    </row>
    <row r="158">
      <c r="E158" s="13"/>
      <c r="F158" s="13"/>
      <c r="J158" s="121"/>
      <c r="M158" s="9"/>
      <c r="N158" s="9"/>
    </row>
    <row r="159">
      <c r="E159" s="13"/>
      <c r="F159" s="13"/>
      <c r="J159" s="121"/>
      <c r="M159" s="9"/>
      <c r="N159" s="9"/>
    </row>
    <row r="160">
      <c r="E160" s="13"/>
      <c r="F160" s="13"/>
      <c r="J160" s="121"/>
      <c r="M160" s="9"/>
      <c r="N160" s="9"/>
    </row>
    <row r="161">
      <c r="E161" s="13"/>
      <c r="F161" s="13"/>
      <c r="J161" s="121"/>
      <c r="M161" s="9"/>
      <c r="N161" s="9"/>
    </row>
    <row r="162">
      <c r="E162" s="13"/>
      <c r="F162" s="13"/>
      <c r="J162" s="121"/>
      <c r="M162" s="9"/>
      <c r="N162" s="9"/>
    </row>
    <row r="163">
      <c r="E163" s="13"/>
      <c r="F163" s="13"/>
      <c r="J163" s="121"/>
      <c r="M163" s="9"/>
      <c r="N163" s="9"/>
    </row>
    <row r="164">
      <c r="E164" s="13"/>
      <c r="F164" s="13"/>
      <c r="J164" s="121"/>
      <c r="M164" s="9"/>
      <c r="N164" s="9"/>
    </row>
    <row r="165">
      <c r="E165" s="13"/>
      <c r="F165" s="13"/>
      <c r="J165" s="121"/>
      <c r="M165" s="9"/>
      <c r="N165" s="9"/>
    </row>
    <row r="166">
      <c r="E166" s="13"/>
      <c r="F166" s="13"/>
      <c r="J166" s="121"/>
      <c r="M166" s="9"/>
      <c r="N166" s="9"/>
    </row>
    <row r="167">
      <c r="E167" s="13"/>
      <c r="F167" s="13"/>
      <c r="J167" s="121"/>
      <c r="M167" s="9"/>
      <c r="N167" s="9"/>
    </row>
    <row r="168">
      <c r="E168" s="13"/>
      <c r="F168" s="13"/>
      <c r="J168" s="121"/>
      <c r="M168" s="9"/>
      <c r="N168" s="9"/>
    </row>
    <row r="169">
      <c r="E169" s="13"/>
      <c r="F169" s="13"/>
      <c r="J169" s="121"/>
      <c r="M169" s="9"/>
      <c r="N169" s="9"/>
    </row>
    <row r="170">
      <c r="E170" s="13"/>
      <c r="F170" s="13"/>
      <c r="J170" s="121"/>
      <c r="M170" s="9"/>
      <c r="N170" s="9"/>
    </row>
    <row r="171">
      <c r="E171" s="13"/>
      <c r="F171" s="13"/>
      <c r="J171" s="121"/>
      <c r="M171" s="9"/>
      <c r="N171" s="9"/>
    </row>
    <row r="172">
      <c r="E172" s="13"/>
      <c r="F172" s="13"/>
      <c r="J172" s="121"/>
      <c r="M172" s="9"/>
      <c r="N172" s="9"/>
    </row>
    <row r="173">
      <c r="E173" s="13"/>
      <c r="F173" s="13"/>
      <c r="J173" s="121"/>
      <c r="M173" s="9"/>
      <c r="N173" s="9"/>
    </row>
    <row r="174">
      <c r="E174" s="13"/>
      <c r="F174" s="13"/>
      <c r="J174" s="121"/>
      <c r="M174" s="9"/>
      <c r="N174" s="9"/>
    </row>
    <row r="175">
      <c r="E175" s="13"/>
      <c r="F175" s="13"/>
      <c r="J175" s="121"/>
      <c r="M175" s="9"/>
      <c r="N175" s="9"/>
    </row>
    <row r="176">
      <c r="E176" s="13"/>
      <c r="F176" s="13"/>
      <c r="J176" s="121"/>
      <c r="M176" s="9"/>
      <c r="N176" s="9"/>
    </row>
    <row r="177">
      <c r="E177" s="13"/>
      <c r="F177" s="13"/>
      <c r="J177" s="121"/>
      <c r="M177" s="9"/>
      <c r="N177" s="9"/>
    </row>
    <row r="178">
      <c r="E178" s="13"/>
      <c r="F178" s="13"/>
      <c r="J178" s="121"/>
      <c r="M178" s="9"/>
      <c r="N178" s="9"/>
    </row>
    <row r="179">
      <c r="E179" s="13"/>
      <c r="F179" s="13"/>
      <c r="J179" s="121"/>
      <c r="M179" s="9"/>
      <c r="N179" s="9"/>
    </row>
    <row r="180">
      <c r="E180" s="13"/>
      <c r="F180" s="13"/>
      <c r="J180" s="121"/>
      <c r="M180" s="9"/>
      <c r="N180" s="9"/>
    </row>
    <row r="181">
      <c r="E181" s="13"/>
      <c r="F181" s="13"/>
      <c r="J181" s="121"/>
      <c r="M181" s="9"/>
      <c r="N181" s="9"/>
    </row>
    <row r="182">
      <c r="E182" s="13"/>
      <c r="F182" s="13"/>
      <c r="J182" s="121"/>
      <c r="M182" s="9"/>
      <c r="N182" s="9"/>
    </row>
    <row r="183">
      <c r="E183" s="13"/>
      <c r="F183" s="13"/>
      <c r="J183" s="121"/>
      <c r="M183" s="9"/>
      <c r="N183" s="9"/>
    </row>
    <row r="184">
      <c r="E184" s="13"/>
      <c r="F184" s="13"/>
      <c r="J184" s="121"/>
      <c r="M184" s="9"/>
      <c r="N184" s="9"/>
    </row>
    <row r="185">
      <c r="E185" s="13"/>
      <c r="F185" s="13"/>
      <c r="J185" s="121"/>
      <c r="M185" s="9"/>
      <c r="N185" s="9"/>
    </row>
    <row r="186">
      <c r="E186" s="13"/>
      <c r="F186" s="13"/>
      <c r="J186" s="121"/>
      <c r="M186" s="9"/>
      <c r="N186" s="9"/>
    </row>
    <row r="187">
      <c r="E187" s="13"/>
      <c r="F187" s="13"/>
      <c r="J187" s="121"/>
      <c r="M187" s="9"/>
      <c r="N187" s="9"/>
    </row>
    <row r="188">
      <c r="E188" s="13"/>
      <c r="F188" s="13"/>
      <c r="J188" s="121"/>
      <c r="M188" s="9"/>
      <c r="N188" s="9"/>
    </row>
    <row r="189">
      <c r="E189" s="13"/>
      <c r="F189" s="13"/>
      <c r="J189" s="121"/>
      <c r="M189" s="9"/>
      <c r="N189" s="9"/>
    </row>
    <row r="190">
      <c r="E190" s="13"/>
      <c r="F190" s="13"/>
      <c r="J190" s="121"/>
      <c r="M190" s="9"/>
      <c r="N190" s="9"/>
    </row>
    <row r="191">
      <c r="E191" s="13"/>
      <c r="F191" s="13"/>
      <c r="J191" s="121"/>
      <c r="M191" s="9"/>
      <c r="N191" s="9"/>
    </row>
    <row r="192">
      <c r="E192" s="13"/>
      <c r="F192" s="13"/>
      <c r="J192" s="121"/>
      <c r="M192" s="9"/>
      <c r="N192" s="9"/>
    </row>
    <row r="193">
      <c r="E193" s="13"/>
      <c r="F193" s="13"/>
      <c r="J193" s="121"/>
      <c r="M193" s="9"/>
      <c r="N193" s="9"/>
    </row>
    <row r="194">
      <c r="E194" s="13"/>
      <c r="F194" s="13"/>
      <c r="J194" s="121"/>
      <c r="M194" s="9"/>
      <c r="N194" s="9"/>
    </row>
    <row r="195">
      <c r="E195" s="13"/>
      <c r="F195" s="13"/>
      <c r="J195" s="121"/>
      <c r="M195" s="9"/>
      <c r="N195" s="9"/>
    </row>
    <row r="196">
      <c r="E196" s="13"/>
      <c r="F196" s="13"/>
      <c r="J196" s="121"/>
      <c r="M196" s="9"/>
      <c r="N196" s="9"/>
    </row>
    <row r="197">
      <c r="E197" s="13"/>
      <c r="F197" s="13"/>
      <c r="J197" s="121"/>
      <c r="M197" s="9"/>
      <c r="N197" s="9"/>
    </row>
    <row r="198">
      <c r="E198" s="13"/>
      <c r="F198" s="13"/>
      <c r="J198" s="121"/>
      <c r="M198" s="9"/>
      <c r="N198" s="9"/>
    </row>
    <row r="199">
      <c r="E199" s="13"/>
      <c r="F199" s="13"/>
      <c r="J199" s="121"/>
      <c r="M199" s="9"/>
      <c r="N199" s="9"/>
    </row>
    <row r="200">
      <c r="E200" s="13"/>
      <c r="F200" s="13"/>
      <c r="J200" s="121"/>
      <c r="M200" s="9"/>
      <c r="N200" s="9"/>
    </row>
    <row r="201">
      <c r="E201" s="13"/>
      <c r="F201" s="13"/>
      <c r="J201" s="121"/>
      <c r="M201" s="9"/>
      <c r="N201" s="9"/>
    </row>
    <row r="202">
      <c r="E202" s="13"/>
      <c r="F202" s="13"/>
      <c r="J202" s="121"/>
      <c r="M202" s="9"/>
      <c r="N202" s="9"/>
    </row>
    <row r="203">
      <c r="E203" s="13"/>
      <c r="F203" s="13"/>
      <c r="J203" s="121"/>
      <c r="M203" s="9"/>
      <c r="N203" s="9"/>
    </row>
    <row r="204">
      <c r="E204" s="13"/>
      <c r="F204" s="13"/>
      <c r="J204" s="121"/>
      <c r="M204" s="9"/>
      <c r="N204" s="9"/>
    </row>
    <row r="205">
      <c r="E205" s="13"/>
      <c r="F205" s="13"/>
      <c r="J205" s="121"/>
      <c r="M205" s="9"/>
      <c r="N205" s="9"/>
    </row>
    <row r="206">
      <c r="E206" s="13"/>
      <c r="F206" s="13"/>
      <c r="J206" s="121"/>
      <c r="M206" s="9"/>
      <c r="N206" s="9"/>
    </row>
    <row r="207">
      <c r="E207" s="13"/>
      <c r="F207" s="13"/>
      <c r="J207" s="121"/>
      <c r="M207" s="9"/>
      <c r="N207" s="9"/>
    </row>
    <row r="208">
      <c r="E208" s="13"/>
      <c r="F208" s="13"/>
      <c r="J208" s="121"/>
      <c r="M208" s="9"/>
      <c r="N208" s="9"/>
    </row>
    <row r="209">
      <c r="E209" s="13"/>
      <c r="F209" s="13"/>
      <c r="J209" s="121"/>
      <c r="M209" s="9"/>
      <c r="N209" s="9"/>
    </row>
    <row r="210">
      <c r="E210" s="13"/>
      <c r="F210" s="13"/>
      <c r="J210" s="121"/>
      <c r="M210" s="9"/>
      <c r="N210" s="9"/>
    </row>
    <row r="211">
      <c r="E211" s="13"/>
      <c r="F211" s="13"/>
      <c r="J211" s="121"/>
      <c r="M211" s="9"/>
      <c r="N211" s="9"/>
    </row>
    <row r="212">
      <c r="E212" s="13"/>
      <c r="F212" s="13"/>
      <c r="J212" s="121"/>
      <c r="M212" s="9"/>
      <c r="N212" s="9"/>
    </row>
    <row r="213">
      <c r="E213" s="13"/>
      <c r="F213" s="13"/>
      <c r="J213" s="121"/>
      <c r="M213" s="9"/>
      <c r="N213" s="9"/>
    </row>
    <row r="214">
      <c r="E214" s="13"/>
      <c r="F214" s="13"/>
      <c r="J214" s="121"/>
      <c r="M214" s="9"/>
      <c r="N214" s="9"/>
    </row>
    <row r="215">
      <c r="E215" s="13"/>
      <c r="F215" s="13"/>
      <c r="J215" s="121"/>
      <c r="M215" s="9"/>
      <c r="N215" s="9"/>
    </row>
    <row r="216">
      <c r="E216" s="13"/>
      <c r="F216" s="13"/>
      <c r="J216" s="121"/>
      <c r="M216" s="9"/>
      <c r="N216" s="9"/>
    </row>
    <row r="217">
      <c r="E217" s="13"/>
      <c r="F217" s="13"/>
      <c r="J217" s="121"/>
      <c r="M217" s="9"/>
      <c r="N217" s="9"/>
    </row>
    <row r="218">
      <c r="E218" s="13"/>
      <c r="F218" s="13"/>
      <c r="J218" s="121"/>
      <c r="M218" s="9"/>
      <c r="N218" s="9"/>
    </row>
    <row r="219">
      <c r="E219" s="13"/>
      <c r="F219" s="13"/>
      <c r="J219" s="121"/>
      <c r="M219" s="9"/>
      <c r="N219" s="9"/>
    </row>
    <row r="220">
      <c r="E220" s="13"/>
      <c r="F220" s="13"/>
      <c r="J220" s="121"/>
      <c r="M220" s="9"/>
      <c r="N220" s="9"/>
    </row>
    <row r="221">
      <c r="E221" s="13"/>
      <c r="F221" s="13"/>
      <c r="J221" s="121"/>
      <c r="M221" s="9"/>
      <c r="N221" s="9"/>
    </row>
    <row r="222">
      <c r="E222" s="13"/>
      <c r="F222" s="13"/>
      <c r="J222" s="121"/>
      <c r="M222" s="9"/>
      <c r="N222" s="9"/>
    </row>
    <row r="223">
      <c r="E223" s="13"/>
      <c r="F223" s="13"/>
      <c r="J223" s="121"/>
      <c r="M223" s="9"/>
      <c r="N223" s="9"/>
    </row>
    <row r="224">
      <c r="E224" s="13"/>
      <c r="F224" s="13"/>
      <c r="J224" s="121"/>
      <c r="M224" s="9"/>
      <c r="N224" s="9"/>
    </row>
    <row r="225">
      <c r="E225" s="13"/>
      <c r="F225" s="13"/>
      <c r="J225" s="121"/>
      <c r="M225" s="9"/>
      <c r="N225" s="9"/>
    </row>
    <row r="226">
      <c r="E226" s="13"/>
      <c r="F226" s="13"/>
      <c r="J226" s="121"/>
      <c r="M226" s="9"/>
      <c r="N226" s="9"/>
    </row>
    <row r="227">
      <c r="E227" s="13"/>
      <c r="F227" s="13"/>
      <c r="J227" s="121"/>
      <c r="M227" s="9"/>
      <c r="N227" s="9"/>
    </row>
    <row r="228">
      <c r="E228" s="13"/>
      <c r="F228" s="13"/>
      <c r="J228" s="121"/>
      <c r="M228" s="9"/>
      <c r="N228" s="9"/>
    </row>
    <row r="229">
      <c r="E229" s="13"/>
      <c r="F229" s="13"/>
      <c r="J229" s="121"/>
      <c r="M229" s="9"/>
      <c r="N229" s="9"/>
    </row>
    <row r="230">
      <c r="E230" s="13"/>
      <c r="F230" s="13"/>
      <c r="J230" s="121"/>
      <c r="M230" s="9"/>
      <c r="N230" s="9"/>
    </row>
    <row r="231">
      <c r="E231" s="13"/>
      <c r="F231" s="13"/>
      <c r="J231" s="121"/>
      <c r="M231" s="9"/>
      <c r="N231" s="9"/>
    </row>
    <row r="232">
      <c r="E232" s="13"/>
      <c r="F232" s="13"/>
      <c r="J232" s="121"/>
      <c r="M232" s="9"/>
      <c r="N232" s="9"/>
    </row>
    <row r="233">
      <c r="E233" s="13"/>
      <c r="F233" s="13"/>
      <c r="J233" s="121"/>
      <c r="M233" s="9"/>
      <c r="N233" s="9"/>
    </row>
    <row r="234">
      <c r="E234" s="13"/>
      <c r="F234" s="13"/>
      <c r="J234" s="121"/>
      <c r="M234" s="9"/>
      <c r="N234" s="9"/>
    </row>
    <row r="235">
      <c r="E235" s="13"/>
      <c r="F235" s="13"/>
      <c r="J235" s="121"/>
      <c r="M235" s="9"/>
      <c r="N235" s="9"/>
    </row>
    <row r="236">
      <c r="E236" s="13"/>
      <c r="F236" s="13"/>
      <c r="J236" s="121"/>
      <c r="M236" s="9"/>
      <c r="N236" s="9"/>
    </row>
    <row r="237">
      <c r="E237" s="13"/>
      <c r="F237" s="13"/>
      <c r="J237" s="121"/>
      <c r="M237" s="9"/>
      <c r="N237" s="9"/>
    </row>
    <row r="238">
      <c r="E238" s="13"/>
      <c r="F238" s="13"/>
      <c r="J238" s="121"/>
      <c r="M238" s="9"/>
      <c r="N238" s="9"/>
    </row>
    <row r="239">
      <c r="E239" s="13"/>
      <c r="F239" s="13"/>
      <c r="J239" s="121"/>
      <c r="M239" s="9"/>
      <c r="N239" s="9"/>
    </row>
    <row r="240">
      <c r="E240" s="13"/>
      <c r="F240" s="13"/>
      <c r="J240" s="121"/>
      <c r="M240" s="9"/>
      <c r="N240" s="9"/>
    </row>
    <row r="241">
      <c r="E241" s="13"/>
      <c r="F241" s="13"/>
      <c r="J241" s="121"/>
      <c r="M241" s="9"/>
      <c r="N241" s="9"/>
    </row>
    <row r="242">
      <c r="E242" s="13"/>
      <c r="F242" s="13"/>
      <c r="J242" s="121"/>
      <c r="M242" s="9"/>
      <c r="N242" s="9"/>
    </row>
    <row r="243">
      <c r="E243" s="13"/>
      <c r="F243" s="13"/>
      <c r="J243" s="121"/>
      <c r="M243" s="9"/>
      <c r="N243" s="9"/>
    </row>
    <row r="244">
      <c r="E244" s="13"/>
      <c r="F244" s="13"/>
      <c r="J244" s="121"/>
      <c r="M244" s="9"/>
      <c r="N244" s="9"/>
    </row>
    <row r="245">
      <c r="E245" s="13"/>
      <c r="F245" s="13"/>
      <c r="J245" s="121"/>
      <c r="M245" s="9"/>
      <c r="N245" s="9"/>
    </row>
    <row r="246">
      <c r="E246" s="13"/>
      <c r="F246" s="13"/>
      <c r="J246" s="121"/>
      <c r="M246" s="9"/>
      <c r="N246" s="9"/>
    </row>
    <row r="247">
      <c r="E247" s="13"/>
      <c r="F247" s="13"/>
      <c r="J247" s="121"/>
      <c r="M247" s="9"/>
      <c r="N247" s="9"/>
    </row>
    <row r="248">
      <c r="E248" s="13"/>
      <c r="F248" s="13"/>
      <c r="J248" s="121"/>
      <c r="M248" s="9"/>
      <c r="N248" s="9"/>
    </row>
    <row r="249">
      <c r="E249" s="13"/>
      <c r="F249" s="13"/>
      <c r="J249" s="121"/>
      <c r="M249" s="9"/>
      <c r="N249" s="9"/>
    </row>
    <row r="250">
      <c r="E250" s="13"/>
      <c r="F250" s="13"/>
      <c r="J250" s="121"/>
      <c r="M250" s="9"/>
      <c r="N250" s="9"/>
    </row>
    <row r="251">
      <c r="E251" s="13"/>
      <c r="F251" s="13"/>
      <c r="J251" s="121"/>
      <c r="M251" s="9"/>
      <c r="N251" s="9"/>
    </row>
    <row r="252">
      <c r="E252" s="13"/>
      <c r="F252" s="13"/>
      <c r="J252" s="121"/>
      <c r="M252" s="9"/>
      <c r="N252" s="9"/>
    </row>
    <row r="253">
      <c r="E253" s="13"/>
      <c r="F253" s="13"/>
      <c r="J253" s="121"/>
      <c r="M253" s="9"/>
      <c r="N253" s="9"/>
    </row>
    <row r="254">
      <c r="E254" s="13"/>
      <c r="F254" s="13"/>
      <c r="J254" s="121"/>
      <c r="M254" s="9"/>
      <c r="N254" s="9"/>
    </row>
    <row r="255">
      <c r="E255" s="13"/>
      <c r="F255" s="13"/>
      <c r="J255" s="121"/>
      <c r="M255" s="9"/>
      <c r="N255" s="9"/>
    </row>
    <row r="256">
      <c r="E256" s="13"/>
      <c r="F256" s="13"/>
      <c r="J256" s="121"/>
      <c r="M256" s="9"/>
      <c r="N256" s="9"/>
    </row>
    <row r="257">
      <c r="E257" s="13"/>
      <c r="F257" s="13"/>
      <c r="J257" s="121"/>
      <c r="M257" s="9"/>
      <c r="N257" s="9"/>
    </row>
    <row r="258">
      <c r="E258" s="13"/>
      <c r="F258" s="13"/>
      <c r="J258" s="121"/>
      <c r="M258" s="9"/>
      <c r="N258" s="9"/>
    </row>
    <row r="259">
      <c r="E259" s="13"/>
      <c r="F259" s="13"/>
      <c r="J259" s="121"/>
      <c r="M259" s="9"/>
      <c r="N259" s="9"/>
    </row>
    <row r="260">
      <c r="E260" s="13"/>
      <c r="F260" s="13"/>
      <c r="J260" s="121"/>
      <c r="M260" s="9"/>
      <c r="N260" s="9"/>
    </row>
    <row r="261">
      <c r="E261" s="13"/>
      <c r="F261" s="13"/>
      <c r="J261" s="121"/>
      <c r="M261" s="9"/>
      <c r="N261" s="9"/>
    </row>
    <row r="262">
      <c r="E262" s="13"/>
      <c r="F262" s="13"/>
      <c r="J262" s="121"/>
      <c r="M262" s="9"/>
      <c r="N262" s="9"/>
    </row>
    <row r="263">
      <c r="E263" s="13"/>
      <c r="F263" s="13"/>
      <c r="J263" s="121"/>
      <c r="M263" s="9"/>
      <c r="N263" s="9"/>
    </row>
    <row r="264">
      <c r="E264" s="13"/>
      <c r="F264" s="13"/>
      <c r="J264" s="121"/>
      <c r="M264" s="9"/>
      <c r="N264" s="9"/>
    </row>
    <row r="265">
      <c r="E265" s="13"/>
      <c r="F265" s="13"/>
      <c r="J265" s="121"/>
      <c r="M265" s="9"/>
      <c r="N265" s="9"/>
    </row>
    <row r="266">
      <c r="E266" s="13"/>
      <c r="F266" s="13"/>
      <c r="J266" s="121"/>
      <c r="M266" s="9"/>
      <c r="N266" s="9"/>
    </row>
    <row r="267">
      <c r="E267" s="13"/>
      <c r="F267" s="13"/>
      <c r="J267" s="121"/>
      <c r="M267" s="9"/>
      <c r="N267" s="9"/>
    </row>
    <row r="268">
      <c r="E268" s="13"/>
      <c r="F268" s="13"/>
      <c r="J268" s="121"/>
      <c r="M268" s="9"/>
      <c r="N268" s="9"/>
    </row>
    <row r="269">
      <c r="E269" s="13"/>
      <c r="F269" s="13"/>
      <c r="J269" s="121"/>
      <c r="M269" s="9"/>
      <c r="N269" s="9"/>
    </row>
    <row r="270">
      <c r="E270" s="13"/>
      <c r="F270" s="13"/>
      <c r="J270" s="121"/>
      <c r="M270" s="9"/>
      <c r="N270" s="9"/>
    </row>
    <row r="271">
      <c r="E271" s="13"/>
      <c r="F271" s="13"/>
      <c r="J271" s="121"/>
      <c r="M271" s="9"/>
      <c r="N271" s="9"/>
    </row>
    <row r="272">
      <c r="E272" s="13"/>
      <c r="F272" s="13"/>
      <c r="J272" s="121"/>
      <c r="M272" s="9"/>
      <c r="N272" s="9"/>
    </row>
    <row r="273">
      <c r="E273" s="13"/>
      <c r="F273" s="13"/>
      <c r="J273" s="121"/>
      <c r="M273" s="9"/>
      <c r="N273" s="9"/>
    </row>
    <row r="274">
      <c r="E274" s="13"/>
      <c r="F274" s="13"/>
      <c r="J274" s="121"/>
      <c r="M274" s="9"/>
      <c r="N274" s="9"/>
    </row>
    <row r="275">
      <c r="E275" s="13"/>
      <c r="F275" s="13"/>
      <c r="J275" s="121"/>
      <c r="M275" s="9"/>
      <c r="N275" s="9"/>
    </row>
    <row r="276">
      <c r="E276" s="13"/>
      <c r="F276" s="13"/>
      <c r="J276" s="121"/>
      <c r="M276" s="9"/>
      <c r="N276" s="9"/>
    </row>
    <row r="277">
      <c r="E277" s="13"/>
      <c r="F277" s="13"/>
      <c r="J277" s="121"/>
      <c r="M277" s="9"/>
      <c r="N277" s="9"/>
    </row>
    <row r="278">
      <c r="E278" s="13"/>
      <c r="F278" s="13"/>
      <c r="J278" s="121"/>
      <c r="M278" s="9"/>
      <c r="N278" s="9"/>
    </row>
    <row r="279">
      <c r="E279" s="13"/>
      <c r="F279" s="13"/>
      <c r="J279" s="121"/>
      <c r="M279" s="9"/>
      <c r="N279" s="9"/>
    </row>
    <row r="280">
      <c r="E280" s="13"/>
      <c r="F280" s="13"/>
      <c r="J280" s="121"/>
      <c r="M280" s="9"/>
      <c r="N280" s="9"/>
    </row>
    <row r="281">
      <c r="E281" s="13"/>
      <c r="F281" s="13"/>
      <c r="J281" s="121"/>
      <c r="M281" s="9"/>
      <c r="N281" s="9"/>
    </row>
    <row r="282">
      <c r="E282" s="13"/>
      <c r="F282" s="13"/>
      <c r="J282" s="121"/>
      <c r="M282" s="9"/>
      <c r="N282" s="9"/>
    </row>
    <row r="283">
      <c r="E283" s="13"/>
      <c r="F283" s="13"/>
      <c r="J283" s="121"/>
      <c r="M283" s="9"/>
      <c r="N283" s="9"/>
    </row>
    <row r="284">
      <c r="E284" s="13"/>
      <c r="F284" s="13"/>
      <c r="J284" s="121"/>
      <c r="M284" s="9"/>
      <c r="N284" s="9"/>
    </row>
    <row r="285">
      <c r="E285" s="13"/>
      <c r="F285" s="13"/>
      <c r="J285" s="121"/>
      <c r="M285" s="9"/>
      <c r="N285" s="9"/>
    </row>
    <row r="286">
      <c r="E286" s="13"/>
      <c r="F286" s="13"/>
      <c r="J286" s="121"/>
      <c r="M286" s="9"/>
      <c r="N286" s="9"/>
    </row>
    <row r="287">
      <c r="E287" s="13"/>
      <c r="F287" s="13"/>
      <c r="J287" s="121"/>
      <c r="M287" s="9"/>
      <c r="N287" s="9"/>
    </row>
    <row r="288">
      <c r="E288" s="13"/>
      <c r="F288" s="13"/>
      <c r="J288" s="121"/>
      <c r="M288" s="9"/>
      <c r="N288" s="9"/>
    </row>
    <row r="289">
      <c r="E289" s="13"/>
      <c r="F289" s="13"/>
      <c r="J289" s="121"/>
      <c r="M289" s="9"/>
      <c r="N289" s="9"/>
    </row>
    <row r="290">
      <c r="E290" s="13"/>
      <c r="F290" s="13"/>
      <c r="J290" s="121"/>
      <c r="M290" s="9"/>
      <c r="N290" s="9"/>
    </row>
    <row r="291">
      <c r="E291" s="13"/>
      <c r="F291" s="13"/>
      <c r="J291" s="121"/>
      <c r="M291" s="9"/>
      <c r="N291" s="9"/>
    </row>
    <row r="292">
      <c r="E292" s="13"/>
      <c r="F292" s="13"/>
      <c r="J292" s="121"/>
      <c r="M292" s="9"/>
      <c r="N292" s="9"/>
    </row>
    <row r="293">
      <c r="E293" s="13"/>
      <c r="F293" s="13"/>
      <c r="J293" s="121"/>
      <c r="M293" s="9"/>
      <c r="N293" s="9"/>
    </row>
    <row r="294">
      <c r="E294" s="13"/>
      <c r="F294" s="13"/>
      <c r="J294" s="121"/>
      <c r="M294" s="9"/>
      <c r="N294" s="9"/>
    </row>
    <row r="295">
      <c r="E295" s="13"/>
      <c r="F295" s="13"/>
      <c r="J295" s="121"/>
      <c r="M295" s="9"/>
      <c r="N295" s="9"/>
    </row>
    <row r="296">
      <c r="E296" s="13"/>
      <c r="F296" s="13"/>
      <c r="J296" s="121"/>
      <c r="M296" s="9"/>
      <c r="N296" s="9"/>
    </row>
    <row r="297">
      <c r="E297" s="13"/>
      <c r="F297" s="13"/>
      <c r="J297" s="121"/>
      <c r="M297" s="9"/>
      <c r="N297" s="9"/>
    </row>
    <row r="298">
      <c r="E298" s="13"/>
      <c r="F298" s="13"/>
      <c r="J298" s="121"/>
      <c r="M298" s="9"/>
      <c r="N298" s="9"/>
    </row>
    <row r="299">
      <c r="E299" s="13"/>
      <c r="F299" s="13"/>
      <c r="J299" s="121"/>
      <c r="M299" s="9"/>
      <c r="N299" s="9"/>
    </row>
    <row r="300">
      <c r="E300" s="13"/>
      <c r="F300" s="13"/>
      <c r="J300" s="121"/>
      <c r="M300" s="9"/>
      <c r="N300" s="9"/>
    </row>
    <row r="301">
      <c r="E301" s="13"/>
      <c r="F301" s="13"/>
      <c r="J301" s="121"/>
      <c r="M301" s="9"/>
      <c r="N301" s="9"/>
    </row>
    <row r="302">
      <c r="E302" s="13"/>
      <c r="F302" s="13"/>
      <c r="J302" s="121"/>
      <c r="M302" s="9"/>
      <c r="N302" s="9"/>
    </row>
    <row r="303">
      <c r="E303" s="13"/>
      <c r="F303" s="13"/>
      <c r="J303" s="121"/>
      <c r="M303" s="9"/>
      <c r="N303" s="9"/>
    </row>
    <row r="304">
      <c r="E304" s="13"/>
      <c r="F304" s="13"/>
      <c r="J304" s="121"/>
      <c r="M304" s="9"/>
      <c r="N304" s="9"/>
    </row>
    <row r="305">
      <c r="E305" s="13"/>
      <c r="F305" s="13"/>
      <c r="J305" s="121"/>
      <c r="M305" s="9"/>
      <c r="N305" s="9"/>
    </row>
    <row r="306">
      <c r="E306" s="13"/>
      <c r="F306" s="13"/>
      <c r="J306" s="121"/>
      <c r="M306" s="9"/>
      <c r="N306" s="9"/>
    </row>
    <row r="307">
      <c r="E307" s="13"/>
      <c r="F307" s="13"/>
      <c r="J307" s="121"/>
      <c r="M307" s="9"/>
      <c r="N307" s="9"/>
    </row>
    <row r="308">
      <c r="E308" s="13"/>
      <c r="F308" s="13"/>
      <c r="J308" s="121"/>
      <c r="M308" s="9"/>
      <c r="N308" s="9"/>
    </row>
    <row r="309">
      <c r="E309" s="13"/>
      <c r="F309" s="13"/>
      <c r="J309" s="121"/>
      <c r="M309" s="9"/>
      <c r="N309" s="9"/>
    </row>
    <row r="310">
      <c r="E310" s="13"/>
      <c r="F310" s="13"/>
      <c r="J310" s="121"/>
      <c r="M310" s="9"/>
      <c r="N310" s="9"/>
    </row>
    <row r="311">
      <c r="E311" s="13"/>
      <c r="F311" s="13"/>
      <c r="J311" s="121"/>
      <c r="M311" s="9"/>
      <c r="N311" s="9"/>
    </row>
    <row r="312">
      <c r="E312" s="13"/>
      <c r="F312" s="13"/>
      <c r="J312" s="121"/>
      <c r="M312" s="9"/>
      <c r="N312" s="9"/>
    </row>
    <row r="313">
      <c r="E313" s="13"/>
      <c r="F313" s="13"/>
      <c r="J313" s="121"/>
      <c r="M313" s="9"/>
      <c r="N313" s="9"/>
    </row>
    <row r="314">
      <c r="E314" s="13"/>
      <c r="F314" s="13"/>
      <c r="J314" s="121"/>
      <c r="M314" s="9"/>
      <c r="N314" s="9"/>
    </row>
    <row r="315">
      <c r="E315" s="13"/>
      <c r="F315" s="13"/>
      <c r="J315" s="121"/>
      <c r="M315" s="9"/>
      <c r="N315" s="9"/>
    </row>
    <row r="316">
      <c r="E316" s="13"/>
      <c r="F316" s="13"/>
      <c r="J316" s="121"/>
      <c r="M316" s="9"/>
      <c r="N316" s="9"/>
    </row>
    <row r="317">
      <c r="E317" s="13"/>
      <c r="F317" s="13"/>
      <c r="J317" s="121"/>
      <c r="M317" s="9"/>
      <c r="N317" s="9"/>
    </row>
    <row r="318">
      <c r="E318" s="13"/>
      <c r="F318" s="13"/>
      <c r="J318" s="121"/>
      <c r="M318" s="9"/>
      <c r="N318" s="9"/>
    </row>
    <row r="319">
      <c r="E319" s="13"/>
      <c r="F319" s="13"/>
      <c r="J319" s="121"/>
      <c r="M319" s="9"/>
      <c r="N319" s="9"/>
    </row>
    <row r="320">
      <c r="E320" s="13"/>
      <c r="F320" s="13"/>
      <c r="J320" s="121"/>
      <c r="M320" s="9"/>
      <c r="N320" s="9"/>
    </row>
    <row r="321">
      <c r="E321" s="13"/>
      <c r="F321" s="13"/>
      <c r="J321" s="121"/>
      <c r="M321" s="9"/>
      <c r="N321" s="9"/>
    </row>
    <row r="322">
      <c r="E322" s="13"/>
      <c r="F322" s="13"/>
      <c r="J322" s="121"/>
      <c r="M322" s="9"/>
      <c r="N322" s="9"/>
    </row>
    <row r="323">
      <c r="E323" s="13"/>
      <c r="F323" s="13"/>
      <c r="J323" s="121"/>
      <c r="M323" s="9"/>
      <c r="N323" s="9"/>
    </row>
    <row r="324">
      <c r="E324" s="13"/>
      <c r="F324" s="13"/>
      <c r="J324" s="121"/>
      <c r="M324" s="9"/>
      <c r="N324" s="9"/>
    </row>
    <row r="325">
      <c r="E325" s="13"/>
      <c r="F325" s="13"/>
      <c r="J325" s="121"/>
      <c r="M325" s="9"/>
      <c r="N325" s="9"/>
    </row>
    <row r="326">
      <c r="E326" s="13"/>
      <c r="F326" s="13"/>
      <c r="J326" s="121"/>
      <c r="M326" s="9"/>
      <c r="N326" s="9"/>
    </row>
    <row r="327">
      <c r="E327" s="13"/>
      <c r="F327" s="13"/>
      <c r="J327" s="121"/>
      <c r="M327" s="9"/>
      <c r="N327" s="9"/>
    </row>
    <row r="328">
      <c r="E328" s="13"/>
      <c r="F328" s="13"/>
      <c r="J328" s="121"/>
      <c r="M328" s="9"/>
      <c r="N328" s="9"/>
    </row>
    <row r="329">
      <c r="E329" s="13"/>
      <c r="F329" s="13"/>
      <c r="J329" s="121"/>
      <c r="M329" s="9"/>
      <c r="N329" s="9"/>
    </row>
    <row r="330">
      <c r="E330" s="13"/>
      <c r="F330" s="13"/>
      <c r="J330" s="121"/>
      <c r="M330" s="9"/>
      <c r="N330" s="9"/>
    </row>
    <row r="331">
      <c r="E331" s="13"/>
      <c r="F331" s="13"/>
      <c r="J331" s="121"/>
      <c r="M331" s="9"/>
      <c r="N331" s="9"/>
    </row>
    <row r="332">
      <c r="E332" s="13"/>
      <c r="F332" s="13"/>
      <c r="J332" s="121"/>
      <c r="M332" s="9"/>
      <c r="N332" s="9"/>
    </row>
    <row r="333">
      <c r="E333" s="13"/>
      <c r="F333" s="13"/>
      <c r="J333" s="121"/>
      <c r="M333" s="9"/>
      <c r="N333" s="9"/>
    </row>
    <row r="334">
      <c r="E334" s="13"/>
      <c r="F334" s="13"/>
      <c r="J334" s="121"/>
      <c r="M334" s="9"/>
      <c r="N334" s="9"/>
    </row>
    <row r="335">
      <c r="E335" s="13"/>
      <c r="F335" s="13"/>
      <c r="J335" s="121"/>
      <c r="M335" s="9"/>
      <c r="N335" s="9"/>
    </row>
    <row r="336">
      <c r="E336" s="13"/>
      <c r="F336" s="13"/>
      <c r="J336" s="121"/>
      <c r="M336" s="9"/>
      <c r="N336" s="9"/>
    </row>
    <row r="337">
      <c r="E337" s="13"/>
      <c r="F337" s="13"/>
      <c r="J337" s="121"/>
      <c r="M337" s="9"/>
      <c r="N337" s="9"/>
    </row>
    <row r="338">
      <c r="E338" s="13"/>
      <c r="F338" s="13"/>
      <c r="J338" s="121"/>
      <c r="M338" s="9"/>
      <c r="N338" s="9"/>
    </row>
    <row r="339">
      <c r="E339" s="13"/>
      <c r="F339" s="13"/>
      <c r="J339" s="121"/>
      <c r="M339" s="9"/>
      <c r="N339" s="9"/>
    </row>
    <row r="340">
      <c r="E340" s="13"/>
      <c r="F340" s="13"/>
      <c r="J340" s="121"/>
      <c r="M340" s="9"/>
      <c r="N340" s="9"/>
    </row>
    <row r="341">
      <c r="E341" s="13"/>
      <c r="F341" s="13"/>
      <c r="J341" s="121"/>
      <c r="M341" s="9"/>
      <c r="N341" s="9"/>
    </row>
    <row r="342">
      <c r="E342" s="13"/>
      <c r="F342" s="13"/>
      <c r="J342" s="121"/>
      <c r="M342" s="9"/>
      <c r="N342" s="9"/>
    </row>
    <row r="343">
      <c r="E343" s="13"/>
      <c r="F343" s="13"/>
      <c r="J343" s="121"/>
      <c r="M343" s="9"/>
      <c r="N343" s="9"/>
    </row>
    <row r="344">
      <c r="E344" s="13"/>
      <c r="F344" s="13"/>
      <c r="J344" s="121"/>
      <c r="M344" s="9"/>
      <c r="N344" s="9"/>
    </row>
    <row r="345">
      <c r="E345" s="13"/>
      <c r="F345" s="13"/>
      <c r="J345" s="121"/>
      <c r="M345" s="9"/>
      <c r="N345" s="9"/>
    </row>
    <row r="346">
      <c r="E346" s="13"/>
      <c r="F346" s="13"/>
      <c r="J346" s="121"/>
      <c r="M346" s="9"/>
      <c r="N346" s="9"/>
    </row>
    <row r="347">
      <c r="E347" s="13"/>
      <c r="F347" s="13"/>
      <c r="J347" s="121"/>
      <c r="M347" s="9"/>
      <c r="N347" s="9"/>
    </row>
    <row r="348">
      <c r="E348" s="13"/>
      <c r="F348" s="13"/>
      <c r="J348" s="121"/>
      <c r="M348" s="9"/>
      <c r="N348" s="9"/>
    </row>
    <row r="349">
      <c r="E349" s="13"/>
      <c r="F349" s="13"/>
      <c r="J349" s="121"/>
      <c r="M349" s="9"/>
      <c r="N349" s="9"/>
    </row>
    <row r="350">
      <c r="E350" s="13"/>
      <c r="F350" s="13"/>
      <c r="J350" s="121"/>
      <c r="M350" s="9"/>
      <c r="N350" s="9"/>
    </row>
    <row r="351">
      <c r="E351" s="13"/>
      <c r="F351" s="13"/>
      <c r="J351" s="121"/>
      <c r="M351" s="9"/>
      <c r="N351" s="9"/>
    </row>
    <row r="352">
      <c r="E352" s="13"/>
      <c r="F352" s="13"/>
      <c r="J352" s="121"/>
      <c r="M352" s="9"/>
      <c r="N352" s="9"/>
    </row>
    <row r="353">
      <c r="E353" s="13"/>
      <c r="F353" s="13"/>
      <c r="J353" s="121"/>
      <c r="M353" s="9"/>
      <c r="N353" s="9"/>
    </row>
    <row r="354">
      <c r="E354" s="13"/>
      <c r="F354" s="13"/>
      <c r="J354" s="121"/>
      <c r="M354" s="9"/>
      <c r="N354" s="9"/>
    </row>
    <row r="355">
      <c r="E355" s="13"/>
      <c r="F355" s="13"/>
      <c r="J355" s="121"/>
      <c r="M355" s="9"/>
      <c r="N355" s="9"/>
    </row>
    <row r="356">
      <c r="E356" s="13"/>
      <c r="F356" s="13"/>
      <c r="J356" s="121"/>
      <c r="M356" s="9"/>
      <c r="N356" s="9"/>
    </row>
    <row r="357">
      <c r="E357" s="13"/>
      <c r="F357" s="13"/>
      <c r="J357" s="121"/>
      <c r="M357" s="9"/>
      <c r="N357" s="9"/>
    </row>
    <row r="358">
      <c r="E358" s="13"/>
      <c r="F358" s="13"/>
      <c r="J358" s="121"/>
      <c r="M358" s="9"/>
      <c r="N358" s="9"/>
    </row>
    <row r="359">
      <c r="E359" s="13"/>
      <c r="F359" s="13"/>
      <c r="J359" s="121"/>
      <c r="M359" s="9"/>
      <c r="N359" s="9"/>
    </row>
    <row r="360">
      <c r="E360" s="13"/>
      <c r="F360" s="13"/>
      <c r="J360" s="121"/>
      <c r="M360" s="9"/>
      <c r="N360" s="9"/>
    </row>
    <row r="361">
      <c r="E361" s="13"/>
      <c r="F361" s="13"/>
      <c r="J361" s="121"/>
      <c r="M361" s="9"/>
      <c r="N361" s="9"/>
    </row>
    <row r="362">
      <c r="E362" s="13"/>
      <c r="F362" s="13"/>
      <c r="J362" s="121"/>
      <c r="M362" s="9"/>
      <c r="N362" s="9"/>
    </row>
    <row r="363">
      <c r="E363" s="13"/>
      <c r="F363" s="13"/>
      <c r="J363" s="121"/>
      <c r="M363" s="9"/>
      <c r="N363" s="9"/>
    </row>
    <row r="364">
      <c r="E364" s="13"/>
      <c r="F364" s="13"/>
      <c r="J364" s="121"/>
      <c r="M364" s="9"/>
      <c r="N364" s="9"/>
    </row>
    <row r="365">
      <c r="E365" s="13"/>
      <c r="F365" s="13"/>
      <c r="J365" s="121"/>
      <c r="M365" s="9"/>
      <c r="N365" s="9"/>
    </row>
    <row r="366">
      <c r="E366" s="13"/>
      <c r="F366" s="13"/>
      <c r="J366" s="121"/>
      <c r="M366" s="9"/>
      <c r="N366" s="9"/>
    </row>
    <row r="367">
      <c r="E367" s="13"/>
      <c r="F367" s="13"/>
      <c r="J367" s="121"/>
      <c r="M367" s="9"/>
      <c r="N367" s="9"/>
    </row>
    <row r="368">
      <c r="E368" s="13"/>
      <c r="F368" s="13"/>
      <c r="J368" s="121"/>
      <c r="M368" s="9"/>
      <c r="N368" s="9"/>
    </row>
    <row r="369">
      <c r="E369" s="13"/>
      <c r="F369" s="13"/>
      <c r="J369" s="121"/>
      <c r="M369" s="9"/>
      <c r="N369" s="9"/>
    </row>
    <row r="370">
      <c r="E370" s="13"/>
      <c r="F370" s="13"/>
      <c r="J370" s="121"/>
      <c r="M370" s="9"/>
      <c r="N370" s="9"/>
    </row>
    <row r="371">
      <c r="E371" s="13"/>
      <c r="F371" s="13"/>
      <c r="J371" s="121"/>
      <c r="M371" s="9"/>
      <c r="N371" s="9"/>
    </row>
    <row r="372">
      <c r="E372" s="13"/>
      <c r="F372" s="13"/>
      <c r="J372" s="121"/>
      <c r="M372" s="9"/>
      <c r="N372" s="9"/>
    </row>
    <row r="373">
      <c r="E373" s="13"/>
      <c r="F373" s="13"/>
      <c r="J373" s="121"/>
      <c r="M373" s="9"/>
      <c r="N373" s="9"/>
    </row>
    <row r="374">
      <c r="E374" s="13"/>
      <c r="F374" s="13"/>
      <c r="J374" s="121"/>
      <c r="M374" s="9"/>
      <c r="N374" s="9"/>
    </row>
    <row r="375">
      <c r="E375" s="13"/>
      <c r="F375" s="13"/>
      <c r="J375" s="121"/>
      <c r="M375" s="9"/>
      <c r="N375" s="9"/>
    </row>
    <row r="376">
      <c r="E376" s="13"/>
      <c r="F376" s="13"/>
      <c r="J376" s="121"/>
      <c r="M376" s="9"/>
      <c r="N376" s="9"/>
    </row>
    <row r="377">
      <c r="E377" s="13"/>
      <c r="F377" s="13"/>
      <c r="J377" s="121"/>
      <c r="M377" s="9"/>
      <c r="N377" s="9"/>
    </row>
    <row r="378">
      <c r="E378" s="13"/>
      <c r="F378" s="13"/>
      <c r="J378" s="121"/>
      <c r="M378" s="9"/>
      <c r="N378" s="9"/>
    </row>
    <row r="379">
      <c r="E379" s="13"/>
      <c r="F379" s="13"/>
      <c r="J379" s="121"/>
      <c r="M379" s="9"/>
      <c r="N379" s="9"/>
    </row>
    <row r="380">
      <c r="E380" s="13"/>
      <c r="F380" s="13"/>
      <c r="J380" s="121"/>
      <c r="M380" s="9"/>
      <c r="N380" s="9"/>
    </row>
    <row r="381">
      <c r="E381" s="13"/>
      <c r="F381" s="13"/>
      <c r="J381" s="121"/>
      <c r="M381" s="9"/>
      <c r="N381" s="9"/>
    </row>
    <row r="382">
      <c r="E382" s="13"/>
      <c r="F382" s="13"/>
      <c r="J382" s="121"/>
      <c r="M382" s="9"/>
      <c r="N382" s="9"/>
    </row>
    <row r="383">
      <c r="E383" s="13"/>
      <c r="F383" s="13"/>
      <c r="J383" s="121"/>
      <c r="M383" s="9"/>
      <c r="N383" s="9"/>
    </row>
    <row r="384">
      <c r="E384" s="13"/>
      <c r="F384" s="13"/>
      <c r="J384" s="121"/>
      <c r="M384" s="9"/>
      <c r="N384" s="9"/>
    </row>
    <row r="385">
      <c r="E385" s="13"/>
      <c r="F385" s="13"/>
      <c r="J385" s="121"/>
      <c r="M385" s="9"/>
      <c r="N385" s="9"/>
    </row>
    <row r="386">
      <c r="E386" s="13"/>
      <c r="F386" s="13"/>
      <c r="J386" s="121"/>
      <c r="M386" s="9"/>
      <c r="N386" s="9"/>
    </row>
    <row r="387">
      <c r="E387" s="13"/>
      <c r="F387" s="13"/>
      <c r="J387" s="121"/>
      <c r="M387" s="9"/>
      <c r="N387" s="9"/>
    </row>
    <row r="388">
      <c r="E388" s="13"/>
      <c r="F388" s="13"/>
      <c r="J388" s="121"/>
      <c r="M388" s="9"/>
      <c r="N388" s="9"/>
    </row>
    <row r="389">
      <c r="E389" s="13"/>
      <c r="F389" s="13"/>
      <c r="J389" s="121"/>
      <c r="M389" s="9"/>
      <c r="N389" s="9"/>
    </row>
    <row r="390">
      <c r="E390" s="13"/>
      <c r="F390" s="13"/>
      <c r="J390" s="121"/>
      <c r="M390" s="9"/>
      <c r="N390" s="9"/>
    </row>
    <row r="391">
      <c r="E391" s="13"/>
      <c r="F391" s="13"/>
      <c r="J391" s="121"/>
      <c r="M391" s="9"/>
      <c r="N391" s="9"/>
    </row>
    <row r="392">
      <c r="E392" s="13"/>
      <c r="F392" s="13"/>
      <c r="J392" s="121"/>
      <c r="M392" s="9"/>
      <c r="N392" s="9"/>
    </row>
    <row r="393">
      <c r="E393" s="13"/>
      <c r="F393" s="13"/>
      <c r="J393" s="121"/>
      <c r="M393" s="9"/>
      <c r="N393" s="9"/>
    </row>
    <row r="394">
      <c r="E394" s="13"/>
      <c r="F394" s="13"/>
      <c r="J394" s="121"/>
      <c r="M394" s="9"/>
      <c r="N394" s="9"/>
    </row>
    <row r="395">
      <c r="E395" s="13"/>
      <c r="F395" s="13"/>
      <c r="J395" s="121"/>
      <c r="M395" s="9"/>
      <c r="N395" s="9"/>
    </row>
    <row r="396">
      <c r="E396" s="13"/>
      <c r="F396" s="13"/>
      <c r="J396" s="121"/>
      <c r="M396" s="9"/>
      <c r="N396" s="9"/>
    </row>
    <row r="397">
      <c r="E397" s="13"/>
      <c r="F397" s="13"/>
      <c r="J397" s="121"/>
      <c r="M397" s="9"/>
      <c r="N397" s="9"/>
    </row>
    <row r="398">
      <c r="E398" s="13"/>
      <c r="F398" s="13"/>
      <c r="J398" s="121"/>
      <c r="M398" s="9"/>
      <c r="N398" s="9"/>
    </row>
    <row r="399">
      <c r="E399" s="13"/>
      <c r="F399" s="13"/>
      <c r="J399" s="121"/>
      <c r="M399" s="9"/>
      <c r="N399" s="9"/>
    </row>
    <row r="400">
      <c r="E400" s="13"/>
      <c r="F400" s="13"/>
      <c r="J400" s="121"/>
      <c r="M400" s="9"/>
      <c r="N400" s="9"/>
    </row>
    <row r="401">
      <c r="E401" s="13"/>
      <c r="F401" s="13"/>
      <c r="J401" s="121"/>
      <c r="M401" s="9"/>
      <c r="N401" s="9"/>
    </row>
    <row r="402">
      <c r="E402" s="13"/>
      <c r="F402" s="13"/>
      <c r="J402" s="121"/>
      <c r="M402" s="9"/>
      <c r="N402" s="9"/>
    </row>
    <row r="403">
      <c r="E403" s="13"/>
      <c r="F403" s="13"/>
      <c r="J403" s="121"/>
      <c r="M403" s="9"/>
      <c r="N403" s="9"/>
    </row>
    <row r="404">
      <c r="E404" s="13"/>
      <c r="F404" s="13"/>
      <c r="J404" s="121"/>
      <c r="M404" s="9"/>
      <c r="N404" s="9"/>
    </row>
    <row r="405">
      <c r="E405" s="13"/>
      <c r="F405" s="13"/>
      <c r="J405" s="121"/>
      <c r="M405" s="9"/>
      <c r="N405" s="9"/>
    </row>
    <row r="406">
      <c r="E406" s="13"/>
      <c r="F406" s="13"/>
      <c r="J406" s="121"/>
      <c r="M406" s="9"/>
      <c r="N406" s="9"/>
    </row>
    <row r="407">
      <c r="E407" s="13"/>
      <c r="F407" s="13"/>
      <c r="J407" s="121"/>
      <c r="M407" s="9"/>
      <c r="N407" s="9"/>
    </row>
    <row r="408">
      <c r="E408" s="13"/>
      <c r="F408" s="13"/>
      <c r="J408" s="121"/>
      <c r="M408" s="9"/>
      <c r="N408" s="9"/>
    </row>
    <row r="409">
      <c r="E409" s="13"/>
      <c r="F409" s="13"/>
      <c r="J409" s="121"/>
      <c r="M409" s="9"/>
      <c r="N409" s="9"/>
    </row>
    <row r="410">
      <c r="E410" s="13"/>
      <c r="F410" s="13"/>
      <c r="J410" s="121"/>
      <c r="M410" s="9"/>
      <c r="N410" s="9"/>
    </row>
    <row r="411">
      <c r="E411" s="13"/>
      <c r="F411" s="13"/>
      <c r="J411" s="121"/>
      <c r="M411" s="9"/>
      <c r="N411" s="9"/>
    </row>
    <row r="412">
      <c r="E412" s="13"/>
      <c r="F412" s="13"/>
      <c r="J412" s="121"/>
      <c r="M412" s="9"/>
      <c r="N412" s="9"/>
    </row>
    <row r="413">
      <c r="E413" s="13"/>
      <c r="F413" s="13"/>
      <c r="J413" s="121"/>
      <c r="M413" s="9"/>
      <c r="N413" s="9"/>
    </row>
    <row r="414">
      <c r="E414" s="13"/>
      <c r="F414" s="13"/>
      <c r="J414" s="121"/>
      <c r="M414" s="9"/>
      <c r="N414" s="9"/>
    </row>
    <row r="415">
      <c r="E415" s="13"/>
      <c r="F415" s="13"/>
      <c r="J415" s="121"/>
      <c r="M415" s="9"/>
      <c r="N415" s="9"/>
    </row>
    <row r="416">
      <c r="E416" s="13"/>
      <c r="F416" s="13"/>
      <c r="J416" s="121"/>
      <c r="M416" s="9"/>
      <c r="N416" s="9"/>
    </row>
    <row r="417">
      <c r="E417" s="13"/>
      <c r="F417" s="13"/>
      <c r="J417" s="121"/>
      <c r="M417" s="9"/>
      <c r="N417" s="9"/>
    </row>
    <row r="418">
      <c r="E418" s="13"/>
      <c r="F418" s="13"/>
      <c r="J418" s="121"/>
      <c r="M418" s="9"/>
      <c r="N418" s="9"/>
    </row>
    <row r="419">
      <c r="E419" s="13"/>
      <c r="F419" s="13"/>
      <c r="J419" s="121"/>
      <c r="M419" s="9"/>
      <c r="N419" s="9"/>
    </row>
    <row r="420">
      <c r="E420" s="13"/>
      <c r="F420" s="13"/>
      <c r="J420" s="121"/>
      <c r="M420" s="9"/>
      <c r="N420" s="9"/>
    </row>
    <row r="421">
      <c r="E421" s="13"/>
      <c r="F421" s="13"/>
      <c r="J421" s="121"/>
      <c r="M421" s="9"/>
      <c r="N421" s="9"/>
    </row>
    <row r="422">
      <c r="E422" s="13"/>
      <c r="F422" s="13"/>
      <c r="J422" s="121"/>
      <c r="M422" s="9"/>
      <c r="N422" s="9"/>
    </row>
    <row r="423">
      <c r="E423" s="13"/>
      <c r="F423" s="13"/>
      <c r="J423" s="121"/>
      <c r="M423" s="9"/>
      <c r="N423" s="9"/>
    </row>
    <row r="424">
      <c r="E424" s="13"/>
      <c r="F424" s="13"/>
      <c r="J424" s="121"/>
      <c r="M424" s="9"/>
      <c r="N424" s="9"/>
    </row>
    <row r="425">
      <c r="E425" s="13"/>
      <c r="F425" s="13"/>
      <c r="J425" s="121"/>
      <c r="M425" s="9"/>
      <c r="N425" s="9"/>
    </row>
    <row r="426">
      <c r="E426" s="13"/>
      <c r="F426" s="13"/>
      <c r="J426" s="121"/>
      <c r="M426" s="9"/>
      <c r="N426" s="9"/>
    </row>
    <row r="427">
      <c r="E427" s="13"/>
      <c r="F427" s="13"/>
      <c r="J427" s="121"/>
      <c r="M427" s="9"/>
      <c r="N427" s="9"/>
    </row>
    <row r="428">
      <c r="E428" s="13"/>
      <c r="F428" s="13"/>
      <c r="J428" s="121"/>
      <c r="M428" s="9"/>
      <c r="N428" s="9"/>
    </row>
    <row r="429">
      <c r="E429" s="13"/>
      <c r="F429" s="13"/>
      <c r="J429" s="121"/>
      <c r="M429" s="9"/>
      <c r="N429" s="9"/>
    </row>
    <row r="430">
      <c r="E430" s="13"/>
      <c r="F430" s="13"/>
      <c r="J430" s="121"/>
      <c r="M430" s="9"/>
      <c r="N430" s="9"/>
    </row>
    <row r="431">
      <c r="E431" s="13"/>
      <c r="F431" s="13"/>
      <c r="J431" s="121"/>
      <c r="M431" s="9"/>
      <c r="N431" s="9"/>
    </row>
    <row r="432">
      <c r="E432" s="13"/>
      <c r="F432" s="13"/>
      <c r="J432" s="121"/>
      <c r="M432" s="9"/>
      <c r="N432" s="9"/>
    </row>
    <row r="433">
      <c r="E433" s="13"/>
      <c r="F433" s="13"/>
      <c r="J433" s="121"/>
      <c r="M433" s="9"/>
      <c r="N433" s="9"/>
    </row>
    <row r="434">
      <c r="E434" s="13"/>
      <c r="F434" s="13"/>
      <c r="J434" s="121"/>
      <c r="M434" s="9"/>
      <c r="N434" s="9"/>
    </row>
    <row r="435">
      <c r="E435" s="13"/>
      <c r="F435" s="13"/>
      <c r="J435" s="121"/>
      <c r="M435" s="9"/>
      <c r="N435" s="9"/>
    </row>
    <row r="436">
      <c r="E436" s="13"/>
      <c r="F436" s="13"/>
      <c r="J436" s="121"/>
      <c r="M436" s="9"/>
      <c r="N436" s="9"/>
    </row>
    <row r="437">
      <c r="E437" s="13"/>
      <c r="F437" s="13"/>
      <c r="J437" s="121"/>
      <c r="M437" s="9"/>
      <c r="N437" s="9"/>
    </row>
    <row r="438">
      <c r="E438" s="13"/>
      <c r="F438" s="13"/>
      <c r="J438" s="121"/>
      <c r="M438" s="9"/>
      <c r="N438" s="9"/>
    </row>
    <row r="439">
      <c r="E439" s="13"/>
      <c r="F439" s="13"/>
      <c r="J439" s="121"/>
      <c r="M439" s="9"/>
      <c r="N439" s="9"/>
    </row>
    <row r="440">
      <c r="E440" s="13"/>
      <c r="F440" s="13"/>
      <c r="J440" s="121"/>
      <c r="M440" s="9"/>
      <c r="N440" s="9"/>
    </row>
    <row r="441">
      <c r="E441" s="13"/>
      <c r="F441" s="13"/>
      <c r="J441" s="121"/>
      <c r="M441" s="9"/>
      <c r="N441" s="9"/>
    </row>
    <row r="442">
      <c r="E442" s="13"/>
      <c r="F442" s="13"/>
      <c r="J442" s="121"/>
      <c r="M442" s="9"/>
      <c r="N442" s="9"/>
    </row>
    <row r="443">
      <c r="E443" s="13"/>
      <c r="F443" s="13"/>
      <c r="J443" s="121"/>
      <c r="M443" s="9"/>
      <c r="N443" s="9"/>
    </row>
    <row r="444">
      <c r="E444" s="13"/>
      <c r="F444" s="13"/>
      <c r="J444" s="121"/>
      <c r="M444" s="9"/>
      <c r="N444" s="9"/>
    </row>
    <row r="445">
      <c r="E445" s="13"/>
      <c r="F445" s="13"/>
      <c r="J445" s="121"/>
      <c r="M445" s="9"/>
      <c r="N445" s="9"/>
    </row>
    <row r="446">
      <c r="E446" s="13"/>
      <c r="F446" s="13"/>
      <c r="J446" s="121"/>
      <c r="M446" s="9"/>
      <c r="N446" s="9"/>
    </row>
    <row r="447">
      <c r="E447" s="13"/>
      <c r="F447" s="13"/>
      <c r="J447" s="121"/>
      <c r="M447" s="9"/>
      <c r="N447" s="9"/>
    </row>
    <row r="448">
      <c r="E448" s="13"/>
      <c r="F448" s="13"/>
      <c r="J448" s="121"/>
      <c r="M448" s="9"/>
      <c r="N448" s="9"/>
    </row>
    <row r="449">
      <c r="E449" s="13"/>
      <c r="F449" s="13"/>
      <c r="J449" s="121"/>
      <c r="M449" s="9"/>
      <c r="N449" s="9"/>
    </row>
    <row r="450">
      <c r="E450" s="13"/>
      <c r="F450" s="13"/>
      <c r="J450" s="121"/>
      <c r="M450" s="9"/>
      <c r="N450" s="9"/>
    </row>
    <row r="451">
      <c r="E451" s="13"/>
      <c r="F451" s="13"/>
      <c r="J451" s="121"/>
      <c r="M451" s="9"/>
      <c r="N451" s="9"/>
    </row>
    <row r="452">
      <c r="E452" s="13"/>
      <c r="F452" s="13"/>
      <c r="J452" s="121"/>
      <c r="M452" s="9"/>
      <c r="N452" s="9"/>
    </row>
    <row r="453">
      <c r="E453" s="13"/>
      <c r="F453" s="13"/>
      <c r="J453" s="121"/>
      <c r="M453" s="9"/>
      <c r="N453" s="9"/>
    </row>
    <row r="454">
      <c r="E454" s="13"/>
      <c r="F454" s="13"/>
      <c r="J454" s="121"/>
      <c r="M454" s="9"/>
      <c r="N454" s="9"/>
    </row>
    <row r="455">
      <c r="E455" s="13"/>
      <c r="F455" s="13"/>
      <c r="J455" s="121"/>
      <c r="M455" s="9"/>
      <c r="N455" s="9"/>
    </row>
    <row r="456">
      <c r="E456" s="13"/>
      <c r="F456" s="13"/>
      <c r="J456" s="121"/>
      <c r="M456" s="9"/>
      <c r="N456" s="9"/>
    </row>
    <row r="457">
      <c r="E457" s="13"/>
      <c r="F457" s="13"/>
      <c r="J457" s="121"/>
      <c r="M457" s="9"/>
      <c r="N457" s="9"/>
    </row>
    <row r="458">
      <c r="E458" s="13"/>
      <c r="F458" s="13"/>
      <c r="J458" s="121"/>
      <c r="M458" s="9"/>
      <c r="N458" s="9"/>
    </row>
    <row r="459">
      <c r="E459" s="13"/>
      <c r="F459" s="13"/>
      <c r="J459" s="121"/>
      <c r="M459" s="9"/>
      <c r="N459" s="9"/>
    </row>
    <row r="460">
      <c r="E460" s="13"/>
      <c r="F460" s="13"/>
      <c r="J460" s="121"/>
      <c r="M460" s="9"/>
      <c r="N460" s="9"/>
    </row>
    <row r="461">
      <c r="E461" s="13"/>
      <c r="F461" s="13"/>
      <c r="J461" s="121"/>
      <c r="M461" s="9"/>
      <c r="N461" s="9"/>
    </row>
    <row r="462">
      <c r="E462" s="13"/>
      <c r="F462" s="13"/>
      <c r="J462" s="121"/>
      <c r="M462" s="9"/>
      <c r="N462" s="9"/>
    </row>
    <row r="463">
      <c r="E463" s="13"/>
      <c r="F463" s="13"/>
      <c r="J463" s="121"/>
      <c r="M463" s="9"/>
      <c r="N463" s="9"/>
    </row>
    <row r="464">
      <c r="E464" s="13"/>
      <c r="F464" s="13"/>
      <c r="J464" s="121"/>
      <c r="M464" s="9"/>
      <c r="N464" s="9"/>
    </row>
    <row r="465">
      <c r="E465" s="13"/>
      <c r="F465" s="13"/>
      <c r="J465" s="121"/>
      <c r="M465" s="9"/>
      <c r="N465" s="9"/>
    </row>
    <row r="466">
      <c r="E466" s="13"/>
      <c r="F466" s="13"/>
      <c r="J466" s="121"/>
      <c r="M466" s="9"/>
      <c r="N466" s="9"/>
    </row>
    <row r="467">
      <c r="E467" s="13"/>
      <c r="F467" s="13"/>
      <c r="J467" s="121"/>
      <c r="M467" s="9"/>
      <c r="N467" s="9"/>
    </row>
    <row r="468">
      <c r="E468" s="13"/>
      <c r="F468" s="13"/>
      <c r="J468" s="121"/>
      <c r="M468" s="9"/>
      <c r="N468" s="9"/>
    </row>
    <row r="469">
      <c r="E469" s="13"/>
      <c r="F469" s="13"/>
      <c r="J469" s="121"/>
      <c r="M469" s="9"/>
      <c r="N469" s="9"/>
    </row>
    <row r="470">
      <c r="E470" s="13"/>
      <c r="F470" s="13"/>
      <c r="J470" s="121"/>
      <c r="M470" s="9"/>
      <c r="N470" s="9"/>
    </row>
    <row r="471">
      <c r="E471" s="13"/>
      <c r="F471" s="13"/>
      <c r="J471" s="121"/>
      <c r="M471" s="9"/>
      <c r="N471" s="9"/>
    </row>
    <row r="472">
      <c r="E472" s="13"/>
      <c r="F472" s="13"/>
      <c r="J472" s="121"/>
      <c r="M472" s="9"/>
      <c r="N472" s="9"/>
    </row>
    <row r="473">
      <c r="E473" s="13"/>
      <c r="F473" s="13"/>
      <c r="J473" s="121"/>
      <c r="M473" s="9"/>
      <c r="N473" s="9"/>
    </row>
    <row r="474">
      <c r="E474" s="13"/>
      <c r="F474" s="13"/>
      <c r="J474" s="121"/>
      <c r="M474" s="9"/>
      <c r="N474" s="9"/>
    </row>
    <row r="475">
      <c r="E475" s="13"/>
      <c r="F475" s="13"/>
      <c r="J475" s="121"/>
      <c r="M475" s="9"/>
      <c r="N475" s="9"/>
    </row>
    <row r="476">
      <c r="E476" s="13"/>
      <c r="F476" s="13"/>
      <c r="J476" s="121"/>
      <c r="M476" s="9"/>
      <c r="N476" s="9"/>
    </row>
    <row r="477">
      <c r="E477" s="13"/>
      <c r="F477" s="13"/>
      <c r="J477" s="121"/>
      <c r="M477" s="9"/>
      <c r="N477" s="9"/>
    </row>
    <row r="478">
      <c r="E478" s="13"/>
      <c r="F478" s="13"/>
      <c r="J478" s="121"/>
      <c r="M478" s="9"/>
      <c r="N478" s="9"/>
    </row>
    <row r="479">
      <c r="E479" s="13"/>
      <c r="F479" s="13"/>
      <c r="J479" s="121"/>
      <c r="M479" s="9"/>
      <c r="N479" s="9"/>
    </row>
    <row r="480">
      <c r="E480" s="13"/>
      <c r="F480" s="13"/>
      <c r="J480" s="121"/>
      <c r="M480" s="9"/>
      <c r="N480" s="9"/>
    </row>
    <row r="481">
      <c r="E481" s="13"/>
      <c r="F481" s="13"/>
      <c r="J481" s="121"/>
      <c r="M481" s="9"/>
      <c r="N481" s="9"/>
    </row>
    <row r="482">
      <c r="E482" s="13"/>
      <c r="F482" s="13"/>
      <c r="J482" s="121"/>
      <c r="M482" s="9"/>
      <c r="N482" s="9"/>
    </row>
    <row r="483">
      <c r="E483" s="13"/>
      <c r="F483" s="13"/>
      <c r="J483" s="121"/>
      <c r="M483" s="9"/>
      <c r="N483" s="9"/>
    </row>
    <row r="484">
      <c r="E484" s="13"/>
      <c r="F484" s="13"/>
      <c r="J484" s="121"/>
      <c r="M484" s="9"/>
      <c r="N484" s="9"/>
    </row>
    <row r="485">
      <c r="E485" s="13"/>
      <c r="F485" s="13"/>
      <c r="J485" s="121"/>
      <c r="M485" s="9"/>
      <c r="N485" s="9"/>
    </row>
    <row r="486">
      <c r="E486" s="13"/>
      <c r="F486" s="13"/>
      <c r="J486" s="121"/>
      <c r="M486" s="9"/>
      <c r="N486" s="9"/>
    </row>
    <row r="487">
      <c r="E487" s="13"/>
      <c r="F487" s="13"/>
      <c r="J487" s="121"/>
      <c r="M487" s="9"/>
      <c r="N487" s="9"/>
    </row>
    <row r="488">
      <c r="E488" s="13"/>
      <c r="F488" s="13"/>
      <c r="J488" s="121"/>
      <c r="M488" s="9"/>
      <c r="N488" s="9"/>
    </row>
    <row r="489">
      <c r="E489" s="13"/>
      <c r="F489" s="13"/>
      <c r="J489" s="121"/>
      <c r="M489" s="9"/>
      <c r="N489" s="9"/>
    </row>
    <row r="490">
      <c r="E490" s="13"/>
      <c r="F490" s="13"/>
      <c r="J490" s="121"/>
      <c r="M490" s="9"/>
      <c r="N490" s="9"/>
    </row>
    <row r="491">
      <c r="E491" s="13"/>
      <c r="F491" s="13"/>
      <c r="J491" s="121"/>
      <c r="M491" s="9"/>
      <c r="N491" s="9"/>
    </row>
    <row r="492">
      <c r="E492" s="13"/>
      <c r="F492" s="13"/>
      <c r="J492" s="121"/>
      <c r="M492" s="9"/>
      <c r="N492" s="9"/>
    </row>
    <row r="493">
      <c r="E493" s="13"/>
      <c r="F493" s="13"/>
      <c r="J493" s="121"/>
      <c r="M493" s="9"/>
      <c r="N493" s="9"/>
    </row>
    <row r="494">
      <c r="E494" s="13"/>
      <c r="F494" s="13"/>
      <c r="J494" s="121"/>
      <c r="M494" s="9"/>
      <c r="N494" s="9"/>
    </row>
    <row r="495">
      <c r="E495" s="13"/>
      <c r="F495" s="13"/>
      <c r="J495" s="121"/>
      <c r="M495" s="9"/>
      <c r="N495" s="9"/>
    </row>
    <row r="496">
      <c r="E496" s="13"/>
      <c r="F496" s="13"/>
      <c r="J496" s="121"/>
      <c r="M496" s="9"/>
      <c r="N496" s="9"/>
    </row>
    <row r="497">
      <c r="E497" s="13"/>
      <c r="F497" s="13"/>
      <c r="J497" s="121"/>
      <c r="M497" s="9"/>
      <c r="N497" s="9"/>
    </row>
    <row r="498">
      <c r="E498" s="13"/>
      <c r="F498" s="13"/>
      <c r="J498" s="121"/>
      <c r="M498" s="9"/>
      <c r="N498" s="9"/>
    </row>
    <row r="499">
      <c r="E499" s="13"/>
      <c r="F499" s="13"/>
      <c r="J499" s="121"/>
      <c r="M499" s="9"/>
      <c r="N499" s="9"/>
    </row>
    <row r="500">
      <c r="E500" s="13"/>
      <c r="F500" s="13"/>
      <c r="J500" s="121"/>
      <c r="M500" s="9"/>
      <c r="N500" s="9"/>
    </row>
    <row r="501">
      <c r="E501" s="13"/>
      <c r="F501" s="13"/>
      <c r="J501" s="121"/>
      <c r="M501" s="9"/>
      <c r="N501" s="9"/>
    </row>
    <row r="502">
      <c r="E502" s="13"/>
      <c r="F502" s="13"/>
      <c r="J502" s="121"/>
      <c r="M502" s="9"/>
      <c r="N502" s="9"/>
    </row>
    <row r="503">
      <c r="E503" s="13"/>
      <c r="F503" s="13"/>
      <c r="J503" s="121"/>
      <c r="M503" s="9"/>
      <c r="N503" s="9"/>
    </row>
    <row r="504">
      <c r="E504" s="13"/>
      <c r="F504" s="13"/>
      <c r="J504" s="121"/>
      <c r="M504" s="9"/>
      <c r="N504" s="9"/>
    </row>
    <row r="505">
      <c r="E505" s="13"/>
      <c r="F505" s="13"/>
      <c r="J505" s="121"/>
      <c r="M505" s="9"/>
      <c r="N505" s="9"/>
    </row>
    <row r="506">
      <c r="E506" s="13"/>
      <c r="F506" s="13"/>
      <c r="J506" s="121"/>
      <c r="M506" s="9"/>
      <c r="N506" s="9"/>
    </row>
    <row r="507">
      <c r="E507" s="13"/>
      <c r="F507" s="13"/>
      <c r="J507" s="121"/>
      <c r="M507" s="9"/>
      <c r="N507" s="9"/>
    </row>
    <row r="508">
      <c r="E508" s="13"/>
      <c r="F508" s="13"/>
      <c r="J508" s="121"/>
      <c r="M508" s="9"/>
      <c r="N508" s="9"/>
    </row>
    <row r="509">
      <c r="E509" s="13"/>
      <c r="F509" s="13"/>
      <c r="J509" s="121"/>
      <c r="M509" s="9"/>
      <c r="N509" s="9"/>
    </row>
    <row r="510">
      <c r="E510" s="13"/>
      <c r="F510" s="13"/>
      <c r="J510" s="121"/>
      <c r="M510" s="9"/>
      <c r="N510" s="9"/>
    </row>
    <row r="511">
      <c r="E511" s="13"/>
      <c r="F511" s="13"/>
      <c r="J511" s="121"/>
      <c r="M511" s="9"/>
      <c r="N511" s="9"/>
    </row>
    <row r="512">
      <c r="E512" s="13"/>
      <c r="F512" s="13"/>
      <c r="J512" s="121"/>
      <c r="M512" s="9"/>
      <c r="N512" s="9"/>
    </row>
    <row r="513">
      <c r="E513" s="13"/>
      <c r="F513" s="13"/>
      <c r="J513" s="121"/>
      <c r="M513" s="9"/>
      <c r="N513" s="9"/>
    </row>
    <row r="514">
      <c r="E514" s="13"/>
      <c r="F514" s="13"/>
      <c r="J514" s="121"/>
      <c r="M514" s="9"/>
      <c r="N514" s="9"/>
    </row>
    <row r="515">
      <c r="E515" s="13"/>
      <c r="F515" s="13"/>
      <c r="J515" s="121"/>
      <c r="M515" s="9"/>
      <c r="N515" s="9"/>
    </row>
    <row r="516">
      <c r="E516" s="13"/>
      <c r="F516" s="13"/>
      <c r="J516" s="121"/>
      <c r="M516" s="9"/>
      <c r="N516" s="9"/>
    </row>
    <row r="517">
      <c r="E517" s="13"/>
      <c r="F517" s="13"/>
      <c r="J517" s="121"/>
      <c r="M517" s="9"/>
      <c r="N517" s="9"/>
    </row>
    <row r="518">
      <c r="E518" s="13"/>
      <c r="F518" s="13"/>
      <c r="J518" s="121"/>
      <c r="M518" s="9"/>
      <c r="N518" s="9"/>
    </row>
    <row r="519">
      <c r="E519" s="13"/>
      <c r="F519" s="13"/>
      <c r="J519" s="121"/>
      <c r="M519" s="9"/>
      <c r="N519" s="9"/>
    </row>
    <row r="520">
      <c r="E520" s="13"/>
      <c r="F520" s="13"/>
      <c r="J520" s="121"/>
      <c r="M520" s="9"/>
      <c r="N520" s="9"/>
    </row>
    <row r="521">
      <c r="E521" s="13"/>
      <c r="F521" s="13"/>
      <c r="J521" s="121"/>
      <c r="M521" s="9"/>
      <c r="N521" s="9"/>
    </row>
    <row r="522">
      <c r="E522" s="13"/>
      <c r="F522" s="13"/>
      <c r="J522" s="121"/>
      <c r="M522" s="9"/>
      <c r="N522" s="9"/>
    </row>
    <row r="523">
      <c r="E523" s="13"/>
      <c r="F523" s="13"/>
      <c r="J523" s="121"/>
      <c r="M523" s="9"/>
      <c r="N523" s="9"/>
    </row>
    <row r="524">
      <c r="E524" s="13"/>
      <c r="F524" s="13"/>
      <c r="J524" s="121"/>
      <c r="M524" s="9"/>
      <c r="N524" s="9"/>
    </row>
    <row r="525">
      <c r="E525" s="13"/>
      <c r="F525" s="13"/>
      <c r="J525" s="121"/>
      <c r="M525" s="9"/>
      <c r="N525" s="9"/>
    </row>
    <row r="526">
      <c r="E526" s="13"/>
      <c r="F526" s="13"/>
      <c r="J526" s="121"/>
      <c r="M526" s="9"/>
      <c r="N526" s="9"/>
    </row>
    <row r="527">
      <c r="E527" s="13"/>
      <c r="F527" s="13"/>
      <c r="J527" s="121"/>
      <c r="M527" s="9"/>
      <c r="N527" s="9"/>
    </row>
    <row r="528">
      <c r="E528" s="13"/>
      <c r="F528" s="13"/>
      <c r="J528" s="121"/>
      <c r="M528" s="9"/>
      <c r="N528" s="9"/>
    </row>
    <row r="529">
      <c r="E529" s="13"/>
      <c r="F529" s="13"/>
      <c r="J529" s="121"/>
      <c r="M529" s="9"/>
      <c r="N529" s="9"/>
    </row>
    <row r="530">
      <c r="E530" s="13"/>
      <c r="F530" s="13"/>
      <c r="J530" s="121"/>
      <c r="M530" s="9"/>
      <c r="N530" s="9"/>
    </row>
    <row r="531">
      <c r="E531" s="13"/>
      <c r="F531" s="13"/>
      <c r="J531" s="121"/>
      <c r="M531" s="9"/>
      <c r="N531" s="9"/>
    </row>
    <row r="532">
      <c r="E532" s="13"/>
      <c r="F532" s="13"/>
      <c r="J532" s="121"/>
      <c r="M532" s="9"/>
      <c r="N532" s="9"/>
    </row>
    <row r="533">
      <c r="E533" s="13"/>
      <c r="F533" s="13"/>
      <c r="J533" s="121"/>
      <c r="M533" s="9"/>
      <c r="N533" s="9"/>
    </row>
    <row r="534">
      <c r="E534" s="13"/>
      <c r="F534" s="13"/>
      <c r="J534" s="121"/>
      <c r="M534" s="9"/>
      <c r="N534" s="9"/>
    </row>
    <row r="535">
      <c r="E535" s="13"/>
      <c r="F535" s="13"/>
      <c r="J535" s="121"/>
      <c r="M535" s="9"/>
      <c r="N535" s="9"/>
    </row>
    <row r="536">
      <c r="E536" s="13"/>
      <c r="F536" s="13"/>
      <c r="J536" s="121"/>
      <c r="M536" s="9"/>
      <c r="N536" s="9"/>
    </row>
    <row r="537">
      <c r="E537" s="13"/>
      <c r="F537" s="13"/>
      <c r="J537" s="121"/>
      <c r="M537" s="9"/>
      <c r="N537" s="9"/>
    </row>
    <row r="538">
      <c r="E538" s="13"/>
      <c r="F538" s="13"/>
      <c r="J538" s="121"/>
      <c r="M538" s="9"/>
      <c r="N538" s="9"/>
    </row>
    <row r="539">
      <c r="E539" s="13"/>
      <c r="F539" s="13"/>
      <c r="J539" s="121"/>
      <c r="M539" s="9"/>
      <c r="N539" s="9"/>
    </row>
    <row r="540">
      <c r="E540" s="13"/>
      <c r="F540" s="13"/>
      <c r="J540" s="121"/>
      <c r="M540" s="9"/>
      <c r="N540" s="9"/>
    </row>
    <row r="541">
      <c r="E541" s="13"/>
      <c r="F541" s="13"/>
      <c r="J541" s="121"/>
      <c r="M541" s="9"/>
      <c r="N541" s="9"/>
    </row>
    <row r="542">
      <c r="E542" s="13"/>
      <c r="F542" s="13"/>
      <c r="J542" s="121"/>
      <c r="M542" s="9"/>
      <c r="N542" s="9"/>
    </row>
    <row r="543">
      <c r="E543" s="13"/>
      <c r="F543" s="13"/>
      <c r="J543" s="121"/>
      <c r="M543" s="9"/>
      <c r="N543" s="9"/>
    </row>
    <row r="544">
      <c r="E544" s="13"/>
      <c r="F544" s="13"/>
      <c r="J544" s="121"/>
      <c r="M544" s="9"/>
      <c r="N544" s="9"/>
    </row>
    <row r="545">
      <c r="E545" s="13"/>
      <c r="F545" s="13"/>
      <c r="J545" s="121"/>
      <c r="M545" s="9"/>
      <c r="N545" s="9"/>
    </row>
    <row r="546">
      <c r="E546" s="13"/>
      <c r="F546" s="13"/>
      <c r="J546" s="121"/>
      <c r="M546" s="9"/>
      <c r="N546" s="9"/>
    </row>
    <row r="547">
      <c r="E547" s="13"/>
      <c r="F547" s="13"/>
      <c r="J547" s="121"/>
      <c r="M547" s="9"/>
      <c r="N547" s="9"/>
    </row>
    <row r="548">
      <c r="E548" s="13"/>
      <c r="F548" s="13"/>
      <c r="J548" s="121"/>
      <c r="M548" s="9"/>
      <c r="N548" s="9"/>
    </row>
    <row r="549">
      <c r="E549" s="13"/>
      <c r="F549" s="13"/>
      <c r="J549" s="121"/>
      <c r="M549" s="9"/>
      <c r="N549" s="9"/>
    </row>
    <row r="550">
      <c r="E550" s="13"/>
      <c r="F550" s="13"/>
      <c r="J550" s="121"/>
      <c r="M550" s="9"/>
      <c r="N550" s="9"/>
    </row>
    <row r="551">
      <c r="E551" s="13"/>
      <c r="F551" s="13"/>
      <c r="J551" s="121"/>
      <c r="M551" s="9"/>
      <c r="N551" s="9"/>
    </row>
    <row r="552">
      <c r="E552" s="13"/>
      <c r="F552" s="13"/>
      <c r="J552" s="121"/>
      <c r="M552" s="9"/>
      <c r="N552" s="9"/>
    </row>
    <row r="553">
      <c r="E553" s="13"/>
      <c r="F553" s="13"/>
      <c r="J553" s="121"/>
      <c r="M553" s="9"/>
      <c r="N553" s="9"/>
    </row>
    <row r="554">
      <c r="E554" s="13"/>
      <c r="F554" s="13"/>
      <c r="J554" s="121"/>
      <c r="M554" s="9"/>
      <c r="N554" s="9"/>
    </row>
    <row r="555">
      <c r="E555" s="13"/>
      <c r="F555" s="13"/>
      <c r="J555" s="121"/>
      <c r="M555" s="9"/>
      <c r="N555" s="9"/>
    </row>
    <row r="556">
      <c r="E556" s="13"/>
      <c r="F556" s="13"/>
      <c r="J556" s="121"/>
      <c r="M556" s="9"/>
      <c r="N556" s="9"/>
    </row>
    <row r="557">
      <c r="E557" s="13"/>
      <c r="F557" s="13"/>
      <c r="J557" s="121"/>
      <c r="M557" s="9"/>
      <c r="N557" s="9"/>
    </row>
    <row r="558">
      <c r="E558" s="13"/>
      <c r="F558" s="13"/>
      <c r="J558" s="121"/>
      <c r="M558" s="9"/>
      <c r="N558" s="9"/>
    </row>
    <row r="559">
      <c r="E559" s="13"/>
      <c r="F559" s="13"/>
      <c r="J559" s="121"/>
      <c r="M559" s="9"/>
      <c r="N559" s="9"/>
    </row>
    <row r="560">
      <c r="E560" s="13"/>
      <c r="F560" s="13"/>
      <c r="J560" s="121"/>
      <c r="M560" s="9"/>
      <c r="N560" s="9"/>
    </row>
    <row r="561">
      <c r="E561" s="13"/>
      <c r="F561" s="13"/>
      <c r="J561" s="121"/>
      <c r="M561" s="9"/>
      <c r="N561" s="9"/>
    </row>
    <row r="562">
      <c r="E562" s="13"/>
      <c r="F562" s="13"/>
      <c r="J562" s="121"/>
      <c r="M562" s="9"/>
      <c r="N562" s="9"/>
    </row>
    <row r="563">
      <c r="E563" s="13"/>
      <c r="F563" s="13"/>
      <c r="J563" s="121"/>
      <c r="M563" s="9"/>
      <c r="N563" s="9"/>
    </row>
    <row r="564">
      <c r="E564" s="13"/>
      <c r="F564" s="13"/>
      <c r="J564" s="121"/>
      <c r="M564" s="9"/>
      <c r="N564" s="9"/>
    </row>
    <row r="565">
      <c r="E565" s="13"/>
      <c r="F565" s="13"/>
      <c r="J565" s="121"/>
      <c r="M565" s="9"/>
      <c r="N565" s="9"/>
    </row>
    <row r="566">
      <c r="E566" s="13"/>
      <c r="F566" s="13"/>
      <c r="J566" s="121"/>
      <c r="M566" s="9"/>
      <c r="N566" s="9"/>
    </row>
    <row r="567">
      <c r="E567" s="13"/>
      <c r="F567" s="13"/>
      <c r="J567" s="121"/>
      <c r="M567" s="9"/>
      <c r="N567" s="9"/>
    </row>
    <row r="568">
      <c r="E568" s="13"/>
      <c r="F568" s="13"/>
      <c r="J568" s="121"/>
      <c r="M568" s="9"/>
      <c r="N568" s="9"/>
    </row>
    <row r="569">
      <c r="E569" s="13"/>
      <c r="F569" s="13"/>
      <c r="J569" s="121"/>
      <c r="M569" s="9"/>
      <c r="N569" s="9"/>
    </row>
    <row r="570">
      <c r="E570" s="13"/>
      <c r="F570" s="13"/>
      <c r="J570" s="121"/>
      <c r="M570" s="9"/>
      <c r="N570" s="9"/>
    </row>
    <row r="571">
      <c r="E571" s="13"/>
      <c r="F571" s="13"/>
      <c r="J571" s="121"/>
      <c r="M571" s="9"/>
      <c r="N571" s="9"/>
    </row>
    <row r="572">
      <c r="E572" s="13"/>
      <c r="F572" s="13"/>
      <c r="J572" s="121"/>
      <c r="M572" s="9"/>
      <c r="N572" s="9"/>
    </row>
    <row r="573">
      <c r="E573" s="13"/>
      <c r="F573" s="13"/>
      <c r="J573" s="121"/>
      <c r="M573" s="9"/>
      <c r="N573" s="9"/>
    </row>
    <row r="574">
      <c r="E574" s="13"/>
      <c r="F574" s="13"/>
      <c r="J574" s="121"/>
      <c r="M574" s="9"/>
      <c r="N574" s="9"/>
    </row>
    <row r="575">
      <c r="E575" s="13"/>
      <c r="F575" s="13"/>
      <c r="J575" s="121"/>
      <c r="M575" s="9"/>
      <c r="N575" s="9"/>
    </row>
    <row r="576">
      <c r="E576" s="13"/>
      <c r="F576" s="13"/>
      <c r="J576" s="121"/>
      <c r="M576" s="9"/>
      <c r="N576" s="9"/>
    </row>
    <row r="577">
      <c r="E577" s="13"/>
      <c r="F577" s="13"/>
      <c r="J577" s="121"/>
      <c r="M577" s="9"/>
      <c r="N577" s="9"/>
    </row>
    <row r="578">
      <c r="E578" s="13"/>
      <c r="F578" s="13"/>
      <c r="J578" s="121"/>
      <c r="M578" s="9"/>
      <c r="N578" s="9"/>
    </row>
    <row r="579">
      <c r="E579" s="13"/>
      <c r="F579" s="13"/>
      <c r="J579" s="121"/>
      <c r="M579" s="9"/>
      <c r="N579" s="9"/>
    </row>
    <row r="580">
      <c r="E580" s="13"/>
      <c r="F580" s="13"/>
      <c r="J580" s="121"/>
      <c r="M580" s="9"/>
      <c r="N580" s="9"/>
    </row>
    <row r="581">
      <c r="E581" s="13"/>
      <c r="F581" s="13"/>
      <c r="J581" s="121"/>
      <c r="M581" s="9"/>
      <c r="N581" s="9"/>
    </row>
    <row r="582">
      <c r="E582" s="13"/>
      <c r="F582" s="13"/>
      <c r="J582" s="121"/>
      <c r="M582" s="9"/>
      <c r="N582" s="9"/>
    </row>
    <row r="583">
      <c r="E583" s="13"/>
      <c r="F583" s="13"/>
      <c r="J583" s="121"/>
      <c r="M583" s="9"/>
      <c r="N583" s="9"/>
    </row>
    <row r="584">
      <c r="E584" s="13"/>
      <c r="F584" s="13"/>
      <c r="J584" s="121"/>
      <c r="M584" s="9"/>
      <c r="N584" s="9"/>
    </row>
    <row r="585">
      <c r="E585" s="13"/>
      <c r="F585" s="13"/>
      <c r="J585" s="121"/>
      <c r="M585" s="9"/>
      <c r="N585" s="9"/>
    </row>
    <row r="586">
      <c r="E586" s="13"/>
      <c r="F586" s="13"/>
      <c r="J586" s="121"/>
      <c r="M586" s="9"/>
      <c r="N586" s="9"/>
    </row>
    <row r="587">
      <c r="E587" s="13"/>
      <c r="F587" s="13"/>
      <c r="J587" s="121"/>
      <c r="M587" s="9"/>
      <c r="N587" s="9"/>
    </row>
    <row r="588">
      <c r="E588" s="13"/>
      <c r="F588" s="13"/>
      <c r="J588" s="121"/>
      <c r="M588" s="9"/>
      <c r="N588" s="9"/>
    </row>
    <row r="589">
      <c r="E589" s="13"/>
      <c r="F589" s="13"/>
      <c r="J589" s="121"/>
      <c r="M589" s="9"/>
      <c r="N589" s="9"/>
    </row>
    <row r="590">
      <c r="E590" s="13"/>
      <c r="F590" s="13"/>
      <c r="J590" s="121"/>
      <c r="M590" s="9"/>
      <c r="N590" s="9"/>
    </row>
    <row r="591">
      <c r="E591" s="13"/>
      <c r="F591" s="13"/>
      <c r="J591" s="121"/>
      <c r="M591" s="9"/>
      <c r="N591" s="9"/>
    </row>
    <row r="592">
      <c r="E592" s="13"/>
      <c r="F592" s="13"/>
      <c r="J592" s="121"/>
      <c r="M592" s="9"/>
      <c r="N592" s="9"/>
    </row>
    <row r="593">
      <c r="E593" s="13"/>
      <c r="F593" s="13"/>
      <c r="J593" s="121"/>
      <c r="M593" s="9"/>
      <c r="N593" s="9"/>
    </row>
    <row r="594">
      <c r="E594" s="13"/>
      <c r="F594" s="13"/>
      <c r="J594" s="121"/>
      <c r="M594" s="9"/>
      <c r="N594" s="9"/>
    </row>
    <row r="595">
      <c r="E595" s="13"/>
      <c r="F595" s="13"/>
      <c r="J595" s="121"/>
      <c r="M595" s="9"/>
      <c r="N595" s="9"/>
    </row>
    <row r="596">
      <c r="E596" s="13"/>
      <c r="F596" s="13"/>
      <c r="J596" s="121"/>
      <c r="M596" s="9"/>
      <c r="N596" s="9"/>
    </row>
    <row r="597">
      <c r="E597" s="13"/>
      <c r="F597" s="13"/>
      <c r="J597" s="121"/>
      <c r="M597" s="9"/>
      <c r="N597" s="9"/>
    </row>
    <row r="598">
      <c r="E598" s="13"/>
      <c r="F598" s="13"/>
      <c r="J598" s="121"/>
      <c r="M598" s="9"/>
      <c r="N598" s="9"/>
    </row>
    <row r="599">
      <c r="E599" s="13"/>
      <c r="F599" s="13"/>
      <c r="J599" s="121"/>
      <c r="M599" s="9"/>
      <c r="N599" s="9"/>
    </row>
    <row r="600">
      <c r="E600" s="13"/>
      <c r="F600" s="13"/>
      <c r="J600" s="121"/>
      <c r="M600" s="9"/>
      <c r="N600" s="9"/>
    </row>
    <row r="601">
      <c r="E601" s="13"/>
      <c r="F601" s="13"/>
      <c r="J601" s="121"/>
      <c r="M601" s="9"/>
      <c r="N601" s="9"/>
    </row>
    <row r="602">
      <c r="E602" s="13"/>
      <c r="F602" s="13"/>
      <c r="J602" s="121"/>
      <c r="M602" s="9"/>
      <c r="N602" s="9"/>
    </row>
    <row r="603">
      <c r="E603" s="13"/>
      <c r="F603" s="13"/>
      <c r="J603" s="121"/>
      <c r="M603" s="9"/>
      <c r="N603" s="9"/>
    </row>
    <row r="604">
      <c r="E604" s="13"/>
      <c r="F604" s="13"/>
      <c r="J604" s="121"/>
      <c r="M604" s="9"/>
      <c r="N604" s="9"/>
    </row>
    <row r="605">
      <c r="E605" s="13"/>
      <c r="F605" s="13"/>
      <c r="J605" s="121"/>
      <c r="M605" s="9"/>
      <c r="N605" s="9"/>
    </row>
    <row r="606">
      <c r="E606" s="13"/>
      <c r="F606" s="13"/>
      <c r="J606" s="121"/>
      <c r="M606" s="9"/>
      <c r="N606" s="9"/>
    </row>
    <row r="607">
      <c r="E607" s="13"/>
      <c r="F607" s="13"/>
      <c r="J607" s="121"/>
      <c r="M607" s="9"/>
      <c r="N607" s="9"/>
    </row>
    <row r="608">
      <c r="E608" s="13"/>
      <c r="F608" s="13"/>
      <c r="J608" s="121"/>
      <c r="M608" s="9"/>
      <c r="N608" s="9"/>
    </row>
    <row r="609">
      <c r="E609" s="13"/>
      <c r="F609" s="13"/>
      <c r="J609" s="121"/>
      <c r="M609" s="9"/>
      <c r="N609" s="9"/>
    </row>
    <row r="610">
      <c r="E610" s="13"/>
      <c r="F610" s="13"/>
      <c r="J610" s="121"/>
      <c r="M610" s="9"/>
      <c r="N610" s="9"/>
    </row>
    <row r="611">
      <c r="E611" s="13"/>
      <c r="F611" s="13"/>
      <c r="J611" s="121"/>
      <c r="M611" s="9"/>
      <c r="N611" s="9"/>
    </row>
    <row r="612">
      <c r="E612" s="13"/>
      <c r="F612" s="13"/>
      <c r="J612" s="121"/>
      <c r="M612" s="9"/>
      <c r="N612" s="9"/>
    </row>
    <row r="613">
      <c r="E613" s="13"/>
      <c r="F613" s="13"/>
      <c r="J613" s="121"/>
      <c r="M613" s="9"/>
      <c r="N613" s="9"/>
    </row>
    <row r="614">
      <c r="E614" s="13"/>
      <c r="F614" s="13"/>
      <c r="J614" s="121"/>
      <c r="M614" s="9"/>
      <c r="N614" s="9"/>
    </row>
    <row r="615">
      <c r="E615" s="13"/>
      <c r="F615" s="13"/>
      <c r="J615" s="121"/>
      <c r="M615" s="9"/>
      <c r="N615" s="9"/>
    </row>
    <row r="616">
      <c r="E616" s="13"/>
      <c r="F616" s="13"/>
      <c r="J616" s="121"/>
      <c r="M616" s="9"/>
      <c r="N616" s="9"/>
    </row>
    <row r="617">
      <c r="E617" s="13"/>
      <c r="F617" s="13"/>
      <c r="J617" s="121"/>
      <c r="M617" s="9"/>
      <c r="N617" s="9"/>
    </row>
    <row r="618">
      <c r="E618" s="13"/>
      <c r="F618" s="13"/>
      <c r="J618" s="121"/>
      <c r="M618" s="9"/>
      <c r="N618" s="9"/>
    </row>
    <row r="619">
      <c r="E619" s="13"/>
      <c r="F619" s="13"/>
      <c r="J619" s="121"/>
      <c r="M619" s="9"/>
      <c r="N619" s="9"/>
    </row>
    <row r="620">
      <c r="E620" s="13"/>
      <c r="F620" s="13"/>
      <c r="J620" s="121"/>
      <c r="M620" s="9"/>
      <c r="N620" s="9"/>
    </row>
    <row r="621">
      <c r="E621" s="13"/>
      <c r="F621" s="13"/>
      <c r="J621" s="121"/>
      <c r="M621" s="9"/>
      <c r="N621" s="9"/>
    </row>
    <row r="622">
      <c r="E622" s="13"/>
      <c r="F622" s="13"/>
      <c r="J622" s="121"/>
      <c r="M622" s="9"/>
      <c r="N622" s="9"/>
    </row>
    <row r="623">
      <c r="E623" s="13"/>
      <c r="F623" s="13"/>
      <c r="J623" s="121"/>
      <c r="M623" s="9"/>
      <c r="N623" s="9"/>
    </row>
    <row r="624">
      <c r="E624" s="13"/>
      <c r="F624" s="13"/>
      <c r="J624" s="121"/>
      <c r="M624" s="9"/>
      <c r="N624" s="9"/>
    </row>
    <row r="625">
      <c r="E625" s="13"/>
      <c r="F625" s="13"/>
      <c r="J625" s="121"/>
      <c r="M625" s="9"/>
      <c r="N625" s="9"/>
    </row>
    <row r="626">
      <c r="E626" s="13"/>
      <c r="F626" s="13"/>
      <c r="J626" s="121"/>
      <c r="M626" s="9"/>
      <c r="N626" s="9"/>
    </row>
    <row r="627">
      <c r="E627" s="13"/>
      <c r="F627" s="13"/>
      <c r="J627" s="121"/>
      <c r="M627" s="9"/>
      <c r="N627" s="9"/>
    </row>
    <row r="628">
      <c r="E628" s="13"/>
      <c r="F628" s="13"/>
      <c r="J628" s="121"/>
      <c r="M628" s="9"/>
      <c r="N628" s="9"/>
    </row>
    <row r="629">
      <c r="E629" s="13"/>
      <c r="F629" s="13"/>
      <c r="J629" s="121"/>
      <c r="M629" s="9"/>
      <c r="N629" s="9"/>
    </row>
    <row r="630">
      <c r="E630" s="13"/>
      <c r="F630" s="13"/>
      <c r="J630" s="121"/>
      <c r="M630" s="9"/>
      <c r="N630" s="9"/>
    </row>
    <row r="631">
      <c r="E631" s="13"/>
      <c r="F631" s="13"/>
      <c r="J631" s="121"/>
      <c r="M631" s="9"/>
      <c r="N631" s="9"/>
    </row>
    <row r="632">
      <c r="E632" s="13"/>
      <c r="F632" s="13"/>
      <c r="J632" s="121"/>
      <c r="M632" s="9"/>
      <c r="N632" s="9"/>
    </row>
    <row r="633">
      <c r="E633" s="13"/>
      <c r="F633" s="13"/>
      <c r="J633" s="121"/>
      <c r="M633" s="9"/>
      <c r="N633" s="9"/>
    </row>
    <row r="634">
      <c r="E634" s="13"/>
      <c r="F634" s="13"/>
      <c r="J634" s="121"/>
      <c r="M634" s="9"/>
      <c r="N634" s="9"/>
    </row>
    <row r="635">
      <c r="E635" s="13"/>
      <c r="F635" s="13"/>
      <c r="J635" s="121"/>
      <c r="M635" s="9"/>
      <c r="N635" s="9"/>
    </row>
    <row r="636">
      <c r="E636" s="13"/>
      <c r="F636" s="13"/>
      <c r="J636" s="121"/>
      <c r="M636" s="9"/>
      <c r="N636" s="9"/>
    </row>
    <row r="637">
      <c r="E637" s="13"/>
      <c r="F637" s="13"/>
      <c r="J637" s="121"/>
      <c r="M637" s="9"/>
      <c r="N637" s="9"/>
    </row>
    <row r="638">
      <c r="E638" s="13"/>
      <c r="F638" s="13"/>
      <c r="J638" s="121"/>
      <c r="M638" s="9"/>
      <c r="N638" s="9"/>
    </row>
    <row r="639">
      <c r="E639" s="13"/>
      <c r="F639" s="13"/>
      <c r="J639" s="121"/>
      <c r="M639" s="9"/>
      <c r="N639" s="9"/>
    </row>
    <row r="640">
      <c r="E640" s="13"/>
      <c r="F640" s="13"/>
      <c r="J640" s="121"/>
      <c r="M640" s="9"/>
      <c r="N640" s="9"/>
    </row>
    <row r="641">
      <c r="E641" s="13"/>
      <c r="F641" s="13"/>
      <c r="J641" s="121"/>
      <c r="M641" s="9"/>
      <c r="N641" s="9"/>
    </row>
    <row r="642">
      <c r="E642" s="13"/>
      <c r="F642" s="13"/>
      <c r="J642" s="121"/>
      <c r="M642" s="9"/>
      <c r="N642" s="9"/>
    </row>
    <row r="643">
      <c r="E643" s="13"/>
      <c r="F643" s="13"/>
      <c r="J643" s="121"/>
      <c r="M643" s="9"/>
      <c r="N643" s="9"/>
    </row>
    <row r="644">
      <c r="E644" s="13"/>
      <c r="F644" s="13"/>
      <c r="J644" s="121"/>
      <c r="M644" s="9"/>
      <c r="N644" s="9"/>
    </row>
    <row r="645">
      <c r="E645" s="13"/>
      <c r="F645" s="13"/>
      <c r="J645" s="121"/>
      <c r="M645" s="9"/>
      <c r="N645" s="9"/>
    </row>
    <row r="646">
      <c r="E646" s="13"/>
      <c r="F646" s="13"/>
      <c r="J646" s="121"/>
      <c r="M646" s="9"/>
      <c r="N646" s="9"/>
    </row>
    <row r="647">
      <c r="E647" s="13"/>
      <c r="F647" s="13"/>
      <c r="J647" s="121"/>
      <c r="M647" s="9"/>
      <c r="N647" s="9"/>
    </row>
    <row r="648">
      <c r="E648" s="13"/>
      <c r="F648" s="13"/>
      <c r="J648" s="121"/>
      <c r="M648" s="9"/>
      <c r="N648" s="9"/>
    </row>
    <row r="649">
      <c r="E649" s="13"/>
      <c r="F649" s="13"/>
      <c r="J649" s="121"/>
      <c r="M649" s="9"/>
      <c r="N649" s="9"/>
    </row>
    <row r="650">
      <c r="E650" s="13"/>
      <c r="F650" s="13"/>
      <c r="J650" s="121"/>
      <c r="M650" s="9"/>
      <c r="N650" s="9"/>
    </row>
    <row r="651">
      <c r="E651" s="13"/>
      <c r="F651" s="13"/>
      <c r="J651" s="121"/>
      <c r="M651" s="9"/>
      <c r="N651" s="9"/>
    </row>
    <row r="652">
      <c r="E652" s="13"/>
      <c r="F652" s="13"/>
      <c r="J652" s="121"/>
      <c r="M652" s="9"/>
      <c r="N652" s="9"/>
    </row>
    <row r="653">
      <c r="E653" s="13"/>
      <c r="F653" s="13"/>
      <c r="J653" s="121"/>
      <c r="M653" s="9"/>
      <c r="N653" s="9"/>
    </row>
    <row r="654">
      <c r="E654" s="13"/>
      <c r="F654" s="13"/>
      <c r="J654" s="121"/>
      <c r="M654" s="9"/>
      <c r="N654" s="9"/>
    </row>
    <row r="655">
      <c r="E655" s="13"/>
      <c r="F655" s="13"/>
      <c r="J655" s="121"/>
      <c r="M655" s="9"/>
      <c r="N655" s="9"/>
    </row>
    <row r="656">
      <c r="E656" s="13"/>
      <c r="F656" s="13"/>
      <c r="J656" s="121"/>
      <c r="M656" s="9"/>
      <c r="N656" s="9"/>
    </row>
    <row r="657">
      <c r="E657" s="13"/>
      <c r="F657" s="13"/>
      <c r="J657" s="121"/>
      <c r="M657" s="9"/>
      <c r="N657" s="9"/>
    </row>
    <row r="658">
      <c r="E658" s="13"/>
      <c r="F658" s="13"/>
      <c r="J658" s="121"/>
      <c r="M658" s="9"/>
      <c r="N658" s="9"/>
    </row>
    <row r="659">
      <c r="E659" s="13"/>
      <c r="F659" s="13"/>
      <c r="J659" s="121"/>
      <c r="M659" s="9"/>
      <c r="N659" s="9"/>
    </row>
    <row r="660">
      <c r="E660" s="13"/>
      <c r="F660" s="13"/>
      <c r="J660" s="121"/>
      <c r="M660" s="9"/>
      <c r="N660" s="9"/>
    </row>
    <row r="661">
      <c r="E661" s="13"/>
      <c r="F661" s="13"/>
      <c r="J661" s="121"/>
      <c r="M661" s="9"/>
      <c r="N661" s="9"/>
    </row>
    <row r="662">
      <c r="E662" s="13"/>
      <c r="F662" s="13"/>
      <c r="J662" s="121"/>
      <c r="M662" s="9"/>
      <c r="N662" s="9"/>
    </row>
    <row r="663">
      <c r="E663" s="13"/>
      <c r="F663" s="13"/>
      <c r="J663" s="121"/>
      <c r="M663" s="9"/>
      <c r="N663" s="9"/>
    </row>
    <row r="664">
      <c r="E664" s="13"/>
      <c r="F664" s="13"/>
      <c r="J664" s="121"/>
      <c r="M664" s="9"/>
      <c r="N664" s="9"/>
    </row>
    <row r="665">
      <c r="E665" s="13"/>
      <c r="F665" s="13"/>
      <c r="J665" s="121"/>
      <c r="M665" s="9"/>
      <c r="N665" s="9"/>
    </row>
    <row r="666">
      <c r="E666" s="13"/>
      <c r="F666" s="13"/>
      <c r="J666" s="121"/>
      <c r="M666" s="9"/>
      <c r="N666" s="9"/>
    </row>
    <row r="667">
      <c r="E667" s="13"/>
      <c r="F667" s="13"/>
      <c r="J667" s="121"/>
      <c r="M667" s="9"/>
      <c r="N667" s="9"/>
    </row>
    <row r="668">
      <c r="E668" s="13"/>
      <c r="F668" s="13"/>
      <c r="J668" s="121"/>
      <c r="M668" s="9"/>
      <c r="N668" s="9"/>
    </row>
    <row r="669">
      <c r="E669" s="13"/>
      <c r="F669" s="13"/>
      <c r="J669" s="121"/>
      <c r="M669" s="9"/>
      <c r="N669" s="9"/>
    </row>
    <row r="670">
      <c r="E670" s="13"/>
      <c r="F670" s="13"/>
      <c r="J670" s="121"/>
      <c r="M670" s="9"/>
      <c r="N670" s="9"/>
    </row>
    <row r="671">
      <c r="E671" s="13"/>
      <c r="F671" s="13"/>
      <c r="J671" s="121"/>
      <c r="M671" s="9"/>
      <c r="N671" s="9"/>
    </row>
    <row r="672">
      <c r="E672" s="13"/>
      <c r="F672" s="13"/>
      <c r="J672" s="121"/>
      <c r="M672" s="9"/>
      <c r="N672" s="9"/>
    </row>
    <row r="673">
      <c r="E673" s="13"/>
      <c r="F673" s="13"/>
      <c r="J673" s="121"/>
      <c r="M673" s="9"/>
      <c r="N673" s="9"/>
    </row>
    <row r="674">
      <c r="E674" s="13"/>
      <c r="F674" s="13"/>
      <c r="J674" s="121"/>
      <c r="M674" s="9"/>
      <c r="N674" s="9"/>
    </row>
    <row r="675">
      <c r="E675" s="13"/>
      <c r="F675" s="13"/>
      <c r="J675" s="121"/>
      <c r="M675" s="9"/>
      <c r="N675" s="9"/>
    </row>
    <row r="676">
      <c r="E676" s="13"/>
      <c r="F676" s="13"/>
      <c r="J676" s="121"/>
      <c r="M676" s="9"/>
      <c r="N676" s="9"/>
    </row>
    <row r="677">
      <c r="E677" s="13"/>
      <c r="F677" s="13"/>
      <c r="J677" s="121"/>
      <c r="M677" s="9"/>
      <c r="N677" s="9"/>
    </row>
    <row r="678">
      <c r="E678" s="13"/>
      <c r="F678" s="13"/>
      <c r="J678" s="121"/>
      <c r="M678" s="9"/>
      <c r="N678" s="9"/>
    </row>
    <row r="679">
      <c r="E679" s="13"/>
      <c r="F679" s="13"/>
      <c r="J679" s="121"/>
      <c r="M679" s="9"/>
      <c r="N679" s="9"/>
    </row>
    <row r="680">
      <c r="E680" s="13"/>
      <c r="F680" s="13"/>
      <c r="J680" s="121"/>
      <c r="M680" s="9"/>
      <c r="N680" s="9"/>
    </row>
    <row r="681">
      <c r="E681" s="13"/>
      <c r="F681" s="13"/>
      <c r="J681" s="121"/>
      <c r="M681" s="9"/>
      <c r="N681" s="9"/>
    </row>
    <row r="682">
      <c r="E682" s="13"/>
      <c r="F682" s="13"/>
      <c r="J682" s="121"/>
      <c r="M682" s="9"/>
      <c r="N682" s="9"/>
    </row>
    <row r="683">
      <c r="E683" s="13"/>
      <c r="F683" s="13"/>
      <c r="J683" s="121"/>
      <c r="M683" s="9"/>
      <c r="N683" s="9"/>
    </row>
    <row r="684">
      <c r="E684" s="13"/>
      <c r="F684" s="13"/>
      <c r="J684" s="121"/>
      <c r="M684" s="9"/>
      <c r="N684" s="9"/>
    </row>
    <row r="685">
      <c r="E685" s="13"/>
      <c r="F685" s="13"/>
      <c r="J685" s="121"/>
      <c r="M685" s="9"/>
      <c r="N685" s="9"/>
    </row>
    <row r="686">
      <c r="E686" s="13"/>
      <c r="F686" s="13"/>
      <c r="J686" s="121"/>
      <c r="M686" s="9"/>
      <c r="N686" s="9"/>
    </row>
    <row r="687">
      <c r="E687" s="13"/>
      <c r="F687" s="13"/>
      <c r="J687" s="121"/>
      <c r="M687" s="9"/>
      <c r="N687" s="9"/>
    </row>
    <row r="688">
      <c r="E688" s="13"/>
      <c r="F688" s="13"/>
      <c r="J688" s="121"/>
      <c r="M688" s="9"/>
      <c r="N688" s="9"/>
    </row>
    <row r="689">
      <c r="E689" s="13"/>
      <c r="F689" s="13"/>
      <c r="J689" s="121"/>
      <c r="M689" s="9"/>
      <c r="N689" s="9"/>
    </row>
    <row r="690">
      <c r="E690" s="13"/>
      <c r="F690" s="13"/>
      <c r="J690" s="121"/>
      <c r="M690" s="9"/>
      <c r="N690" s="9"/>
    </row>
    <row r="691">
      <c r="E691" s="13"/>
      <c r="F691" s="13"/>
      <c r="J691" s="121"/>
      <c r="M691" s="9"/>
      <c r="N691" s="9"/>
    </row>
    <row r="692">
      <c r="E692" s="13"/>
      <c r="F692" s="13"/>
      <c r="J692" s="121"/>
      <c r="M692" s="9"/>
      <c r="N692" s="9"/>
    </row>
    <row r="693">
      <c r="E693" s="13"/>
      <c r="F693" s="13"/>
      <c r="J693" s="121"/>
      <c r="M693" s="9"/>
      <c r="N693" s="9"/>
    </row>
    <row r="694">
      <c r="E694" s="13"/>
      <c r="F694" s="13"/>
      <c r="J694" s="121"/>
      <c r="M694" s="9"/>
      <c r="N694" s="9"/>
    </row>
    <row r="695">
      <c r="E695" s="13"/>
      <c r="F695" s="13"/>
      <c r="J695" s="121"/>
      <c r="M695" s="9"/>
      <c r="N695" s="9"/>
    </row>
    <row r="696">
      <c r="E696" s="13"/>
      <c r="F696" s="13"/>
      <c r="J696" s="121"/>
      <c r="M696" s="9"/>
      <c r="N696" s="9"/>
    </row>
    <row r="697">
      <c r="E697" s="13"/>
      <c r="F697" s="13"/>
      <c r="J697" s="121"/>
      <c r="M697" s="9"/>
      <c r="N697" s="9"/>
    </row>
    <row r="698">
      <c r="E698" s="13"/>
      <c r="F698" s="13"/>
      <c r="J698" s="121"/>
      <c r="M698" s="9"/>
      <c r="N698" s="9"/>
    </row>
    <row r="699">
      <c r="E699" s="13"/>
      <c r="F699" s="13"/>
      <c r="J699" s="121"/>
      <c r="M699" s="9"/>
      <c r="N699" s="9"/>
    </row>
    <row r="700">
      <c r="E700" s="13"/>
      <c r="F700" s="13"/>
      <c r="J700" s="121"/>
      <c r="M700" s="9"/>
      <c r="N700" s="9"/>
    </row>
    <row r="701">
      <c r="E701" s="13"/>
      <c r="F701" s="13"/>
      <c r="J701" s="121"/>
      <c r="M701" s="9"/>
      <c r="N701" s="9"/>
    </row>
    <row r="702">
      <c r="E702" s="13"/>
      <c r="F702" s="13"/>
      <c r="J702" s="121"/>
      <c r="M702" s="9"/>
      <c r="N702" s="9"/>
    </row>
    <row r="703">
      <c r="E703" s="13"/>
      <c r="F703" s="13"/>
      <c r="J703" s="121"/>
      <c r="M703" s="9"/>
      <c r="N703" s="9"/>
    </row>
    <row r="704">
      <c r="E704" s="13"/>
      <c r="F704" s="13"/>
      <c r="J704" s="121"/>
      <c r="M704" s="9"/>
      <c r="N704" s="9"/>
    </row>
    <row r="705">
      <c r="E705" s="13"/>
      <c r="F705" s="13"/>
      <c r="J705" s="121"/>
      <c r="M705" s="9"/>
      <c r="N705" s="9"/>
    </row>
    <row r="706">
      <c r="E706" s="13"/>
      <c r="F706" s="13"/>
      <c r="J706" s="121"/>
      <c r="M706" s="9"/>
      <c r="N706" s="9"/>
    </row>
    <row r="707">
      <c r="E707" s="13"/>
      <c r="F707" s="13"/>
      <c r="J707" s="121"/>
      <c r="M707" s="9"/>
      <c r="N707" s="9"/>
    </row>
    <row r="708">
      <c r="E708" s="13"/>
      <c r="F708" s="13"/>
      <c r="J708" s="121"/>
      <c r="M708" s="9"/>
      <c r="N708" s="9"/>
    </row>
    <row r="709">
      <c r="E709" s="13"/>
      <c r="F709" s="13"/>
      <c r="J709" s="121"/>
      <c r="M709" s="9"/>
      <c r="N709" s="9"/>
    </row>
    <row r="710">
      <c r="E710" s="13"/>
      <c r="F710" s="13"/>
      <c r="J710" s="121"/>
      <c r="M710" s="9"/>
      <c r="N710" s="9"/>
    </row>
    <row r="711">
      <c r="E711" s="13"/>
      <c r="F711" s="13"/>
      <c r="J711" s="121"/>
      <c r="M711" s="9"/>
      <c r="N711" s="9"/>
    </row>
    <row r="712">
      <c r="E712" s="13"/>
      <c r="F712" s="13"/>
      <c r="J712" s="121"/>
      <c r="M712" s="9"/>
      <c r="N712" s="9"/>
    </row>
    <row r="713">
      <c r="E713" s="13"/>
      <c r="F713" s="13"/>
      <c r="J713" s="121"/>
      <c r="M713" s="9"/>
      <c r="N713" s="9"/>
    </row>
    <row r="714">
      <c r="E714" s="13"/>
      <c r="F714" s="13"/>
      <c r="J714" s="121"/>
      <c r="M714" s="9"/>
      <c r="N714" s="9"/>
    </row>
    <row r="715">
      <c r="E715" s="13"/>
      <c r="F715" s="13"/>
      <c r="J715" s="121"/>
      <c r="M715" s="9"/>
      <c r="N715" s="9"/>
    </row>
    <row r="716">
      <c r="E716" s="13"/>
      <c r="F716" s="13"/>
      <c r="J716" s="121"/>
      <c r="M716" s="9"/>
      <c r="N716" s="9"/>
    </row>
    <row r="717">
      <c r="E717" s="13"/>
      <c r="F717" s="13"/>
      <c r="J717" s="121"/>
      <c r="M717" s="9"/>
      <c r="N717" s="9"/>
    </row>
    <row r="718">
      <c r="E718" s="13"/>
      <c r="F718" s="13"/>
      <c r="J718" s="121"/>
      <c r="M718" s="9"/>
      <c r="N718" s="9"/>
    </row>
    <row r="719">
      <c r="E719" s="13"/>
      <c r="F719" s="13"/>
      <c r="J719" s="121"/>
      <c r="M719" s="9"/>
      <c r="N719" s="9"/>
    </row>
    <row r="720">
      <c r="E720" s="13"/>
      <c r="F720" s="13"/>
      <c r="J720" s="121"/>
      <c r="M720" s="9"/>
      <c r="N720" s="9"/>
    </row>
    <row r="721">
      <c r="E721" s="13"/>
      <c r="F721" s="13"/>
      <c r="J721" s="121"/>
      <c r="M721" s="9"/>
      <c r="N721" s="9"/>
    </row>
    <row r="722">
      <c r="E722" s="13"/>
      <c r="F722" s="13"/>
      <c r="J722" s="121"/>
      <c r="M722" s="9"/>
      <c r="N722" s="9"/>
    </row>
    <row r="723">
      <c r="E723" s="13"/>
      <c r="F723" s="13"/>
      <c r="J723" s="121"/>
      <c r="M723" s="9"/>
      <c r="N723" s="9"/>
    </row>
    <row r="724">
      <c r="E724" s="13"/>
      <c r="F724" s="13"/>
      <c r="J724" s="121"/>
      <c r="M724" s="9"/>
      <c r="N724" s="9"/>
    </row>
    <row r="725">
      <c r="E725" s="13"/>
      <c r="F725" s="13"/>
      <c r="J725" s="121"/>
      <c r="M725" s="9"/>
      <c r="N725" s="9"/>
    </row>
    <row r="726">
      <c r="E726" s="13"/>
      <c r="F726" s="13"/>
      <c r="J726" s="121"/>
      <c r="M726" s="9"/>
      <c r="N726" s="9"/>
    </row>
    <row r="727">
      <c r="E727" s="13"/>
      <c r="F727" s="13"/>
      <c r="J727" s="121"/>
      <c r="M727" s="9"/>
      <c r="N727" s="9"/>
    </row>
    <row r="728">
      <c r="E728" s="13"/>
      <c r="F728" s="13"/>
      <c r="J728" s="121"/>
      <c r="M728" s="9"/>
      <c r="N728" s="9"/>
    </row>
    <row r="729">
      <c r="E729" s="13"/>
      <c r="F729" s="13"/>
      <c r="J729" s="121"/>
      <c r="M729" s="9"/>
      <c r="N729" s="9"/>
    </row>
    <row r="730">
      <c r="E730" s="13"/>
      <c r="F730" s="13"/>
      <c r="J730" s="121"/>
      <c r="M730" s="9"/>
      <c r="N730" s="9"/>
    </row>
    <row r="731">
      <c r="E731" s="13"/>
      <c r="F731" s="13"/>
      <c r="J731" s="121"/>
      <c r="M731" s="9"/>
      <c r="N731" s="9"/>
    </row>
    <row r="732">
      <c r="E732" s="13"/>
      <c r="F732" s="13"/>
      <c r="J732" s="121"/>
      <c r="M732" s="9"/>
      <c r="N732" s="9"/>
    </row>
    <row r="733">
      <c r="E733" s="13"/>
      <c r="F733" s="13"/>
      <c r="J733" s="121"/>
      <c r="M733" s="9"/>
      <c r="N733" s="9"/>
    </row>
    <row r="734">
      <c r="E734" s="13"/>
      <c r="F734" s="13"/>
      <c r="J734" s="121"/>
      <c r="M734" s="9"/>
      <c r="N734" s="9"/>
    </row>
    <row r="735">
      <c r="E735" s="13"/>
      <c r="F735" s="13"/>
      <c r="J735" s="121"/>
      <c r="M735" s="9"/>
      <c r="N735" s="9"/>
    </row>
    <row r="736">
      <c r="E736" s="13"/>
      <c r="F736" s="13"/>
      <c r="J736" s="121"/>
      <c r="M736" s="9"/>
      <c r="N736" s="9"/>
    </row>
    <row r="737">
      <c r="E737" s="13"/>
      <c r="F737" s="13"/>
      <c r="J737" s="121"/>
      <c r="M737" s="9"/>
      <c r="N737" s="9"/>
    </row>
    <row r="738">
      <c r="E738" s="13"/>
      <c r="F738" s="13"/>
      <c r="J738" s="121"/>
      <c r="M738" s="9"/>
      <c r="N738" s="9"/>
    </row>
    <row r="739">
      <c r="E739" s="13"/>
      <c r="F739" s="13"/>
      <c r="J739" s="121"/>
      <c r="M739" s="9"/>
      <c r="N739" s="9"/>
    </row>
    <row r="740">
      <c r="E740" s="13"/>
      <c r="F740" s="13"/>
      <c r="J740" s="121"/>
      <c r="M740" s="9"/>
      <c r="N740" s="9"/>
    </row>
    <row r="741">
      <c r="E741" s="13"/>
      <c r="F741" s="13"/>
      <c r="J741" s="121"/>
      <c r="M741" s="9"/>
      <c r="N741" s="9"/>
    </row>
    <row r="742">
      <c r="E742" s="13"/>
      <c r="F742" s="13"/>
      <c r="J742" s="121"/>
      <c r="M742" s="9"/>
      <c r="N742" s="9"/>
    </row>
    <row r="743">
      <c r="E743" s="13"/>
      <c r="F743" s="13"/>
      <c r="J743" s="121"/>
      <c r="M743" s="9"/>
      <c r="N743" s="9"/>
    </row>
    <row r="744">
      <c r="E744" s="13"/>
      <c r="F744" s="13"/>
      <c r="J744" s="121"/>
      <c r="M744" s="9"/>
      <c r="N744" s="9"/>
    </row>
    <row r="745">
      <c r="E745" s="13"/>
      <c r="F745" s="13"/>
      <c r="J745" s="121"/>
      <c r="M745" s="9"/>
      <c r="N745" s="9"/>
    </row>
    <row r="746">
      <c r="E746" s="13"/>
      <c r="F746" s="13"/>
      <c r="J746" s="121"/>
      <c r="M746" s="9"/>
      <c r="N746" s="9"/>
    </row>
    <row r="747">
      <c r="E747" s="13"/>
      <c r="F747" s="13"/>
      <c r="J747" s="121"/>
      <c r="M747" s="9"/>
      <c r="N747" s="9"/>
    </row>
    <row r="748">
      <c r="E748" s="13"/>
      <c r="F748" s="13"/>
      <c r="J748" s="121"/>
      <c r="M748" s="9"/>
      <c r="N748" s="9"/>
    </row>
    <row r="749">
      <c r="E749" s="13"/>
      <c r="F749" s="13"/>
      <c r="J749" s="121"/>
      <c r="M749" s="9"/>
      <c r="N749" s="9"/>
    </row>
    <row r="750">
      <c r="E750" s="13"/>
      <c r="F750" s="13"/>
      <c r="J750" s="121"/>
      <c r="M750" s="9"/>
      <c r="N750" s="9"/>
    </row>
    <row r="751">
      <c r="E751" s="13"/>
      <c r="F751" s="13"/>
      <c r="J751" s="121"/>
      <c r="M751" s="9"/>
      <c r="N751" s="9"/>
    </row>
    <row r="752">
      <c r="E752" s="13"/>
      <c r="F752" s="13"/>
      <c r="J752" s="121"/>
      <c r="M752" s="9"/>
      <c r="N752" s="9"/>
    </row>
    <row r="753">
      <c r="E753" s="13"/>
      <c r="F753" s="13"/>
      <c r="J753" s="121"/>
      <c r="M753" s="9"/>
      <c r="N753" s="9"/>
    </row>
    <row r="754">
      <c r="E754" s="13"/>
      <c r="F754" s="13"/>
      <c r="J754" s="121"/>
      <c r="M754" s="9"/>
      <c r="N754" s="9"/>
    </row>
    <row r="755">
      <c r="E755" s="13"/>
      <c r="F755" s="13"/>
      <c r="J755" s="121"/>
      <c r="M755" s="9"/>
      <c r="N755" s="9"/>
    </row>
    <row r="756">
      <c r="E756" s="13"/>
      <c r="F756" s="13"/>
      <c r="J756" s="121"/>
      <c r="M756" s="9"/>
      <c r="N756" s="9"/>
    </row>
    <row r="757">
      <c r="E757" s="13"/>
      <c r="F757" s="13"/>
      <c r="J757" s="121"/>
      <c r="M757" s="9"/>
      <c r="N757" s="9"/>
    </row>
    <row r="758">
      <c r="E758" s="13"/>
      <c r="F758" s="13"/>
      <c r="J758" s="121"/>
      <c r="M758" s="9"/>
      <c r="N758" s="9"/>
    </row>
    <row r="759">
      <c r="E759" s="13"/>
      <c r="F759" s="13"/>
      <c r="J759" s="121"/>
      <c r="M759" s="9"/>
      <c r="N759" s="9"/>
    </row>
    <row r="760">
      <c r="E760" s="13"/>
      <c r="F760" s="13"/>
      <c r="J760" s="121"/>
      <c r="M760" s="9"/>
      <c r="N760" s="9"/>
    </row>
    <row r="761">
      <c r="E761" s="13"/>
      <c r="F761" s="13"/>
      <c r="J761" s="121"/>
      <c r="M761" s="9"/>
      <c r="N761" s="9"/>
    </row>
    <row r="762">
      <c r="E762" s="13"/>
      <c r="F762" s="13"/>
      <c r="J762" s="121"/>
      <c r="M762" s="9"/>
      <c r="N762" s="9"/>
    </row>
    <row r="763">
      <c r="E763" s="13"/>
      <c r="F763" s="13"/>
      <c r="J763" s="121"/>
      <c r="M763" s="9"/>
      <c r="N763" s="9"/>
    </row>
    <row r="764">
      <c r="E764" s="13"/>
      <c r="F764" s="13"/>
      <c r="J764" s="121"/>
      <c r="M764" s="9"/>
      <c r="N764" s="9"/>
    </row>
    <row r="765">
      <c r="E765" s="13"/>
      <c r="F765" s="13"/>
      <c r="J765" s="121"/>
      <c r="M765" s="9"/>
      <c r="N765" s="9"/>
    </row>
    <row r="766">
      <c r="E766" s="13"/>
      <c r="F766" s="13"/>
      <c r="J766" s="121"/>
      <c r="M766" s="9"/>
      <c r="N766" s="9"/>
    </row>
    <row r="767">
      <c r="E767" s="13"/>
      <c r="F767" s="13"/>
      <c r="J767" s="121"/>
      <c r="M767" s="9"/>
      <c r="N767" s="9"/>
    </row>
    <row r="768">
      <c r="E768" s="13"/>
      <c r="F768" s="13"/>
      <c r="J768" s="121"/>
      <c r="M768" s="9"/>
      <c r="N768" s="9"/>
    </row>
    <row r="769">
      <c r="E769" s="13"/>
      <c r="F769" s="13"/>
      <c r="J769" s="121"/>
      <c r="M769" s="9"/>
      <c r="N769" s="9"/>
    </row>
    <row r="770">
      <c r="E770" s="13"/>
      <c r="F770" s="13"/>
      <c r="J770" s="121"/>
      <c r="M770" s="9"/>
      <c r="N770" s="9"/>
    </row>
    <row r="771">
      <c r="E771" s="13"/>
      <c r="F771" s="13"/>
      <c r="J771" s="121"/>
      <c r="M771" s="9"/>
      <c r="N771" s="9"/>
    </row>
    <row r="772">
      <c r="E772" s="13"/>
      <c r="F772" s="13"/>
      <c r="J772" s="121"/>
      <c r="M772" s="9"/>
      <c r="N772" s="9"/>
    </row>
    <row r="773">
      <c r="E773" s="13"/>
      <c r="F773" s="13"/>
      <c r="J773" s="121"/>
      <c r="M773" s="9"/>
      <c r="N773" s="9"/>
    </row>
    <row r="774">
      <c r="E774" s="13"/>
      <c r="F774" s="13"/>
      <c r="J774" s="121"/>
      <c r="M774" s="9"/>
      <c r="N774" s="9"/>
    </row>
    <row r="775">
      <c r="E775" s="13"/>
      <c r="F775" s="13"/>
      <c r="J775" s="121"/>
      <c r="M775" s="9"/>
      <c r="N775" s="9"/>
    </row>
    <row r="776">
      <c r="E776" s="13"/>
      <c r="F776" s="13"/>
      <c r="J776" s="121"/>
      <c r="M776" s="9"/>
      <c r="N776" s="9"/>
    </row>
    <row r="777">
      <c r="E777" s="13"/>
      <c r="F777" s="13"/>
      <c r="J777" s="121"/>
      <c r="M777" s="9"/>
      <c r="N777" s="9"/>
    </row>
    <row r="778">
      <c r="E778" s="13"/>
      <c r="F778" s="13"/>
      <c r="J778" s="121"/>
      <c r="M778" s="9"/>
      <c r="N778" s="9"/>
    </row>
    <row r="779">
      <c r="E779" s="13"/>
      <c r="F779" s="13"/>
      <c r="J779" s="121"/>
      <c r="M779" s="9"/>
      <c r="N779" s="9"/>
    </row>
    <row r="780">
      <c r="E780" s="13"/>
      <c r="F780" s="13"/>
      <c r="J780" s="121"/>
      <c r="M780" s="9"/>
      <c r="N780" s="9"/>
    </row>
    <row r="781">
      <c r="E781" s="13"/>
      <c r="F781" s="13"/>
      <c r="J781" s="121"/>
      <c r="M781" s="9"/>
      <c r="N781" s="9"/>
    </row>
    <row r="782">
      <c r="E782" s="13"/>
      <c r="F782" s="13"/>
      <c r="J782" s="121"/>
      <c r="M782" s="9"/>
      <c r="N782" s="9"/>
    </row>
    <row r="783">
      <c r="E783" s="13"/>
      <c r="F783" s="13"/>
      <c r="J783" s="121"/>
      <c r="M783" s="9"/>
      <c r="N783" s="9"/>
    </row>
    <row r="784">
      <c r="E784" s="13"/>
      <c r="F784" s="13"/>
      <c r="J784" s="121"/>
      <c r="M784" s="9"/>
      <c r="N784" s="9"/>
    </row>
    <row r="785">
      <c r="E785" s="13"/>
      <c r="F785" s="13"/>
      <c r="J785" s="121"/>
      <c r="M785" s="9"/>
      <c r="N785" s="9"/>
    </row>
    <row r="786">
      <c r="E786" s="13"/>
      <c r="F786" s="13"/>
      <c r="J786" s="121"/>
      <c r="M786" s="9"/>
      <c r="N786" s="9"/>
    </row>
    <row r="787">
      <c r="E787" s="13"/>
      <c r="F787" s="13"/>
      <c r="J787" s="121"/>
      <c r="M787" s="9"/>
      <c r="N787" s="9"/>
    </row>
    <row r="788">
      <c r="E788" s="13"/>
      <c r="F788" s="13"/>
      <c r="J788" s="121"/>
      <c r="M788" s="9"/>
      <c r="N788" s="9"/>
    </row>
    <row r="789">
      <c r="E789" s="13"/>
      <c r="F789" s="13"/>
      <c r="J789" s="121"/>
      <c r="M789" s="9"/>
      <c r="N789" s="9"/>
    </row>
    <row r="790">
      <c r="E790" s="13"/>
      <c r="F790" s="13"/>
      <c r="J790" s="121"/>
      <c r="M790" s="9"/>
      <c r="N790" s="9"/>
    </row>
    <row r="791">
      <c r="E791" s="13"/>
      <c r="F791" s="13"/>
      <c r="J791" s="121"/>
      <c r="M791" s="9"/>
      <c r="N791" s="9"/>
    </row>
    <row r="792">
      <c r="E792" s="13"/>
      <c r="F792" s="13"/>
      <c r="J792" s="121"/>
      <c r="M792" s="9"/>
      <c r="N792" s="9"/>
    </row>
    <row r="793">
      <c r="E793" s="13"/>
      <c r="F793" s="13"/>
      <c r="J793" s="121"/>
      <c r="M793" s="9"/>
      <c r="N793" s="9"/>
    </row>
    <row r="794">
      <c r="E794" s="13"/>
      <c r="F794" s="13"/>
      <c r="J794" s="121"/>
      <c r="M794" s="9"/>
      <c r="N794" s="9"/>
    </row>
    <row r="795">
      <c r="E795" s="13"/>
      <c r="F795" s="13"/>
      <c r="J795" s="121"/>
      <c r="M795" s="9"/>
      <c r="N795" s="9"/>
    </row>
    <row r="796">
      <c r="E796" s="13"/>
      <c r="F796" s="13"/>
      <c r="J796" s="121"/>
      <c r="M796" s="9"/>
      <c r="N796" s="9"/>
    </row>
    <row r="797">
      <c r="E797" s="13"/>
      <c r="F797" s="13"/>
      <c r="J797" s="121"/>
      <c r="M797" s="9"/>
      <c r="N797" s="9"/>
    </row>
    <row r="798">
      <c r="E798" s="13"/>
      <c r="F798" s="13"/>
      <c r="J798" s="121"/>
      <c r="M798" s="9"/>
      <c r="N798" s="9"/>
    </row>
    <row r="799">
      <c r="E799" s="13"/>
      <c r="F799" s="13"/>
      <c r="J799" s="121"/>
      <c r="M799" s="9"/>
      <c r="N799" s="9"/>
    </row>
    <row r="800">
      <c r="E800" s="13"/>
      <c r="F800" s="13"/>
      <c r="J800" s="121"/>
      <c r="M800" s="9"/>
      <c r="N800" s="9"/>
    </row>
    <row r="801">
      <c r="E801" s="13"/>
      <c r="F801" s="13"/>
      <c r="J801" s="121"/>
      <c r="M801" s="9"/>
      <c r="N801" s="9"/>
    </row>
    <row r="802">
      <c r="E802" s="13"/>
      <c r="F802" s="13"/>
      <c r="J802" s="121"/>
      <c r="M802" s="9"/>
      <c r="N802" s="9"/>
    </row>
    <row r="803">
      <c r="E803" s="13"/>
      <c r="F803" s="13"/>
      <c r="J803" s="121"/>
      <c r="M803" s="9"/>
      <c r="N803" s="9"/>
    </row>
    <row r="804">
      <c r="E804" s="13"/>
      <c r="F804" s="13"/>
      <c r="J804" s="121"/>
      <c r="M804" s="9"/>
      <c r="N804" s="9"/>
    </row>
    <row r="805">
      <c r="E805" s="13"/>
      <c r="F805" s="13"/>
      <c r="J805" s="121"/>
      <c r="M805" s="9"/>
      <c r="N805" s="9"/>
    </row>
    <row r="806">
      <c r="E806" s="13"/>
      <c r="F806" s="13"/>
      <c r="J806" s="121"/>
      <c r="M806" s="9"/>
      <c r="N806" s="9"/>
    </row>
    <row r="807">
      <c r="E807" s="13"/>
      <c r="F807" s="13"/>
      <c r="J807" s="121"/>
      <c r="M807" s="9"/>
      <c r="N807" s="9"/>
    </row>
    <row r="808">
      <c r="E808" s="13"/>
      <c r="F808" s="13"/>
      <c r="J808" s="121"/>
      <c r="M808" s="9"/>
      <c r="N808" s="9"/>
    </row>
    <row r="809">
      <c r="E809" s="13"/>
      <c r="F809" s="13"/>
      <c r="J809" s="121"/>
      <c r="M809" s="9"/>
      <c r="N809" s="9"/>
    </row>
    <row r="810">
      <c r="E810" s="13"/>
      <c r="F810" s="13"/>
      <c r="J810" s="121"/>
      <c r="M810" s="9"/>
      <c r="N810" s="9"/>
    </row>
    <row r="811">
      <c r="E811" s="13"/>
      <c r="F811" s="13"/>
      <c r="J811" s="121"/>
      <c r="M811" s="9"/>
      <c r="N811" s="9"/>
    </row>
    <row r="812">
      <c r="E812" s="13"/>
      <c r="F812" s="13"/>
      <c r="J812" s="121"/>
      <c r="M812" s="9"/>
      <c r="N812" s="9"/>
    </row>
    <row r="813">
      <c r="E813" s="13"/>
      <c r="F813" s="13"/>
      <c r="J813" s="121"/>
      <c r="M813" s="9"/>
      <c r="N813" s="9"/>
    </row>
    <row r="814">
      <c r="E814" s="13"/>
      <c r="F814" s="13"/>
      <c r="J814" s="121"/>
      <c r="M814" s="9"/>
      <c r="N814" s="9"/>
    </row>
    <row r="815">
      <c r="E815" s="13"/>
      <c r="F815" s="13"/>
      <c r="J815" s="121"/>
      <c r="M815" s="9"/>
      <c r="N815" s="9"/>
    </row>
    <row r="816">
      <c r="E816" s="13"/>
      <c r="F816" s="13"/>
      <c r="J816" s="121"/>
      <c r="M816" s="9"/>
      <c r="N816" s="9"/>
    </row>
    <row r="817">
      <c r="E817" s="13"/>
      <c r="F817" s="13"/>
      <c r="J817" s="121"/>
      <c r="M817" s="9"/>
      <c r="N817" s="9"/>
    </row>
    <row r="818">
      <c r="E818" s="13"/>
      <c r="F818" s="13"/>
      <c r="J818" s="121"/>
      <c r="M818" s="9"/>
      <c r="N818" s="9"/>
    </row>
    <row r="819">
      <c r="E819" s="13"/>
      <c r="F819" s="13"/>
      <c r="J819" s="121"/>
      <c r="M819" s="9"/>
      <c r="N819" s="9"/>
    </row>
    <row r="820">
      <c r="E820" s="13"/>
      <c r="F820" s="13"/>
      <c r="J820" s="121"/>
      <c r="M820" s="9"/>
      <c r="N820" s="9"/>
    </row>
    <row r="821">
      <c r="E821" s="13"/>
      <c r="F821" s="13"/>
      <c r="J821" s="121"/>
      <c r="M821" s="9"/>
      <c r="N821" s="9"/>
    </row>
    <row r="822">
      <c r="E822" s="13"/>
      <c r="F822" s="13"/>
      <c r="J822" s="121"/>
      <c r="M822" s="9"/>
      <c r="N822" s="9"/>
    </row>
    <row r="823">
      <c r="E823" s="13"/>
      <c r="F823" s="13"/>
      <c r="J823" s="121"/>
      <c r="M823" s="9"/>
      <c r="N823" s="9"/>
    </row>
    <row r="824">
      <c r="E824" s="13"/>
      <c r="F824" s="13"/>
      <c r="J824" s="121"/>
      <c r="M824" s="9"/>
      <c r="N824" s="9"/>
    </row>
    <row r="825">
      <c r="E825" s="13"/>
      <c r="F825" s="13"/>
      <c r="J825" s="121"/>
      <c r="M825" s="9"/>
      <c r="N825" s="9"/>
    </row>
    <row r="826">
      <c r="E826" s="13"/>
      <c r="F826" s="13"/>
      <c r="J826" s="121"/>
      <c r="M826" s="9"/>
      <c r="N826" s="9"/>
    </row>
    <row r="827">
      <c r="E827" s="13"/>
      <c r="F827" s="13"/>
      <c r="J827" s="121"/>
      <c r="M827" s="9"/>
      <c r="N827" s="9"/>
    </row>
    <row r="828">
      <c r="E828" s="13"/>
      <c r="F828" s="13"/>
      <c r="J828" s="121"/>
      <c r="M828" s="9"/>
      <c r="N828" s="9"/>
    </row>
    <row r="829">
      <c r="E829" s="13"/>
      <c r="F829" s="13"/>
      <c r="J829" s="121"/>
      <c r="M829" s="9"/>
      <c r="N829" s="9"/>
    </row>
    <row r="830">
      <c r="E830" s="13"/>
      <c r="F830" s="13"/>
      <c r="J830" s="121"/>
      <c r="M830" s="9"/>
      <c r="N830" s="9"/>
    </row>
    <row r="831">
      <c r="E831" s="13"/>
      <c r="F831" s="13"/>
      <c r="J831" s="121"/>
      <c r="M831" s="9"/>
      <c r="N831" s="9"/>
    </row>
    <row r="832">
      <c r="E832" s="13"/>
      <c r="F832" s="13"/>
      <c r="J832" s="121"/>
      <c r="M832" s="9"/>
      <c r="N832" s="9"/>
    </row>
    <row r="833">
      <c r="E833" s="13"/>
      <c r="F833" s="13"/>
      <c r="J833" s="121"/>
      <c r="M833" s="9"/>
      <c r="N833" s="9"/>
    </row>
    <row r="834">
      <c r="E834" s="13"/>
      <c r="F834" s="13"/>
      <c r="J834" s="121"/>
      <c r="M834" s="9"/>
      <c r="N834" s="9"/>
    </row>
    <row r="835">
      <c r="E835" s="13"/>
      <c r="F835" s="13"/>
      <c r="J835" s="121"/>
      <c r="M835" s="9"/>
      <c r="N835" s="9"/>
    </row>
    <row r="836">
      <c r="E836" s="13"/>
      <c r="F836" s="13"/>
      <c r="J836" s="121"/>
      <c r="M836" s="9"/>
      <c r="N836" s="9"/>
    </row>
    <row r="837">
      <c r="E837" s="13"/>
      <c r="F837" s="13"/>
      <c r="J837" s="121"/>
      <c r="M837" s="9"/>
      <c r="N837" s="9"/>
    </row>
    <row r="838">
      <c r="E838" s="13"/>
      <c r="F838" s="13"/>
      <c r="J838" s="121"/>
      <c r="M838" s="9"/>
      <c r="N838" s="9"/>
    </row>
    <row r="839">
      <c r="E839" s="13"/>
      <c r="F839" s="13"/>
      <c r="J839" s="121"/>
      <c r="M839" s="9"/>
      <c r="N839" s="9"/>
    </row>
    <row r="840">
      <c r="E840" s="13"/>
      <c r="F840" s="13"/>
      <c r="J840" s="121"/>
      <c r="M840" s="9"/>
      <c r="N840" s="9"/>
    </row>
    <row r="841">
      <c r="E841" s="13"/>
      <c r="F841" s="13"/>
      <c r="J841" s="121"/>
      <c r="M841" s="9"/>
      <c r="N841" s="9"/>
    </row>
    <row r="842">
      <c r="E842" s="13"/>
      <c r="F842" s="13"/>
      <c r="J842" s="121"/>
      <c r="M842" s="9"/>
      <c r="N842" s="9"/>
    </row>
    <row r="843">
      <c r="E843" s="13"/>
      <c r="F843" s="13"/>
      <c r="J843" s="121"/>
      <c r="M843" s="9"/>
      <c r="N843" s="9"/>
    </row>
    <row r="844">
      <c r="E844" s="13"/>
      <c r="F844" s="13"/>
      <c r="J844" s="121"/>
      <c r="M844" s="9"/>
      <c r="N844" s="9"/>
    </row>
    <row r="845">
      <c r="E845" s="13"/>
      <c r="F845" s="13"/>
      <c r="J845" s="121"/>
      <c r="M845" s="9"/>
      <c r="N845" s="9"/>
    </row>
    <row r="846">
      <c r="E846" s="13"/>
      <c r="F846" s="13"/>
      <c r="J846" s="121"/>
      <c r="M846" s="9"/>
      <c r="N846" s="9"/>
    </row>
    <row r="847">
      <c r="E847" s="13"/>
      <c r="F847" s="13"/>
      <c r="J847" s="121"/>
      <c r="M847" s="9"/>
      <c r="N847" s="9"/>
    </row>
    <row r="848">
      <c r="E848" s="13"/>
      <c r="F848" s="13"/>
      <c r="J848" s="121"/>
      <c r="M848" s="9"/>
      <c r="N848" s="9"/>
    </row>
    <row r="849">
      <c r="E849" s="13"/>
      <c r="F849" s="13"/>
      <c r="J849" s="121"/>
      <c r="M849" s="9"/>
      <c r="N849" s="9"/>
    </row>
    <row r="850">
      <c r="E850" s="13"/>
      <c r="F850" s="13"/>
      <c r="J850" s="121"/>
      <c r="M850" s="9"/>
      <c r="N850" s="9"/>
    </row>
    <row r="851">
      <c r="E851" s="13"/>
      <c r="F851" s="13"/>
      <c r="J851" s="121"/>
      <c r="M851" s="9"/>
      <c r="N851" s="9"/>
    </row>
    <row r="852">
      <c r="E852" s="13"/>
      <c r="F852" s="13"/>
      <c r="J852" s="121"/>
      <c r="M852" s="9"/>
      <c r="N852" s="9"/>
    </row>
    <row r="853">
      <c r="E853" s="13"/>
      <c r="F853" s="13"/>
      <c r="J853" s="121"/>
      <c r="M853" s="9"/>
      <c r="N853" s="9"/>
    </row>
    <row r="854">
      <c r="E854" s="13"/>
      <c r="F854" s="13"/>
      <c r="J854" s="121"/>
      <c r="M854" s="9"/>
      <c r="N854" s="9"/>
    </row>
    <row r="855">
      <c r="E855" s="13"/>
      <c r="F855" s="13"/>
      <c r="J855" s="121"/>
      <c r="M855" s="9"/>
      <c r="N855" s="9"/>
    </row>
    <row r="856">
      <c r="E856" s="13"/>
      <c r="F856" s="13"/>
      <c r="J856" s="121"/>
      <c r="M856" s="9"/>
      <c r="N856" s="9"/>
    </row>
    <row r="857">
      <c r="E857" s="13"/>
      <c r="F857" s="13"/>
      <c r="J857" s="121"/>
      <c r="M857" s="9"/>
      <c r="N857" s="9"/>
    </row>
    <row r="858">
      <c r="E858" s="13"/>
      <c r="F858" s="13"/>
      <c r="J858" s="121"/>
      <c r="M858" s="9"/>
      <c r="N858" s="9"/>
    </row>
    <row r="859">
      <c r="E859" s="13"/>
      <c r="F859" s="13"/>
      <c r="J859" s="121"/>
      <c r="M859" s="9"/>
      <c r="N859" s="9"/>
    </row>
    <row r="860">
      <c r="E860" s="13"/>
      <c r="F860" s="13"/>
      <c r="J860" s="121"/>
      <c r="M860" s="9"/>
      <c r="N860" s="9"/>
    </row>
    <row r="861">
      <c r="E861" s="13"/>
      <c r="F861" s="13"/>
      <c r="J861" s="121"/>
      <c r="M861" s="9"/>
      <c r="N861" s="9"/>
    </row>
    <row r="862">
      <c r="E862" s="13"/>
      <c r="F862" s="13"/>
      <c r="J862" s="121"/>
      <c r="M862" s="9"/>
      <c r="N862" s="9"/>
    </row>
    <row r="863">
      <c r="E863" s="13"/>
      <c r="F863" s="13"/>
      <c r="J863" s="121"/>
      <c r="M863" s="9"/>
      <c r="N863" s="9"/>
    </row>
    <row r="864">
      <c r="E864" s="13"/>
      <c r="F864" s="13"/>
      <c r="J864" s="121"/>
      <c r="M864" s="9"/>
      <c r="N864" s="9"/>
    </row>
    <row r="865">
      <c r="E865" s="13"/>
      <c r="F865" s="13"/>
      <c r="J865" s="121"/>
      <c r="M865" s="9"/>
      <c r="N865" s="9"/>
    </row>
    <row r="866">
      <c r="E866" s="13"/>
      <c r="F866" s="13"/>
      <c r="J866" s="121"/>
      <c r="M866" s="9"/>
      <c r="N866" s="9"/>
    </row>
    <row r="867">
      <c r="E867" s="13"/>
      <c r="F867" s="13"/>
      <c r="J867" s="121"/>
      <c r="M867" s="9"/>
      <c r="N867" s="9"/>
    </row>
    <row r="868">
      <c r="E868" s="13"/>
      <c r="F868" s="13"/>
      <c r="J868" s="121"/>
      <c r="M868" s="9"/>
      <c r="N868" s="9"/>
    </row>
    <row r="869">
      <c r="E869" s="13"/>
      <c r="F869" s="13"/>
      <c r="J869" s="121"/>
      <c r="M869" s="9"/>
      <c r="N869" s="9"/>
    </row>
    <row r="870">
      <c r="E870" s="13"/>
      <c r="F870" s="13"/>
      <c r="J870" s="121"/>
      <c r="M870" s="9"/>
      <c r="N870" s="9"/>
    </row>
    <row r="871">
      <c r="E871" s="13"/>
      <c r="F871" s="13"/>
      <c r="J871" s="121"/>
      <c r="M871" s="9"/>
      <c r="N871" s="9"/>
    </row>
    <row r="872">
      <c r="E872" s="13"/>
      <c r="F872" s="13"/>
      <c r="J872" s="121"/>
      <c r="M872" s="9"/>
      <c r="N872" s="9"/>
    </row>
    <row r="873">
      <c r="E873" s="13"/>
      <c r="F873" s="13"/>
      <c r="J873" s="121"/>
      <c r="M873" s="9"/>
      <c r="N873" s="9"/>
    </row>
    <row r="874">
      <c r="E874" s="13"/>
      <c r="F874" s="13"/>
      <c r="J874" s="121"/>
      <c r="M874" s="9"/>
      <c r="N874" s="9"/>
    </row>
    <row r="875">
      <c r="E875" s="13"/>
      <c r="F875" s="13"/>
      <c r="J875" s="121"/>
      <c r="M875" s="9"/>
      <c r="N875" s="9"/>
    </row>
    <row r="876">
      <c r="E876" s="13"/>
      <c r="F876" s="13"/>
      <c r="J876" s="121"/>
      <c r="M876" s="9"/>
      <c r="N876" s="9"/>
    </row>
    <row r="877">
      <c r="E877" s="13"/>
      <c r="F877" s="13"/>
      <c r="J877" s="121"/>
      <c r="M877" s="9"/>
      <c r="N877" s="9"/>
    </row>
    <row r="878">
      <c r="E878" s="13"/>
      <c r="F878" s="13"/>
      <c r="J878" s="121"/>
      <c r="M878" s="9"/>
      <c r="N878" s="9"/>
    </row>
    <row r="879">
      <c r="E879" s="13"/>
      <c r="F879" s="13"/>
      <c r="J879" s="121"/>
      <c r="M879" s="9"/>
      <c r="N879" s="9"/>
    </row>
    <row r="880">
      <c r="E880" s="13"/>
      <c r="F880" s="13"/>
      <c r="J880" s="121"/>
      <c r="M880" s="9"/>
      <c r="N880" s="9"/>
    </row>
    <row r="881">
      <c r="E881" s="13"/>
      <c r="F881" s="13"/>
      <c r="J881" s="121"/>
      <c r="M881" s="9"/>
      <c r="N881" s="9"/>
    </row>
    <row r="882">
      <c r="E882" s="13"/>
      <c r="F882" s="13"/>
      <c r="J882" s="121"/>
      <c r="M882" s="9"/>
      <c r="N882" s="9"/>
    </row>
    <row r="883">
      <c r="E883" s="13"/>
      <c r="F883" s="13"/>
      <c r="J883" s="121"/>
      <c r="M883" s="9"/>
      <c r="N883" s="9"/>
    </row>
    <row r="884">
      <c r="E884" s="13"/>
      <c r="F884" s="13"/>
      <c r="J884" s="121"/>
      <c r="M884" s="9"/>
      <c r="N884" s="9"/>
    </row>
    <row r="885">
      <c r="E885" s="13"/>
      <c r="F885" s="13"/>
      <c r="J885" s="121"/>
      <c r="M885" s="9"/>
      <c r="N885" s="9"/>
    </row>
    <row r="886">
      <c r="E886" s="13"/>
      <c r="F886" s="13"/>
      <c r="J886" s="121"/>
      <c r="M886" s="9"/>
      <c r="N886" s="9"/>
    </row>
    <row r="887">
      <c r="E887" s="13"/>
      <c r="F887" s="13"/>
      <c r="J887" s="121"/>
      <c r="M887" s="9"/>
      <c r="N887" s="9"/>
    </row>
    <row r="888">
      <c r="E888" s="13"/>
      <c r="F888" s="13"/>
      <c r="J888" s="121"/>
      <c r="M888" s="9"/>
      <c r="N888" s="9"/>
    </row>
    <row r="889">
      <c r="E889" s="13"/>
      <c r="F889" s="13"/>
      <c r="J889" s="121"/>
      <c r="M889" s="9"/>
      <c r="N889" s="9"/>
    </row>
    <row r="890">
      <c r="E890" s="13"/>
      <c r="F890" s="13"/>
      <c r="J890" s="121"/>
      <c r="M890" s="9"/>
      <c r="N890" s="9"/>
    </row>
    <row r="891">
      <c r="E891" s="13"/>
      <c r="F891" s="13"/>
      <c r="J891" s="121"/>
      <c r="M891" s="9"/>
      <c r="N891" s="9"/>
    </row>
    <row r="892">
      <c r="E892" s="13"/>
      <c r="F892" s="13"/>
      <c r="J892" s="121"/>
      <c r="M892" s="9"/>
      <c r="N892" s="9"/>
    </row>
    <row r="893">
      <c r="E893" s="13"/>
      <c r="F893" s="13"/>
      <c r="J893" s="121"/>
      <c r="M893" s="9"/>
      <c r="N893" s="9"/>
    </row>
    <row r="894">
      <c r="E894" s="13"/>
      <c r="F894" s="13"/>
      <c r="J894" s="121"/>
      <c r="M894" s="9"/>
      <c r="N894" s="9"/>
    </row>
    <row r="895">
      <c r="E895" s="13"/>
      <c r="F895" s="13"/>
      <c r="J895" s="121"/>
      <c r="M895" s="9"/>
      <c r="N895" s="9"/>
    </row>
    <row r="896">
      <c r="E896" s="13"/>
      <c r="F896" s="13"/>
      <c r="J896" s="121"/>
      <c r="M896" s="9"/>
      <c r="N896" s="9"/>
    </row>
    <row r="897">
      <c r="E897" s="13"/>
      <c r="F897" s="13"/>
      <c r="J897" s="121"/>
      <c r="M897" s="9"/>
      <c r="N897" s="9"/>
    </row>
    <row r="898">
      <c r="E898" s="13"/>
      <c r="F898" s="13"/>
      <c r="J898" s="121"/>
      <c r="M898" s="9"/>
      <c r="N898" s="9"/>
    </row>
    <row r="899">
      <c r="E899" s="13"/>
      <c r="F899" s="13"/>
      <c r="J899" s="121"/>
      <c r="M899" s="9"/>
      <c r="N899" s="9"/>
    </row>
    <row r="900">
      <c r="E900" s="13"/>
      <c r="F900" s="13"/>
      <c r="J900" s="121"/>
      <c r="M900" s="9"/>
      <c r="N900" s="9"/>
    </row>
    <row r="901">
      <c r="E901" s="13"/>
      <c r="F901" s="13"/>
      <c r="J901" s="121"/>
      <c r="M901" s="9"/>
      <c r="N901" s="9"/>
    </row>
    <row r="902">
      <c r="E902" s="13"/>
      <c r="F902" s="13"/>
      <c r="J902" s="121"/>
      <c r="M902" s="9"/>
      <c r="N902" s="9"/>
    </row>
    <row r="903">
      <c r="E903" s="13"/>
      <c r="F903" s="13"/>
      <c r="J903" s="121"/>
      <c r="M903" s="9"/>
      <c r="N903" s="9"/>
    </row>
    <row r="904">
      <c r="E904" s="13"/>
      <c r="F904" s="13"/>
      <c r="J904" s="121"/>
      <c r="M904" s="9"/>
      <c r="N904" s="9"/>
    </row>
    <row r="905">
      <c r="E905" s="13"/>
      <c r="F905" s="13"/>
      <c r="J905" s="121"/>
      <c r="M905" s="9"/>
      <c r="N905" s="9"/>
    </row>
    <row r="906">
      <c r="E906" s="13"/>
      <c r="F906" s="13"/>
      <c r="J906" s="121"/>
      <c r="M906" s="9"/>
      <c r="N906" s="9"/>
    </row>
    <row r="907">
      <c r="E907" s="13"/>
      <c r="F907" s="13"/>
      <c r="J907" s="121"/>
      <c r="M907" s="9"/>
      <c r="N907" s="9"/>
    </row>
    <row r="908">
      <c r="E908" s="13"/>
      <c r="F908" s="13"/>
      <c r="J908" s="121"/>
      <c r="M908" s="9"/>
      <c r="N908" s="9"/>
    </row>
    <row r="909">
      <c r="E909" s="13"/>
      <c r="F909" s="13"/>
      <c r="J909" s="121"/>
      <c r="M909" s="9"/>
      <c r="N909" s="9"/>
    </row>
    <row r="910">
      <c r="E910" s="13"/>
      <c r="F910" s="13"/>
      <c r="J910" s="121"/>
      <c r="M910" s="9"/>
      <c r="N910" s="9"/>
    </row>
    <row r="911">
      <c r="E911" s="13"/>
      <c r="F911" s="13"/>
      <c r="J911" s="121"/>
      <c r="M911" s="9"/>
      <c r="N911" s="9"/>
    </row>
    <row r="912">
      <c r="E912" s="13"/>
      <c r="F912" s="13"/>
      <c r="J912" s="121"/>
      <c r="M912" s="9"/>
      <c r="N912" s="9"/>
    </row>
    <row r="913">
      <c r="E913" s="13"/>
      <c r="F913" s="13"/>
      <c r="J913" s="121"/>
      <c r="M913" s="9"/>
      <c r="N913" s="9"/>
    </row>
    <row r="914">
      <c r="E914" s="13"/>
      <c r="F914" s="13"/>
      <c r="J914" s="121"/>
      <c r="M914" s="9"/>
      <c r="N914" s="9"/>
    </row>
    <row r="915">
      <c r="E915" s="13"/>
      <c r="F915" s="13"/>
      <c r="J915" s="121"/>
      <c r="M915" s="9"/>
      <c r="N915" s="9"/>
    </row>
    <row r="916">
      <c r="E916" s="13"/>
      <c r="F916" s="13"/>
      <c r="J916" s="121"/>
      <c r="M916" s="9"/>
      <c r="N916" s="9"/>
    </row>
    <row r="917">
      <c r="E917" s="13"/>
      <c r="F917" s="13"/>
      <c r="J917" s="121"/>
      <c r="M917" s="9"/>
      <c r="N917" s="9"/>
    </row>
    <row r="918">
      <c r="E918" s="13"/>
      <c r="F918" s="13"/>
      <c r="J918" s="121"/>
      <c r="M918" s="9"/>
      <c r="N918" s="9"/>
    </row>
    <row r="919">
      <c r="E919" s="13"/>
      <c r="F919" s="13"/>
      <c r="J919" s="121"/>
      <c r="M919" s="9"/>
      <c r="N919" s="9"/>
    </row>
    <row r="920">
      <c r="E920" s="13"/>
      <c r="F920" s="13"/>
      <c r="J920" s="121"/>
      <c r="M920" s="9"/>
      <c r="N920" s="9"/>
    </row>
    <row r="921">
      <c r="E921" s="13"/>
      <c r="F921" s="13"/>
      <c r="J921" s="121"/>
      <c r="M921" s="9"/>
      <c r="N921" s="9"/>
    </row>
    <row r="922">
      <c r="E922" s="13"/>
      <c r="F922" s="13"/>
      <c r="J922" s="121"/>
      <c r="M922" s="9"/>
      <c r="N922" s="9"/>
    </row>
    <row r="923">
      <c r="E923" s="13"/>
      <c r="F923" s="13"/>
      <c r="J923" s="121"/>
      <c r="M923" s="9"/>
      <c r="N923" s="9"/>
    </row>
    <row r="924">
      <c r="E924" s="13"/>
      <c r="F924" s="13"/>
      <c r="J924" s="121"/>
      <c r="M924" s="9"/>
      <c r="N924" s="9"/>
    </row>
    <row r="925">
      <c r="E925" s="13"/>
      <c r="F925" s="13"/>
      <c r="J925" s="121"/>
      <c r="M925" s="9"/>
      <c r="N925" s="9"/>
    </row>
    <row r="926">
      <c r="E926" s="13"/>
      <c r="F926" s="13"/>
      <c r="J926" s="121"/>
      <c r="M926" s="9"/>
      <c r="N926" s="9"/>
    </row>
    <row r="927">
      <c r="E927" s="13"/>
      <c r="F927" s="13"/>
      <c r="J927" s="121"/>
      <c r="M927" s="9"/>
      <c r="N927" s="9"/>
    </row>
    <row r="928">
      <c r="E928" s="13"/>
      <c r="F928" s="13"/>
      <c r="J928" s="121"/>
      <c r="M928" s="9"/>
      <c r="N928" s="9"/>
    </row>
    <row r="929">
      <c r="E929" s="13"/>
      <c r="F929" s="13"/>
      <c r="J929" s="121"/>
      <c r="M929" s="9"/>
      <c r="N929" s="9"/>
    </row>
    <row r="930">
      <c r="E930" s="13"/>
      <c r="F930" s="13"/>
      <c r="J930" s="121"/>
      <c r="M930" s="9"/>
      <c r="N930" s="9"/>
    </row>
    <row r="931">
      <c r="E931" s="13"/>
      <c r="F931" s="13"/>
      <c r="J931" s="121"/>
      <c r="M931" s="9"/>
      <c r="N931" s="9"/>
    </row>
    <row r="932">
      <c r="E932" s="13"/>
      <c r="F932" s="13"/>
      <c r="J932" s="121"/>
      <c r="M932" s="9"/>
      <c r="N932" s="9"/>
    </row>
    <row r="933">
      <c r="E933" s="13"/>
      <c r="F933" s="13"/>
      <c r="J933" s="121"/>
      <c r="M933" s="9"/>
      <c r="N933" s="9"/>
    </row>
    <row r="934">
      <c r="E934" s="13"/>
      <c r="F934" s="13"/>
      <c r="J934" s="121"/>
      <c r="M934" s="9"/>
      <c r="N934" s="9"/>
    </row>
    <row r="935">
      <c r="E935" s="13"/>
      <c r="F935" s="13"/>
      <c r="J935" s="121"/>
      <c r="M935" s="9"/>
      <c r="N935" s="9"/>
    </row>
    <row r="936">
      <c r="E936" s="13"/>
      <c r="F936" s="13"/>
      <c r="J936" s="121"/>
      <c r="M936" s="9"/>
      <c r="N936" s="9"/>
    </row>
    <row r="937">
      <c r="E937" s="13"/>
      <c r="F937" s="13"/>
      <c r="J937" s="121"/>
      <c r="M937" s="9"/>
      <c r="N937" s="9"/>
    </row>
    <row r="938">
      <c r="E938" s="13"/>
      <c r="F938" s="13"/>
      <c r="J938" s="121"/>
      <c r="M938" s="9"/>
      <c r="N938" s="9"/>
    </row>
    <row r="939">
      <c r="E939" s="13"/>
      <c r="F939" s="13"/>
      <c r="J939" s="121"/>
      <c r="M939" s="9"/>
      <c r="N939" s="9"/>
    </row>
    <row r="940">
      <c r="E940" s="13"/>
      <c r="F940" s="13"/>
      <c r="J940" s="121"/>
      <c r="M940" s="9"/>
      <c r="N940" s="9"/>
    </row>
    <row r="941">
      <c r="E941" s="13"/>
      <c r="F941" s="13"/>
      <c r="J941" s="121"/>
      <c r="M941" s="9"/>
      <c r="N941" s="9"/>
    </row>
    <row r="942">
      <c r="E942" s="13"/>
      <c r="F942" s="13"/>
      <c r="J942" s="121"/>
      <c r="M942" s="9"/>
      <c r="N942" s="9"/>
    </row>
    <row r="943">
      <c r="E943" s="13"/>
      <c r="F943" s="13"/>
      <c r="J943" s="121"/>
      <c r="M943" s="9"/>
      <c r="N943" s="9"/>
    </row>
    <row r="944">
      <c r="E944" s="13"/>
      <c r="F944" s="13"/>
      <c r="J944" s="121"/>
      <c r="M944" s="9"/>
      <c r="N944" s="9"/>
    </row>
    <row r="945">
      <c r="E945" s="13"/>
      <c r="F945" s="13"/>
      <c r="J945" s="121"/>
      <c r="M945" s="9"/>
      <c r="N945" s="9"/>
    </row>
    <row r="946">
      <c r="E946" s="13"/>
      <c r="F946" s="13"/>
      <c r="J946" s="121"/>
      <c r="M946" s="9"/>
      <c r="N946" s="9"/>
    </row>
    <row r="947">
      <c r="E947" s="13"/>
      <c r="F947" s="13"/>
      <c r="J947" s="121"/>
      <c r="M947" s="9"/>
      <c r="N947" s="9"/>
    </row>
    <row r="948">
      <c r="E948" s="13"/>
      <c r="F948" s="13"/>
      <c r="J948" s="121"/>
      <c r="M948" s="9"/>
      <c r="N948" s="9"/>
    </row>
    <row r="949">
      <c r="E949" s="13"/>
      <c r="F949" s="13"/>
      <c r="J949" s="121"/>
      <c r="M949" s="9"/>
      <c r="N949" s="9"/>
    </row>
    <row r="950">
      <c r="E950" s="13"/>
      <c r="F950" s="13"/>
      <c r="J950" s="121"/>
      <c r="M950" s="9"/>
      <c r="N950" s="9"/>
    </row>
    <row r="951">
      <c r="E951" s="13"/>
      <c r="F951" s="13"/>
      <c r="J951" s="121"/>
      <c r="M951" s="9"/>
      <c r="N951" s="9"/>
    </row>
    <row r="952">
      <c r="E952" s="13"/>
      <c r="F952" s="13"/>
      <c r="J952" s="121"/>
      <c r="M952" s="9"/>
      <c r="N952" s="9"/>
    </row>
    <row r="953">
      <c r="E953" s="13"/>
      <c r="F953" s="13"/>
      <c r="J953" s="121"/>
      <c r="M953" s="9"/>
      <c r="N953" s="9"/>
    </row>
    <row r="954">
      <c r="E954" s="13"/>
      <c r="F954" s="13"/>
      <c r="J954" s="121"/>
      <c r="M954" s="9"/>
      <c r="N954" s="9"/>
    </row>
    <row r="955">
      <c r="E955" s="13"/>
      <c r="F955" s="13"/>
      <c r="J955" s="121"/>
      <c r="M955" s="9"/>
      <c r="N955" s="9"/>
    </row>
    <row r="956">
      <c r="E956" s="13"/>
      <c r="F956" s="13"/>
      <c r="J956" s="121"/>
      <c r="M956" s="9"/>
      <c r="N956" s="9"/>
    </row>
    <row r="957">
      <c r="E957" s="13"/>
      <c r="F957" s="13"/>
      <c r="J957" s="121"/>
      <c r="M957" s="9"/>
      <c r="N957" s="9"/>
    </row>
    <row r="958">
      <c r="E958" s="13"/>
      <c r="F958" s="13"/>
      <c r="J958" s="121"/>
      <c r="M958" s="9"/>
      <c r="N958" s="9"/>
    </row>
    <row r="959">
      <c r="E959" s="13"/>
      <c r="F959" s="13"/>
      <c r="J959" s="121"/>
      <c r="M959" s="9"/>
      <c r="N959" s="9"/>
    </row>
    <row r="960">
      <c r="E960" s="13"/>
      <c r="F960" s="13"/>
      <c r="J960" s="121"/>
      <c r="M960" s="9"/>
      <c r="N960" s="9"/>
    </row>
    <row r="961">
      <c r="E961" s="13"/>
      <c r="F961" s="13"/>
      <c r="J961" s="121"/>
      <c r="M961" s="9"/>
      <c r="N961" s="9"/>
    </row>
    <row r="962">
      <c r="E962" s="13"/>
      <c r="F962" s="13"/>
      <c r="J962" s="121"/>
      <c r="M962" s="9"/>
      <c r="N962" s="9"/>
    </row>
    <row r="963">
      <c r="E963" s="13"/>
      <c r="F963" s="13"/>
      <c r="J963" s="121"/>
      <c r="M963" s="9"/>
      <c r="N963" s="9"/>
    </row>
    <row r="964">
      <c r="E964" s="13"/>
      <c r="F964" s="13"/>
      <c r="J964" s="121"/>
      <c r="M964" s="9"/>
      <c r="N964" s="9"/>
    </row>
    <row r="965">
      <c r="E965" s="13"/>
      <c r="F965" s="13"/>
      <c r="J965" s="121"/>
      <c r="M965" s="9"/>
      <c r="N965" s="9"/>
    </row>
    <row r="966">
      <c r="E966" s="13"/>
      <c r="F966" s="13"/>
      <c r="J966" s="121"/>
      <c r="M966" s="9"/>
      <c r="N966" s="9"/>
    </row>
    <row r="967">
      <c r="E967" s="13"/>
      <c r="F967" s="13"/>
      <c r="J967" s="121"/>
      <c r="M967" s="9"/>
      <c r="N967" s="9"/>
    </row>
    <row r="968">
      <c r="E968" s="13"/>
      <c r="F968" s="13"/>
      <c r="J968" s="121"/>
      <c r="M968" s="9"/>
      <c r="N968" s="9"/>
    </row>
    <row r="969">
      <c r="E969" s="13"/>
      <c r="F969" s="13"/>
      <c r="J969" s="121"/>
      <c r="M969" s="9"/>
      <c r="N969" s="9"/>
    </row>
    <row r="970">
      <c r="E970" s="13"/>
      <c r="F970" s="13"/>
      <c r="J970" s="121"/>
      <c r="M970" s="9"/>
      <c r="N970" s="9"/>
    </row>
    <row r="971">
      <c r="E971" s="13"/>
      <c r="F971" s="13"/>
      <c r="J971" s="121"/>
      <c r="M971" s="9"/>
      <c r="N971" s="9"/>
    </row>
    <row r="972">
      <c r="E972" s="13"/>
      <c r="F972" s="13"/>
      <c r="J972" s="121"/>
      <c r="M972" s="9"/>
      <c r="N972" s="9"/>
    </row>
    <row r="973">
      <c r="E973" s="13"/>
      <c r="F973" s="13"/>
      <c r="J973" s="121"/>
      <c r="M973" s="9"/>
      <c r="N973" s="9"/>
    </row>
    <row r="974">
      <c r="E974" s="13"/>
      <c r="F974" s="13"/>
      <c r="J974" s="121"/>
      <c r="M974" s="9"/>
      <c r="N974" s="9"/>
    </row>
    <row r="975">
      <c r="E975" s="13"/>
      <c r="F975" s="13"/>
      <c r="J975" s="121"/>
      <c r="M975" s="9"/>
      <c r="N975" s="9"/>
    </row>
    <row r="976">
      <c r="E976" s="13"/>
      <c r="F976" s="13"/>
      <c r="J976" s="121"/>
      <c r="M976" s="9"/>
      <c r="N976" s="9"/>
    </row>
    <row r="977">
      <c r="E977" s="13"/>
      <c r="F977" s="13"/>
      <c r="J977" s="121"/>
      <c r="M977" s="9"/>
      <c r="N977" s="9"/>
    </row>
    <row r="978">
      <c r="E978" s="13"/>
      <c r="F978" s="13"/>
      <c r="J978" s="121"/>
      <c r="M978" s="9"/>
      <c r="N978" s="9"/>
    </row>
    <row r="979">
      <c r="E979" s="13"/>
      <c r="F979" s="13"/>
      <c r="J979" s="121"/>
      <c r="M979" s="9"/>
      <c r="N979" s="9"/>
    </row>
    <row r="980">
      <c r="E980" s="13"/>
      <c r="F980" s="13"/>
      <c r="J980" s="121"/>
      <c r="M980" s="9"/>
      <c r="N980" s="9"/>
    </row>
    <row r="981">
      <c r="E981" s="13"/>
      <c r="F981" s="13"/>
      <c r="J981" s="121"/>
      <c r="M981" s="9"/>
      <c r="N981" s="9"/>
    </row>
    <row r="982">
      <c r="E982" s="13"/>
      <c r="F982" s="13"/>
      <c r="J982" s="121"/>
      <c r="M982" s="9"/>
      <c r="N982" s="9"/>
    </row>
    <row r="983">
      <c r="E983" s="13"/>
      <c r="F983" s="13"/>
      <c r="J983" s="121"/>
      <c r="M983" s="9"/>
      <c r="N983" s="9"/>
    </row>
    <row r="984">
      <c r="E984" s="13"/>
      <c r="F984" s="13"/>
      <c r="J984" s="121"/>
      <c r="M984" s="9"/>
      <c r="N984" s="9"/>
    </row>
    <row r="985">
      <c r="E985" s="13"/>
      <c r="F985" s="13"/>
      <c r="J985" s="121"/>
      <c r="M985" s="9"/>
      <c r="N985" s="9"/>
    </row>
    <row r="986">
      <c r="E986" s="13"/>
      <c r="F986" s="13"/>
      <c r="J986" s="121"/>
      <c r="M986" s="9"/>
      <c r="N986" s="9"/>
    </row>
    <row r="987">
      <c r="E987" s="13"/>
      <c r="F987" s="13"/>
      <c r="J987" s="121"/>
      <c r="M987" s="9"/>
      <c r="N987" s="9"/>
    </row>
    <row r="988">
      <c r="E988" s="13"/>
      <c r="F988" s="13"/>
      <c r="J988" s="121"/>
      <c r="M988" s="9"/>
      <c r="N988" s="9"/>
    </row>
    <row r="989">
      <c r="E989" s="13"/>
      <c r="F989" s="13"/>
      <c r="J989" s="121"/>
      <c r="M989" s="9"/>
      <c r="N989" s="9"/>
    </row>
    <row r="990">
      <c r="E990" s="13"/>
      <c r="F990" s="13"/>
      <c r="J990" s="121"/>
      <c r="M990" s="9"/>
      <c r="N990" s="9"/>
    </row>
    <row r="991">
      <c r="E991" s="13"/>
      <c r="F991" s="13"/>
      <c r="J991" s="121"/>
      <c r="M991" s="9"/>
      <c r="N991" s="9"/>
    </row>
    <row r="992">
      <c r="E992" s="13"/>
      <c r="F992" s="13"/>
      <c r="J992" s="121"/>
      <c r="M992" s="9"/>
      <c r="N992" s="9"/>
    </row>
    <row r="993">
      <c r="E993" s="13"/>
      <c r="F993" s="13"/>
      <c r="J993" s="121"/>
      <c r="M993" s="9"/>
      <c r="N993" s="9"/>
    </row>
    <row r="994">
      <c r="E994" s="13"/>
      <c r="F994" s="13"/>
      <c r="J994" s="121"/>
      <c r="M994" s="9"/>
      <c r="N994" s="9"/>
    </row>
    <row r="995">
      <c r="E995" s="13"/>
      <c r="F995" s="13"/>
      <c r="J995" s="121"/>
      <c r="M995" s="9"/>
      <c r="N995" s="9"/>
    </row>
    <row r="996">
      <c r="E996" s="13"/>
      <c r="F996" s="13"/>
      <c r="J996" s="121"/>
      <c r="M996" s="9"/>
      <c r="N996" s="9"/>
    </row>
  </sheetData>
  <mergeCells count="1">
    <mergeCell ref="A1:P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88"/>
    <col customWidth="1" min="2" max="2" width="19.5"/>
    <col customWidth="1" min="3" max="3" width="22.25"/>
    <col customWidth="1" min="4" max="4" width="6.63"/>
    <col customWidth="1" min="5" max="5" width="6.5"/>
    <col customWidth="1" min="6" max="6" width="16.88"/>
    <col customWidth="1" min="7" max="7" width="10.25"/>
    <col customWidth="1" min="8" max="8" width="4.75"/>
    <col customWidth="1" min="9" max="9" width="5.63"/>
    <col customWidth="1" min="10" max="10" width="4.75"/>
    <col customWidth="1" min="11" max="11" width="8.25"/>
    <col customWidth="1" min="12" max="12" width="5.63"/>
    <col customWidth="1" min="13" max="13" width="6.88"/>
    <col customWidth="1" min="14" max="14" width="6.5"/>
    <col customWidth="1" min="15" max="15" width="5.63"/>
    <col customWidth="1" min="16" max="16" width="11.38"/>
    <col customWidth="1" min="17" max="17" width="5.88"/>
    <col customWidth="1" min="18" max="18" width="4.75"/>
    <col customWidth="1" min="19" max="19" width="9.38"/>
    <col customWidth="1" min="20" max="20" width="5.88"/>
    <col customWidth="1" min="21" max="21" width="4.75"/>
    <col customWidth="1" min="22" max="22" width="7.5"/>
    <col customWidth="1" min="23" max="23" width="5.88"/>
    <col customWidth="1" min="24" max="24" width="4.75"/>
    <col customWidth="1" min="25" max="25" width="7.88"/>
    <col customWidth="1" min="26" max="29" width="8.38"/>
  </cols>
  <sheetData>
    <row r="1">
      <c r="A1" s="1" t="s">
        <v>1788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10"/>
      <c r="R1" s="310"/>
      <c r="S1" s="310"/>
      <c r="T1" s="310"/>
      <c r="U1" s="310"/>
      <c r="V1" s="310"/>
      <c r="W1" s="310"/>
      <c r="X1" s="310"/>
      <c r="Y1" s="310"/>
      <c r="Z1" s="4"/>
      <c r="AA1" s="4"/>
      <c r="AB1" s="4"/>
      <c r="AC1" s="4" t="s">
        <v>1789</v>
      </c>
    </row>
    <row r="2">
      <c r="A2" s="28" t="s">
        <v>8</v>
      </c>
      <c r="B2" s="29" t="s">
        <v>9</v>
      </c>
      <c r="C2" s="29" t="s">
        <v>10</v>
      </c>
      <c r="D2" s="28" t="s">
        <v>1790</v>
      </c>
      <c r="E2" s="28" t="s">
        <v>12</v>
      </c>
      <c r="F2" s="29" t="s">
        <v>13</v>
      </c>
      <c r="G2" s="29" t="s">
        <v>14</v>
      </c>
      <c r="H2" s="28" t="s">
        <v>896</v>
      </c>
      <c r="I2" s="29" t="s">
        <v>16</v>
      </c>
      <c r="J2" s="311" t="s">
        <v>17</v>
      </c>
      <c r="K2" s="28" t="s">
        <v>18</v>
      </c>
      <c r="L2" s="29" t="s">
        <v>19</v>
      </c>
      <c r="M2" s="28" t="s">
        <v>20</v>
      </c>
      <c r="N2" s="28" t="s">
        <v>249</v>
      </c>
      <c r="O2" s="28" t="s">
        <v>250</v>
      </c>
      <c r="P2" s="30" t="s">
        <v>23</v>
      </c>
      <c r="Q2" s="29" t="s">
        <v>251</v>
      </c>
      <c r="R2" s="29" t="s">
        <v>252</v>
      </c>
      <c r="S2" s="29" t="s">
        <v>253</v>
      </c>
      <c r="T2" s="29" t="s">
        <v>251</v>
      </c>
      <c r="U2" s="29" t="s">
        <v>252</v>
      </c>
      <c r="V2" s="29" t="s">
        <v>253</v>
      </c>
      <c r="W2" s="29" t="s">
        <v>251</v>
      </c>
      <c r="X2" s="29" t="s">
        <v>252</v>
      </c>
      <c r="Y2" s="29" t="s">
        <v>253</v>
      </c>
      <c r="Z2" s="10"/>
      <c r="AA2" s="10"/>
      <c r="AB2" s="10"/>
      <c r="AC2" s="10" t="s">
        <v>1791</v>
      </c>
    </row>
    <row r="3">
      <c r="A3" s="312">
        <v>1.0</v>
      </c>
      <c r="B3" s="312" t="s">
        <v>1792</v>
      </c>
      <c r="C3" s="312" t="s">
        <v>1793</v>
      </c>
      <c r="D3" s="313" t="s">
        <v>1794</v>
      </c>
      <c r="E3" s="314"/>
      <c r="F3" s="312" t="s">
        <v>935</v>
      </c>
      <c r="G3" s="312">
        <v>9.772082139E9</v>
      </c>
      <c r="H3" s="314"/>
      <c r="I3" s="312">
        <v>27000.0</v>
      </c>
      <c r="J3" s="315">
        <v>8500.0</v>
      </c>
      <c r="K3" s="314"/>
      <c r="L3" s="316"/>
      <c r="M3" s="314">
        <f t="shared" ref="M3:M62" si="1">(H3+I3+J3+K3-L3)</f>
        <v>35500</v>
      </c>
      <c r="N3" s="314">
        <f t="shared" ref="N3:N62" si="2">(Q3+T3+W3)</f>
        <v>11000</v>
      </c>
      <c r="O3" s="314">
        <f t="shared" ref="O3:O62" si="3">(M3-N3)</f>
        <v>24500</v>
      </c>
      <c r="P3" s="317"/>
      <c r="Q3" s="312">
        <v>7000.0</v>
      </c>
      <c r="R3" s="312">
        <v>2923.0</v>
      </c>
      <c r="S3" s="318">
        <v>45845.0</v>
      </c>
      <c r="T3" s="312">
        <v>4000.0</v>
      </c>
      <c r="U3" s="312">
        <v>4016.0</v>
      </c>
      <c r="V3" s="312" t="s">
        <v>312</v>
      </c>
      <c r="W3" s="316"/>
      <c r="X3" s="316"/>
      <c r="Y3" s="316"/>
    </row>
    <row r="4">
      <c r="A4" s="319">
        <v>2.0</v>
      </c>
      <c r="B4" s="319" t="s">
        <v>1795</v>
      </c>
      <c r="C4" s="319" t="s">
        <v>1796</v>
      </c>
      <c r="D4" s="320" t="s">
        <v>1794</v>
      </c>
      <c r="E4" s="321"/>
      <c r="F4" s="319" t="s">
        <v>244</v>
      </c>
      <c r="G4" s="319">
        <v>9.602178035E9</v>
      </c>
      <c r="H4" s="320">
        <v>0.0</v>
      </c>
      <c r="I4" s="319">
        <v>24000.0</v>
      </c>
      <c r="J4" s="322">
        <v>5000.0</v>
      </c>
      <c r="K4" s="321"/>
      <c r="L4" s="319">
        <v>6000.0</v>
      </c>
      <c r="M4" s="314">
        <f t="shared" si="1"/>
        <v>23000</v>
      </c>
      <c r="N4" s="314">
        <f t="shared" si="2"/>
        <v>12000</v>
      </c>
      <c r="O4" s="314">
        <f t="shared" si="3"/>
        <v>11000</v>
      </c>
      <c r="P4" s="323" t="s">
        <v>44</v>
      </c>
      <c r="Q4" s="319">
        <v>5000.0</v>
      </c>
      <c r="R4" s="319">
        <v>3451.0</v>
      </c>
      <c r="S4" s="319" t="s">
        <v>1279</v>
      </c>
      <c r="T4" s="319">
        <v>3000.0</v>
      </c>
      <c r="U4" s="319">
        <v>3657.0</v>
      </c>
      <c r="V4" s="324">
        <v>45910.0</v>
      </c>
      <c r="W4" s="319">
        <v>4000.0</v>
      </c>
      <c r="X4" s="319">
        <v>3941.0</v>
      </c>
      <c r="Y4" s="319" t="s">
        <v>132</v>
      </c>
      <c r="Z4" s="291"/>
      <c r="AA4" s="291"/>
      <c r="AB4" s="291"/>
      <c r="AC4" s="291"/>
    </row>
    <row r="5">
      <c r="A5" s="319">
        <v>3.0</v>
      </c>
      <c r="B5" s="319" t="s">
        <v>1797</v>
      </c>
      <c r="C5" s="319" t="s">
        <v>1798</v>
      </c>
      <c r="D5" s="320" t="s">
        <v>1794</v>
      </c>
      <c r="E5" s="321"/>
      <c r="F5" s="319" t="s">
        <v>145</v>
      </c>
      <c r="G5" s="319">
        <v>9.57115249E9</v>
      </c>
      <c r="H5" s="321">
        <v>0.0</v>
      </c>
      <c r="I5" s="319">
        <v>27000.0</v>
      </c>
      <c r="J5" s="325">
        <v>0.0</v>
      </c>
      <c r="K5" s="320">
        <v>0.0</v>
      </c>
      <c r="L5" s="326">
        <v>5000.0</v>
      </c>
      <c r="M5" s="314">
        <f t="shared" si="1"/>
        <v>22000</v>
      </c>
      <c r="N5" s="314">
        <f t="shared" si="2"/>
        <v>10000</v>
      </c>
      <c r="O5" s="314">
        <f t="shared" si="3"/>
        <v>12000</v>
      </c>
      <c r="P5" s="327" t="s">
        <v>44</v>
      </c>
      <c r="Q5" s="328">
        <v>6000.0</v>
      </c>
      <c r="R5" s="328">
        <v>3046.0</v>
      </c>
      <c r="S5" s="329" t="s">
        <v>422</v>
      </c>
      <c r="T5" s="319">
        <v>4000.0</v>
      </c>
      <c r="U5" s="319">
        <v>3477.0</v>
      </c>
      <c r="V5" s="324">
        <v>45757.0</v>
      </c>
      <c r="W5" s="326"/>
      <c r="X5" s="326"/>
      <c r="Y5" s="326"/>
      <c r="Z5" s="291"/>
      <c r="AA5" s="291"/>
      <c r="AB5" s="291"/>
      <c r="AC5" s="291"/>
    </row>
    <row r="6">
      <c r="A6" s="319">
        <v>4.0</v>
      </c>
      <c r="B6" s="319" t="s">
        <v>1799</v>
      </c>
      <c r="C6" s="319" t="s">
        <v>1800</v>
      </c>
      <c r="D6" s="320" t="s">
        <v>1794</v>
      </c>
      <c r="E6" s="321"/>
      <c r="F6" s="319" t="s">
        <v>145</v>
      </c>
      <c r="G6" s="319">
        <v>7.023705797E9</v>
      </c>
      <c r="H6" s="320">
        <v>0.0</v>
      </c>
      <c r="I6" s="319">
        <v>24000.0</v>
      </c>
      <c r="J6" s="325"/>
      <c r="K6" s="321"/>
      <c r="L6" s="319">
        <v>4000.0</v>
      </c>
      <c r="M6" s="314">
        <f t="shared" si="1"/>
        <v>20000</v>
      </c>
      <c r="N6" s="314">
        <f t="shared" si="2"/>
        <v>10000</v>
      </c>
      <c r="O6" s="314">
        <f t="shared" si="3"/>
        <v>10000</v>
      </c>
      <c r="P6" s="327"/>
      <c r="Q6" s="319">
        <v>5000.0</v>
      </c>
      <c r="R6" s="319">
        <v>3216.0</v>
      </c>
      <c r="S6" s="319" t="s">
        <v>1801</v>
      </c>
      <c r="T6" s="319">
        <v>5000.0</v>
      </c>
      <c r="U6" s="319">
        <v>3894.0</v>
      </c>
      <c r="V6" s="319" t="s">
        <v>926</v>
      </c>
      <c r="W6" s="326"/>
      <c r="X6" s="326"/>
      <c r="Y6" s="326"/>
      <c r="Z6" s="291"/>
      <c r="AA6" s="291"/>
      <c r="AB6" s="291"/>
      <c r="AC6" s="291"/>
    </row>
    <row r="7">
      <c r="A7" s="319">
        <v>5.0</v>
      </c>
      <c r="B7" s="319" t="s">
        <v>1802</v>
      </c>
      <c r="C7" s="319" t="s">
        <v>1803</v>
      </c>
      <c r="D7" s="320" t="s">
        <v>1794</v>
      </c>
      <c r="E7" s="321"/>
      <c r="F7" s="319" t="s">
        <v>145</v>
      </c>
      <c r="G7" s="319">
        <v>6.378250107E9</v>
      </c>
      <c r="H7" s="321">
        <v>1000.0</v>
      </c>
      <c r="I7" s="319">
        <v>24000.0</v>
      </c>
      <c r="J7" s="325">
        <v>0.0</v>
      </c>
      <c r="K7" s="320">
        <v>0.0</v>
      </c>
      <c r="L7" s="326">
        <v>3000.0</v>
      </c>
      <c r="M7" s="314">
        <f t="shared" si="1"/>
        <v>22000</v>
      </c>
      <c r="N7" s="314">
        <f t="shared" si="2"/>
        <v>8000</v>
      </c>
      <c r="O7" s="314">
        <f t="shared" si="3"/>
        <v>14000</v>
      </c>
      <c r="P7" s="327" t="s">
        <v>44</v>
      </c>
      <c r="Q7" s="328">
        <v>8000.0</v>
      </c>
      <c r="R7" s="328">
        <v>3036.0</v>
      </c>
      <c r="S7" s="329" t="s">
        <v>166</v>
      </c>
      <c r="T7" s="326"/>
      <c r="U7" s="326"/>
      <c r="V7" s="326"/>
      <c r="W7" s="326"/>
      <c r="X7" s="326"/>
      <c r="Y7" s="326"/>
      <c r="Z7" s="291"/>
      <c r="AA7" s="291"/>
      <c r="AB7" s="291"/>
      <c r="AC7" s="291"/>
    </row>
    <row r="8">
      <c r="A8" s="319">
        <v>6.0</v>
      </c>
      <c r="B8" s="319" t="s">
        <v>1804</v>
      </c>
      <c r="C8" s="319" t="s">
        <v>1291</v>
      </c>
      <c r="D8" s="320" t="s">
        <v>1794</v>
      </c>
      <c r="E8" s="321"/>
      <c r="F8" s="319" t="s">
        <v>1204</v>
      </c>
      <c r="G8" s="319">
        <v>9.680186482E9</v>
      </c>
      <c r="H8" s="320">
        <v>0.0</v>
      </c>
      <c r="I8" s="319">
        <v>27000.0</v>
      </c>
      <c r="J8" s="322">
        <v>8000.0</v>
      </c>
      <c r="K8" s="321"/>
      <c r="L8" s="319">
        <v>4000.0</v>
      </c>
      <c r="M8" s="314">
        <f t="shared" si="1"/>
        <v>31000</v>
      </c>
      <c r="N8" s="314">
        <f t="shared" si="2"/>
        <v>25000</v>
      </c>
      <c r="O8" s="314">
        <f t="shared" si="3"/>
        <v>6000</v>
      </c>
      <c r="P8" s="323" t="s">
        <v>44</v>
      </c>
      <c r="Q8" s="319">
        <v>10000.0</v>
      </c>
      <c r="R8" s="319">
        <v>3272.0</v>
      </c>
      <c r="S8" s="319" t="s">
        <v>1805</v>
      </c>
      <c r="T8" s="319">
        <v>15000.0</v>
      </c>
      <c r="U8" s="319">
        <v>3943.0</v>
      </c>
      <c r="V8" s="319" t="s">
        <v>132</v>
      </c>
      <c r="W8" s="326"/>
      <c r="X8" s="326"/>
      <c r="Y8" s="326"/>
      <c r="Z8" s="291"/>
      <c r="AA8" s="291"/>
      <c r="AB8" s="291"/>
      <c r="AC8" s="291"/>
    </row>
    <row r="9">
      <c r="A9" s="319">
        <v>7.0</v>
      </c>
      <c r="B9" s="319" t="s">
        <v>1806</v>
      </c>
      <c r="C9" s="319" t="s">
        <v>1807</v>
      </c>
      <c r="D9" s="320" t="s">
        <v>1794</v>
      </c>
      <c r="E9" s="321"/>
      <c r="F9" s="319" t="s">
        <v>212</v>
      </c>
      <c r="G9" s="319">
        <v>9.07982475E9</v>
      </c>
      <c r="H9" s="321">
        <v>0.0</v>
      </c>
      <c r="I9" s="319">
        <v>27000.0</v>
      </c>
      <c r="J9" s="325">
        <v>6500.0</v>
      </c>
      <c r="K9" s="320">
        <v>0.0</v>
      </c>
      <c r="L9" s="326">
        <v>3500.0</v>
      </c>
      <c r="M9" s="314">
        <f t="shared" si="1"/>
        <v>30000</v>
      </c>
      <c r="N9" s="314">
        <f t="shared" si="2"/>
        <v>10000</v>
      </c>
      <c r="O9" s="314">
        <f t="shared" si="3"/>
        <v>20000</v>
      </c>
      <c r="P9" s="327" t="s">
        <v>44</v>
      </c>
      <c r="Q9" s="328">
        <v>2000.0</v>
      </c>
      <c r="R9" s="328">
        <v>3016.0</v>
      </c>
      <c r="S9" s="329" t="s">
        <v>370</v>
      </c>
      <c r="T9" s="319">
        <v>5000.0</v>
      </c>
      <c r="U9" s="319">
        <v>3458.0</v>
      </c>
      <c r="V9" s="324">
        <v>45726.0</v>
      </c>
      <c r="W9" s="319">
        <v>3000.0</v>
      </c>
      <c r="X9" s="319">
        <v>3693.0</v>
      </c>
      <c r="Y9" s="330">
        <v>45940.0</v>
      </c>
      <c r="Z9" s="287">
        <v>5000.0</v>
      </c>
      <c r="AA9" s="287">
        <v>3945.0</v>
      </c>
      <c r="AB9" s="287" t="s">
        <v>132</v>
      </c>
      <c r="AC9" s="291"/>
    </row>
    <row r="10">
      <c r="A10" s="319">
        <v>8.0</v>
      </c>
      <c r="B10" s="319" t="s">
        <v>1808</v>
      </c>
      <c r="C10" s="319" t="s">
        <v>1809</v>
      </c>
      <c r="D10" s="320" t="s">
        <v>1794</v>
      </c>
      <c r="E10" s="321"/>
      <c r="F10" s="319" t="s">
        <v>433</v>
      </c>
      <c r="G10" s="319">
        <v>8.23367281E9</v>
      </c>
      <c r="H10" s="320"/>
      <c r="I10" s="319">
        <v>27000.0</v>
      </c>
      <c r="J10" s="322">
        <v>7000.0</v>
      </c>
      <c r="K10" s="321"/>
      <c r="L10" s="319">
        <v>4000.0</v>
      </c>
      <c r="M10" s="314">
        <f t="shared" si="1"/>
        <v>30000</v>
      </c>
      <c r="N10" s="314">
        <f t="shared" si="2"/>
        <v>5000</v>
      </c>
      <c r="O10" s="314">
        <f t="shared" si="3"/>
        <v>25000</v>
      </c>
      <c r="P10" s="327"/>
      <c r="Q10" s="319">
        <v>5000.0</v>
      </c>
      <c r="R10" s="319">
        <v>3447.0</v>
      </c>
      <c r="S10" s="319" t="s">
        <v>1810</v>
      </c>
      <c r="T10" s="326"/>
      <c r="U10" s="326"/>
      <c r="V10" s="326"/>
      <c r="W10" s="326"/>
      <c r="X10" s="326"/>
      <c r="Y10" s="326"/>
      <c r="Z10" s="291"/>
      <c r="AA10" s="291"/>
      <c r="AB10" s="291"/>
      <c r="AC10" s="291"/>
    </row>
    <row r="11">
      <c r="A11" s="312">
        <v>9.0</v>
      </c>
      <c r="B11" s="312" t="s">
        <v>1595</v>
      </c>
      <c r="C11" s="312" t="s">
        <v>1811</v>
      </c>
      <c r="D11" s="313" t="s">
        <v>1794</v>
      </c>
      <c r="E11" s="314"/>
      <c r="F11" s="312" t="s">
        <v>1812</v>
      </c>
      <c r="G11" s="312">
        <v>8.890878752E9</v>
      </c>
      <c r="H11" s="314"/>
      <c r="I11" s="312">
        <v>27000.0</v>
      </c>
      <c r="J11" s="315">
        <v>7000.0</v>
      </c>
      <c r="K11" s="314"/>
      <c r="L11" s="316"/>
      <c r="M11" s="314">
        <f t="shared" si="1"/>
        <v>34000</v>
      </c>
      <c r="N11" s="314">
        <f t="shared" si="2"/>
        <v>7500</v>
      </c>
      <c r="O11" s="314">
        <f t="shared" si="3"/>
        <v>26500</v>
      </c>
      <c r="P11" s="317"/>
      <c r="Q11" s="312">
        <v>7500.0</v>
      </c>
      <c r="R11" s="312">
        <v>3949.0</v>
      </c>
      <c r="S11" s="312" t="s">
        <v>132</v>
      </c>
      <c r="T11" s="316"/>
      <c r="U11" s="316"/>
      <c r="V11" s="316"/>
      <c r="W11" s="316"/>
      <c r="X11" s="316"/>
      <c r="Y11" s="316"/>
    </row>
    <row r="12">
      <c r="A12" s="312">
        <v>10.0</v>
      </c>
      <c r="B12" s="312" t="s">
        <v>604</v>
      </c>
      <c r="C12" s="312" t="s">
        <v>1813</v>
      </c>
      <c r="D12" s="313" t="s">
        <v>1794</v>
      </c>
      <c r="E12" s="314"/>
      <c r="F12" s="312" t="s">
        <v>274</v>
      </c>
      <c r="G12" s="312">
        <v>8.209644968E9</v>
      </c>
      <c r="H12" s="314"/>
      <c r="I12" s="312">
        <v>27000.0</v>
      </c>
      <c r="J12" s="315">
        <v>9500.0</v>
      </c>
      <c r="K12" s="314"/>
      <c r="L12" s="316"/>
      <c r="M12" s="314">
        <f t="shared" si="1"/>
        <v>36500</v>
      </c>
      <c r="N12" s="314">
        <f t="shared" si="2"/>
        <v>5000</v>
      </c>
      <c r="O12" s="314">
        <f t="shared" si="3"/>
        <v>31500</v>
      </c>
      <c r="P12" s="317"/>
      <c r="Q12" s="312">
        <v>5000.0</v>
      </c>
      <c r="R12" s="312">
        <v>4059.0</v>
      </c>
      <c r="S12" s="312" t="s">
        <v>1123</v>
      </c>
      <c r="T12" s="316"/>
      <c r="U12" s="316"/>
      <c r="V12" s="316"/>
      <c r="W12" s="316"/>
      <c r="X12" s="316"/>
      <c r="Y12" s="316"/>
    </row>
    <row r="13">
      <c r="A13" s="312">
        <v>11.0</v>
      </c>
      <c r="B13" s="312" t="s">
        <v>1814</v>
      </c>
      <c r="C13" s="312" t="s">
        <v>1815</v>
      </c>
      <c r="D13" s="313" t="s">
        <v>1816</v>
      </c>
      <c r="E13" s="313">
        <v>998.0</v>
      </c>
      <c r="F13" s="331" t="s">
        <v>1204</v>
      </c>
      <c r="G13" s="312">
        <v>9.983509904E9</v>
      </c>
      <c r="H13" s="314"/>
      <c r="I13" s="312">
        <v>24000.0</v>
      </c>
      <c r="J13" s="315">
        <v>8000.0</v>
      </c>
      <c r="K13" s="314"/>
      <c r="L13" s="316"/>
      <c r="M13" s="314">
        <f t="shared" si="1"/>
        <v>32000</v>
      </c>
      <c r="N13" s="314">
        <f t="shared" si="2"/>
        <v>0</v>
      </c>
      <c r="O13" s="314">
        <f t="shared" si="3"/>
        <v>32000</v>
      </c>
      <c r="P13" s="317"/>
      <c r="Q13" s="316"/>
      <c r="R13" s="316"/>
      <c r="S13" s="332"/>
      <c r="T13" s="316"/>
      <c r="U13" s="316"/>
      <c r="V13" s="316"/>
      <c r="W13" s="316"/>
      <c r="X13" s="316"/>
      <c r="Y13" s="316"/>
    </row>
    <row r="14">
      <c r="A14" s="319">
        <v>12.0</v>
      </c>
      <c r="B14" s="319" t="s">
        <v>1817</v>
      </c>
      <c r="C14" s="319" t="s">
        <v>1818</v>
      </c>
      <c r="D14" s="320" t="s">
        <v>1816</v>
      </c>
      <c r="E14" s="320">
        <v>1014.0</v>
      </c>
      <c r="F14" s="319" t="s">
        <v>286</v>
      </c>
      <c r="G14" s="319">
        <v>7.300107124E9</v>
      </c>
      <c r="H14" s="321"/>
      <c r="I14" s="319">
        <v>24000.0</v>
      </c>
      <c r="J14" s="322">
        <v>0.0</v>
      </c>
      <c r="K14" s="321"/>
      <c r="L14" s="319">
        <v>4000.0</v>
      </c>
      <c r="M14" s="314">
        <f t="shared" si="1"/>
        <v>20000</v>
      </c>
      <c r="N14" s="314">
        <f t="shared" si="2"/>
        <v>0</v>
      </c>
      <c r="O14" s="314">
        <f t="shared" si="3"/>
        <v>20000</v>
      </c>
      <c r="P14" s="327"/>
      <c r="Q14" s="326"/>
      <c r="R14" s="326"/>
      <c r="S14" s="326"/>
      <c r="T14" s="326"/>
      <c r="U14" s="326"/>
      <c r="V14" s="326"/>
      <c r="W14" s="326"/>
      <c r="X14" s="326"/>
      <c r="Y14" s="326"/>
      <c r="Z14" s="291"/>
      <c r="AA14" s="291"/>
      <c r="AB14" s="291"/>
      <c r="AC14" s="291"/>
    </row>
    <row r="15">
      <c r="A15" s="312">
        <v>13.0</v>
      </c>
      <c r="B15" s="312" t="s">
        <v>1819</v>
      </c>
      <c r="C15" s="312" t="s">
        <v>1820</v>
      </c>
      <c r="D15" s="313" t="s">
        <v>1816</v>
      </c>
      <c r="E15" s="313">
        <v>1093.0</v>
      </c>
      <c r="F15" s="312" t="s">
        <v>1204</v>
      </c>
      <c r="G15" s="312">
        <v>9.660926466E9</v>
      </c>
      <c r="H15" s="314"/>
      <c r="I15" s="312">
        <v>24000.0</v>
      </c>
      <c r="J15" s="315">
        <v>8000.0</v>
      </c>
      <c r="K15" s="314"/>
      <c r="L15" s="316"/>
      <c r="M15" s="314">
        <f t="shared" si="1"/>
        <v>32000</v>
      </c>
      <c r="N15" s="314">
        <f t="shared" si="2"/>
        <v>4000</v>
      </c>
      <c r="O15" s="314">
        <f t="shared" si="3"/>
        <v>28000</v>
      </c>
      <c r="P15" s="317"/>
      <c r="Q15" s="312">
        <v>4000.0</v>
      </c>
      <c r="R15" s="312">
        <v>3795.0</v>
      </c>
      <c r="S15" s="332">
        <v>45880.0</v>
      </c>
      <c r="T15" s="316"/>
      <c r="U15" s="316"/>
      <c r="V15" s="316"/>
      <c r="W15" s="316"/>
      <c r="X15" s="316"/>
      <c r="Y15" s="316"/>
    </row>
    <row r="16">
      <c r="A16" s="312">
        <v>14.0</v>
      </c>
      <c r="B16" s="312" t="s">
        <v>1821</v>
      </c>
      <c r="C16" s="312" t="s">
        <v>1822</v>
      </c>
      <c r="D16" s="313" t="s">
        <v>1816</v>
      </c>
      <c r="E16" s="313">
        <v>1910.0</v>
      </c>
      <c r="F16" s="333" t="s">
        <v>165</v>
      </c>
      <c r="G16" s="334">
        <v>9.828292314E9</v>
      </c>
      <c r="H16" s="334">
        <v>0.0</v>
      </c>
      <c r="I16" s="335">
        <v>24000.0</v>
      </c>
      <c r="J16" s="336">
        <v>7000.0</v>
      </c>
      <c r="K16" s="335">
        <v>0.0</v>
      </c>
      <c r="L16" s="333"/>
      <c r="M16" s="314">
        <f t="shared" si="1"/>
        <v>31000</v>
      </c>
      <c r="N16" s="314">
        <f t="shared" si="2"/>
        <v>10000</v>
      </c>
      <c r="O16" s="314">
        <f t="shared" si="3"/>
        <v>21000</v>
      </c>
      <c r="P16" s="337" t="s">
        <v>131</v>
      </c>
      <c r="Q16" s="338">
        <v>10000.0</v>
      </c>
      <c r="R16" s="338">
        <v>3089.0</v>
      </c>
      <c r="S16" s="333" t="s">
        <v>1074</v>
      </c>
      <c r="T16" s="316"/>
      <c r="U16" s="316"/>
      <c r="V16" s="316"/>
      <c r="W16" s="316"/>
      <c r="X16" s="316"/>
      <c r="Y16" s="316"/>
    </row>
    <row r="17">
      <c r="A17" s="319">
        <v>15.0</v>
      </c>
      <c r="B17" s="319" t="s">
        <v>1823</v>
      </c>
      <c r="C17" s="319" t="s">
        <v>1824</v>
      </c>
      <c r="D17" s="320" t="s">
        <v>1816</v>
      </c>
      <c r="E17" s="320">
        <v>1553.0</v>
      </c>
      <c r="F17" s="329" t="s">
        <v>169</v>
      </c>
      <c r="G17" s="339"/>
      <c r="H17" s="340">
        <v>0.0</v>
      </c>
      <c r="I17" s="340">
        <v>24000.0</v>
      </c>
      <c r="J17" s="328">
        <v>7000.0</v>
      </c>
      <c r="K17" s="340"/>
      <c r="L17" s="340">
        <v>5000.0</v>
      </c>
      <c r="M17" s="314">
        <f t="shared" si="1"/>
        <v>26000</v>
      </c>
      <c r="N17" s="314">
        <f t="shared" si="2"/>
        <v>20000</v>
      </c>
      <c r="O17" s="314">
        <f t="shared" si="3"/>
        <v>6000</v>
      </c>
      <c r="P17" s="341" t="s">
        <v>44</v>
      </c>
      <c r="Q17" s="328">
        <v>10000.0</v>
      </c>
      <c r="R17" s="328">
        <v>3028.0</v>
      </c>
      <c r="S17" s="329" t="s">
        <v>290</v>
      </c>
      <c r="T17" s="319">
        <v>10000.0</v>
      </c>
      <c r="U17" s="319">
        <v>3891.0</v>
      </c>
      <c r="V17" s="319" t="s">
        <v>926</v>
      </c>
      <c r="W17" s="326"/>
      <c r="X17" s="326"/>
      <c r="Y17" s="326"/>
      <c r="Z17" s="291"/>
      <c r="AA17" s="291"/>
      <c r="AB17" s="291"/>
      <c r="AC17" s="291"/>
    </row>
    <row r="18">
      <c r="A18" s="319">
        <v>16.0</v>
      </c>
      <c r="B18" s="319" t="s">
        <v>1825</v>
      </c>
      <c r="C18" s="319" t="s">
        <v>1826</v>
      </c>
      <c r="D18" s="320" t="s">
        <v>1816</v>
      </c>
      <c r="E18" s="320">
        <v>1997.0</v>
      </c>
      <c r="F18" s="329" t="s">
        <v>169</v>
      </c>
      <c r="G18" s="340">
        <v>7.296938977E9</v>
      </c>
      <c r="H18" s="340">
        <v>1000.0</v>
      </c>
      <c r="I18" s="339">
        <v>24000.0</v>
      </c>
      <c r="J18" s="342">
        <v>7000.0</v>
      </c>
      <c r="K18" s="340"/>
      <c r="L18" s="339">
        <v>8000.0</v>
      </c>
      <c r="M18" s="314">
        <f t="shared" si="1"/>
        <v>24000</v>
      </c>
      <c r="N18" s="314">
        <f t="shared" si="2"/>
        <v>0</v>
      </c>
      <c r="O18" s="314">
        <f t="shared" si="3"/>
        <v>24000</v>
      </c>
      <c r="P18" s="341" t="s">
        <v>131</v>
      </c>
      <c r="Q18" s="326"/>
      <c r="R18" s="326"/>
      <c r="S18" s="326"/>
      <c r="T18" s="326"/>
      <c r="U18" s="326"/>
      <c r="V18" s="326"/>
      <c r="W18" s="326"/>
      <c r="X18" s="326"/>
      <c r="Y18" s="326"/>
      <c r="Z18" s="291"/>
      <c r="AA18" s="291"/>
      <c r="AB18" s="291"/>
      <c r="AC18" s="291"/>
    </row>
    <row r="19">
      <c r="A19" s="319">
        <v>17.0</v>
      </c>
      <c r="B19" s="319" t="s">
        <v>1827</v>
      </c>
      <c r="C19" s="319" t="s">
        <v>268</v>
      </c>
      <c r="D19" s="320" t="s">
        <v>1816</v>
      </c>
      <c r="E19" s="320">
        <v>1082.0</v>
      </c>
      <c r="F19" s="329" t="s">
        <v>165</v>
      </c>
      <c r="G19" s="340">
        <v>6.375402896E9</v>
      </c>
      <c r="H19" s="340">
        <v>0.0</v>
      </c>
      <c r="I19" s="340">
        <v>24000.0</v>
      </c>
      <c r="J19" s="328">
        <v>7500.0</v>
      </c>
      <c r="K19" s="340"/>
      <c r="L19" s="340">
        <v>3000.0</v>
      </c>
      <c r="M19" s="314">
        <f t="shared" si="1"/>
        <v>28500</v>
      </c>
      <c r="N19" s="314">
        <f t="shared" si="2"/>
        <v>4000</v>
      </c>
      <c r="O19" s="314">
        <f t="shared" si="3"/>
        <v>24500</v>
      </c>
      <c r="P19" s="341" t="s">
        <v>159</v>
      </c>
      <c r="Q19" s="319">
        <v>4000.0</v>
      </c>
      <c r="R19" s="319">
        <v>3428.0</v>
      </c>
      <c r="S19" s="319" t="s">
        <v>136</v>
      </c>
      <c r="T19" s="326"/>
      <c r="U19" s="326"/>
      <c r="V19" s="326"/>
      <c r="W19" s="326"/>
      <c r="X19" s="326"/>
      <c r="Y19" s="326"/>
      <c r="Z19" s="291"/>
      <c r="AA19" s="291"/>
      <c r="AB19" s="291"/>
      <c r="AC19" s="291"/>
    </row>
    <row r="20">
      <c r="A20" s="312">
        <v>18.0</v>
      </c>
      <c r="B20" s="312" t="s">
        <v>1828</v>
      </c>
      <c r="C20" s="312" t="s">
        <v>1648</v>
      </c>
      <c r="D20" s="313" t="s">
        <v>1816</v>
      </c>
      <c r="E20" s="313">
        <v>1020.0</v>
      </c>
      <c r="F20" s="312" t="s">
        <v>169</v>
      </c>
      <c r="G20" s="312">
        <v>8.769985608E9</v>
      </c>
      <c r="H20" s="314"/>
      <c r="I20" s="334">
        <v>24000.0</v>
      </c>
      <c r="J20" s="315">
        <v>7500.0</v>
      </c>
      <c r="K20" s="314"/>
      <c r="L20" s="316"/>
      <c r="M20" s="314">
        <f t="shared" si="1"/>
        <v>31500</v>
      </c>
      <c r="N20" s="314">
        <f t="shared" si="2"/>
        <v>5000</v>
      </c>
      <c r="O20" s="314">
        <f t="shared" si="3"/>
        <v>26500</v>
      </c>
      <c r="P20" s="317"/>
      <c r="Q20" s="312">
        <v>5000.0</v>
      </c>
      <c r="R20" s="312">
        <v>3938.0</v>
      </c>
      <c r="S20" s="312" t="s">
        <v>132</v>
      </c>
      <c r="T20" s="316"/>
      <c r="U20" s="316"/>
      <c r="V20" s="316"/>
      <c r="W20" s="316"/>
      <c r="X20" s="316"/>
      <c r="Y20" s="316"/>
    </row>
    <row r="21">
      <c r="A21" s="312">
        <v>19.0</v>
      </c>
      <c r="B21" s="312" t="s">
        <v>1829</v>
      </c>
      <c r="C21" s="312" t="s">
        <v>73</v>
      </c>
      <c r="D21" s="313" t="s">
        <v>1816</v>
      </c>
      <c r="E21" s="313">
        <v>1071.0</v>
      </c>
      <c r="F21" s="331" t="s">
        <v>941</v>
      </c>
      <c r="G21" s="312">
        <v>8.107439251E9</v>
      </c>
      <c r="H21" s="314"/>
      <c r="I21" s="334">
        <v>24000.0</v>
      </c>
      <c r="J21" s="315">
        <v>8000.0</v>
      </c>
      <c r="K21" s="314"/>
      <c r="L21" s="316"/>
      <c r="M21" s="314">
        <f t="shared" si="1"/>
        <v>32000</v>
      </c>
      <c r="N21" s="314">
        <f t="shared" si="2"/>
        <v>7000</v>
      </c>
      <c r="O21" s="314">
        <f t="shared" si="3"/>
        <v>25000</v>
      </c>
      <c r="P21" s="317"/>
      <c r="Q21" s="312">
        <v>2000.0</v>
      </c>
      <c r="R21" s="312">
        <v>3541.0</v>
      </c>
      <c r="S21" s="332">
        <v>45818.0</v>
      </c>
      <c r="T21" s="312">
        <v>5000.0</v>
      </c>
      <c r="U21" s="312">
        <v>4006.0</v>
      </c>
      <c r="V21" s="312" t="s">
        <v>312</v>
      </c>
      <c r="W21" s="316"/>
      <c r="X21" s="316"/>
      <c r="Y21" s="316"/>
    </row>
    <row r="22">
      <c r="A22" s="312">
        <v>20.0</v>
      </c>
      <c r="B22" s="312" t="s">
        <v>1830</v>
      </c>
      <c r="C22" s="312" t="s">
        <v>1831</v>
      </c>
      <c r="D22" s="313" t="s">
        <v>1816</v>
      </c>
      <c r="E22" s="313">
        <v>1018.0</v>
      </c>
      <c r="F22" s="312" t="s">
        <v>126</v>
      </c>
      <c r="G22" s="312">
        <v>9.799290659E9</v>
      </c>
      <c r="H22" s="314"/>
      <c r="I22" s="334">
        <v>24000.0</v>
      </c>
      <c r="J22" s="315">
        <v>5000.0</v>
      </c>
      <c r="K22" s="314"/>
      <c r="L22" s="316"/>
      <c r="M22" s="314">
        <f t="shared" si="1"/>
        <v>29000</v>
      </c>
      <c r="N22" s="314">
        <f t="shared" si="2"/>
        <v>0</v>
      </c>
      <c r="O22" s="314">
        <f t="shared" si="3"/>
        <v>29000</v>
      </c>
      <c r="P22" s="317"/>
      <c r="Q22" s="316"/>
      <c r="R22" s="316"/>
      <c r="S22" s="316"/>
      <c r="T22" s="316"/>
      <c r="U22" s="316"/>
      <c r="V22" s="316"/>
      <c r="W22" s="316"/>
      <c r="X22" s="316"/>
      <c r="Y22" s="316"/>
    </row>
    <row r="23">
      <c r="A23" s="312">
        <v>21.0</v>
      </c>
      <c r="B23" s="312" t="s">
        <v>1832</v>
      </c>
      <c r="C23" s="312" t="s">
        <v>1833</v>
      </c>
      <c r="D23" s="313" t="s">
        <v>1816</v>
      </c>
      <c r="E23" s="313">
        <v>1045.0</v>
      </c>
      <c r="F23" s="312" t="s">
        <v>169</v>
      </c>
      <c r="G23" s="312">
        <v>9.05767747E9</v>
      </c>
      <c r="H23" s="314"/>
      <c r="I23" s="334">
        <v>24000.0</v>
      </c>
      <c r="J23" s="315">
        <v>7000.0</v>
      </c>
      <c r="K23" s="314"/>
      <c r="L23" s="316"/>
      <c r="M23" s="314">
        <f t="shared" si="1"/>
        <v>31000</v>
      </c>
      <c r="N23" s="314">
        <f t="shared" si="2"/>
        <v>0</v>
      </c>
      <c r="O23" s="314">
        <f t="shared" si="3"/>
        <v>31000</v>
      </c>
      <c r="P23" s="317"/>
      <c r="Q23" s="316"/>
      <c r="R23" s="316"/>
      <c r="S23" s="316"/>
      <c r="T23" s="316"/>
      <c r="U23" s="316"/>
      <c r="V23" s="316"/>
      <c r="W23" s="316"/>
      <c r="X23" s="316"/>
      <c r="Y23" s="316"/>
    </row>
    <row r="24">
      <c r="A24" s="319">
        <v>22.0</v>
      </c>
      <c r="B24" s="319" t="s">
        <v>1834</v>
      </c>
      <c r="C24" s="319" t="s">
        <v>1835</v>
      </c>
      <c r="D24" s="320" t="s">
        <v>1816</v>
      </c>
      <c r="E24" s="320">
        <v>1929.0</v>
      </c>
      <c r="F24" s="329" t="s">
        <v>48</v>
      </c>
      <c r="G24" s="340">
        <v>8.000807982E9</v>
      </c>
      <c r="H24" s="321"/>
      <c r="I24" s="340">
        <v>24000.0</v>
      </c>
      <c r="J24" s="322">
        <v>9500.0</v>
      </c>
      <c r="K24" s="321"/>
      <c r="L24" s="326"/>
      <c r="M24" s="314">
        <f t="shared" si="1"/>
        <v>33500</v>
      </c>
      <c r="N24" s="314">
        <f t="shared" si="2"/>
        <v>10000</v>
      </c>
      <c r="O24" s="314">
        <f t="shared" si="3"/>
        <v>23500</v>
      </c>
      <c r="P24" s="327"/>
      <c r="Q24" s="319">
        <v>10000.0</v>
      </c>
      <c r="R24" s="319">
        <v>3685.0</v>
      </c>
      <c r="S24" s="324">
        <v>45910.0</v>
      </c>
      <c r="T24" s="326"/>
      <c r="U24" s="326"/>
      <c r="V24" s="326"/>
      <c r="W24" s="326"/>
      <c r="X24" s="326"/>
      <c r="Y24" s="326"/>
      <c r="Z24" s="291"/>
      <c r="AA24" s="291"/>
      <c r="AB24" s="291"/>
      <c r="AC24" s="291"/>
    </row>
    <row r="25">
      <c r="A25" s="319">
        <v>23.0</v>
      </c>
      <c r="B25" s="319" t="s">
        <v>1836</v>
      </c>
      <c r="C25" s="319" t="s">
        <v>1837</v>
      </c>
      <c r="D25" s="320" t="s">
        <v>1816</v>
      </c>
      <c r="E25" s="320">
        <v>1926.0</v>
      </c>
      <c r="F25" s="329" t="s">
        <v>662</v>
      </c>
      <c r="G25" s="340">
        <v>9.166537901E9</v>
      </c>
      <c r="H25" s="340">
        <v>1000.0</v>
      </c>
      <c r="I25" s="340">
        <v>24000.0</v>
      </c>
      <c r="J25" s="328">
        <v>5000.0</v>
      </c>
      <c r="K25" s="340"/>
      <c r="L25" s="340">
        <v>5000.0</v>
      </c>
      <c r="M25" s="314">
        <f t="shared" si="1"/>
        <v>25000</v>
      </c>
      <c r="N25" s="314">
        <f t="shared" si="2"/>
        <v>8000</v>
      </c>
      <c r="O25" s="314">
        <f t="shared" si="3"/>
        <v>17000</v>
      </c>
      <c r="P25" s="341" t="s">
        <v>44</v>
      </c>
      <c r="Q25" s="328">
        <v>8000.0</v>
      </c>
      <c r="R25" s="328">
        <v>3080.0</v>
      </c>
      <c r="S25" s="329" t="s">
        <v>1074</v>
      </c>
      <c r="T25" s="326"/>
      <c r="U25" s="326"/>
      <c r="V25" s="326"/>
      <c r="W25" s="326"/>
      <c r="X25" s="326"/>
      <c r="Y25" s="326"/>
      <c r="Z25" s="291"/>
      <c r="AA25" s="291"/>
      <c r="AB25" s="291"/>
      <c r="AC25" s="291"/>
    </row>
    <row r="26">
      <c r="A26" s="319">
        <v>24.0</v>
      </c>
      <c r="B26" s="319" t="s">
        <v>1838</v>
      </c>
      <c r="C26" s="319" t="s">
        <v>1824</v>
      </c>
      <c r="D26" s="320" t="s">
        <v>1816</v>
      </c>
      <c r="E26" s="320">
        <v>1563.0</v>
      </c>
      <c r="F26" s="343" t="s">
        <v>223</v>
      </c>
      <c r="G26" s="319">
        <v>9.784254417E9</v>
      </c>
      <c r="H26" s="321"/>
      <c r="I26" s="339">
        <v>27000.0</v>
      </c>
      <c r="J26" s="322">
        <v>7000.0</v>
      </c>
      <c r="K26" s="321"/>
      <c r="L26" s="319">
        <v>7000.0</v>
      </c>
      <c r="M26" s="314">
        <f t="shared" si="1"/>
        <v>27000</v>
      </c>
      <c r="N26" s="314">
        <f t="shared" si="2"/>
        <v>15000</v>
      </c>
      <c r="O26" s="314">
        <f t="shared" si="3"/>
        <v>12000</v>
      </c>
      <c r="P26" s="323" t="s">
        <v>131</v>
      </c>
      <c r="Q26" s="319">
        <v>15000.0</v>
      </c>
      <c r="R26" s="319">
        <v>3937.0</v>
      </c>
      <c r="S26" s="319" t="s">
        <v>132</v>
      </c>
      <c r="T26" s="326"/>
      <c r="U26" s="326"/>
      <c r="V26" s="326"/>
      <c r="W26" s="326"/>
      <c r="X26" s="326"/>
      <c r="Y26" s="326"/>
      <c r="Z26" s="291"/>
      <c r="AA26" s="291"/>
      <c r="AB26" s="291"/>
      <c r="AC26" s="291"/>
    </row>
    <row r="27">
      <c r="A27" s="319">
        <v>25.0</v>
      </c>
      <c r="B27" s="319" t="s">
        <v>1839</v>
      </c>
      <c r="C27" s="319" t="s">
        <v>1840</v>
      </c>
      <c r="D27" s="320" t="s">
        <v>1816</v>
      </c>
      <c r="E27" s="320">
        <v>1028.0</v>
      </c>
      <c r="F27" s="329" t="s">
        <v>286</v>
      </c>
      <c r="G27" s="340">
        <v>9.829987898E9</v>
      </c>
      <c r="H27" s="340">
        <v>0.0</v>
      </c>
      <c r="I27" s="340">
        <v>27000.0</v>
      </c>
      <c r="J27" s="328">
        <v>0.0</v>
      </c>
      <c r="K27" s="340"/>
      <c r="L27" s="340">
        <v>3000.0</v>
      </c>
      <c r="M27" s="314">
        <f t="shared" si="1"/>
        <v>24000</v>
      </c>
      <c r="N27" s="314">
        <f t="shared" si="2"/>
        <v>14000</v>
      </c>
      <c r="O27" s="314">
        <f t="shared" si="3"/>
        <v>10000</v>
      </c>
      <c r="P27" s="341" t="s">
        <v>131</v>
      </c>
      <c r="Q27" s="328">
        <v>6000.0</v>
      </c>
      <c r="R27" s="328">
        <v>3022.0</v>
      </c>
      <c r="S27" s="329" t="s">
        <v>290</v>
      </c>
      <c r="T27" s="319">
        <v>8000.0</v>
      </c>
      <c r="U27" s="319">
        <v>3669.0</v>
      </c>
      <c r="V27" s="324">
        <v>45910.0</v>
      </c>
      <c r="W27" s="326"/>
      <c r="X27" s="326"/>
      <c r="Y27" s="326"/>
      <c r="Z27" s="291"/>
      <c r="AA27" s="291"/>
      <c r="AB27" s="291"/>
      <c r="AC27" s="291"/>
    </row>
    <row r="28">
      <c r="A28" s="344">
        <v>26.0</v>
      </c>
      <c r="B28" s="344" t="s">
        <v>1841</v>
      </c>
      <c r="C28" s="344" t="s">
        <v>1842</v>
      </c>
      <c r="D28" s="345" t="s">
        <v>1816</v>
      </c>
      <c r="E28" s="345">
        <v>1896.0</v>
      </c>
      <c r="F28" s="346" t="s">
        <v>361</v>
      </c>
      <c r="G28" s="347">
        <v>9.82941013E9</v>
      </c>
      <c r="H28" s="347">
        <v>1000.0</v>
      </c>
      <c r="I28" s="348">
        <v>24000.0</v>
      </c>
      <c r="J28" s="349">
        <v>5000.0</v>
      </c>
      <c r="K28" s="347"/>
      <c r="L28" s="348">
        <v>10000.0</v>
      </c>
      <c r="M28" s="350">
        <f t="shared" si="1"/>
        <v>20000</v>
      </c>
      <c r="N28" s="350">
        <f t="shared" si="2"/>
        <v>20000</v>
      </c>
      <c r="O28" s="350">
        <f t="shared" si="3"/>
        <v>0</v>
      </c>
      <c r="P28" s="351" t="s">
        <v>159</v>
      </c>
      <c r="Q28" s="352">
        <v>20000.0</v>
      </c>
      <c r="R28" s="352">
        <v>3030.0</v>
      </c>
      <c r="S28" s="346" t="s">
        <v>290</v>
      </c>
      <c r="T28" s="353"/>
      <c r="U28" s="353"/>
      <c r="V28" s="353"/>
      <c r="W28" s="353"/>
      <c r="X28" s="353"/>
      <c r="Y28" s="344" t="s">
        <v>1843</v>
      </c>
      <c r="Z28" s="274"/>
      <c r="AA28" s="274"/>
      <c r="AB28" s="274"/>
      <c r="AC28" s="274"/>
    </row>
    <row r="29">
      <c r="A29" s="319">
        <v>27.0</v>
      </c>
      <c r="B29" s="319" t="s">
        <v>1844</v>
      </c>
      <c r="C29" s="319" t="s">
        <v>1845</v>
      </c>
      <c r="D29" s="320" t="s">
        <v>1816</v>
      </c>
      <c r="E29" s="320">
        <v>1940.0</v>
      </c>
      <c r="F29" s="329" t="s">
        <v>662</v>
      </c>
      <c r="G29" s="340">
        <v>9.928864279E9</v>
      </c>
      <c r="H29" s="340">
        <v>1000.0</v>
      </c>
      <c r="I29" s="340">
        <v>24000.0</v>
      </c>
      <c r="J29" s="328">
        <v>5000.0</v>
      </c>
      <c r="K29" s="340"/>
      <c r="L29" s="340">
        <v>4000.0</v>
      </c>
      <c r="M29" s="314">
        <f t="shared" si="1"/>
        <v>26000</v>
      </c>
      <c r="N29" s="314">
        <f t="shared" si="2"/>
        <v>21000</v>
      </c>
      <c r="O29" s="314">
        <f t="shared" si="3"/>
        <v>5000</v>
      </c>
      <c r="P29" s="341" t="s">
        <v>44</v>
      </c>
      <c r="Q29" s="328">
        <v>1000.0</v>
      </c>
      <c r="R29" s="328">
        <v>3033.0</v>
      </c>
      <c r="S29" s="329" t="s">
        <v>166</v>
      </c>
      <c r="T29" s="328">
        <v>10000.0</v>
      </c>
      <c r="U29" s="328">
        <v>3105.0</v>
      </c>
      <c r="V29" s="329" t="s">
        <v>1846</v>
      </c>
      <c r="W29" s="354">
        <v>10000.0</v>
      </c>
      <c r="X29" s="354">
        <v>3499.0</v>
      </c>
      <c r="Y29" s="355">
        <v>45757.0</v>
      </c>
      <c r="Z29" s="291"/>
      <c r="AA29" s="291"/>
      <c r="AB29" s="291"/>
      <c r="AC29" s="291"/>
    </row>
    <row r="30">
      <c r="A30" s="319">
        <v>28.0</v>
      </c>
      <c r="B30" s="319" t="s">
        <v>1847</v>
      </c>
      <c r="C30" s="319" t="s">
        <v>1848</v>
      </c>
      <c r="D30" s="320" t="s">
        <v>1816</v>
      </c>
      <c r="E30" s="320">
        <v>994.0</v>
      </c>
      <c r="F30" s="319" t="s">
        <v>169</v>
      </c>
      <c r="G30" s="319">
        <v>6.377476331E9</v>
      </c>
      <c r="H30" s="321"/>
      <c r="I30" s="339">
        <v>24000.0</v>
      </c>
      <c r="J30" s="322">
        <v>7000.0</v>
      </c>
      <c r="K30" s="321"/>
      <c r="L30" s="319">
        <v>7000.0</v>
      </c>
      <c r="M30" s="314">
        <f t="shared" si="1"/>
        <v>24000</v>
      </c>
      <c r="N30" s="314">
        <f t="shared" si="2"/>
        <v>7500</v>
      </c>
      <c r="O30" s="314">
        <f t="shared" si="3"/>
        <v>16500</v>
      </c>
      <c r="P30" s="323" t="s">
        <v>44</v>
      </c>
      <c r="Q30" s="319">
        <v>2500.0</v>
      </c>
      <c r="R30" s="319">
        <v>3667.0</v>
      </c>
      <c r="S30" s="324">
        <v>45910.0</v>
      </c>
      <c r="T30" s="319">
        <v>5000.0</v>
      </c>
      <c r="U30" s="319">
        <v>3940.0</v>
      </c>
      <c r="V30" s="319" t="s">
        <v>132</v>
      </c>
      <c r="W30" s="326"/>
      <c r="X30" s="326"/>
      <c r="Y30" s="326"/>
      <c r="Z30" s="356"/>
      <c r="AA30" s="356"/>
      <c r="AB30" s="356"/>
      <c r="AC30" s="356"/>
    </row>
    <row r="31">
      <c r="A31" s="312">
        <v>29.0</v>
      </c>
      <c r="B31" s="312" t="s">
        <v>1849</v>
      </c>
      <c r="C31" s="312" t="s">
        <v>1742</v>
      </c>
      <c r="D31" s="313" t="s">
        <v>1816</v>
      </c>
      <c r="E31" s="313">
        <v>1564.0</v>
      </c>
      <c r="F31" s="312" t="s">
        <v>126</v>
      </c>
      <c r="G31" s="312">
        <v>9.001981979E9</v>
      </c>
      <c r="H31" s="314"/>
      <c r="I31" s="334">
        <v>24000.0</v>
      </c>
      <c r="J31" s="315">
        <v>5000.0</v>
      </c>
      <c r="K31" s="314"/>
      <c r="L31" s="316"/>
      <c r="M31" s="314">
        <f t="shared" si="1"/>
        <v>29000</v>
      </c>
      <c r="N31" s="314">
        <f t="shared" si="2"/>
        <v>5000</v>
      </c>
      <c r="O31" s="314">
        <f t="shared" si="3"/>
        <v>24000</v>
      </c>
      <c r="P31" s="317"/>
      <c r="Q31" s="312">
        <v>5000.0</v>
      </c>
      <c r="R31" s="312">
        <v>3885.0</v>
      </c>
      <c r="S31" s="312" t="s">
        <v>374</v>
      </c>
      <c r="T31" s="316"/>
      <c r="U31" s="316"/>
      <c r="V31" s="316"/>
      <c r="W31" s="316"/>
      <c r="X31" s="316"/>
      <c r="Y31" s="316"/>
    </row>
    <row r="32">
      <c r="A32" s="312">
        <v>30.0</v>
      </c>
      <c r="B32" s="312" t="s">
        <v>1850</v>
      </c>
      <c r="C32" s="312" t="s">
        <v>1851</v>
      </c>
      <c r="D32" s="313" t="s">
        <v>1816</v>
      </c>
      <c r="E32" s="313">
        <v>1005.0</v>
      </c>
      <c r="F32" s="312" t="s">
        <v>1852</v>
      </c>
      <c r="G32" s="312">
        <v>8.279267182E9</v>
      </c>
      <c r="H32" s="314"/>
      <c r="I32" s="334">
        <v>24000.0</v>
      </c>
      <c r="J32" s="315">
        <v>6500.0</v>
      </c>
      <c r="K32" s="314"/>
      <c r="L32" s="316"/>
      <c r="M32" s="314">
        <f t="shared" si="1"/>
        <v>30500</v>
      </c>
      <c r="N32" s="314">
        <f t="shared" si="2"/>
        <v>2500</v>
      </c>
      <c r="O32" s="314">
        <f t="shared" si="3"/>
        <v>28000</v>
      </c>
      <c r="P32" s="317"/>
      <c r="Q32" s="312">
        <v>2500.0</v>
      </c>
      <c r="R32" s="312">
        <v>3718.0</v>
      </c>
      <c r="S32" s="357">
        <v>45971.0</v>
      </c>
      <c r="T32" s="316"/>
      <c r="U32" s="316"/>
      <c r="V32" s="316"/>
      <c r="W32" s="316"/>
      <c r="X32" s="316"/>
      <c r="Y32" s="316"/>
    </row>
    <row r="33">
      <c r="A33" s="319">
        <v>31.0</v>
      </c>
      <c r="B33" s="319" t="s">
        <v>1853</v>
      </c>
      <c r="C33" s="319" t="s">
        <v>1854</v>
      </c>
      <c r="D33" s="320" t="s">
        <v>1816</v>
      </c>
      <c r="E33" s="320">
        <v>1983.0</v>
      </c>
      <c r="F33" s="329" t="s">
        <v>361</v>
      </c>
      <c r="G33" s="354">
        <v>9.784456495E9</v>
      </c>
      <c r="H33" s="339">
        <v>1000.0</v>
      </c>
      <c r="I33" s="340">
        <v>24000.0</v>
      </c>
      <c r="J33" s="342">
        <v>5000.0</v>
      </c>
      <c r="K33" s="340"/>
      <c r="L33" s="354">
        <v>5000.0</v>
      </c>
      <c r="M33" s="314">
        <f t="shared" si="1"/>
        <v>25000</v>
      </c>
      <c r="N33" s="314">
        <f t="shared" si="2"/>
        <v>10000</v>
      </c>
      <c r="O33" s="314">
        <f t="shared" si="3"/>
        <v>15000</v>
      </c>
      <c r="P33" s="327"/>
      <c r="Q33" s="328">
        <v>10000.0</v>
      </c>
      <c r="R33" s="328">
        <v>3140.0</v>
      </c>
      <c r="S33" s="358">
        <v>45755.0</v>
      </c>
      <c r="T33" s="326"/>
      <c r="U33" s="326"/>
      <c r="V33" s="326"/>
      <c r="W33" s="326"/>
      <c r="X33" s="326"/>
      <c r="Y33" s="326"/>
      <c r="Z33" s="291"/>
      <c r="AA33" s="291"/>
      <c r="AB33" s="291"/>
      <c r="AC33" s="291"/>
    </row>
    <row r="34">
      <c r="A34" s="319">
        <v>32.0</v>
      </c>
      <c r="B34" s="319" t="s">
        <v>1855</v>
      </c>
      <c r="C34" s="319" t="s">
        <v>1856</v>
      </c>
      <c r="D34" s="320" t="s">
        <v>1816</v>
      </c>
      <c r="E34" s="321"/>
      <c r="F34" s="319" t="s">
        <v>169</v>
      </c>
      <c r="G34" s="319">
        <v>9.116446479E9</v>
      </c>
      <c r="H34" s="320">
        <v>1000.0</v>
      </c>
      <c r="I34" s="319">
        <v>24000.0</v>
      </c>
      <c r="J34" s="322">
        <v>7000.0</v>
      </c>
      <c r="K34" s="321"/>
      <c r="L34" s="319">
        <v>5000.0</v>
      </c>
      <c r="M34" s="314">
        <f t="shared" si="1"/>
        <v>27000</v>
      </c>
      <c r="N34" s="314">
        <f t="shared" si="2"/>
        <v>15000</v>
      </c>
      <c r="O34" s="314">
        <f t="shared" si="3"/>
        <v>12000</v>
      </c>
      <c r="P34" s="327"/>
      <c r="Q34" s="16">
        <v>15000.0</v>
      </c>
      <c r="R34" s="16">
        <v>3167.0</v>
      </c>
      <c r="S34" s="17">
        <v>45816.0</v>
      </c>
      <c r="T34" s="326"/>
      <c r="U34" s="326"/>
      <c r="V34" s="326"/>
      <c r="W34" s="326"/>
      <c r="X34" s="326"/>
      <c r="Y34" s="326"/>
      <c r="Z34" s="291"/>
      <c r="AA34" s="291"/>
      <c r="AB34" s="291"/>
      <c r="AC34" s="291"/>
    </row>
    <row r="35">
      <c r="A35" s="312">
        <v>33.0</v>
      </c>
      <c r="B35" s="312" t="s">
        <v>1857</v>
      </c>
      <c r="C35" s="312" t="s">
        <v>1858</v>
      </c>
      <c r="D35" s="313" t="s">
        <v>1816</v>
      </c>
      <c r="E35" s="313">
        <v>1246.0</v>
      </c>
      <c r="F35" s="312" t="s">
        <v>474</v>
      </c>
      <c r="G35" s="312">
        <v>9.783862054E9</v>
      </c>
      <c r="H35" s="314"/>
      <c r="I35" s="334">
        <v>24000.0</v>
      </c>
      <c r="J35" s="315">
        <v>5000.0</v>
      </c>
      <c r="K35" s="314"/>
      <c r="L35" s="316"/>
      <c r="M35" s="314">
        <f t="shared" si="1"/>
        <v>29000</v>
      </c>
      <c r="N35" s="314">
        <f t="shared" si="2"/>
        <v>10000</v>
      </c>
      <c r="O35" s="314">
        <f t="shared" si="3"/>
        <v>19000</v>
      </c>
      <c r="P35" s="317"/>
      <c r="Q35" s="312">
        <v>10000.0</v>
      </c>
      <c r="R35" s="312">
        <v>3922.0</v>
      </c>
      <c r="S35" s="312" t="s">
        <v>349</v>
      </c>
      <c r="T35" s="316"/>
      <c r="U35" s="316"/>
      <c r="V35" s="316"/>
      <c r="W35" s="316"/>
      <c r="X35" s="316"/>
      <c r="Y35" s="316"/>
    </row>
    <row r="36">
      <c r="A36" s="319">
        <v>34.0</v>
      </c>
      <c r="B36" s="319" t="s">
        <v>1859</v>
      </c>
      <c r="C36" s="319" t="s">
        <v>1860</v>
      </c>
      <c r="D36" s="320" t="s">
        <v>1816</v>
      </c>
      <c r="E36" s="321"/>
      <c r="F36" s="319" t="s">
        <v>169</v>
      </c>
      <c r="G36" s="319">
        <v>9.649541908E9</v>
      </c>
      <c r="H36" s="320">
        <v>1000.0</v>
      </c>
      <c r="I36" s="319">
        <v>24000.0</v>
      </c>
      <c r="J36" s="322">
        <v>7000.0</v>
      </c>
      <c r="K36" s="321"/>
      <c r="L36" s="319">
        <v>6000.0</v>
      </c>
      <c r="M36" s="314">
        <f t="shared" si="1"/>
        <v>26000</v>
      </c>
      <c r="N36" s="314">
        <f t="shared" si="2"/>
        <v>0</v>
      </c>
      <c r="O36" s="314">
        <f t="shared" si="3"/>
        <v>26000</v>
      </c>
      <c r="P36" s="327"/>
      <c r="Q36" s="326"/>
      <c r="R36" s="326"/>
      <c r="S36" s="326"/>
      <c r="T36" s="326"/>
      <c r="U36" s="326"/>
      <c r="V36" s="326"/>
      <c r="W36" s="326"/>
      <c r="X36" s="326"/>
      <c r="Y36" s="326"/>
      <c r="Z36" s="291"/>
      <c r="AA36" s="291"/>
      <c r="AB36" s="291"/>
      <c r="AC36" s="291"/>
    </row>
    <row r="37">
      <c r="A37" s="344">
        <v>35.0</v>
      </c>
      <c r="B37" s="344" t="s">
        <v>1861</v>
      </c>
      <c r="C37" s="344" t="s">
        <v>1862</v>
      </c>
      <c r="D37" s="345" t="s">
        <v>1816</v>
      </c>
      <c r="E37" s="345">
        <v>1047.0</v>
      </c>
      <c r="F37" s="344" t="s">
        <v>145</v>
      </c>
      <c r="G37" s="344">
        <v>8.003681155E9</v>
      </c>
      <c r="H37" s="350"/>
      <c r="I37" s="359">
        <v>27000.0</v>
      </c>
      <c r="J37" s="360">
        <v>0.0</v>
      </c>
      <c r="K37" s="345"/>
      <c r="L37" s="344">
        <v>9000.0</v>
      </c>
      <c r="M37" s="350">
        <f t="shared" si="1"/>
        <v>18000</v>
      </c>
      <c r="N37" s="350">
        <f t="shared" si="2"/>
        <v>7000</v>
      </c>
      <c r="O37" s="350">
        <f t="shared" si="3"/>
        <v>11000</v>
      </c>
      <c r="P37" s="361"/>
      <c r="Q37" s="344">
        <v>7000.0</v>
      </c>
      <c r="R37" s="344">
        <v>3431.0</v>
      </c>
      <c r="S37" s="344" t="s">
        <v>1863</v>
      </c>
      <c r="T37" s="353"/>
      <c r="U37" s="353"/>
      <c r="V37" s="353"/>
      <c r="W37" s="353"/>
      <c r="X37" s="353"/>
      <c r="Y37" s="353"/>
      <c r="Z37" s="274"/>
      <c r="AA37" s="274"/>
      <c r="AB37" s="274"/>
      <c r="AC37" s="274"/>
    </row>
    <row r="38">
      <c r="A38" s="312">
        <v>36.0</v>
      </c>
      <c r="B38" s="312" t="s">
        <v>1864</v>
      </c>
      <c r="C38" s="312" t="s">
        <v>1865</v>
      </c>
      <c r="D38" s="313" t="s">
        <v>1816</v>
      </c>
      <c r="E38" s="313">
        <v>1092.0</v>
      </c>
      <c r="F38" s="312" t="s">
        <v>1204</v>
      </c>
      <c r="G38" s="312">
        <v>9.92961375E9</v>
      </c>
      <c r="H38" s="314"/>
      <c r="I38" s="334">
        <v>24000.0</v>
      </c>
      <c r="J38" s="315">
        <v>8000.0</v>
      </c>
      <c r="K38" s="314"/>
      <c r="L38" s="316"/>
      <c r="M38" s="314">
        <f t="shared" si="1"/>
        <v>32000</v>
      </c>
      <c r="N38" s="314">
        <f t="shared" si="2"/>
        <v>4000</v>
      </c>
      <c r="O38" s="314">
        <f t="shared" si="3"/>
        <v>28000</v>
      </c>
      <c r="P38" s="317"/>
      <c r="Q38" s="312">
        <v>4000.0</v>
      </c>
      <c r="R38" s="312">
        <v>3796.0</v>
      </c>
      <c r="S38" s="332">
        <v>45880.0</v>
      </c>
      <c r="T38" s="316"/>
      <c r="U38" s="316"/>
      <c r="V38" s="316"/>
      <c r="W38" s="316"/>
      <c r="X38" s="316"/>
      <c r="Y38" s="316"/>
    </row>
    <row r="39">
      <c r="A39" s="312">
        <v>37.0</v>
      </c>
      <c r="B39" s="312" t="s">
        <v>1866</v>
      </c>
      <c r="C39" s="312" t="s">
        <v>1867</v>
      </c>
      <c r="D39" s="313" t="s">
        <v>1816</v>
      </c>
      <c r="E39" s="313">
        <v>1001.0</v>
      </c>
      <c r="F39" s="312" t="s">
        <v>1204</v>
      </c>
      <c r="G39" s="312">
        <v>7.023184723E9</v>
      </c>
      <c r="H39" s="314"/>
      <c r="I39" s="334">
        <v>24000.0</v>
      </c>
      <c r="J39" s="315">
        <v>8000.0</v>
      </c>
      <c r="K39" s="314"/>
      <c r="L39" s="316"/>
      <c r="M39" s="314">
        <f t="shared" si="1"/>
        <v>32000</v>
      </c>
      <c r="N39" s="314">
        <f t="shared" si="2"/>
        <v>10000</v>
      </c>
      <c r="O39" s="314">
        <f t="shared" si="3"/>
        <v>22000</v>
      </c>
      <c r="P39" s="317"/>
      <c r="Q39" s="312">
        <v>10000.0</v>
      </c>
      <c r="R39" s="312">
        <v>3320.0</v>
      </c>
      <c r="S39" s="312" t="s">
        <v>321</v>
      </c>
      <c r="T39" s="316"/>
      <c r="U39" s="316"/>
      <c r="V39" s="316"/>
      <c r="W39" s="316"/>
      <c r="X39" s="316"/>
      <c r="Y39" s="316"/>
    </row>
    <row r="40">
      <c r="A40" s="312">
        <v>38.0</v>
      </c>
      <c r="B40" s="312" t="s">
        <v>1868</v>
      </c>
      <c r="C40" s="312" t="s">
        <v>1869</v>
      </c>
      <c r="D40" s="313" t="s">
        <v>1816</v>
      </c>
      <c r="E40" s="313">
        <v>1032.0</v>
      </c>
      <c r="F40" s="312" t="s">
        <v>126</v>
      </c>
      <c r="G40" s="362">
        <v>9.680323817E9</v>
      </c>
      <c r="H40" s="314"/>
      <c r="I40" s="334">
        <v>24000.0</v>
      </c>
      <c r="J40" s="315">
        <v>5000.0</v>
      </c>
      <c r="K40" s="314"/>
      <c r="L40" s="316"/>
      <c r="M40" s="314">
        <f t="shared" si="1"/>
        <v>29000</v>
      </c>
      <c r="N40" s="314">
        <f t="shared" si="2"/>
        <v>0</v>
      </c>
      <c r="O40" s="314">
        <f t="shared" si="3"/>
        <v>29000</v>
      </c>
      <c r="P40" s="317"/>
      <c r="Q40" s="316"/>
      <c r="R40" s="316"/>
      <c r="S40" s="316"/>
      <c r="T40" s="316"/>
      <c r="U40" s="316"/>
      <c r="V40" s="316"/>
      <c r="W40" s="316"/>
      <c r="X40" s="316"/>
      <c r="Y40" s="316"/>
    </row>
    <row r="41">
      <c r="A41" s="312">
        <v>39.0</v>
      </c>
      <c r="B41" s="312" t="s">
        <v>1870</v>
      </c>
      <c r="C41" s="312" t="s">
        <v>1871</v>
      </c>
      <c r="D41" s="313" t="s">
        <v>1816</v>
      </c>
      <c r="E41" s="313">
        <v>1061.0</v>
      </c>
      <c r="F41" s="312" t="s">
        <v>474</v>
      </c>
      <c r="G41" s="312">
        <v>9.95048913E9</v>
      </c>
      <c r="H41" s="314"/>
      <c r="I41" s="334">
        <v>24000.0</v>
      </c>
      <c r="J41" s="315">
        <v>5000.0</v>
      </c>
      <c r="K41" s="314"/>
      <c r="L41" s="316"/>
      <c r="M41" s="314">
        <f t="shared" si="1"/>
        <v>29000</v>
      </c>
      <c r="N41" s="314">
        <f t="shared" si="2"/>
        <v>15000</v>
      </c>
      <c r="O41" s="314">
        <f t="shared" si="3"/>
        <v>14000</v>
      </c>
      <c r="P41" s="317"/>
      <c r="Q41" s="312">
        <v>10000.0</v>
      </c>
      <c r="R41" s="312">
        <v>3265.0</v>
      </c>
      <c r="S41" s="312" t="s">
        <v>727</v>
      </c>
      <c r="T41" s="312">
        <v>5000.0</v>
      </c>
      <c r="U41" s="312">
        <v>3935.0</v>
      </c>
      <c r="V41" s="312" t="s">
        <v>132</v>
      </c>
      <c r="W41" s="316"/>
      <c r="X41" s="316"/>
      <c r="Y41" s="316"/>
    </row>
    <row r="42">
      <c r="A42" s="319">
        <v>40.0</v>
      </c>
      <c r="B42" s="319" t="s">
        <v>1872</v>
      </c>
      <c r="C42" s="319" t="s">
        <v>1873</v>
      </c>
      <c r="D42" s="320" t="s">
        <v>1816</v>
      </c>
      <c r="E42" s="320">
        <v>1535.0</v>
      </c>
      <c r="F42" s="319" t="s">
        <v>474</v>
      </c>
      <c r="G42" s="319">
        <v>7.742202481E9</v>
      </c>
      <c r="H42" s="320">
        <v>0.0</v>
      </c>
      <c r="I42" s="340">
        <v>24000.0</v>
      </c>
      <c r="J42" s="322">
        <v>5000.0</v>
      </c>
      <c r="K42" s="321"/>
      <c r="L42" s="319">
        <v>3000.0</v>
      </c>
      <c r="M42" s="314">
        <f t="shared" si="1"/>
        <v>26000</v>
      </c>
      <c r="N42" s="314">
        <f t="shared" si="2"/>
        <v>21500</v>
      </c>
      <c r="O42" s="314">
        <f t="shared" si="3"/>
        <v>4500</v>
      </c>
      <c r="P42" s="323" t="s">
        <v>131</v>
      </c>
      <c r="Q42" s="319">
        <v>15000.0</v>
      </c>
      <c r="R42" s="319">
        <v>3288.0</v>
      </c>
      <c r="S42" s="319" t="s">
        <v>761</v>
      </c>
      <c r="T42" s="319">
        <v>6500.0</v>
      </c>
      <c r="U42" s="319">
        <v>3800.0</v>
      </c>
      <c r="V42" s="324">
        <v>45880.0</v>
      </c>
      <c r="W42" s="326"/>
      <c r="X42" s="326"/>
      <c r="Y42" s="326"/>
      <c r="Z42" s="291"/>
      <c r="AA42" s="291"/>
      <c r="AB42" s="291"/>
      <c r="AC42" s="291"/>
    </row>
    <row r="43">
      <c r="A43" s="319">
        <v>41.0</v>
      </c>
      <c r="B43" s="319" t="s">
        <v>1874</v>
      </c>
      <c r="C43" s="319" t="s">
        <v>1108</v>
      </c>
      <c r="D43" s="320" t="s">
        <v>1816</v>
      </c>
      <c r="E43" s="320">
        <v>1044.0</v>
      </c>
      <c r="F43" s="329" t="s">
        <v>1109</v>
      </c>
      <c r="G43" s="340">
        <v>9.928407842E9</v>
      </c>
      <c r="H43" s="340">
        <v>0.0</v>
      </c>
      <c r="I43" s="340">
        <v>24000.0</v>
      </c>
      <c r="J43" s="328">
        <v>5000.0</v>
      </c>
      <c r="K43" s="340"/>
      <c r="L43" s="329"/>
      <c r="M43" s="314">
        <f t="shared" si="1"/>
        <v>29000</v>
      </c>
      <c r="N43" s="314">
        <f t="shared" si="2"/>
        <v>11000</v>
      </c>
      <c r="O43" s="314">
        <f t="shared" si="3"/>
        <v>18000</v>
      </c>
      <c r="P43" s="341" t="s">
        <v>44</v>
      </c>
      <c r="Q43" s="328">
        <v>11000.0</v>
      </c>
      <c r="R43" s="328">
        <v>2908.0</v>
      </c>
      <c r="S43" s="358">
        <v>45845.0</v>
      </c>
      <c r="T43" s="326"/>
      <c r="U43" s="326"/>
      <c r="V43" s="326"/>
      <c r="W43" s="326"/>
      <c r="X43" s="326"/>
      <c r="Y43" s="326"/>
      <c r="Z43" s="291"/>
      <c r="AA43" s="291"/>
      <c r="AB43" s="291"/>
      <c r="AC43" s="291"/>
    </row>
    <row r="44">
      <c r="A44" s="312">
        <v>42.0</v>
      </c>
      <c r="B44" s="312" t="s">
        <v>1875</v>
      </c>
      <c r="C44" s="312" t="s">
        <v>1876</v>
      </c>
      <c r="D44" s="313" t="s">
        <v>1877</v>
      </c>
      <c r="E44" s="313">
        <v>1245.0</v>
      </c>
      <c r="F44" s="316"/>
      <c r="G44" s="312">
        <v>9.166415829E9</v>
      </c>
      <c r="H44" s="363">
        <v>0.0</v>
      </c>
      <c r="I44" s="364">
        <v>27000.0</v>
      </c>
      <c r="J44" s="365"/>
      <c r="K44" s="363">
        <v>0.0</v>
      </c>
      <c r="L44" s="366"/>
      <c r="M44" s="314">
        <f t="shared" si="1"/>
        <v>27000</v>
      </c>
      <c r="N44" s="314">
        <f t="shared" si="2"/>
        <v>10000</v>
      </c>
      <c r="O44" s="314">
        <f t="shared" si="3"/>
        <v>17000</v>
      </c>
      <c r="P44" s="367"/>
      <c r="Q44" s="364">
        <v>5000.0</v>
      </c>
      <c r="R44" s="364">
        <v>3377.0</v>
      </c>
      <c r="S44" s="368">
        <v>45878.0</v>
      </c>
      <c r="T44" s="312">
        <v>5000.0</v>
      </c>
      <c r="U44" s="312">
        <v>3794.0</v>
      </c>
      <c r="V44" s="332">
        <v>45880.0</v>
      </c>
      <c r="W44" s="316"/>
      <c r="X44" s="316"/>
      <c r="Y44" s="316"/>
    </row>
    <row r="45">
      <c r="A45" s="319">
        <v>43.0</v>
      </c>
      <c r="B45" s="319" t="s">
        <v>1878</v>
      </c>
      <c r="C45" s="319" t="s">
        <v>1879</v>
      </c>
      <c r="D45" s="320" t="s">
        <v>1877</v>
      </c>
      <c r="E45" s="320">
        <v>1935.0</v>
      </c>
      <c r="F45" s="329" t="s">
        <v>1880</v>
      </c>
      <c r="G45" s="340">
        <v>9.660567248E9</v>
      </c>
      <c r="H45" s="340">
        <v>1000.0</v>
      </c>
      <c r="I45" s="319">
        <v>27000.0</v>
      </c>
      <c r="J45" s="328">
        <v>9500.0</v>
      </c>
      <c r="K45" s="340"/>
      <c r="L45" s="340">
        <v>3500.0</v>
      </c>
      <c r="M45" s="314">
        <f t="shared" si="1"/>
        <v>34000</v>
      </c>
      <c r="N45" s="314">
        <f t="shared" si="2"/>
        <v>11000</v>
      </c>
      <c r="O45" s="314">
        <f t="shared" si="3"/>
        <v>23000</v>
      </c>
      <c r="P45" s="341" t="s">
        <v>44</v>
      </c>
      <c r="Q45" s="328">
        <v>1000.0</v>
      </c>
      <c r="R45" s="328">
        <v>3106.0</v>
      </c>
      <c r="S45" s="329" t="s">
        <v>1881</v>
      </c>
      <c r="T45" s="319">
        <v>5000.0</v>
      </c>
      <c r="U45" s="319">
        <v>3486.0</v>
      </c>
      <c r="V45" s="324">
        <v>45757.0</v>
      </c>
      <c r="W45" s="319">
        <v>5000.0</v>
      </c>
      <c r="X45" s="319">
        <v>3748.0</v>
      </c>
      <c r="Y45" s="319" t="s">
        <v>291</v>
      </c>
      <c r="Z45" s="291"/>
      <c r="AA45" s="291"/>
      <c r="AB45" s="291"/>
      <c r="AC45" s="291"/>
    </row>
    <row r="46">
      <c r="A46" s="319">
        <v>44.0</v>
      </c>
      <c r="B46" s="319" t="s">
        <v>1882</v>
      </c>
      <c r="C46" s="319" t="s">
        <v>1883</v>
      </c>
      <c r="D46" s="320" t="s">
        <v>1877</v>
      </c>
      <c r="E46" s="320">
        <v>1905.0</v>
      </c>
      <c r="F46" s="329" t="s">
        <v>474</v>
      </c>
      <c r="G46" s="354">
        <v>9.636154353E9</v>
      </c>
      <c r="H46" s="339">
        <v>1000.0</v>
      </c>
      <c r="I46" s="319">
        <v>27000.0</v>
      </c>
      <c r="J46" s="342">
        <v>5000.0</v>
      </c>
      <c r="K46" s="340"/>
      <c r="L46" s="354">
        <v>4000.0</v>
      </c>
      <c r="M46" s="314">
        <f t="shared" si="1"/>
        <v>29000</v>
      </c>
      <c r="N46" s="314">
        <f t="shared" si="2"/>
        <v>8000</v>
      </c>
      <c r="O46" s="314">
        <f t="shared" si="3"/>
        <v>21000</v>
      </c>
      <c r="P46" s="327"/>
      <c r="Q46" s="328">
        <v>4000.0</v>
      </c>
      <c r="R46" s="328">
        <v>3063.0</v>
      </c>
      <c r="S46" s="329" t="s">
        <v>1074</v>
      </c>
      <c r="T46" s="319">
        <v>4000.0</v>
      </c>
      <c r="U46" s="319">
        <v>3651.0</v>
      </c>
      <c r="V46" s="324">
        <v>45910.0</v>
      </c>
      <c r="W46" s="326"/>
      <c r="X46" s="326"/>
      <c r="Y46" s="326"/>
      <c r="Z46" s="291"/>
      <c r="AA46" s="291"/>
      <c r="AB46" s="291"/>
      <c r="AC46" s="291"/>
    </row>
    <row r="47">
      <c r="A47" s="312">
        <v>45.0</v>
      </c>
      <c r="B47" s="312" t="s">
        <v>1884</v>
      </c>
      <c r="C47" s="312" t="s">
        <v>1885</v>
      </c>
      <c r="D47" s="313" t="s">
        <v>1877</v>
      </c>
      <c r="E47" s="313">
        <v>1029.0</v>
      </c>
      <c r="F47" s="312" t="s">
        <v>1886</v>
      </c>
      <c r="G47" s="312">
        <v>9.602047476E9</v>
      </c>
      <c r="H47" s="314"/>
      <c r="I47" s="312">
        <v>27000.0</v>
      </c>
      <c r="J47" s="315">
        <v>8000.0</v>
      </c>
      <c r="K47" s="314"/>
      <c r="L47" s="316"/>
      <c r="M47" s="314">
        <f t="shared" si="1"/>
        <v>35000</v>
      </c>
      <c r="N47" s="314">
        <f t="shared" si="2"/>
        <v>0</v>
      </c>
      <c r="O47" s="314">
        <f t="shared" si="3"/>
        <v>35000</v>
      </c>
      <c r="P47" s="317"/>
      <c r="Q47" s="316"/>
      <c r="R47" s="316"/>
      <c r="S47" s="316"/>
      <c r="T47" s="316"/>
      <c r="U47" s="316"/>
      <c r="V47" s="316"/>
      <c r="W47" s="316"/>
      <c r="X47" s="316"/>
      <c r="Y47" s="316"/>
    </row>
    <row r="48">
      <c r="A48" s="312">
        <v>46.0</v>
      </c>
      <c r="B48" s="312" t="s">
        <v>1887</v>
      </c>
      <c r="C48" s="312" t="s">
        <v>1888</v>
      </c>
      <c r="D48" s="313" t="s">
        <v>1877</v>
      </c>
      <c r="E48" s="313">
        <v>1002.0</v>
      </c>
      <c r="F48" s="312" t="s">
        <v>30</v>
      </c>
      <c r="G48" s="312">
        <v>8.87566184E9</v>
      </c>
      <c r="H48" s="314"/>
      <c r="I48" s="312">
        <v>27000.0</v>
      </c>
      <c r="J48" s="315">
        <v>9500.0</v>
      </c>
      <c r="K48" s="314"/>
      <c r="L48" s="316"/>
      <c r="M48" s="314">
        <f t="shared" si="1"/>
        <v>36500</v>
      </c>
      <c r="N48" s="314">
        <f t="shared" si="2"/>
        <v>16000</v>
      </c>
      <c r="O48" s="314">
        <f t="shared" si="3"/>
        <v>20500</v>
      </c>
      <c r="P48" s="317"/>
      <c r="Q48" s="312">
        <v>6000.0</v>
      </c>
      <c r="R48" s="312">
        <v>3352.0</v>
      </c>
      <c r="S48" s="312" t="s">
        <v>452</v>
      </c>
      <c r="T48" s="312">
        <v>10000.0</v>
      </c>
      <c r="U48" s="312">
        <v>4038.0</v>
      </c>
      <c r="V48" s="312" t="s">
        <v>261</v>
      </c>
      <c r="W48" s="316"/>
      <c r="X48" s="316"/>
      <c r="Y48" s="316"/>
    </row>
    <row r="49">
      <c r="A49" s="312">
        <v>47.0</v>
      </c>
      <c r="B49" s="312" t="s">
        <v>1889</v>
      </c>
      <c r="C49" s="312" t="s">
        <v>1419</v>
      </c>
      <c r="D49" s="313" t="s">
        <v>1877</v>
      </c>
      <c r="E49" s="313">
        <v>1003.0</v>
      </c>
      <c r="F49" s="312" t="s">
        <v>145</v>
      </c>
      <c r="G49" s="362">
        <v>9.928861295E9</v>
      </c>
      <c r="H49" s="314"/>
      <c r="I49" s="312">
        <v>27000.0</v>
      </c>
      <c r="J49" s="315">
        <v>0.0</v>
      </c>
      <c r="K49" s="314"/>
      <c r="L49" s="316"/>
      <c r="M49" s="314">
        <f t="shared" si="1"/>
        <v>27000</v>
      </c>
      <c r="N49" s="314">
        <f t="shared" si="2"/>
        <v>0</v>
      </c>
      <c r="O49" s="314">
        <f t="shared" si="3"/>
        <v>27000</v>
      </c>
      <c r="P49" s="317"/>
      <c r="Q49" s="316"/>
      <c r="R49" s="316"/>
      <c r="S49" s="316"/>
      <c r="T49" s="316"/>
      <c r="U49" s="316"/>
      <c r="V49" s="316"/>
      <c r="W49" s="316"/>
      <c r="X49" s="316"/>
      <c r="Y49" s="316"/>
    </row>
    <row r="50">
      <c r="A50" s="312">
        <v>49.0</v>
      </c>
      <c r="B50" s="312" t="s">
        <v>1890</v>
      </c>
      <c r="C50" s="312" t="s">
        <v>1</v>
      </c>
      <c r="D50" s="313" t="s">
        <v>1877</v>
      </c>
      <c r="E50" s="313">
        <v>1539.0</v>
      </c>
      <c r="F50" s="312" t="s">
        <v>3</v>
      </c>
      <c r="G50" s="312">
        <v>8.696153263E9</v>
      </c>
      <c r="H50" s="369"/>
      <c r="I50" s="364">
        <v>27000.0</v>
      </c>
      <c r="J50" s="370">
        <v>6500.0</v>
      </c>
      <c r="K50" s="369"/>
      <c r="L50" s="366"/>
      <c r="M50" s="314">
        <f t="shared" si="1"/>
        <v>33500</v>
      </c>
      <c r="N50" s="314">
        <f t="shared" si="2"/>
        <v>5000</v>
      </c>
      <c r="O50" s="314">
        <f t="shared" si="3"/>
        <v>28500</v>
      </c>
      <c r="P50" s="367"/>
      <c r="Q50" s="364">
        <v>5000.0</v>
      </c>
      <c r="R50" s="364">
        <v>3411.0</v>
      </c>
      <c r="S50" s="364" t="s">
        <v>1036</v>
      </c>
      <c r="T50" s="316"/>
      <c r="U50" s="316"/>
      <c r="V50" s="316"/>
      <c r="W50" s="316"/>
      <c r="X50" s="316"/>
      <c r="Y50" s="316"/>
    </row>
    <row r="51">
      <c r="A51" s="319">
        <v>52.0</v>
      </c>
      <c r="B51" s="319" t="s">
        <v>1891</v>
      </c>
      <c r="C51" s="319" t="s">
        <v>1892</v>
      </c>
      <c r="D51" s="320" t="s">
        <v>1877</v>
      </c>
      <c r="E51" s="320">
        <v>1904.0</v>
      </c>
      <c r="F51" s="329" t="s">
        <v>568</v>
      </c>
      <c r="G51" s="340">
        <v>8.107138152E9</v>
      </c>
      <c r="H51" s="340">
        <v>1000.0</v>
      </c>
      <c r="I51" s="319">
        <v>27000.0</v>
      </c>
      <c r="J51" s="328">
        <v>9000.0</v>
      </c>
      <c r="K51" s="340"/>
      <c r="L51" s="340">
        <v>4000.0</v>
      </c>
      <c r="M51" s="314">
        <f t="shared" si="1"/>
        <v>33000</v>
      </c>
      <c r="N51" s="314">
        <f t="shared" si="2"/>
        <v>10000</v>
      </c>
      <c r="O51" s="314">
        <f t="shared" si="3"/>
        <v>23000</v>
      </c>
      <c r="P51" s="341" t="s">
        <v>44</v>
      </c>
      <c r="Q51" s="328">
        <v>10000.0</v>
      </c>
      <c r="R51" s="328">
        <v>3048.0</v>
      </c>
      <c r="S51" s="329" t="s">
        <v>422</v>
      </c>
      <c r="T51" s="326"/>
      <c r="U51" s="326"/>
      <c r="V51" s="326"/>
      <c r="W51" s="326"/>
      <c r="X51" s="326"/>
      <c r="Y51" s="326"/>
      <c r="Z51" s="291"/>
      <c r="AA51" s="291"/>
      <c r="AB51" s="291"/>
      <c r="AC51" s="291"/>
    </row>
    <row r="52">
      <c r="A52" s="312">
        <v>53.0</v>
      </c>
      <c r="B52" s="312" t="s">
        <v>1893</v>
      </c>
      <c r="C52" s="312" t="s">
        <v>1607</v>
      </c>
      <c r="D52" s="313" t="s">
        <v>1877</v>
      </c>
      <c r="E52" s="313">
        <v>1070.0</v>
      </c>
      <c r="F52" s="312" t="s">
        <v>169</v>
      </c>
      <c r="G52" s="312">
        <v>9.352392655E9</v>
      </c>
      <c r="H52" s="314"/>
      <c r="I52" s="312">
        <v>27000.0</v>
      </c>
      <c r="J52" s="315">
        <v>7000.0</v>
      </c>
      <c r="K52" s="314"/>
      <c r="L52" s="316"/>
      <c r="M52" s="314">
        <f t="shared" si="1"/>
        <v>34000</v>
      </c>
      <c r="N52" s="314">
        <f t="shared" si="2"/>
        <v>10000</v>
      </c>
      <c r="O52" s="314">
        <f t="shared" si="3"/>
        <v>24000</v>
      </c>
      <c r="P52" s="317"/>
      <c r="Q52" s="312">
        <v>5000.0</v>
      </c>
      <c r="R52" s="312">
        <v>3325.0</v>
      </c>
      <c r="S52" s="312" t="s">
        <v>321</v>
      </c>
      <c r="T52" s="312">
        <v>5000.0</v>
      </c>
      <c r="U52" s="312">
        <v>3934.0</v>
      </c>
      <c r="V52" s="312" t="s">
        <v>132</v>
      </c>
      <c r="W52" s="316"/>
      <c r="X52" s="316"/>
      <c r="Y52" s="316"/>
    </row>
    <row r="53">
      <c r="A53" s="312">
        <v>54.0</v>
      </c>
      <c r="B53" s="312" t="s">
        <v>1894</v>
      </c>
      <c r="C53" s="312" t="s">
        <v>1675</v>
      </c>
      <c r="D53" s="313" t="s">
        <v>1877</v>
      </c>
      <c r="E53" s="313">
        <v>1023.0</v>
      </c>
      <c r="F53" s="312" t="s">
        <v>1204</v>
      </c>
      <c r="G53" s="312">
        <v>9.784456525E9</v>
      </c>
      <c r="H53" s="314"/>
      <c r="I53" s="312">
        <v>27000.0</v>
      </c>
      <c r="J53" s="315">
        <v>8000.0</v>
      </c>
      <c r="K53" s="314"/>
      <c r="L53" s="316"/>
      <c r="M53" s="314">
        <f t="shared" si="1"/>
        <v>35000</v>
      </c>
      <c r="N53" s="314">
        <f t="shared" si="2"/>
        <v>10000</v>
      </c>
      <c r="O53" s="314">
        <f t="shared" si="3"/>
        <v>25000</v>
      </c>
      <c r="P53" s="317"/>
      <c r="Q53" s="312">
        <v>10000.0</v>
      </c>
      <c r="R53" s="312">
        <v>4007.0</v>
      </c>
      <c r="S53" s="312" t="s">
        <v>312</v>
      </c>
      <c r="T53" s="316"/>
      <c r="U53" s="316"/>
      <c r="V53" s="316"/>
      <c r="W53" s="316"/>
      <c r="X53" s="316"/>
      <c r="Y53" s="316"/>
    </row>
    <row r="54">
      <c r="A54" s="312">
        <v>55.0</v>
      </c>
      <c r="B54" s="312" t="s">
        <v>1895</v>
      </c>
      <c r="C54" s="312" t="s">
        <v>1896</v>
      </c>
      <c r="D54" s="313" t="s">
        <v>1877</v>
      </c>
      <c r="E54" s="313">
        <v>1573.0</v>
      </c>
      <c r="F54" s="312" t="s">
        <v>474</v>
      </c>
      <c r="G54" s="312">
        <v>7.568870274E9</v>
      </c>
      <c r="H54" s="314"/>
      <c r="I54" s="312">
        <v>27000.0</v>
      </c>
      <c r="J54" s="315">
        <v>5000.0</v>
      </c>
      <c r="K54" s="314"/>
      <c r="L54" s="316"/>
      <c r="M54" s="314">
        <f t="shared" si="1"/>
        <v>32000</v>
      </c>
      <c r="N54" s="314">
        <f t="shared" si="2"/>
        <v>7000</v>
      </c>
      <c r="O54" s="314">
        <f t="shared" si="3"/>
        <v>25000</v>
      </c>
      <c r="P54" s="317"/>
      <c r="Q54" s="312">
        <v>7000.0</v>
      </c>
      <c r="R54" s="312">
        <v>3694.0</v>
      </c>
      <c r="S54" s="357">
        <v>45940.0</v>
      </c>
      <c r="T54" s="316"/>
      <c r="U54" s="316"/>
      <c r="V54" s="316"/>
      <c r="W54" s="316"/>
      <c r="X54" s="316"/>
      <c r="Y54" s="316"/>
    </row>
    <row r="55">
      <c r="A55" s="312">
        <v>56.0</v>
      </c>
      <c r="B55" s="312" t="s">
        <v>1897</v>
      </c>
      <c r="C55" s="312" t="s">
        <v>1898</v>
      </c>
      <c r="D55" s="313" t="s">
        <v>1877</v>
      </c>
      <c r="E55" s="313">
        <v>1244.0</v>
      </c>
      <c r="F55" s="312" t="s">
        <v>1899</v>
      </c>
      <c r="G55" s="312">
        <v>8.769905419E9</v>
      </c>
      <c r="H55" s="314"/>
      <c r="I55" s="312">
        <v>27000.0</v>
      </c>
      <c r="J55" s="315">
        <v>0.0</v>
      </c>
      <c r="K55" s="314"/>
      <c r="L55" s="316"/>
      <c r="M55" s="314">
        <f t="shared" si="1"/>
        <v>27000</v>
      </c>
      <c r="N55" s="314">
        <f t="shared" si="2"/>
        <v>5000</v>
      </c>
      <c r="O55" s="314">
        <f t="shared" si="3"/>
        <v>22000</v>
      </c>
      <c r="P55" s="317"/>
      <c r="Q55" s="312">
        <v>5000.0</v>
      </c>
      <c r="R55" s="312">
        <v>3311.0</v>
      </c>
      <c r="S55" s="312" t="s">
        <v>321</v>
      </c>
      <c r="T55" s="316"/>
      <c r="U55" s="316"/>
      <c r="V55" s="316"/>
      <c r="W55" s="316"/>
      <c r="X55" s="316"/>
      <c r="Y55" s="316"/>
    </row>
    <row r="56">
      <c r="A56" s="319">
        <v>57.0</v>
      </c>
      <c r="B56" s="319" t="s">
        <v>1226</v>
      </c>
      <c r="C56" s="319" t="s">
        <v>1900</v>
      </c>
      <c r="D56" s="320" t="s">
        <v>1877</v>
      </c>
      <c r="E56" s="320">
        <v>1875.0</v>
      </c>
      <c r="F56" s="329" t="s">
        <v>223</v>
      </c>
      <c r="G56" s="340">
        <v>9.828294663E9</v>
      </c>
      <c r="H56" s="340">
        <v>1000.0</v>
      </c>
      <c r="I56" s="340">
        <v>24000.0</v>
      </c>
      <c r="J56" s="328">
        <v>7000.0</v>
      </c>
      <c r="K56" s="340"/>
      <c r="L56" s="340">
        <v>3500.0</v>
      </c>
      <c r="M56" s="314">
        <f t="shared" si="1"/>
        <v>28500</v>
      </c>
      <c r="N56" s="314">
        <f t="shared" si="2"/>
        <v>15000</v>
      </c>
      <c r="O56" s="314">
        <f t="shared" si="3"/>
        <v>13500</v>
      </c>
      <c r="P56" s="341" t="s">
        <v>44</v>
      </c>
      <c r="Q56" s="328">
        <v>10000.0</v>
      </c>
      <c r="R56" s="328">
        <v>3017.0</v>
      </c>
      <c r="S56" s="329" t="s">
        <v>370</v>
      </c>
      <c r="T56" s="319">
        <v>5000.0</v>
      </c>
      <c r="U56" s="319">
        <v>3622.0</v>
      </c>
      <c r="V56" s="324">
        <v>45879.0</v>
      </c>
      <c r="W56" s="326"/>
      <c r="X56" s="326"/>
      <c r="Y56" s="326"/>
      <c r="Z56" s="291"/>
      <c r="AA56" s="291"/>
      <c r="AB56" s="291"/>
      <c r="AC56" s="291"/>
    </row>
    <row r="57">
      <c r="A57" s="344">
        <v>58.0</v>
      </c>
      <c r="B57" s="344" t="s">
        <v>1901</v>
      </c>
      <c r="C57" s="344" t="s">
        <v>1902</v>
      </c>
      <c r="D57" s="345" t="s">
        <v>1903</v>
      </c>
      <c r="E57" s="345">
        <v>2009.0</v>
      </c>
      <c r="F57" s="353"/>
      <c r="G57" s="344">
        <v>9.929574282E9</v>
      </c>
      <c r="H57" s="350"/>
      <c r="I57" s="344">
        <v>27000.0</v>
      </c>
      <c r="J57" s="371"/>
      <c r="K57" s="350"/>
      <c r="L57" s="344">
        <v>3000.0</v>
      </c>
      <c r="M57" s="350">
        <f t="shared" si="1"/>
        <v>24000</v>
      </c>
      <c r="N57" s="350">
        <f t="shared" si="2"/>
        <v>0</v>
      </c>
      <c r="O57" s="350">
        <f t="shared" si="3"/>
        <v>24000</v>
      </c>
      <c r="P57" s="361"/>
      <c r="Q57" s="353"/>
      <c r="R57" s="353"/>
      <c r="S57" s="353"/>
      <c r="T57" s="353"/>
      <c r="U57" s="353"/>
      <c r="V57" s="353"/>
      <c r="W57" s="353"/>
      <c r="X57" s="353"/>
      <c r="Y57" s="353"/>
      <c r="Z57" s="274"/>
      <c r="AA57" s="274"/>
      <c r="AB57" s="274"/>
      <c r="AC57" s="274"/>
    </row>
    <row r="58">
      <c r="A58" s="344">
        <v>59.0</v>
      </c>
      <c r="B58" s="344" t="s">
        <v>1904</v>
      </c>
      <c r="C58" s="344" t="s">
        <v>1671</v>
      </c>
      <c r="D58" s="345" t="s">
        <v>1903</v>
      </c>
      <c r="E58" s="345">
        <v>1088.0</v>
      </c>
      <c r="F58" s="344" t="s">
        <v>126</v>
      </c>
      <c r="G58" s="344">
        <v>8.85499496E9</v>
      </c>
      <c r="H58" s="350"/>
      <c r="I58" s="344">
        <v>27000.0</v>
      </c>
      <c r="J58" s="360">
        <v>5000.0</v>
      </c>
      <c r="K58" s="350"/>
      <c r="L58" s="344">
        <v>7000.0</v>
      </c>
      <c r="M58" s="350">
        <f t="shared" si="1"/>
        <v>25000</v>
      </c>
      <c r="N58" s="350">
        <f t="shared" si="2"/>
        <v>0</v>
      </c>
      <c r="O58" s="350">
        <f t="shared" si="3"/>
        <v>25000</v>
      </c>
      <c r="P58" s="361"/>
      <c r="Q58" s="353"/>
      <c r="R58" s="353"/>
      <c r="S58" s="353"/>
      <c r="T58" s="353"/>
      <c r="U58" s="353"/>
      <c r="V58" s="353"/>
      <c r="W58" s="353"/>
      <c r="X58" s="353"/>
      <c r="Y58" s="353"/>
      <c r="Z58" s="280"/>
      <c r="AA58" s="280"/>
      <c r="AB58" s="280"/>
      <c r="AC58" s="280"/>
    </row>
    <row r="59">
      <c r="A59" s="312">
        <v>60.0</v>
      </c>
      <c r="B59" s="312" t="s">
        <v>1905</v>
      </c>
      <c r="C59" s="312" t="s">
        <v>1633</v>
      </c>
      <c r="D59" s="313" t="s">
        <v>1903</v>
      </c>
      <c r="E59" s="313">
        <v>1048.0</v>
      </c>
      <c r="F59" s="312" t="s">
        <v>169</v>
      </c>
      <c r="G59" s="312">
        <v>9.649203576E9</v>
      </c>
      <c r="H59" s="314"/>
      <c r="I59" s="364">
        <v>27000.0</v>
      </c>
      <c r="J59" s="370">
        <v>7000.0</v>
      </c>
      <c r="K59" s="369"/>
      <c r="L59" s="364">
        <v>9000.0</v>
      </c>
      <c r="M59" s="314">
        <f t="shared" si="1"/>
        <v>25000</v>
      </c>
      <c r="N59" s="314">
        <f t="shared" si="2"/>
        <v>8000</v>
      </c>
      <c r="O59" s="314">
        <f t="shared" si="3"/>
        <v>17000</v>
      </c>
      <c r="P59" s="317"/>
      <c r="Q59" s="312">
        <v>8000.0</v>
      </c>
      <c r="R59" s="312">
        <v>3924.0</v>
      </c>
      <c r="S59" s="312" t="s">
        <v>349</v>
      </c>
      <c r="T59" s="316"/>
      <c r="U59" s="316"/>
      <c r="V59" s="316"/>
      <c r="W59" s="316"/>
      <c r="X59" s="316"/>
      <c r="Y59" s="316"/>
    </row>
    <row r="60">
      <c r="A60" s="312">
        <v>61.0</v>
      </c>
      <c r="B60" s="312" t="s">
        <v>1906</v>
      </c>
      <c r="C60" s="312" t="s">
        <v>1809</v>
      </c>
      <c r="D60" s="313" t="s">
        <v>1903</v>
      </c>
      <c r="E60" s="313">
        <v>1000.0</v>
      </c>
      <c r="F60" s="312" t="s">
        <v>662</v>
      </c>
      <c r="G60" s="312">
        <v>8.619380413E9</v>
      </c>
      <c r="H60" s="314"/>
      <c r="I60" s="312">
        <v>27000.0</v>
      </c>
      <c r="J60" s="315">
        <v>6500.0</v>
      </c>
      <c r="K60" s="314"/>
      <c r="L60" s="316"/>
      <c r="M60" s="314">
        <f t="shared" si="1"/>
        <v>33500</v>
      </c>
      <c r="N60" s="314">
        <f t="shared" si="2"/>
        <v>11000</v>
      </c>
      <c r="O60" s="314">
        <f t="shared" si="3"/>
        <v>22500</v>
      </c>
      <c r="P60" s="317"/>
      <c r="Q60" s="312">
        <v>11000.0</v>
      </c>
      <c r="R60" s="312">
        <v>3649.0</v>
      </c>
      <c r="S60" s="332">
        <v>45910.0</v>
      </c>
      <c r="T60" s="316"/>
      <c r="U60" s="316"/>
      <c r="V60" s="316"/>
      <c r="W60" s="316"/>
      <c r="X60" s="316"/>
      <c r="Y60" s="316"/>
    </row>
    <row r="61">
      <c r="A61" s="312">
        <v>62.0</v>
      </c>
      <c r="B61" s="312" t="s">
        <v>1907</v>
      </c>
      <c r="C61" s="312" t="s">
        <v>1908</v>
      </c>
      <c r="D61" s="313" t="s">
        <v>1903</v>
      </c>
      <c r="E61" s="313">
        <v>996.0</v>
      </c>
      <c r="F61" s="312" t="s">
        <v>169</v>
      </c>
      <c r="G61" s="312">
        <v>9.610280865E9</v>
      </c>
      <c r="H61" s="314"/>
      <c r="I61" s="312">
        <v>27000.0</v>
      </c>
      <c r="J61" s="315">
        <v>7000.0</v>
      </c>
      <c r="K61" s="314"/>
      <c r="L61" s="316"/>
      <c r="M61" s="314">
        <f t="shared" si="1"/>
        <v>34000</v>
      </c>
      <c r="N61" s="314">
        <f t="shared" si="2"/>
        <v>10000</v>
      </c>
      <c r="O61" s="314">
        <f t="shared" si="3"/>
        <v>24000</v>
      </c>
      <c r="P61" s="317"/>
      <c r="Q61" s="312">
        <v>10000.0</v>
      </c>
      <c r="R61" s="312">
        <v>3781.0</v>
      </c>
      <c r="S61" s="332">
        <v>45849.0</v>
      </c>
      <c r="T61" s="316"/>
      <c r="U61" s="316"/>
      <c r="V61" s="316"/>
      <c r="W61" s="316"/>
      <c r="X61" s="316"/>
      <c r="Y61" s="316"/>
    </row>
    <row r="62">
      <c r="A62" s="312">
        <v>63.0</v>
      </c>
      <c r="B62" s="312" t="s">
        <v>1909</v>
      </c>
      <c r="C62" s="312" t="s">
        <v>1910</v>
      </c>
      <c r="D62" s="313" t="s">
        <v>1877</v>
      </c>
      <c r="E62" s="313">
        <v>2075.0</v>
      </c>
      <c r="F62" s="312" t="s">
        <v>702</v>
      </c>
      <c r="G62" s="312">
        <v>9.414736071E9</v>
      </c>
      <c r="H62" s="313">
        <v>1000.0</v>
      </c>
      <c r="I62" s="312">
        <v>24000.0</v>
      </c>
      <c r="J62" s="372"/>
      <c r="K62" s="314"/>
      <c r="L62" s="312">
        <v>10000.0</v>
      </c>
      <c r="M62" s="314">
        <f t="shared" si="1"/>
        <v>15000</v>
      </c>
      <c r="N62" s="314">
        <f t="shared" si="2"/>
        <v>0</v>
      </c>
      <c r="O62" s="314">
        <f t="shared" si="3"/>
        <v>15000</v>
      </c>
      <c r="P62" s="373" t="s">
        <v>44</v>
      </c>
      <c r="Q62" s="316"/>
      <c r="R62" s="316"/>
      <c r="S62" s="316"/>
      <c r="T62" s="316"/>
      <c r="U62" s="316"/>
      <c r="V62" s="316"/>
      <c r="W62" s="316"/>
      <c r="X62" s="316"/>
      <c r="Y62" s="316"/>
    </row>
    <row r="63">
      <c r="D63" s="9"/>
      <c r="E63" s="9"/>
      <c r="H63" s="9"/>
      <c r="J63" s="121"/>
      <c r="K63" s="9"/>
      <c r="M63" s="9"/>
      <c r="N63" s="9"/>
      <c r="O63" s="9"/>
      <c r="P63" s="13"/>
    </row>
    <row r="64">
      <c r="D64" s="9"/>
      <c r="E64" s="9"/>
      <c r="H64" s="9"/>
      <c r="J64" s="121"/>
      <c r="K64" s="9"/>
      <c r="M64" s="9"/>
      <c r="N64" s="9"/>
      <c r="O64" s="9"/>
      <c r="P64" s="13"/>
    </row>
    <row r="65">
      <c r="D65" s="9"/>
      <c r="E65" s="9"/>
      <c r="H65" s="9"/>
      <c r="J65" s="121"/>
      <c r="K65" s="9"/>
      <c r="M65" s="9"/>
      <c r="N65" s="9"/>
      <c r="O65" s="9"/>
      <c r="P65" s="13"/>
    </row>
    <row r="66">
      <c r="D66" s="9"/>
      <c r="E66" s="9"/>
      <c r="H66" s="9"/>
      <c r="J66" s="121"/>
      <c r="K66" s="9"/>
      <c r="M66" s="9"/>
      <c r="N66" s="9"/>
      <c r="O66" s="9"/>
      <c r="P66" s="13"/>
    </row>
    <row r="67">
      <c r="D67" s="9"/>
      <c r="E67" s="9"/>
      <c r="H67" s="9"/>
      <c r="J67" s="121"/>
      <c r="K67" s="9"/>
      <c r="M67" s="9"/>
      <c r="N67" s="9"/>
      <c r="O67" s="9"/>
      <c r="P67" s="13"/>
    </row>
    <row r="68">
      <c r="D68" s="9"/>
      <c r="E68" s="9"/>
      <c r="H68" s="9"/>
      <c r="J68" s="121"/>
      <c r="K68" s="9"/>
      <c r="M68" s="9"/>
      <c r="N68" s="9"/>
      <c r="O68" s="9"/>
      <c r="P68" s="13"/>
    </row>
    <row r="69">
      <c r="D69" s="9"/>
      <c r="E69" s="9"/>
      <c r="H69" s="9"/>
      <c r="J69" s="121"/>
      <c r="K69" s="9"/>
      <c r="M69" s="9"/>
      <c r="N69" s="9"/>
      <c r="O69" s="9"/>
      <c r="P69" s="13"/>
    </row>
    <row r="70">
      <c r="D70" s="9"/>
      <c r="E70" s="9"/>
      <c r="H70" s="9"/>
      <c r="J70" s="121"/>
      <c r="K70" s="9"/>
      <c r="M70" s="9"/>
      <c r="N70" s="9"/>
      <c r="O70" s="9"/>
      <c r="P70" s="13"/>
    </row>
    <row r="71">
      <c r="D71" s="9"/>
      <c r="E71" s="9"/>
      <c r="H71" s="9"/>
      <c r="J71" s="121"/>
      <c r="K71" s="9"/>
      <c r="M71" s="9"/>
      <c r="N71" s="9"/>
      <c r="O71" s="9"/>
      <c r="P71" s="13"/>
    </row>
    <row r="72">
      <c r="D72" s="9"/>
      <c r="E72" s="9"/>
      <c r="H72" s="9"/>
      <c r="J72" s="121"/>
      <c r="K72" s="9"/>
      <c r="M72" s="9"/>
      <c r="N72" s="9"/>
      <c r="O72" s="9"/>
      <c r="P72" s="13"/>
    </row>
    <row r="73">
      <c r="D73" s="9"/>
      <c r="E73" s="9"/>
      <c r="H73" s="9"/>
      <c r="J73" s="121"/>
      <c r="K73" s="9"/>
      <c r="M73" s="9"/>
      <c r="N73" s="9"/>
      <c r="O73" s="9"/>
      <c r="P73" s="13"/>
    </row>
    <row r="74">
      <c r="D74" s="9"/>
      <c r="E74" s="9"/>
      <c r="H74" s="9"/>
      <c r="J74" s="121"/>
      <c r="K74" s="9"/>
      <c r="M74" s="9"/>
      <c r="N74" s="9"/>
      <c r="O74" s="9"/>
      <c r="P74" s="13"/>
    </row>
    <row r="75">
      <c r="D75" s="9"/>
      <c r="E75" s="9"/>
      <c r="H75" s="9"/>
      <c r="J75" s="121"/>
      <c r="K75" s="9"/>
      <c r="M75" s="9"/>
      <c r="N75" s="9"/>
      <c r="O75" s="9"/>
      <c r="P75" s="13"/>
    </row>
    <row r="76">
      <c r="D76" s="9"/>
      <c r="E76" s="9"/>
      <c r="H76" s="9"/>
      <c r="J76" s="121"/>
      <c r="K76" s="9"/>
      <c r="M76" s="9"/>
      <c r="N76" s="9"/>
      <c r="O76" s="9"/>
      <c r="P76" s="13"/>
    </row>
    <row r="77">
      <c r="D77" s="9"/>
      <c r="E77" s="9"/>
      <c r="H77" s="9"/>
      <c r="J77" s="121"/>
      <c r="K77" s="9"/>
      <c r="M77" s="9"/>
      <c r="N77" s="9"/>
      <c r="O77" s="9"/>
      <c r="P77" s="13"/>
    </row>
    <row r="78">
      <c r="D78" s="9"/>
      <c r="E78" s="9"/>
      <c r="H78" s="9"/>
      <c r="J78" s="121"/>
      <c r="K78" s="9"/>
      <c r="M78" s="9"/>
      <c r="N78" s="9"/>
      <c r="O78" s="9"/>
      <c r="P78" s="13"/>
    </row>
    <row r="79">
      <c r="D79" s="9"/>
      <c r="E79" s="9"/>
      <c r="H79" s="9"/>
      <c r="J79" s="121"/>
      <c r="K79" s="9"/>
      <c r="M79" s="9"/>
      <c r="N79" s="9"/>
      <c r="O79" s="9"/>
      <c r="P79" s="13"/>
    </row>
    <row r="80">
      <c r="D80" s="9"/>
      <c r="E80" s="9"/>
      <c r="H80" s="9"/>
      <c r="J80" s="121"/>
      <c r="K80" s="9"/>
      <c r="M80" s="9"/>
      <c r="N80" s="9"/>
      <c r="O80" s="9"/>
      <c r="P80" s="13"/>
    </row>
    <row r="81">
      <c r="D81" s="9"/>
      <c r="E81" s="9"/>
      <c r="H81" s="9"/>
      <c r="J81" s="121"/>
      <c r="K81" s="9"/>
      <c r="M81" s="9"/>
      <c r="N81" s="9"/>
      <c r="O81" s="9"/>
      <c r="P81" s="13"/>
    </row>
    <row r="82">
      <c r="D82" s="9"/>
      <c r="E82" s="9"/>
      <c r="H82" s="9"/>
      <c r="J82" s="121"/>
      <c r="K82" s="9"/>
      <c r="M82" s="9"/>
      <c r="N82" s="9"/>
      <c r="O82" s="9"/>
      <c r="P82" s="13"/>
    </row>
    <row r="83">
      <c r="D83" s="9"/>
      <c r="E83" s="9"/>
      <c r="H83" s="9"/>
      <c r="J83" s="121"/>
      <c r="K83" s="9"/>
      <c r="M83" s="9"/>
      <c r="N83" s="9"/>
      <c r="O83" s="9"/>
      <c r="P83" s="13"/>
    </row>
    <row r="84">
      <c r="D84" s="9"/>
      <c r="E84" s="9"/>
      <c r="H84" s="9"/>
      <c r="J84" s="121"/>
      <c r="K84" s="9"/>
      <c r="M84" s="9"/>
      <c r="N84" s="9"/>
      <c r="O84" s="9"/>
      <c r="P84" s="13"/>
    </row>
    <row r="85">
      <c r="D85" s="9"/>
      <c r="E85" s="9"/>
      <c r="H85" s="9"/>
      <c r="J85" s="121"/>
      <c r="K85" s="9"/>
      <c r="M85" s="9"/>
      <c r="N85" s="9"/>
      <c r="O85" s="9"/>
      <c r="P85" s="13"/>
    </row>
    <row r="86">
      <c r="D86" s="9"/>
      <c r="E86" s="9"/>
      <c r="H86" s="9"/>
      <c r="J86" s="121"/>
      <c r="K86" s="9"/>
      <c r="M86" s="9"/>
      <c r="N86" s="9"/>
      <c r="O86" s="9"/>
      <c r="P86" s="13"/>
    </row>
    <row r="87">
      <c r="D87" s="9"/>
      <c r="E87" s="9"/>
      <c r="H87" s="9"/>
      <c r="J87" s="121"/>
      <c r="K87" s="9"/>
      <c r="M87" s="9"/>
      <c r="N87" s="9"/>
      <c r="O87" s="9"/>
      <c r="P87" s="13"/>
    </row>
    <row r="88">
      <c r="D88" s="9"/>
      <c r="E88" s="9"/>
      <c r="H88" s="9"/>
      <c r="J88" s="121"/>
      <c r="K88" s="9"/>
      <c r="M88" s="9"/>
      <c r="N88" s="9"/>
      <c r="O88" s="9"/>
      <c r="P88" s="13"/>
    </row>
    <row r="89">
      <c r="D89" s="9"/>
      <c r="E89" s="9"/>
      <c r="H89" s="9"/>
      <c r="J89" s="121"/>
      <c r="K89" s="9"/>
      <c r="M89" s="9"/>
      <c r="N89" s="9"/>
      <c r="O89" s="9"/>
      <c r="P89" s="13"/>
    </row>
    <row r="90">
      <c r="D90" s="9"/>
      <c r="E90" s="9"/>
      <c r="H90" s="9"/>
      <c r="J90" s="121"/>
      <c r="K90" s="9"/>
      <c r="M90" s="9"/>
      <c r="N90" s="9"/>
      <c r="O90" s="9"/>
      <c r="P90" s="13"/>
    </row>
    <row r="91">
      <c r="D91" s="9"/>
      <c r="E91" s="9"/>
      <c r="H91" s="9"/>
      <c r="J91" s="121"/>
      <c r="K91" s="9"/>
      <c r="M91" s="9"/>
      <c r="N91" s="9"/>
      <c r="O91" s="9"/>
      <c r="P91" s="13"/>
    </row>
    <row r="92">
      <c r="D92" s="9"/>
      <c r="E92" s="9"/>
      <c r="H92" s="9"/>
      <c r="J92" s="121"/>
      <c r="K92" s="9"/>
      <c r="M92" s="9"/>
      <c r="N92" s="9"/>
      <c r="O92" s="9"/>
      <c r="P92" s="13"/>
    </row>
    <row r="93">
      <c r="D93" s="9"/>
      <c r="E93" s="9"/>
      <c r="H93" s="9"/>
      <c r="J93" s="121"/>
      <c r="K93" s="9"/>
      <c r="M93" s="9"/>
      <c r="N93" s="9"/>
      <c r="O93" s="9"/>
      <c r="P93" s="13"/>
    </row>
    <row r="94">
      <c r="D94" s="9"/>
      <c r="E94" s="9"/>
      <c r="H94" s="9"/>
      <c r="J94" s="121"/>
      <c r="K94" s="9"/>
      <c r="M94" s="9"/>
      <c r="N94" s="9"/>
      <c r="O94" s="9"/>
      <c r="P94" s="13"/>
    </row>
    <row r="95">
      <c r="D95" s="9"/>
      <c r="E95" s="9"/>
      <c r="H95" s="9"/>
      <c r="J95" s="121"/>
      <c r="K95" s="9"/>
      <c r="M95" s="9"/>
      <c r="N95" s="9"/>
      <c r="O95" s="9"/>
      <c r="P95" s="13"/>
    </row>
    <row r="96">
      <c r="D96" s="9"/>
      <c r="E96" s="9"/>
      <c r="H96" s="9"/>
      <c r="J96" s="121"/>
      <c r="K96" s="9"/>
      <c r="M96" s="9"/>
      <c r="N96" s="9"/>
      <c r="O96" s="9"/>
      <c r="P96" s="13"/>
    </row>
    <row r="97">
      <c r="D97" s="9"/>
      <c r="E97" s="9"/>
      <c r="H97" s="9"/>
      <c r="J97" s="121"/>
      <c r="K97" s="9"/>
      <c r="M97" s="9"/>
      <c r="N97" s="9"/>
      <c r="O97" s="9"/>
      <c r="P97" s="13"/>
    </row>
    <row r="98">
      <c r="D98" s="9"/>
      <c r="E98" s="9"/>
      <c r="H98" s="9"/>
      <c r="J98" s="121"/>
      <c r="K98" s="9"/>
      <c r="M98" s="9"/>
      <c r="N98" s="9"/>
      <c r="O98" s="9"/>
      <c r="P98" s="13"/>
    </row>
    <row r="99">
      <c r="D99" s="9"/>
      <c r="E99" s="9"/>
      <c r="H99" s="9"/>
      <c r="J99" s="121"/>
      <c r="K99" s="9"/>
      <c r="M99" s="9"/>
      <c r="N99" s="9"/>
      <c r="O99" s="9"/>
      <c r="P99" s="13"/>
    </row>
    <row r="100">
      <c r="D100" s="9"/>
      <c r="E100" s="9"/>
      <c r="H100" s="9"/>
      <c r="J100" s="121"/>
      <c r="K100" s="9"/>
      <c r="M100" s="9"/>
      <c r="N100" s="9"/>
      <c r="O100" s="9"/>
      <c r="P100" s="13"/>
    </row>
    <row r="101">
      <c r="D101" s="9"/>
      <c r="E101" s="9"/>
      <c r="H101" s="9"/>
      <c r="J101" s="121"/>
      <c r="K101" s="9"/>
      <c r="M101" s="9"/>
      <c r="N101" s="9"/>
      <c r="O101" s="9"/>
      <c r="P101" s="13"/>
    </row>
    <row r="102">
      <c r="D102" s="9"/>
      <c r="E102" s="9"/>
      <c r="H102" s="9"/>
      <c r="J102" s="121"/>
      <c r="K102" s="9"/>
      <c r="M102" s="9"/>
      <c r="N102" s="9"/>
      <c r="O102" s="9"/>
      <c r="P102" s="13"/>
    </row>
    <row r="103">
      <c r="D103" s="9"/>
      <c r="E103" s="9"/>
      <c r="H103" s="9"/>
      <c r="J103" s="121"/>
      <c r="K103" s="9"/>
      <c r="M103" s="9"/>
      <c r="N103" s="9"/>
      <c r="O103" s="9"/>
      <c r="P103" s="13"/>
    </row>
    <row r="104">
      <c r="D104" s="9"/>
      <c r="E104" s="9"/>
      <c r="H104" s="9"/>
      <c r="J104" s="121"/>
      <c r="K104" s="9"/>
      <c r="M104" s="9"/>
      <c r="N104" s="9"/>
      <c r="O104" s="9"/>
      <c r="P104" s="13"/>
    </row>
    <row r="105">
      <c r="D105" s="9"/>
      <c r="E105" s="9"/>
      <c r="H105" s="9"/>
      <c r="J105" s="121"/>
      <c r="K105" s="9"/>
      <c r="M105" s="9"/>
      <c r="N105" s="9"/>
      <c r="O105" s="9"/>
      <c r="P105" s="13"/>
    </row>
    <row r="106">
      <c r="D106" s="9"/>
      <c r="E106" s="9"/>
      <c r="H106" s="9"/>
      <c r="J106" s="121"/>
      <c r="K106" s="9"/>
      <c r="M106" s="9"/>
      <c r="N106" s="9"/>
      <c r="O106" s="9"/>
      <c r="P106" s="13"/>
    </row>
    <row r="107">
      <c r="D107" s="9"/>
      <c r="E107" s="9"/>
      <c r="H107" s="9"/>
      <c r="J107" s="121"/>
      <c r="K107" s="9"/>
      <c r="M107" s="9"/>
      <c r="N107" s="9"/>
      <c r="O107" s="9"/>
      <c r="P107" s="13"/>
    </row>
    <row r="108">
      <c r="D108" s="9"/>
      <c r="E108" s="9"/>
      <c r="H108" s="9"/>
      <c r="J108" s="121"/>
      <c r="K108" s="9"/>
      <c r="M108" s="9"/>
      <c r="N108" s="9"/>
      <c r="O108" s="9"/>
      <c r="P108" s="13"/>
    </row>
    <row r="109">
      <c r="D109" s="9"/>
      <c r="E109" s="9"/>
      <c r="H109" s="9"/>
      <c r="J109" s="121"/>
      <c r="K109" s="9"/>
      <c r="M109" s="9"/>
      <c r="N109" s="9"/>
      <c r="O109" s="9"/>
      <c r="P109" s="13"/>
    </row>
    <row r="110">
      <c r="D110" s="9"/>
      <c r="E110" s="9"/>
      <c r="H110" s="9"/>
      <c r="J110" s="121"/>
      <c r="K110" s="9"/>
      <c r="M110" s="9"/>
      <c r="N110" s="9"/>
      <c r="O110" s="9"/>
      <c r="P110" s="13"/>
    </row>
    <row r="111">
      <c r="D111" s="9"/>
      <c r="E111" s="9"/>
      <c r="H111" s="9"/>
      <c r="J111" s="121"/>
      <c r="K111" s="9"/>
      <c r="M111" s="9"/>
      <c r="N111" s="9"/>
      <c r="O111" s="9"/>
      <c r="P111" s="13"/>
    </row>
    <row r="112">
      <c r="D112" s="9"/>
      <c r="E112" s="9"/>
      <c r="H112" s="9"/>
      <c r="J112" s="121"/>
      <c r="K112" s="9"/>
      <c r="M112" s="9"/>
      <c r="N112" s="9"/>
      <c r="O112" s="9"/>
      <c r="P112" s="13"/>
    </row>
    <row r="113">
      <c r="D113" s="9"/>
      <c r="E113" s="9"/>
      <c r="H113" s="9"/>
      <c r="J113" s="121"/>
      <c r="K113" s="9"/>
      <c r="M113" s="9"/>
      <c r="N113" s="9"/>
      <c r="O113" s="9"/>
      <c r="P113" s="13"/>
    </row>
    <row r="114">
      <c r="D114" s="9"/>
      <c r="E114" s="9"/>
      <c r="H114" s="9"/>
      <c r="J114" s="121"/>
      <c r="K114" s="9"/>
      <c r="M114" s="9"/>
      <c r="N114" s="9"/>
      <c r="O114" s="9"/>
      <c r="P114" s="13"/>
    </row>
    <row r="115">
      <c r="D115" s="9"/>
      <c r="E115" s="9"/>
      <c r="H115" s="9"/>
      <c r="J115" s="121"/>
      <c r="K115" s="9"/>
      <c r="M115" s="9"/>
      <c r="N115" s="9"/>
      <c r="O115" s="9"/>
      <c r="P115" s="13"/>
    </row>
    <row r="116">
      <c r="D116" s="9"/>
      <c r="E116" s="9"/>
      <c r="H116" s="9"/>
      <c r="J116" s="121"/>
      <c r="K116" s="9"/>
      <c r="M116" s="9"/>
      <c r="N116" s="9"/>
      <c r="O116" s="9"/>
      <c r="P116" s="13"/>
    </row>
    <row r="117">
      <c r="D117" s="9"/>
      <c r="E117" s="9"/>
      <c r="H117" s="9"/>
      <c r="J117" s="121"/>
      <c r="K117" s="9"/>
      <c r="M117" s="9"/>
      <c r="N117" s="9"/>
      <c r="O117" s="9"/>
      <c r="P117" s="13"/>
    </row>
    <row r="118">
      <c r="D118" s="9"/>
      <c r="E118" s="9"/>
      <c r="H118" s="9"/>
      <c r="J118" s="121"/>
      <c r="K118" s="9"/>
      <c r="M118" s="9"/>
      <c r="N118" s="9"/>
      <c r="O118" s="9"/>
      <c r="P118" s="13"/>
    </row>
    <row r="119">
      <c r="D119" s="9"/>
      <c r="E119" s="9"/>
      <c r="H119" s="9"/>
      <c r="J119" s="121"/>
      <c r="K119" s="9"/>
      <c r="M119" s="9"/>
      <c r="N119" s="9"/>
      <c r="O119" s="9"/>
      <c r="P119" s="13"/>
    </row>
    <row r="120">
      <c r="D120" s="9"/>
      <c r="E120" s="9"/>
      <c r="H120" s="9"/>
      <c r="J120" s="121"/>
      <c r="K120" s="9"/>
      <c r="M120" s="9"/>
      <c r="N120" s="9"/>
      <c r="O120" s="9"/>
      <c r="P120" s="13"/>
    </row>
    <row r="121">
      <c r="D121" s="9"/>
      <c r="E121" s="9"/>
      <c r="H121" s="9"/>
      <c r="J121" s="121"/>
      <c r="K121" s="9"/>
      <c r="M121" s="9"/>
      <c r="N121" s="9"/>
      <c r="O121" s="9"/>
      <c r="P121" s="13"/>
    </row>
    <row r="122">
      <c r="D122" s="9"/>
      <c r="E122" s="9"/>
      <c r="H122" s="9"/>
      <c r="J122" s="121"/>
      <c r="K122" s="9"/>
      <c r="M122" s="9"/>
      <c r="N122" s="9"/>
      <c r="O122" s="9"/>
      <c r="P122" s="13"/>
    </row>
    <row r="123">
      <c r="D123" s="9"/>
      <c r="E123" s="9"/>
      <c r="H123" s="9"/>
      <c r="J123" s="121"/>
      <c r="K123" s="9"/>
      <c r="M123" s="9"/>
      <c r="N123" s="9"/>
      <c r="O123" s="9"/>
      <c r="P123" s="13"/>
    </row>
    <row r="124">
      <c r="D124" s="9"/>
      <c r="E124" s="9"/>
      <c r="H124" s="9"/>
      <c r="J124" s="121"/>
      <c r="K124" s="9"/>
      <c r="M124" s="9"/>
      <c r="N124" s="9"/>
      <c r="O124" s="9"/>
      <c r="P124" s="13"/>
    </row>
    <row r="125">
      <c r="D125" s="9"/>
      <c r="E125" s="9"/>
      <c r="H125" s="9"/>
      <c r="J125" s="121"/>
      <c r="K125" s="9"/>
      <c r="M125" s="9"/>
      <c r="N125" s="9"/>
      <c r="O125" s="9"/>
      <c r="P125" s="13"/>
    </row>
    <row r="126">
      <c r="D126" s="9"/>
      <c r="E126" s="9"/>
      <c r="H126" s="9"/>
      <c r="J126" s="121"/>
      <c r="K126" s="9"/>
      <c r="M126" s="9"/>
      <c r="N126" s="9"/>
      <c r="O126" s="9"/>
      <c r="P126" s="13"/>
    </row>
    <row r="127">
      <c r="D127" s="9"/>
      <c r="E127" s="9"/>
      <c r="H127" s="9"/>
      <c r="J127" s="121"/>
      <c r="K127" s="9"/>
      <c r="M127" s="9"/>
      <c r="N127" s="9"/>
      <c r="O127" s="9"/>
      <c r="P127" s="13"/>
    </row>
    <row r="128">
      <c r="D128" s="9"/>
      <c r="E128" s="9"/>
      <c r="H128" s="9"/>
      <c r="J128" s="121"/>
      <c r="K128" s="9"/>
      <c r="M128" s="9"/>
      <c r="N128" s="9"/>
      <c r="O128" s="9"/>
      <c r="P128" s="13"/>
    </row>
    <row r="129">
      <c r="D129" s="9"/>
      <c r="E129" s="9"/>
      <c r="H129" s="9"/>
      <c r="J129" s="121"/>
      <c r="K129" s="9"/>
      <c r="M129" s="9"/>
      <c r="N129" s="9"/>
      <c r="O129" s="9"/>
      <c r="P129" s="13"/>
    </row>
    <row r="130">
      <c r="D130" s="9"/>
      <c r="E130" s="9"/>
      <c r="H130" s="9"/>
      <c r="J130" s="121"/>
      <c r="K130" s="9"/>
      <c r="M130" s="9"/>
      <c r="N130" s="9"/>
      <c r="O130" s="9"/>
      <c r="P130" s="13"/>
    </row>
    <row r="131">
      <c r="D131" s="9"/>
      <c r="E131" s="9"/>
      <c r="H131" s="9"/>
      <c r="J131" s="121"/>
      <c r="K131" s="9"/>
      <c r="M131" s="9"/>
      <c r="N131" s="9"/>
      <c r="O131" s="9"/>
      <c r="P131" s="13"/>
    </row>
    <row r="132">
      <c r="D132" s="9"/>
      <c r="E132" s="9"/>
      <c r="H132" s="9"/>
      <c r="J132" s="121"/>
      <c r="K132" s="9"/>
      <c r="M132" s="9"/>
      <c r="N132" s="9"/>
      <c r="O132" s="9"/>
      <c r="P132" s="13"/>
    </row>
    <row r="133">
      <c r="D133" s="9"/>
      <c r="E133" s="9"/>
      <c r="H133" s="9"/>
      <c r="J133" s="121"/>
      <c r="K133" s="9"/>
      <c r="M133" s="9"/>
      <c r="N133" s="9"/>
      <c r="O133" s="9"/>
      <c r="P133" s="13"/>
    </row>
    <row r="134">
      <c r="D134" s="9"/>
      <c r="E134" s="9"/>
      <c r="H134" s="9"/>
      <c r="J134" s="121"/>
      <c r="K134" s="9"/>
      <c r="M134" s="9"/>
      <c r="N134" s="9"/>
      <c r="O134" s="9"/>
      <c r="P134" s="13"/>
    </row>
    <row r="135">
      <c r="D135" s="9"/>
      <c r="E135" s="9"/>
      <c r="H135" s="9"/>
      <c r="J135" s="121"/>
      <c r="K135" s="9"/>
      <c r="M135" s="9"/>
      <c r="N135" s="9"/>
      <c r="O135" s="9"/>
      <c r="P135" s="13"/>
    </row>
    <row r="136">
      <c r="D136" s="9"/>
      <c r="E136" s="9"/>
      <c r="H136" s="9"/>
      <c r="J136" s="121"/>
      <c r="K136" s="9"/>
      <c r="M136" s="9"/>
      <c r="N136" s="9"/>
      <c r="O136" s="9"/>
      <c r="P136" s="13"/>
    </row>
    <row r="137">
      <c r="D137" s="9"/>
      <c r="E137" s="9"/>
      <c r="H137" s="9"/>
      <c r="J137" s="121"/>
      <c r="K137" s="9"/>
      <c r="M137" s="9"/>
      <c r="N137" s="9"/>
      <c r="O137" s="9"/>
      <c r="P137" s="13"/>
    </row>
    <row r="138">
      <c r="D138" s="9"/>
      <c r="E138" s="9"/>
      <c r="H138" s="9"/>
      <c r="J138" s="121"/>
      <c r="K138" s="9"/>
      <c r="M138" s="9"/>
      <c r="N138" s="9"/>
      <c r="O138" s="9"/>
      <c r="P138" s="13"/>
    </row>
    <row r="139">
      <c r="D139" s="9"/>
      <c r="E139" s="9"/>
      <c r="H139" s="9"/>
      <c r="J139" s="121"/>
      <c r="K139" s="9"/>
      <c r="M139" s="9"/>
      <c r="N139" s="9"/>
      <c r="O139" s="9"/>
      <c r="P139" s="13"/>
    </row>
    <row r="140">
      <c r="D140" s="9"/>
      <c r="E140" s="9"/>
      <c r="H140" s="9"/>
      <c r="J140" s="121"/>
      <c r="K140" s="9"/>
      <c r="M140" s="9"/>
      <c r="N140" s="9"/>
      <c r="O140" s="9"/>
      <c r="P140" s="13"/>
    </row>
    <row r="141">
      <c r="D141" s="9"/>
      <c r="E141" s="9"/>
      <c r="H141" s="9"/>
      <c r="J141" s="121"/>
      <c r="K141" s="9"/>
      <c r="M141" s="9"/>
      <c r="N141" s="9"/>
      <c r="O141" s="9"/>
      <c r="P141" s="13"/>
    </row>
    <row r="142">
      <c r="D142" s="9"/>
      <c r="E142" s="9"/>
      <c r="H142" s="9"/>
      <c r="J142" s="121"/>
      <c r="K142" s="9"/>
      <c r="M142" s="9"/>
      <c r="N142" s="9"/>
      <c r="O142" s="9"/>
      <c r="P142" s="13"/>
    </row>
    <row r="143">
      <c r="D143" s="9"/>
      <c r="E143" s="9"/>
      <c r="H143" s="9"/>
      <c r="J143" s="121"/>
      <c r="K143" s="9"/>
      <c r="M143" s="9"/>
      <c r="N143" s="9"/>
      <c r="O143" s="9"/>
      <c r="P143" s="13"/>
    </row>
    <row r="144">
      <c r="D144" s="9"/>
      <c r="E144" s="9"/>
      <c r="H144" s="9"/>
      <c r="J144" s="121"/>
      <c r="K144" s="9"/>
      <c r="M144" s="9"/>
      <c r="N144" s="9"/>
      <c r="O144" s="9"/>
      <c r="P144" s="13"/>
    </row>
    <row r="145">
      <c r="D145" s="9"/>
      <c r="E145" s="9"/>
      <c r="H145" s="9"/>
      <c r="J145" s="121"/>
      <c r="K145" s="9"/>
      <c r="M145" s="9"/>
      <c r="N145" s="9"/>
      <c r="O145" s="9"/>
      <c r="P145" s="13"/>
    </row>
    <row r="146">
      <c r="D146" s="9"/>
      <c r="E146" s="9"/>
      <c r="H146" s="9"/>
      <c r="J146" s="121"/>
      <c r="K146" s="9"/>
      <c r="M146" s="9"/>
      <c r="N146" s="9"/>
      <c r="O146" s="9"/>
      <c r="P146" s="13"/>
    </row>
    <row r="147">
      <c r="D147" s="9"/>
      <c r="E147" s="9"/>
      <c r="H147" s="9"/>
      <c r="J147" s="121"/>
      <c r="K147" s="9"/>
      <c r="M147" s="9"/>
      <c r="N147" s="9"/>
      <c r="O147" s="9"/>
      <c r="P147" s="13"/>
    </row>
    <row r="148">
      <c r="D148" s="9"/>
      <c r="E148" s="9"/>
      <c r="H148" s="9"/>
      <c r="J148" s="121"/>
      <c r="K148" s="9"/>
      <c r="M148" s="9"/>
      <c r="N148" s="9"/>
      <c r="O148" s="9"/>
      <c r="P148" s="13"/>
    </row>
    <row r="149">
      <c r="D149" s="9"/>
      <c r="E149" s="9"/>
      <c r="H149" s="9"/>
      <c r="J149" s="121"/>
      <c r="K149" s="9"/>
      <c r="M149" s="9"/>
      <c r="N149" s="9"/>
      <c r="O149" s="9"/>
      <c r="P149" s="13"/>
    </row>
    <row r="150">
      <c r="D150" s="9"/>
      <c r="E150" s="9"/>
      <c r="H150" s="9"/>
      <c r="J150" s="121"/>
      <c r="K150" s="9"/>
      <c r="M150" s="9"/>
      <c r="N150" s="9"/>
      <c r="O150" s="9"/>
      <c r="P150" s="13"/>
    </row>
    <row r="151">
      <c r="D151" s="9"/>
      <c r="E151" s="9"/>
      <c r="H151" s="9"/>
      <c r="J151" s="121"/>
      <c r="K151" s="9"/>
      <c r="M151" s="9"/>
      <c r="N151" s="9"/>
      <c r="O151" s="9"/>
      <c r="P151" s="13"/>
    </row>
    <row r="152">
      <c r="D152" s="9"/>
      <c r="E152" s="9"/>
      <c r="H152" s="9"/>
      <c r="J152" s="121"/>
      <c r="K152" s="9"/>
      <c r="M152" s="9"/>
      <c r="N152" s="9"/>
      <c r="O152" s="9"/>
      <c r="P152" s="13"/>
    </row>
    <row r="153">
      <c r="D153" s="9"/>
      <c r="E153" s="9"/>
      <c r="H153" s="9"/>
      <c r="J153" s="121"/>
      <c r="K153" s="9"/>
      <c r="M153" s="9"/>
      <c r="N153" s="9"/>
      <c r="O153" s="9"/>
      <c r="P153" s="13"/>
    </row>
    <row r="154">
      <c r="D154" s="9"/>
      <c r="E154" s="9"/>
      <c r="H154" s="9"/>
      <c r="J154" s="121"/>
      <c r="K154" s="9"/>
      <c r="M154" s="9"/>
      <c r="N154" s="9"/>
      <c r="O154" s="9"/>
      <c r="P154" s="13"/>
    </row>
    <row r="155">
      <c r="D155" s="9"/>
      <c r="E155" s="9"/>
      <c r="H155" s="9"/>
      <c r="J155" s="121"/>
      <c r="K155" s="9"/>
      <c r="M155" s="9"/>
      <c r="N155" s="9"/>
      <c r="O155" s="9"/>
      <c r="P155" s="13"/>
    </row>
    <row r="156">
      <c r="D156" s="9"/>
      <c r="E156" s="9"/>
      <c r="H156" s="9"/>
      <c r="J156" s="121"/>
      <c r="K156" s="9"/>
      <c r="M156" s="9"/>
      <c r="N156" s="9"/>
      <c r="O156" s="9"/>
      <c r="P156" s="13"/>
    </row>
    <row r="157">
      <c r="D157" s="9"/>
      <c r="E157" s="9"/>
      <c r="H157" s="9"/>
      <c r="J157" s="121"/>
      <c r="K157" s="9"/>
      <c r="M157" s="9"/>
      <c r="N157" s="9"/>
      <c r="O157" s="9"/>
      <c r="P157" s="13"/>
    </row>
    <row r="158">
      <c r="D158" s="9"/>
      <c r="E158" s="9"/>
      <c r="H158" s="9"/>
      <c r="J158" s="121"/>
      <c r="K158" s="9"/>
      <c r="M158" s="9"/>
      <c r="N158" s="9"/>
      <c r="O158" s="9"/>
      <c r="P158" s="13"/>
    </row>
    <row r="159">
      <c r="D159" s="9"/>
      <c r="E159" s="9"/>
      <c r="H159" s="9"/>
      <c r="J159" s="121"/>
      <c r="K159" s="9"/>
      <c r="M159" s="9"/>
      <c r="N159" s="9"/>
      <c r="O159" s="9"/>
      <c r="P159" s="13"/>
    </row>
    <row r="160">
      <c r="D160" s="9"/>
      <c r="E160" s="9"/>
      <c r="H160" s="9"/>
      <c r="J160" s="121"/>
      <c r="K160" s="9"/>
      <c r="M160" s="9"/>
      <c r="N160" s="9"/>
      <c r="O160" s="9"/>
      <c r="P160" s="13"/>
    </row>
    <row r="161">
      <c r="D161" s="9"/>
      <c r="E161" s="9"/>
      <c r="H161" s="9"/>
      <c r="J161" s="121"/>
      <c r="K161" s="9"/>
      <c r="M161" s="9"/>
      <c r="N161" s="9"/>
      <c r="O161" s="9"/>
      <c r="P161" s="13"/>
    </row>
    <row r="162">
      <c r="D162" s="9"/>
      <c r="E162" s="9"/>
      <c r="H162" s="9"/>
      <c r="J162" s="121"/>
      <c r="K162" s="9"/>
      <c r="M162" s="9"/>
      <c r="N162" s="9"/>
      <c r="O162" s="9"/>
      <c r="P162" s="13"/>
    </row>
    <row r="163">
      <c r="D163" s="9"/>
      <c r="E163" s="9"/>
      <c r="H163" s="9"/>
      <c r="J163" s="121"/>
      <c r="K163" s="9"/>
      <c r="M163" s="9"/>
      <c r="N163" s="9"/>
      <c r="O163" s="9"/>
      <c r="P163" s="13"/>
    </row>
    <row r="164">
      <c r="D164" s="9"/>
      <c r="E164" s="9"/>
      <c r="H164" s="9"/>
      <c r="J164" s="121"/>
      <c r="K164" s="9"/>
      <c r="M164" s="9"/>
      <c r="N164" s="9"/>
      <c r="O164" s="9"/>
      <c r="P164" s="13"/>
    </row>
    <row r="165">
      <c r="D165" s="9"/>
      <c r="E165" s="9"/>
      <c r="H165" s="9"/>
      <c r="J165" s="121"/>
      <c r="K165" s="9"/>
      <c r="M165" s="9"/>
      <c r="N165" s="9"/>
      <c r="O165" s="9"/>
      <c r="P165" s="13"/>
    </row>
    <row r="166">
      <c r="D166" s="9"/>
      <c r="E166" s="9"/>
      <c r="H166" s="9"/>
      <c r="J166" s="121"/>
      <c r="K166" s="9"/>
      <c r="M166" s="9"/>
      <c r="N166" s="9"/>
      <c r="O166" s="9"/>
      <c r="P166" s="13"/>
    </row>
    <row r="167">
      <c r="D167" s="9"/>
      <c r="E167" s="9"/>
      <c r="H167" s="9"/>
      <c r="J167" s="121"/>
      <c r="K167" s="9"/>
      <c r="M167" s="9"/>
      <c r="N167" s="9"/>
      <c r="O167" s="9"/>
      <c r="P167" s="13"/>
    </row>
    <row r="168">
      <c r="D168" s="9"/>
      <c r="E168" s="9"/>
      <c r="H168" s="9"/>
      <c r="J168" s="121"/>
      <c r="K168" s="9"/>
      <c r="M168" s="9"/>
      <c r="N168" s="9"/>
      <c r="O168" s="9"/>
      <c r="P168" s="13"/>
    </row>
    <row r="169">
      <c r="D169" s="9"/>
      <c r="E169" s="9"/>
      <c r="H169" s="9"/>
      <c r="J169" s="121"/>
      <c r="K169" s="9"/>
      <c r="M169" s="9"/>
      <c r="N169" s="9"/>
      <c r="O169" s="9"/>
      <c r="P169" s="13"/>
    </row>
    <row r="170">
      <c r="D170" s="9"/>
      <c r="E170" s="9"/>
      <c r="H170" s="9"/>
      <c r="J170" s="121"/>
      <c r="K170" s="9"/>
      <c r="M170" s="9"/>
      <c r="N170" s="9"/>
      <c r="O170" s="9"/>
      <c r="P170" s="13"/>
    </row>
    <row r="171">
      <c r="D171" s="9"/>
      <c r="E171" s="9"/>
      <c r="H171" s="9"/>
      <c r="J171" s="121"/>
      <c r="K171" s="9"/>
      <c r="M171" s="9"/>
      <c r="N171" s="9"/>
      <c r="O171" s="9"/>
      <c r="P171" s="13"/>
    </row>
    <row r="172">
      <c r="D172" s="9"/>
      <c r="E172" s="9"/>
      <c r="H172" s="9"/>
      <c r="J172" s="121"/>
      <c r="K172" s="9"/>
      <c r="M172" s="9"/>
      <c r="N172" s="9"/>
      <c r="O172" s="9"/>
      <c r="P172" s="13"/>
    </row>
    <row r="173">
      <c r="D173" s="9"/>
      <c r="E173" s="9"/>
      <c r="H173" s="9"/>
      <c r="J173" s="121"/>
      <c r="K173" s="9"/>
      <c r="M173" s="9"/>
      <c r="N173" s="9"/>
      <c r="O173" s="9"/>
      <c r="P173" s="13"/>
    </row>
    <row r="174">
      <c r="D174" s="9"/>
      <c r="E174" s="9"/>
      <c r="H174" s="9"/>
      <c r="J174" s="121"/>
      <c r="K174" s="9"/>
      <c r="M174" s="9"/>
      <c r="N174" s="9"/>
      <c r="O174" s="9"/>
      <c r="P174" s="13"/>
    </row>
    <row r="175">
      <c r="D175" s="9"/>
      <c r="E175" s="9"/>
      <c r="H175" s="9"/>
      <c r="J175" s="121"/>
      <c r="K175" s="9"/>
      <c r="M175" s="9"/>
      <c r="N175" s="9"/>
      <c r="O175" s="9"/>
      <c r="P175" s="13"/>
    </row>
    <row r="176">
      <c r="D176" s="9"/>
      <c r="E176" s="9"/>
      <c r="H176" s="9"/>
      <c r="J176" s="121"/>
      <c r="K176" s="9"/>
      <c r="M176" s="9"/>
      <c r="N176" s="9"/>
      <c r="O176" s="9"/>
      <c r="P176" s="13"/>
    </row>
    <row r="177">
      <c r="D177" s="9"/>
      <c r="E177" s="9"/>
      <c r="H177" s="9"/>
      <c r="J177" s="121"/>
      <c r="K177" s="9"/>
      <c r="M177" s="9"/>
      <c r="N177" s="9"/>
      <c r="O177" s="9"/>
      <c r="P177" s="13"/>
    </row>
    <row r="178">
      <c r="D178" s="9"/>
      <c r="E178" s="9"/>
      <c r="H178" s="9"/>
      <c r="J178" s="121"/>
      <c r="K178" s="9"/>
      <c r="M178" s="9"/>
      <c r="N178" s="9"/>
      <c r="O178" s="9"/>
      <c r="P178" s="13"/>
    </row>
    <row r="179">
      <c r="D179" s="9"/>
      <c r="E179" s="9"/>
      <c r="H179" s="9"/>
      <c r="J179" s="121"/>
      <c r="K179" s="9"/>
      <c r="M179" s="9"/>
      <c r="N179" s="9"/>
      <c r="O179" s="9"/>
      <c r="P179" s="13"/>
    </row>
    <row r="180">
      <c r="D180" s="9"/>
      <c r="E180" s="9"/>
      <c r="H180" s="9"/>
      <c r="J180" s="121"/>
      <c r="K180" s="9"/>
      <c r="M180" s="9"/>
      <c r="N180" s="9"/>
      <c r="O180" s="9"/>
      <c r="P180" s="13"/>
    </row>
    <row r="181">
      <c r="D181" s="9"/>
      <c r="E181" s="9"/>
      <c r="H181" s="9"/>
      <c r="J181" s="121"/>
      <c r="K181" s="9"/>
      <c r="M181" s="9"/>
      <c r="N181" s="9"/>
      <c r="O181" s="9"/>
      <c r="P181" s="13"/>
    </row>
    <row r="182">
      <c r="D182" s="9"/>
      <c r="E182" s="9"/>
      <c r="H182" s="9"/>
      <c r="J182" s="121"/>
      <c r="K182" s="9"/>
      <c r="M182" s="9"/>
      <c r="N182" s="9"/>
      <c r="O182" s="9"/>
      <c r="P182" s="13"/>
    </row>
    <row r="183">
      <c r="D183" s="9"/>
      <c r="E183" s="9"/>
      <c r="H183" s="9"/>
      <c r="J183" s="121"/>
      <c r="K183" s="9"/>
      <c r="M183" s="9"/>
      <c r="N183" s="9"/>
      <c r="O183" s="9"/>
      <c r="P183" s="13"/>
    </row>
    <row r="184">
      <c r="D184" s="9"/>
      <c r="E184" s="9"/>
      <c r="H184" s="9"/>
      <c r="J184" s="121"/>
      <c r="K184" s="9"/>
      <c r="M184" s="9"/>
      <c r="N184" s="9"/>
      <c r="O184" s="9"/>
      <c r="P184" s="13"/>
    </row>
    <row r="185">
      <c r="D185" s="9"/>
      <c r="E185" s="9"/>
      <c r="H185" s="9"/>
      <c r="J185" s="121"/>
      <c r="K185" s="9"/>
      <c r="M185" s="9"/>
      <c r="N185" s="9"/>
      <c r="O185" s="9"/>
      <c r="P185" s="13"/>
    </row>
    <row r="186">
      <c r="D186" s="9"/>
      <c r="E186" s="9"/>
      <c r="H186" s="9"/>
      <c r="J186" s="121"/>
      <c r="K186" s="9"/>
      <c r="M186" s="9"/>
      <c r="N186" s="9"/>
      <c r="O186" s="9"/>
      <c r="P186" s="13"/>
    </row>
    <row r="187">
      <c r="D187" s="9"/>
      <c r="E187" s="9"/>
      <c r="H187" s="9"/>
      <c r="J187" s="121"/>
      <c r="K187" s="9"/>
      <c r="M187" s="9"/>
      <c r="N187" s="9"/>
      <c r="O187" s="9"/>
      <c r="P187" s="13"/>
    </row>
    <row r="188">
      <c r="D188" s="9"/>
      <c r="E188" s="9"/>
      <c r="H188" s="9"/>
      <c r="J188" s="121"/>
      <c r="K188" s="9"/>
      <c r="M188" s="9"/>
      <c r="N188" s="9"/>
      <c r="O188" s="9"/>
      <c r="P188" s="13"/>
    </row>
    <row r="189">
      <c r="D189" s="9"/>
      <c r="E189" s="9"/>
      <c r="H189" s="9"/>
      <c r="J189" s="121"/>
      <c r="K189" s="9"/>
      <c r="M189" s="9"/>
      <c r="N189" s="9"/>
      <c r="O189" s="9"/>
      <c r="P189" s="13"/>
    </row>
    <row r="190">
      <c r="D190" s="9"/>
      <c r="E190" s="9"/>
      <c r="H190" s="9"/>
      <c r="J190" s="121"/>
      <c r="K190" s="9"/>
      <c r="M190" s="9"/>
      <c r="N190" s="9"/>
      <c r="O190" s="9"/>
      <c r="P190" s="13"/>
    </row>
    <row r="191">
      <c r="D191" s="9"/>
      <c r="E191" s="9"/>
      <c r="H191" s="9"/>
      <c r="J191" s="121"/>
      <c r="K191" s="9"/>
      <c r="M191" s="9"/>
      <c r="N191" s="9"/>
      <c r="O191" s="9"/>
      <c r="P191" s="13"/>
    </row>
    <row r="192">
      <c r="D192" s="9"/>
      <c r="E192" s="9"/>
      <c r="H192" s="9"/>
      <c r="J192" s="121"/>
      <c r="K192" s="9"/>
      <c r="M192" s="9"/>
      <c r="N192" s="9"/>
      <c r="O192" s="9"/>
      <c r="P192" s="13"/>
    </row>
    <row r="193">
      <c r="D193" s="9"/>
      <c r="E193" s="9"/>
      <c r="H193" s="9"/>
      <c r="J193" s="121"/>
      <c r="K193" s="9"/>
      <c r="M193" s="9"/>
      <c r="N193" s="9"/>
      <c r="O193" s="9"/>
      <c r="P193" s="13"/>
    </row>
    <row r="194">
      <c r="D194" s="9"/>
      <c r="E194" s="9"/>
      <c r="H194" s="9"/>
      <c r="J194" s="121"/>
      <c r="K194" s="9"/>
      <c r="M194" s="9"/>
      <c r="N194" s="9"/>
      <c r="O194" s="9"/>
      <c r="P194" s="13"/>
    </row>
    <row r="195">
      <c r="D195" s="9"/>
      <c r="E195" s="9"/>
      <c r="H195" s="9"/>
      <c r="J195" s="121"/>
      <c r="K195" s="9"/>
      <c r="M195" s="9"/>
      <c r="N195" s="9"/>
      <c r="O195" s="9"/>
      <c r="P195" s="13"/>
    </row>
    <row r="196">
      <c r="D196" s="9"/>
      <c r="E196" s="9"/>
      <c r="H196" s="9"/>
      <c r="J196" s="121"/>
      <c r="K196" s="9"/>
      <c r="M196" s="9"/>
      <c r="N196" s="9"/>
      <c r="O196" s="9"/>
      <c r="P196" s="13"/>
    </row>
    <row r="197">
      <c r="D197" s="9"/>
      <c r="E197" s="9"/>
      <c r="H197" s="9"/>
      <c r="J197" s="121"/>
      <c r="K197" s="9"/>
      <c r="M197" s="9"/>
      <c r="N197" s="9"/>
      <c r="O197" s="9"/>
      <c r="P197" s="13"/>
    </row>
    <row r="198">
      <c r="D198" s="9"/>
      <c r="E198" s="9"/>
      <c r="H198" s="9"/>
      <c r="J198" s="121"/>
      <c r="K198" s="9"/>
      <c r="M198" s="9"/>
      <c r="N198" s="9"/>
      <c r="O198" s="9"/>
      <c r="P198" s="13"/>
    </row>
    <row r="199">
      <c r="D199" s="9"/>
      <c r="E199" s="9"/>
      <c r="H199" s="9"/>
      <c r="J199" s="121"/>
      <c r="K199" s="9"/>
      <c r="M199" s="9"/>
      <c r="N199" s="9"/>
      <c r="O199" s="9"/>
      <c r="P199" s="13"/>
    </row>
    <row r="200">
      <c r="D200" s="9"/>
      <c r="E200" s="9"/>
      <c r="H200" s="9"/>
      <c r="J200" s="121"/>
      <c r="K200" s="9"/>
      <c r="M200" s="9"/>
      <c r="N200" s="9"/>
      <c r="O200" s="9"/>
      <c r="P200" s="13"/>
    </row>
    <row r="201">
      <c r="D201" s="9"/>
      <c r="E201" s="9"/>
      <c r="H201" s="9"/>
      <c r="J201" s="121"/>
      <c r="K201" s="9"/>
      <c r="M201" s="9"/>
      <c r="N201" s="9"/>
      <c r="O201" s="9"/>
      <c r="P201" s="13"/>
    </row>
    <row r="202">
      <c r="D202" s="9"/>
      <c r="E202" s="9"/>
      <c r="H202" s="9"/>
      <c r="J202" s="121"/>
      <c r="K202" s="9"/>
      <c r="M202" s="9"/>
      <c r="N202" s="9"/>
      <c r="O202" s="9"/>
      <c r="P202" s="13"/>
    </row>
    <row r="203">
      <c r="D203" s="9"/>
      <c r="E203" s="9"/>
      <c r="H203" s="9"/>
      <c r="J203" s="121"/>
      <c r="K203" s="9"/>
      <c r="M203" s="9"/>
      <c r="N203" s="9"/>
      <c r="O203" s="9"/>
      <c r="P203" s="13"/>
    </row>
    <row r="204">
      <c r="D204" s="9"/>
      <c r="E204" s="9"/>
      <c r="H204" s="9"/>
      <c r="J204" s="121"/>
      <c r="K204" s="9"/>
      <c r="M204" s="9"/>
      <c r="N204" s="9"/>
      <c r="O204" s="9"/>
      <c r="P204" s="13"/>
    </row>
    <row r="205">
      <c r="D205" s="9"/>
      <c r="E205" s="9"/>
      <c r="H205" s="9"/>
      <c r="J205" s="121"/>
      <c r="K205" s="9"/>
      <c r="M205" s="9"/>
      <c r="N205" s="9"/>
      <c r="O205" s="9"/>
      <c r="P205" s="13"/>
    </row>
    <row r="206">
      <c r="D206" s="9"/>
      <c r="E206" s="9"/>
      <c r="H206" s="9"/>
      <c r="J206" s="121"/>
      <c r="K206" s="9"/>
      <c r="M206" s="9"/>
      <c r="N206" s="9"/>
      <c r="O206" s="9"/>
      <c r="P206" s="13"/>
    </row>
    <row r="207">
      <c r="D207" s="9"/>
      <c r="E207" s="9"/>
      <c r="H207" s="9"/>
      <c r="J207" s="121"/>
      <c r="K207" s="9"/>
      <c r="M207" s="9"/>
      <c r="N207" s="9"/>
      <c r="O207" s="9"/>
      <c r="P207" s="13"/>
    </row>
    <row r="208">
      <c r="D208" s="9"/>
      <c r="E208" s="9"/>
      <c r="H208" s="9"/>
      <c r="J208" s="121"/>
      <c r="K208" s="9"/>
      <c r="M208" s="9"/>
      <c r="N208" s="9"/>
      <c r="O208" s="9"/>
      <c r="P208" s="13"/>
    </row>
    <row r="209">
      <c r="D209" s="9"/>
      <c r="E209" s="9"/>
      <c r="H209" s="9"/>
      <c r="J209" s="121"/>
      <c r="K209" s="9"/>
      <c r="M209" s="9"/>
      <c r="N209" s="9"/>
      <c r="O209" s="9"/>
      <c r="P209" s="13"/>
    </row>
    <row r="210">
      <c r="D210" s="9"/>
      <c r="E210" s="9"/>
      <c r="H210" s="9"/>
      <c r="J210" s="121"/>
      <c r="K210" s="9"/>
      <c r="M210" s="9"/>
      <c r="N210" s="9"/>
      <c r="O210" s="9"/>
      <c r="P210" s="13"/>
    </row>
    <row r="211">
      <c r="D211" s="9"/>
      <c r="E211" s="9"/>
      <c r="H211" s="9"/>
      <c r="J211" s="121"/>
      <c r="K211" s="9"/>
      <c r="M211" s="9"/>
      <c r="N211" s="9"/>
      <c r="O211" s="9"/>
      <c r="P211" s="13"/>
    </row>
    <row r="212">
      <c r="D212" s="9"/>
      <c r="E212" s="9"/>
      <c r="H212" s="9"/>
      <c r="J212" s="121"/>
      <c r="K212" s="9"/>
      <c r="M212" s="9"/>
      <c r="N212" s="9"/>
      <c r="O212" s="9"/>
      <c r="P212" s="13"/>
    </row>
    <row r="213">
      <c r="D213" s="9"/>
      <c r="E213" s="9"/>
      <c r="H213" s="9"/>
      <c r="J213" s="121"/>
      <c r="K213" s="9"/>
      <c r="M213" s="9"/>
      <c r="N213" s="9"/>
      <c r="O213" s="9"/>
      <c r="P213" s="13"/>
    </row>
    <row r="214">
      <c r="D214" s="9"/>
      <c r="E214" s="9"/>
      <c r="H214" s="9"/>
      <c r="J214" s="121"/>
      <c r="K214" s="9"/>
      <c r="M214" s="9"/>
      <c r="N214" s="9"/>
      <c r="O214" s="9"/>
      <c r="P214" s="13"/>
    </row>
    <row r="215">
      <c r="D215" s="9"/>
      <c r="E215" s="9"/>
      <c r="H215" s="9"/>
      <c r="J215" s="121"/>
      <c r="K215" s="9"/>
      <c r="M215" s="9"/>
      <c r="N215" s="9"/>
      <c r="O215" s="9"/>
      <c r="P215" s="13"/>
    </row>
    <row r="216">
      <c r="D216" s="9"/>
      <c r="E216" s="9"/>
      <c r="H216" s="9"/>
      <c r="J216" s="121"/>
      <c r="K216" s="9"/>
      <c r="M216" s="9"/>
      <c r="N216" s="9"/>
      <c r="O216" s="9"/>
      <c r="P216" s="13"/>
    </row>
    <row r="217">
      <c r="D217" s="9"/>
      <c r="E217" s="9"/>
      <c r="H217" s="9"/>
      <c r="J217" s="121"/>
      <c r="K217" s="9"/>
      <c r="M217" s="9"/>
      <c r="N217" s="9"/>
      <c r="O217" s="9"/>
      <c r="P217" s="13"/>
    </row>
    <row r="218">
      <c r="D218" s="9"/>
      <c r="E218" s="9"/>
      <c r="H218" s="9"/>
      <c r="J218" s="121"/>
      <c r="K218" s="9"/>
      <c r="M218" s="9"/>
      <c r="N218" s="9"/>
      <c r="O218" s="9"/>
      <c r="P218" s="13"/>
    </row>
    <row r="219">
      <c r="D219" s="9"/>
      <c r="E219" s="9"/>
      <c r="H219" s="9"/>
      <c r="J219" s="121"/>
      <c r="K219" s="9"/>
      <c r="M219" s="9"/>
      <c r="N219" s="9"/>
      <c r="O219" s="9"/>
      <c r="P219" s="13"/>
    </row>
    <row r="220">
      <c r="D220" s="9"/>
      <c r="E220" s="9"/>
      <c r="H220" s="9"/>
      <c r="J220" s="121"/>
      <c r="K220" s="9"/>
      <c r="M220" s="9"/>
      <c r="N220" s="9"/>
      <c r="O220" s="9"/>
      <c r="P220" s="13"/>
    </row>
    <row r="221">
      <c r="D221" s="9"/>
      <c r="E221" s="9"/>
      <c r="H221" s="9"/>
      <c r="J221" s="121"/>
      <c r="K221" s="9"/>
      <c r="M221" s="9"/>
      <c r="N221" s="9"/>
      <c r="O221" s="9"/>
      <c r="P221" s="13"/>
    </row>
    <row r="222">
      <c r="D222" s="9"/>
      <c r="E222" s="9"/>
      <c r="H222" s="9"/>
      <c r="J222" s="121"/>
      <c r="K222" s="9"/>
      <c r="M222" s="9"/>
      <c r="N222" s="9"/>
      <c r="O222" s="9"/>
      <c r="P222" s="13"/>
    </row>
    <row r="223">
      <c r="D223" s="9"/>
      <c r="E223" s="9"/>
      <c r="H223" s="9"/>
      <c r="J223" s="121"/>
      <c r="K223" s="9"/>
      <c r="M223" s="9"/>
      <c r="N223" s="9"/>
      <c r="O223" s="9"/>
      <c r="P223" s="13"/>
    </row>
    <row r="224">
      <c r="D224" s="9"/>
      <c r="E224" s="9"/>
      <c r="H224" s="9"/>
      <c r="J224" s="121"/>
      <c r="K224" s="9"/>
      <c r="M224" s="9"/>
      <c r="N224" s="9"/>
      <c r="O224" s="9"/>
      <c r="P224" s="13"/>
    </row>
    <row r="225">
      <c r="D225" s="9"/>
      <c r="E225" s="9"/>
      <c r="H225" s="9"/>
      <c r="J225" s="121"/>
      <c r="K225" s="9"/>
      <c r="M225" s="9"/>
      <c r="N225" s="9"/>
      <c r="O225" s="9"/>
      <c r="P225" s="13"/>
    </row>
    <row r="226">
      <c r="D226" s="9"/>
      <c r="E226" s="9"/>
      <c r="H226" s="9"/>
      <c r="J226" s="121"/>
      <c r="K226" s="9"/>
      <c r="M226" s="9"/>
      <c r="N226" s="9"/>
      <c r="O226" s="9"/>
      <c r="P226" s="13"/>
    </row>
    <row r="227">
      <c r="D227" s="9"/>
      <c r="E227" s="9"/>
      <c r="H227" s="9"/>
      <c r="J227" s="121"/>
      <c r="K227" s="9"/>
      <c r="M227" s="9"/>
      <c r="N227" s="9"/>
      <c r="O227" s="9"/>
      <c r="P227" s="13"/>
    </row>
    <row r="228">
      <c r="D228" s="9"/>
      <c r="E228" s="9"/>
      <c r="H228" s="9"/>
      <c r="J228" s="121"/>
      <c r="K228" s="9"/>
      <c r="M228" s="9"/>
      <c r="N228" s="9"/>
      <c r="O228" s="9"/>
      <c r="P228" s="13"/>
    </row>
    <row r="229">
      <c r="D229" s="9"/>
      <c r="E229" s="9"/>
      <c r="H229" s="9"/>
      <c r="J229" s="121"/>
      <c r="K229" s="9"/>
      <c r="M229" s="9"/>
      <c r="N229" s="9"/>
      <c r="O229" s="9"/>
      <c r="P229" s="13"/>
    </row>
    <row r="230">
      <c r="D230" s="9"/>
      <c r="E230" s="9"/>
      <c r="H230" s="9"/>
      <c r="J230" s="121"/>
      <c r="K230" s="9"/>
      <c r="M230" s="9"/>
      <c r="N230" s="9"/>
      <c r="O230" s="9"/>
      <c r="P230" s="13"/>
    </row>
    <row r="231">
      <c r="D231" s="9"/>
      <c r="E231" s="9"/>
      <c r="H231" s="9"/>
      <c r="J231" s="121"/>
      <c r="K231" s="9"/>
      <c r="M231" s="9"/>
      <c r="N231" s="9"/>
      <c r="O231" s="9"/>
      <c r="P231" s="13"/>
    </row>
    <row r="232">
      <c r="D232" s="9"/>
      <c r="E232" s="9"/>
      <c r="H232" s="9"/>
      <c r="J232" s="121"/>
      <c r="K232" s="9"/>
      <c r="M232" s="9"/>
      <c r="N232" s="9"/>
      <c r="O232" s="9"/>
      <c r="P232" s="13"/>
    </row>
    <row r="233">
      <c r="D233" s="9"/>
      <c r="E233" s="9"/>
      <c r="H233" s="9"/>
      <c r="J233" s="121"/>
      <c r="K233" s="9"/>
      <c r="M233" s="9"/>
      <c r="N233" s="9"/>
      <c r="O233" s="9"/>
      <c r="P233" s="13"/>
    </row>
    <row r="234">
      <c r="D234" s="9"/>
      <c r="E234" s="9"/>
      <c r="H234" s="9"/>
      <c r="J234" s="121"/>
      <c r="K234" s="9"/>
      <c r="M234" s="9"/>
      <c r="N234" s="9"/>
      <c r="O234" s="9"/>
      <c r="P234" s="13"/>
    </row>
    <row r="235">
      <c r="D235" s="9"/>
      <c r="E235" s="9"/>
      <c r="H235" s="9"/>
      <c r="J235" s="121"/>
      <c r="K235" s="9"/>
      <c r="M235" s="9"/>
      <c r="N235" s="9"/>
      <c r="O235" s="9"/>
      <c r="P235" s="13"/>
    </row>
    <row r="236">
      <c r="D236" s="9"/>
      <c r="E236" s="9"/>
      <c r="H236" s="9"/>
      <c r="J236" s="121"/>
      <c r="K236" s="9"/>
      <c r="M236" s="9"/>
      <c r="N236" s="9"/>
      <c r="O236" s="9"/>
      <c r="P236" s="13"/>
    </row>
    <row r="237">
      <c r="D237" s="9"/>
      <c r="E237" s="9"/>
      <c r="H237" s="9"/>
      <c r="J237" s="121"/>
      <c r="K237" s="9"/>
      <c r="M237" s="9"/>
      <c r="N237" s="9"/>
      <c r="O237" s="9"/>
      <c r="P237" s="13"/>
    </row>
    <row r="238">
      <c r="D238" s="9"/>
      <c r="E238" s="9"/>
      <c r="H238" s="9"/>
      <c r="J238" s="121"/>
      <c r="K238" s="9"/>
      <c r="M238" s="9"/>
      <c r="N238" s="9"/>
      <c r="O238" s="9"/>
      <c r="P238" s="13"/>
    </row>
    <row r="239">
      <c r="D239" s="9"/>
      <c r="E239" s="9"/>
      <c r="H239" s="9"/>
      <c r="J239" s="121"/>
      <c r="K239" s="9"/>
      <c r="M239" s="9"/>
      <c r="N239" s="9"/>
      <c r="O239" s="9"/>
      <c r="P239" s="13"/>
    </row>
    <row r="240">
      <c r="D240" s="9"/>
      <c r="E240" s="9"/>
      <c r="H240" s="9"/>
      <c r="J240" s="121"/>
      <c r="K240" s="9"/>
      <c r="M240" s="9"/>
      <c r="N240" s="9"/>
      <c r="O240" s="9"/>
      <c r="P240" s="13"/>
    </row>
    <row r="241">
      <c r="D241" s="9"/>
      <c r="E241" s="9"/>
      <c r="H241" s="9"/>
      <c r="J241" s="121"/>
      <c r="K241" s="9"/>
      <c r="M241" s="9"/>
      <c r="N241" s="9"/>
      <c r="O241" s="9"/>
      <c r="P241" s="13"/>
    </row>
    <row r="242">
      <c r="D242" s="9"/>
      <c r="E242" s="9"/>
      <c r="H242" s="9"/>
      <c r="J242" s="121"/>
      <c r="K242" s="9"/>
      <c r="M242" s="9"/>
      <c r="N242" s="9"/>
      <c r="O242" s="9"/>
      <c r="P242" s="13"/>
    </row>
    <row r="243">
      <c r="D243" s="9"/>
      <c r="E243" s="9"/>
      <c r="H243" s="9"/>
      <c r="J243" s="121"/>
      <c r="K243" s="9"/>
      <c r="M243" s="9"/>
      <c r="N243" s="9"/>
      <c r="O243" s="9"/>
      <c r="P243" s="13"/>
    </row>
    <row r="244">
      <c r="D244" s="9"/>
      <c r="E244" s="9"/>
      <c r="H244" s="9"/>
      <c r="J244" s="121"/>
      <c r="K244" s="9"/>
      <c r="M244" s="9"/>
      <c r="N244" s="9"/>
      <c r="O244" s="9"/>
      <c r="P244" s="13"/>
    </row>
    <row r="245">
      <c r="D245" s="9"/>
      <c r="E245" s="9"/>
      <c r="H245" s="9"/>
      <c r="J245" s="121"/>
      <c r="K245" s="9"/>
      <c r="M245" s="9"/>
      <c r="N245" s="9"/>
      <c r="O245" s="9"/>
      <c r="P245" s="13"/>
    </row>
    <row r="246">
      <c r="D246" s="9"/>
      <c r="E246" s="9"/>
      <c r="H246" s="9"/>
      <c r="J246" s="121"/>
      <c r="K246" s="9"/>
      <c r="M246" s="9"/>
      <c r="N246" s="9"/>
      <c r="O246" s="9"/>
      <c r="P246" s="13"/>
    </row>
    <row r="247">
      <c r="D247" s="9"/>
      <c r="E247" s="9"/>
      <c r="H247" s="9"/>
      <c r="J247" s="121"/>
      <c r="K247" s="9"/>
      <c r="M247" s="9"/>
      <c r="N247" s="9"/>
      <c r="O247" s="9"/>
      <c r="P247" s="13"/>
    </row>
    <row r="248">
      <c r="D248" s="9"/>
      <c r="E248" s="9"/>
      <c r="H248" s="9"/>
      <c r="J248" s="121"/>
      <c r="K248" s="9"/>
      <c r="M248" s="9"/>
      <c r="N248" s="9"/>
      <c r="O248" s="9"/>
      <c r="P248" s="13"/>
    </row>
    <row r="249">
      <c r="D249" s="9"/>
      <c r="E249" s="9"/>
      <c r="H249" s="9"/>
      <c r="J249" s="121"/>
      <c r="K249" s="9"/>
      <c r="M249" s="9"/>
      <c r="N249" s="9"/>
      <c r="O249" s="9"/>
      <c r="P249" s="13"/>
    </row>
    <row r="250">
      <c r="D250" s="9"/>
      <c r="E250" s="9"/>
      <c r="H250" s="9"/>
      <c r="J250" s="121"/>
      <c r="K250" s="9"/>
      <c r="M250" s="9"/>
      <c r="N250" s="9"/>
      <c r="O250" s="9"/>
      <c r="P250" s="13"/>
    </row>
    <row r="251">
      <c r="D251" s="9"/>
      <c r="E251" s="9"/>
      <c r="H251" s="9"/>
      <c r="J251" s="121"/>
      <c r="K251" s="9"/>
      <c r="M251" s="9"/>
      <c r="N251" s="9"/>
      <c r="O251" s="9"/>
      <c r="P251" s="13"/>
    </row>
    <row r="252">
      <c r="D252" s="9"/>
      <c r="E252" s="9"/>
      <c r="H252" s="9"/>
      <c r="J252" s="121"/>
      <c r="K252" s="9"/>
      <c r="M252" s="9"/>
      <c r="N252" s="9"/>
      <c r="O252" s="9"/>
      <c r="P252" s="13"/>
    </row>
    <row r="253">
      <c r="D253" s="9"/>
      <c r="E253" s="9"/>
      <c r="H253" s="9"/>
      <c r="J253" s="121"/>
      <c r="K253" s="9"/>
      <c r="M253" s="9"/>
      <c r="N253" s="9"/>
      <c r="O253" s="9"/>
      <c r="P253" s="13"/>
    </row>
    <row r="254">
      <c r="D254" s="9"/>
      <c r="E254" s="9"/>
      <c r="H254" s="9"/>
      <c r="J254" s="121"/>
      <c r="K254" s="9"/>
      <c r="M254" s="9"/>
      <c r="N254" s="9"/>
      <c r="O254" s="9"/>
      <c r="P254" s="13"/>
    </row>
    <row r="255">
      <c r="D255" s="9"/>
      <c r="E255" s="9"/>
      <c r="H255" s="9"/>
      <c r="J255" s="121"/>
      <c r="K255" s="9"/>
      <c r="M255" s="9"/>
      <c r="N255" s="9"/>
      <c r="O255" s="9"/>
      <c r="P255" s="13"/>
    </row>
    <row r="256">
      <c r="D256" s="9"/>
      <c r="E256" s="9"/>
      <c r="H256" s="9"/>
      <c r="J256" s="121"/>
      <c r="K256" s="9"/>
      <c r="M256" s="9"/>
      <c r="N256" s="9"/>
      <c r="O256" s="9"/>
      <c r="P256" s="13"/>
    </row>
    <row r="257">
      <c r="D257" s="9"/>
      <c r="E257" s="9"/>
      <c r="H257" s="9"/>
      <c r="J257" s="121"/>
      <c r="K257" s="9"/>
      <c r="M257" s="9"/>
      <c r="N257" s="9"/>
      <c r="O257" s="9"/>
      <c r="P257" s="13"/>
    </row>
    <row r="258">
      <c r="D258" s="9"/>
      <c r="E258" s="9"/>
      <c r="H258" s="9"/>
      <c r="J258" s="121"/>
      <c r="K258" s="9"/>
      <c r="M258" s="9"/>
      <c r="N258" s="9"/>
      <c r="O258" s="9"/>
      <c r="P258" s="13"/>
    </row>
    <row r="259">
      <c r="D259" s="9"/>
      <c r="E259" s="9"/>
      <c r="H259" s="9"/>
      <c r="J259" s="121"/>
      <c r="K259" s="9"/>
      <c r="M259" s="9"/>
      <c r="N259" s="9"/>
      <c r="O259" s="9"/>
      <c r="P259" s="13"/>
    </row>
    <row r="260">
      <c r="D260" s="9"/>
      <c r="E260" s="9"/>
      <c r="H260" s="9"/>
      <c r="J260" s="121"/>
      <c r="K260" s="9"/>
      <c r="M260" s="9"/>
      <c r="N260" s="9"/>
      <c r="O260" s="9"/>
      <c r="P260" s="13"/>
    </row>
    <row r="261">
      <c r="D261" s="9"/>
      <c r="E261" s="9"/>
      <c r="H261" s="9"/>
      <c r="J261" s="121"/>
      <c r="K261" s="9"/>
      <c r="M261" s="9"/>
      <c r="N261" s="9"/>
      <c r="O261" s="9"/>
      <c r="P261" s="13"/>
    </row>
    <row r="262">
      <c r="D262" s="9"/>
      <c r="E262" s="9"/>
      <c r="H262" s="9"/>
      <c r="J262" s="121"/>
      <c r="K262" s="9"/>
      <c r="M262" s="9"/>
      <c r="N262" s="9"/>
      <c r="O262" s="9"/>
      <c r="P262" s="13"/>
    </row>
    <row r="263">
      <c r="D263" s="9"/>
      <c r="E263" s="9"/>
      <c r="H263" s="9"/>
      <c r="J263" s="121"/>
      <c r="K263" s="9"/>
      <c r="M263" s="9"/>
      <c r="N263" s="9"/>
      <c r="O263" s="9"/>
      <c r="P263" s="13"/>
    </row>
    <row r="264">
      <c r="D264" s="9"/>
      <c r="E264" s="9"/>
      <c r="H264" s="9"/>
      <c r="J264" s="121"/>
      <c r="K264" s="9"/>
      <c r="M264" s="9"/>
      <c r="N264" s="9"/>
      <c r="O264" s="9"/>
      <c r="P264" s="13"/>
    </row>
    <row r="265">
      <c r="D265" s="9"/>
      <c r="E265" s="9"/>
      <c r="H265" s="9"/>
      <c r="J265" s="121"/>
      <c r="K265" s="9"/>
      <c r="M265" s="9"/>
      <c r="N265" s="9"/>
      <c r="O265" s="9"/>
      <c r="P265" s="13"/>
    </row>
    <row r="266">
      <c r="D266" s="9"/>
      <c r="E266" s="9"/>
      <c r="H266" s="9"/>
      <c r="J266" s="121"/>
      <c r="K266" s="9"/>
      <c r="M266" s="9"/>
      <c r="N266" s="9"/>
      <c r="O266" s="9"/>
      <c r="P266" s="13"/>
    </row>
    <row r="267">
      <c r="D267" s="9"/>
      <c r="E267" s="9"/>
      <c r="H267" s="9"/>
      <c r="J267" s="121"/>
      <c r="K267" s="9"/>
      <c r="M267" s="9"/>
      <c r="N267" s="9"/>
      <c r="O267" s="9"/>
      <c r="P267" s="13"/>
    </row>
    <row r="268">
      <c r="D268" s="9"/>
      <c r="E268" s="9"/>
      <c r="H268" s="9"/>
      <c r="J268" s="121"/>
      <c r="K268" s="9"/>
      <c r="M268" s="9"/>
      <c r="N268" s="9"/>
      <c r="O268" s="9"/>
      <c r="P268" s="13"/>
    </row>
    <row r="269">
      <c r="D269" s="9"/>
      <c r="E269" s="9"/>
      <c r="H269" s="9"/>
      <c r="J269" s="121"/>
      <c r="K269" s="9"/>
      <c r="M269" s="9"/>
      <c r="N269" s="9"/>
      <c r="O269" s="9"/>
      <c r="P269" s="13"/>
    </row>
    <row r="270">
      <c r="D270" s="9"/>
      <c r="E270" s="9"/>
      <c r="H270" s="9"/>
      <c r="J270" s="121"/>
      <c r="K270" s="9"/>
      <c r="M270" s="9"/>
      <c r="N270" s="9"/>
      <c r="O270" s="9"/>
      <c r="P270" s="13"/>
    </row>
    <row r="271">
      <c r="D271" s="9"/>
      <c r="E271" s="9"/>
      <c r="H271" s="9"/>
      <c r="J271" s="121"/>
      <c r="K271" s="9"/>
      <c r="M271" s="9"/>
      <c r="N271" s="9"/>
      <c r="O271" s="9"/>
      <c r="P271" s="13"/>
    </row>
    <row r="272">
      <c r="D272" s="9"/>
      <c r="E272" s="9"/>
      <c r="H272" s="9"/>
      <c r="J272" s="121"/>
      <c r="K272" s="9"/>
      <c r="M272" s="9"/>
      <c r="N272" s="9"/>
      <c r="O272" s="9"/>
      <c r="P272" s="13"/>
    </row>
    <row r="273">
      <c r="D273" s="9"/>
      <c r="E273" s="9"/>
      <c r="H273" s="9"/>
      <c r="J273" s="121"/>
      <c r="K273" s="9"/>
      <c r="M273" s="9"/>
      <c r="N273" s="9"/>
      <c r="O273" s="9"/>
      <c r="P273" s="13"/>
    </row>
    <row r="274">
      <c r="D274" s="9"/>
      <c r="E274" s="9"/>
      <c r="H274" s="9"/>
      <c r="J274" s="121"/>
      <c r="K274" s="9"/>
      <c r="M274" s="9"/>
      <c r="N274" s="9"/>
      <c r="O274" s="9"/>
      <c r="P274" s="13"/>
    </row>
    <row r="275">
      <c r="D275" s="9"/>
      <c r="E275" s="9"/>
      <c r="H275" s="9"/>
      <c r="J275" s="121"/>
      <c r="K275" s="9"/>
      <c r="M275" s="9"/>
      <c r="N275" s="9"/>
      <c r="O275" s="9"/>
      <c r="P275" s="13"/>
    </row>
    <row r="276">
      <c r="D276" s="9"/>
      <c r="E276" s="9"/>
      <c r="H276" s="9"/>
      <c r="J276" s="121"/>
      <c r="K276" s="9"/>
      <c r="M276" s="9"/>
      <c r="N276" s="9"/>
      <c r="O276" s="9"/>
      <c r="P276" s="13"/>
    </row>
    <row r="277">
      <c r="D277" s="9"/>
      <c r="E277" s="9"/>
      <c r="H277" s="9"/>
      <c r="J277" s="121"/>
      <c r="K277" s="9"/>
      <c r="M277" s="9"/>
      <c r="N277" s="9"/>
      <c r="O277" s="9"/>
      <c r="P277" s="13"/>
    </row>
    <row r="278">
      <c r="D278" s="9"/>
      <c r="E278" s="9"/>
      <c r="H278" s="9"/>
      <c r="J278" s="121"/>
      <c r="K278" s="9"/>
      <c r="M278" s="9"/>
      <c r="N278" s="9"/>
      <c r="O278" s="9"/>
      <c r="P278" s="13"/>
    </row>
    <row r="279">
      <c r="D279" s="9"/>
      <c r="E279" s="9"/>
      <c r="H279" s="9"/>
      <c r="J279" s="121"/>
      <c r="K279" s="9"/>
      <c r="M279" s="9"/>
      <c r="N279" s="9"/>
      <c r="O279" s="9"/>
      <c r="P279" s="13"/>
    </row>
    <row r="280">
      <c r="D280" s="9"/>
      <c r="E280" s="9"/>
      <c r="H280" s="9"/>
      <c r="J280" s="121"/>
      <c r="K280" s="9"/>
      <c r="M280" s="9"/>
      <c r="N280" s="9"/>
      <c r="O280" s="9"/>
      <c r="P280" s="13"/>
    </row>
    <row r="281">
      <c r="D281" s="9"/>
      <c r="E281" s="9"/>
      <c r="H281" s="9"/>
      <c r="J281" s="121"/>
      <c r="K281" s="9"/>
      <c r="M281" s="9"/>
      <c r="N281" s="9"/>
      <c r="O281" s="9"/>
      <c r="P281" s="13"/>
    </row>
    <row r="282">
      <c r="D282" s="9"/>
      <c r="E282" s="9"/>
      <c r="H282" s="9"/>
      <c r="J282" s="121"/>
      <c r="K282" s="9"/>
      <c r="M282" s="9"/>
      <c r="N282" s="9"/>
      <c r="O282" s="9"/>
      <c r="P282" s="13"/>
    </row>
    <row r="283">
      <c r="D283" s="9"/>
      <c r="E283" s="9"/>
      <c r="H283" s="9"/>
      <c r="J283" s="121"/>
      <c r="K283" s="9"/>
      <c r="M283" s="9"/>
      <c r="N283" s="9"/>
      <c r="O283" s="9"/>
      <c r="P283" s="13"/>
    </row>
    <row r="284">
      <c r="D284" s="9"/>
      <c r="E284" s="9"/>
      <c r="H284" s="9"/>
      <c r="J284" s="121"/>
      <c r="K284" s="9"/>
      <c r="M284" s="9"/>
      <c r="N284" s="9"/>
      <c r="O284" s="9"/>
      <c r="P284" s="13"/>
    </row>
    <row r="285">
      <c r="D285" s="9"/>
      <c r="E285" s="9"/>
      <c r="H285" s="9"/>
      <c r="J285" s="121"/>
      <c r="K285" s="9"/>
      <c r="M285" s="9"/>
      <c r="N285" s="9"/>
      <c r="O285" s="9"/>
      <c r="P285" s="13"/>
    </row>
    <row r="286">
      <c r="D286" s="9"/>
      <c r="E286" s="9"/>
      <c r="H286" s="9"/>
      <c r="J286" s="121"/>
      <c r="K286" s="9"/>
      <c r="M286" s="9"/>
      <c r="N286" s="9"/>
      <c r="O286" s="9"/>
      <c r="P286" s="13"/>
    </row>
    <row r="287">
      <c r="D287" s="9"/>
      <c r="E287" s="9"/>
      <c r="H287" s="9"/>
      <c r="J287" s="121"/>
      <c r="K287" s="9"/>
      <c r="M287" s="9"/>
      <c r="N287" s="9"/>
      <c r="O287" s="9"/>
      <c r="P287" s="13"/>
    </row>
    <row r="288">
      <c r="D288" s="9"/>
      <c r="E288" s="9"/>
      <c r="H288" s="9"/>
      <c r="J288" s="121"/>
      <c r="K288" s="9"/>
      <c r="M288" s="9"/>
      <c r="N288" s="9"/>
      <c r="O288" s="9"/>
      <c r="P288" s="13"/>
    </row>
    <row r="289">
      <c r="D289" s="9"/>
      <c r="E289" s="9"/>
      <c r="H289" s="9"/>
      <c r="J289" s="121"/>
      <c r="K289" s="9"/>
      <c r="M289" s="9"/>
      <c r="N289" s="9"/>
      <c r="O289" s="9"/>
      <c r="P289" s="13"/>
    </row>
    <row r="290">
      <c r="D290" s="9"/>
      <c r="E290" s="9"/>
      <c r="H290" s="9"/>
      <c r="J290" s="121"/>
      <c r="K290" s="9"/>
      <c r="M290" s="9"/>
      <c r="N290" s="9"/>
      <c r="O290" s="9"/>
      <c r="P290" s="13"/>
    </row>
    <row r="291">
      <c r="D291" s="9"/>
      <c r="E291" s="9"/>
      <c r="H291" s="9"/>
      <c r="J291" s="121"/>
      <c r="K291" s="9"/>
      <c r="M291" s="9"/>
      <c r="N291" s="9"/>
      <c r="O291" s="9"/>
      <c r="P291" s="13"/>
    </row>
    <row r="292">
      <c r="D292" s="9"/>
      <c r="E292" s="9"/>
      <c r="H292" s="9"/>
      <c r="J292" s="121"/>
      <c r="K292" s="9"/>
      <c r="M292" s="9"/>
      <c r="N292" s="9"/>
      <c r="O292" s="9"/>
      <c r="P292" s="13"/>
    </row>
    <row r="293">
      <c r="D293" s="9"/>
      <c r="E293" s="9"/>
      <c r="H293" s="9"/>
      <c r="J293" s="121"/>
      <c r="K293" s="9"/>
      <c r="M293" s="9"/>
      <c r="N293" s="9"/>
      <c r="O293" s="9"/>
      <c r="P293" s="13"/>
    </row>
    <row r="294">
      <c r="D294" s="9"/>
      <c r="E294" s="9"/>
      <c r="H294" s="9"/>
      <c r="J294" s="121"/>
      <c r="K294" s="9"/>
      <c r="M294" s="9"/>
      <c r="N294" s="9"/>
      <c r="O294" s="9"/>
      <c r="P294" s="13"/>
    </row>
    <row r="295">
      <c r="D295" s="9"/>
      <c r="E295" s="9"/>
      <c r="H295" s="9"/>
      <c r="J295" s="121"/>
      <c r="K295" s="9"/>
      <c r="M295" s="9"/>
      <c r="N295" s="9"/>
      <c r="O295" s="9"/>
      <c r="P295" s="13"/>
    </row>
    <row r="296">
      <c r="D296" s="9"/>
      <c r="E296" s="9"/>
      <c r="H296" s="9"/>
      <c r="J296" s="121"/>
      <c r="K296" s="9"/>
      <c r="M296" s="9"/>
      <c r="N296" s="9"/>
      <c r="O296" s="9"/>
      <c r="P296" s="13"/>
    </row>
    <row r="297">
      <c r="D297" s="9"/>
      <c r="E297" s="9"/>
      <c r="H297" s="9"/>
      <c r="J297" s="121"/>
      <c r="K297" s="9"/>
      <c r="M297" s="9"/>
      <c r="N297" s="9"/>
      <c r="O297" s="9"/>
      <c r="P297" s="13"/>
    </row>
    <row r="298">
      <c r="D298" s="9"/>
      <c r="E298" s="9"/>
      <c r="H298" s="9"/>
      <c r="J298" s="121"/>
      <c r="K298" s="9"/>
      <c r="M298" s="9"/>
      <c r="N298" s="9"/>
      <c r="O298" s="9"/>
      <c r="P298" s="13"/>
    </row>
    <row r="299">
      <c r="D299" s="9"/>
      <c r="E299" s="9"/>
      <c r="H299" s="9"/>
      <c r="J299" s="121"/>
      <c r="K299" s="9"/>
      <c r="M299" s="9"/>
      <c r="N299" s="9"/>
      <c r="O299" s="9"/>
      <c r="P299" s="13"/>
    </row>
    <row r="300">
      <c r="D300" s="9"/>
      <c r="E300" s="9"/>
      <c r="H300" s="9"/>
      <c r="J300" s="121"/>
      <c r="K300" s="9"/>
      <c r="M300" s="9"/>
      <c r="N300" s="9"/>
      <c r="O300" s="9"/>
      <c r="P300" s="13"/>
    </row>
    <row r="301">
      <c r="D301" s="9"/>
      <c r="E301" s="9"/>
      <c r="H301" s="9"/>
      <c r="J301" s="121"/>
      <c r="K301" s="9"/>
      <c r="M301" s="9"/>
      <c r="N301" s="9"/>
      <c r="O301" s="9"/>
      <c r="P301" s="13"/>
    </row>
    <row r="302">
      <c r="D302" s="9"/>
      <c r="E302" s="9"/>
      <c r="H302" s="9"/>
      <c r="J302" s="121"/>
      <c r="K302" s="9"/>
      <c r="M302" s="9"/>
      <c r="N302" s="9"/>
      <c r="O302" s="9"/>
      <c r="P302" s="13"/>
    </row>
    <row r="303">
      <c r="D303" s="9"/>
      <c r="E303" s="9"/>
      <c r="H303" s="9"/>
      <c r="J303" s="121"/>
      <c r="K303" s="9"/>
      <c r="M303" s="9"/>
      <c r="N303" s="9"/>
      <c r="O303" s="9"/>
      <c r="P303" s="13"/>
    </row>
    <row r="304">
      <c r="D304" s="9"/>
      <c r="E304" s="9"/>
      <c r="H304" s="9"/>
      <c r="J304" s="121"/>
      <c r="K304" s="9"/>
      <c r="M304" s="9"/>
      <c r="N304" s="9"/>
      <c r="O304" s="9"/>
      <c r="P304" s="13"/>
    </row>
    <row r="305">
      <c r="D305" s="9"/>
      <c r="E305" s="9"/>
      <c r="H305" s="9"/>
      <c r="J305" s="121"/>
      <c r="K305" s="9"/>
      <c r="M305" s="9"/>
      <c r="N305" s="9"/>
      <c r="O305" s="9"/>
      <c r="P305" s="13"/>
    </row>
    <row r="306">
      <c r="D306" s="9"/>
      <c r="E306" s="9"/>
      <c r="H306" s="9"/>
      <c r="J306" s="121"/>
      <c r="K306" s="9"/>
      <c r="M306" s="9"/>
      <c r="N306" s="9"/>
      <c r="O306" s="9"/>
      <c r="P306" s="13"/>
    </row>
    <row r="307">
      <c r="D307" s="9"/>
      <c r="E307" s="9"/>
      <c r="H307" s="9"/>
      <c r="J307" s="121"/>
      <c r="K307" s="9"/>
      <c r="M307" s="9"/>
      <c r="N307" s="9"/>
      <c r="O307" s="9"/>
      <c r="P307" s="13"/>
    </row>
    <row r="308">
      <c r="D308" s="9"/>
      <c r="E308" s="9"/>
      <c r="H308" s="9"/>
      <c r="J308" s="121"/>
      <c r="K308" s="9"/>
      <c r="M308" s="9"/>
      <c r="N308" s="9"/>
      <c r="O308" s="9"/>
      <c r="P308" s="13"/>
    </row>
    <row r="309">
      <c r="D309" s="9"/>
      <c r="E309" s="9"/>
      <c r="H309" s="9"/>
      <c r="J309" s="121"/>
      <c r="K309" s="9"/>
      <c r="M309" s="9"/>
      <c r="N309" s="9"/>
      <c r="O309" s="9"/>
      <c r="P309" s="13"/>
    </row>
    <row r="310">
      <c r="D310" s="9"/>
      <c r="E310" s="9"/>
      <c r="H310" s="9"/>
      <c r="J310" s="121"/>
      <c r="K310" s="9"/>
      <c r="M310" s="9"/>
      <c r="N310" s="9"/>
      <c r="O310" s="9"/>
      <c r="P310" s="13"/>
    </row>
    <row r="311">
      <c r="D311" s="9"/>
      <c r="E311" s="9"/>
      <c r="H311" s="9"/>
      <c r="J311" s="121"/>
      <c r="K311" s="9"/>
      <c r="M311" s="9"/>
      <c r="N311" s="9"/>
      <c r="O311" s="9"/>
      <c r="P311" s="13"/>
    </row>
    <row r="312">
      <c r="D312" s="9"/>
      <c r="E312" s="9"/>
      <c r="H312" s="9"/>
      <c r="J312" s="121"/>
      <c r="K312" s="9"/>
      <c r="M312" s="9"/>
      <c r="N312" s="9"/>
      <c r="O312" s="9"/>
      <c r="P312" s="13"/>
    </row>
    <row r="313">
      <c r="D313" s="9"/>
      <c r="E313" s="9"/>
      <c r="H313" s="9"/>
      <c r="J313" s="121"/>
      <c r="K313" s="9"/>
      <c r="M313" s="9"/>
      <c r="N313" s="9"/>
      <c r="O313" s="9"/>
      <c r="P313" s="13"/>
    </row>
    <row r="314">
      <c r="D314" s="9"/>
      <c r="E314" s="9"/>
      <c r="H314" s="9"/>
      <c r="J314" s="121"/>
      <c r="K314" s="9"/>
      <c r="M314" s="9"/>
      <c r="N314" s="9"/>
      <c r="O314" s="9"/>
      <c r="P314" s="13"/>
    </row>
    <row r="315">
      <c r="D315" s="9"/>
      <c r="E315" s="9"/>
      <c r="H315" s="9"/>
      <c r="J315" s="121"/>
      <c r="K315" s="9"/>
      <c r="M315" s="9"/>
      <c r="N315" s="9"/>
      <c r="O315" s="9"/>
      <c r="P315" s="13"/>
    </row>
    <row r="316">
      <c r="D316" s="9"/>
      <c r="E316" s="9"/>
      <c r="H316" s="9"/>
      <c r="J316" s="121"/>
      <c r="K316" s="9"/>
      <c r="M316" s="9"/>
      <c r="N316" s="9"/>
      <c r="O316" s="9"/>
      <c r="P316" s="13"/>
    </row>
    <row r="317">
      <c r="D317" s="9"/>
      <c r="E317" s="9"/>
      <c r="H317" s="9"/>
      <c r="J317" s="121"/>
      <c r="K317" s="9"/>
      <c r="M317" s="9"/>
      <c r="N317" s="9"/>
      <c r="O317" s="9"/>
      <c r="P317" s="13"/>
    </row>
    <row r="318">
      <c r="D318" s="9"/>
      <c r="E318" s="9"/>
      <c r="H318" s="9"/>
      <c r="J318" s="121"/>
      <c r="K318" s="9"/>
      <c r="M318" s="9"/>
      <c r="N318" s="9"/>
      <c r="O318" s="9"/>
      <c r="P318" s="13"/>
    </row>
    <row r="319">
      <c r="D319" s="9"/>
      <c r="E319" s="9"/>
      <c r="H319" s="9"/>
      <c r="J319" s="121"/>
      <c r="K319" s="9"/>
      <c r="M319" s="9"/>
      <c r="N319" s="9"/>
      <c r="O319" s="9"/>
      <c r="P319" s="13"/>
    </row>
    <row r="320">
      <c r="D320" s="9"/>
      <c r="E320" s="9"/>
      <c r="H320" s="9"/>
      <c r="J320" s="121"/>
      <c r="K320" s="9"/>
      <c r="M320" s="9"/>
      <c r="N320" s="9"/>
      <c r="O320" s="9"/>
      <c r="P320" s="13"/>
    </row>
    <row r="321">
      <c r="D321" s="9"/>
      <c r="E321" s="9"/>
      <c r="H321" s="9"/>
      <c r="J321" s="121"/>
      <c r="K321" s="9"/>
      <c r="M321" s="9"/>
      <c r="N321" s="9"/>
      <c r="O321" s="9"/>
      <c r="P321" s="13"/>
    </row>
    <row r="322">
      <c r="D322" s="9"/>
      <c r="E322" s="9"/>
      <c r="H322" s="9"/>
      <c r="J322" s="121"/>
      <c r="K322" s="9"/>
      <c r="M322" s="9"/>
      <c r="N322" s="9"/>
      <c r="O322" s="9"/>
      <c r="P322" s="13"/>
    </row>
    <row r="323">
      <c r="D323" s="9"/>
      <c r="E323" s="9"/>
      <c r="H323" s="9"/>
      <c r="J323" s="121"/>
      <c r="K323" s="9"/>
      <c r="M323" s="9"/>
      <c r="N323" s="9"/>
      <c r="O323" s="9"/>
      <c r="P323" s="13"/>
    </row>
    <row r="324">
      <c r="D324" s="9"/>
      <c r="E324" s="9"/>
      <c r="H324" s="9"/>
      <c r="J324" s="121"/>
      <c r="K324" s="9"/>
      <c r="M324" s="9"/>
      <c r="N324" s="9"/>
      <c r="O324" s="9"/>
      <c r="P324" s="13"/>
    </row>
    <row r="325">
      <c r="D325" s="9"/>
      <c r="E325" s="9"/>
      <c r="H325" s="9"/>
      <c r="J325" s="121"/>
      <c r="K325" s="9"/>
      <c r="M325" s="9"/>
      <c r="N325" s="9"/>
      <c r="O325" s="9"/>
      <c r="P325" s="13"/>
    </row>
    <row r="326">
      <c r="D326" s="9"/>
      <c r="E326" s="9"/>
      <c r="H326" s="9"/>
      <c r="J326" s="121"/>
      <c r="K326" s="9"/>
      <c r="M326" s="9"/>
      <c r="N326" s="9"/>
      <c r="O326" s="9"/>
      <c r="P326" s="13"/>
    </row>
    <row r="327">
      <c r="D327" s="9"/>
      <c r="E327" s="9"/>
      <c r="H327" s="9"/>
      <c r="J327" s="121"/>
      <c r="K327" s="9"/>
      <c r="M327" s="9"/>
      <c r="N327" s="9"/>
      <c r="O327" s="9"/>
      <c r="P327" s="13"/>
    </row>
    <row r="328">
      <c r="D328" s="9"/>
      <c r="E328" s="9"/>
      <c r="H328" s="9"/>
      <c r="J328" s="121"/>
      <c r="K328" s="9"/>
      <c r="M328" s="9"/>
      <c r="N328" s="9"/>
      <c r="O328" s="9"/>
      <c r="P328" s="13"/>
    </row>
    <row r="329">
      <c r="D329" s="9"/>
      <c r="E329" s="9"/>
      <c r="H329" s="9"/>
      <c r="J329" s="121"/>
      <c r="K329" s="9"/>
      <c r="M329" s="9"/>
      <c r="N329" s="9"/>
      <c r="O329" s="9"/>
      <c r="P329" s="13"/>
    </row>
    <row r="330">
      <c r="D330" s="9"/>
      <c r="E330" s="9"/>
      <c r="H330" s="9"/>
      <c r="J330" s="121"/>
      <c r="K330" s="9"/>
      <c r="M330" s="9"/>
      <c r="N330" s="9"/>
      <c r="O330" s="9"/>
      <c r="P330" s="13"/>
    </row>
    <row r="331">
      <c r="D331" s="9"/>
      <c r="E331" s="9"/>
      <c r="H331" s="9"/>
      <c r="J331" s="121"/>
      <c r="K331" s="9"/>
      <c r="M331" s="9"/>
      <c r="N331" s="9"/>
      <c r="O331" s="9"/>
      <c r="P331" s="13"/>
    </row>
    <row r="332">
      <c r="D332" s="9"/>
      <c r="E332" s="9"/>
      <c r="H332" s="9"/>
      <c r="J332" s="121"/>
      <c r="K332" s="9"/>
      <c r="M332" s="9"/>
      <c r="N332" s="9"/>
      <c r="O332" s="9"/>
      <c r="P332" s="13"/>
    </row>
    <row r="333">
      <c r="D333" s="9"/>
      <c r="E333" s="9"/>
      <c r="H333" s="9"/>
      <c r="J333" s="121"/>
      <c r="K333" s="9"/>
      <c r="M333" s="9"/>
      <c r="N333" s="9"/>
      <c r="O333" s="9"/>
      <c r="P333" s="13"/>
    </row>
    <row r="334">
      <c r="D334" s="9"/>
      <c r="E334" s="9"/>
      <c r="H334" s="9"/>
      <c r="J334" s="121"/>
      <c r="K334" s="9"/>
      <c r="M334" s="9"/>
      <c r="N334" s="9"/>
      <c r="O334" s="9"/>
      <c r="P334" s="13"/>
    </row>
    <row r="335">
      <c r="D335" s="9"/>
      <c r="E335" s="9"/>
      <c r="H335" s="9"/>
      <c r="J335" s="121"/>
      <c r="K335" s="9"/>
      <c r="M335" s="9"/>
      <c r="N335" s="9"/>
      <c r="O335" s="9"/>
      <c r="P335" s="13"/>
    </row>
    <row r="336">
      <c r="D336" s="9"/>
      <c r="E336" s="9"/>
      <c r="H336" s="9"/>
      <c r="J336" s="121"/>
      <c r="K336" s="9"/>
      <c r="M336" s="9"/>
      <c r="N336" s="9"/>
      <c r="O336" s="9"/>
      <c r="P336" s="13"/>
    </row>
    <row r="337">
      <c r="D337" s="9"/>
      <c r="E337" s="9"/>
      <c r="H337" s="9"/>
      <c r="J337" s="121"/>
      <c r="K337" s="9"/>
      <c r="M337" s="9"/>
      <c r="N337" s="9"/>
      <c r="O337" s="9"/>
      <c r="P337" s="13"/>
    </row>
    <row r="338">
      <c r="D338" s="9"/>
      <c r="E338" s="9"/>
      <c r="H338" s="9"/>
      <c r="J338" s="121"/>
      <c r="K338" s="9"/>
      <c r="M338" s="9"/>
      <c r="N338" s="9"/>
      <c r="O338" s="9"/>
      <c r="P338" s="13"/>
    </row>
    <row r="339">
      <c r="D339" s="9"/>
      <c r="E339" s="9"/>
      <c r="H339" s="9"/>
      <c r="J339" s="121"/>
      <c r="K339" s="9"/>
      <c r="M339" s="9"/>
      <c r="N339" s="9"/>
      <c r="O339" s="9"/>
      <c r="P339" s="13"/>
    </row>
    <row r="340">
      <c r="D340" s="9"/>
      <c r="E340" s="9"/>
      <c r="H340" s="9"/>
      <c r="J340" s="121"/>
      <c r="K340" s="9"/>
      <c r="M340" s="9"/>
      <c r="N340" s="9"/>
      <c r="O340" s="9"/>
      <c r="P340" s="13"/>
    </row>
    <row r="341">
      <c r="D341" s="9"/>
      <c r="E341" s="9"/>
      <c r="H341" s="9"/>
      <c r="J341" s="121"/>
      <c r="K341" s="9"/>
      <c r="M341" s="9"/>
      <c r="N341" s="9"/>
      <c r="O341" s="9"/>
      <c r="P341" s="13"/>
    </row>
    <row r="342">
      <c r="D342" s="9"/>
      <c r="E342" s="9"/>
      <c r="H342" s="9"/>
      <c r="J342" s="121"/>
      <c r="K342" s="9"/>
      <c r="M342" s="9"/>
      <c r="N342" s="9"/>
      <c r="O342" s="9"/>
      <c r="P342" s="13"/>
    </row>
    <row r="343">
      <c r="D343" s="9"/>
      <c r="E343" s="9"/>
      <c r="H343" s="9"/>
      <c r="J343" s="121"/>
      <c r="K343" s="9"/>
      <c r="M343" s="9"/>
      <c r="N343" s="9"/>
      <c r="O343" s="9"/>
      <c r="P343" s="13"/>
    </row>
    <row r="344">
      <c r="D344" s="9"/>
      <c r="E344" s="9"/>
      <c r="H344" s="9"/>
      <c r="J344" s="121"/>
      <c r="K344" s="9"/>
      <c r="M344" s="9"/>
      <c r="N344" s="9"/>
      <c r="O344" s="9"/>
      <c r="P344" s="13"/>
    </row>
    <row r="345">
      <c r="D345" s="9"/>
      <c r="E345" s="9"/>
      <c r="H345" s="9"/>
      <c r="J345" s="121"/>
      <c r="K345" s="9"/>
      <c r="M345" s="9"/>
      <c r="N345" s="9"/>
      <c r="O345" s="9"/>
      <c r="P345" s="13"/>
    </row>
    <row r="346">
      <c r="D346" s="9"/>
      <c r="E346" s="9"/>
      <c r="H346" s="9"/>
      <c r="J346" s="121"/>
      <c r="K346" s="9"/>
      <c r="M346" s="9"/>
      <c r="N346" s="9"/>
      <c r="O346" s="9"/>
      <c r="P346" s="13"/>
    </row>
    <row r="347">
      <c r="D347" s="9"/>
      <c r="E347" s="9"/>
      <c r="H347" s="9"/>
      <c r="J347" s="121"/>
      <c r="K347" s="9"/>
      <c r="M347" s="9"/>
      <c r="N347" s="9"/>
      <c r="O347" s="9"/>
      <c r="P347" s="13"/>
    </row>
    <row r="348">
      <c r="D348" s="9"/>
      <c r="E348" s="9"/>
      <c r="H348" s="9"/>
      <c r="J348" s="121"/>
      <c r="K348" s="9"/>
      <c r="M348" s="9"/>
      <c r="N348" s="9"/>
      <c r="O348" s="9"/>
      <c r="P348" s="13"/>
    </row>
    <row r="349">
      <c r="D349" s="9"/>
      <c r="E349" s="9"/>
      <c r="H349" s="9"/>
      <c r="J349" s="121"/>
      <c r="K349" s="9"/>
      <c r="M349" s="9"/>
      <c r="N349" s="9"/>
      <c r="O349" s="9"/>
      <c r="P349" s="13"/>
    </row>
    <row r="350">
      <c r="D350" s="9"/>
      <c r="E350" s="9"/>
      <c r="H350" s="9"/>
      <c r="J350" s="121"/>
      <c r="K350" s="9"/>
      <c r="M350" s="9"/>
      <c r="N350" s="9"/>
      <c r="O350" s="9"/>
      <c r="P350" s="13"/>
    </row>
    <row r="351">
      <c r="D351" s="9"/>
      <c r="E351" s="9"/>
      <c r="H351" s="9"/>
      <c r="J351" s="121"/>
      <c r="K351" s="9"/>
      <c r="M351" s="9"/>
      <c r="N351" s="9"/>
      <c r="O351" s="9"/>
      <c r="P351" s="13"/>
    </row>
    <row r="352">
      <c r="D352" s="9"/>
      <c r="E352" s="9"/>
      <c r="H352" s="9"/>
      <c r="J352" s="121"/>
      <c r="K352" s="9"/>
      <c r="M352" s="9"/>
      <c r="N352" s="9"/>
      <c r="O352" s="9"/>
      <c r="P352" s="13"/>
    </row>
    <row r="353">
      <c r="D353" s="9"/>
      <c r="E353" s="9"/>
      <c r="H353" s="9"/>
      <c r="J353" s="121"/>
      <c r="K353" s="9"/>
      <c r="M353" s="9"/>
      <c r="N353" s="9"/>
      <c r="O353" s="9"/>
      <c r="P353" s="13"/>
    </row>
    <row r="354">
      <c r="D354" s="9"/>
      <c r="E354" s="9"/>
      <c r="H354" s="9"/>
      <c r="J354" s="121"/>
      <c r="K354" s="9"/>
      <c r="M354" s="9"/>
      <c r="N354" s="9"/>
      <c r="O354" s="9"/>
      <c r="P354" s="13"/>
    </row>
    <row r="355">
      <c r="D355" s="9"/>
      <c r="E355" s="9"/>
      <c r="H355" s="9"/>
      <c r="J355" s="121"/>
      <c r="K355" s="9"/>
      <c r="M355" s="9"/>
      <c r="N355" s="9"/>
      <c r="O355" s="9"/>
      <c r="P355" s="13"/>
    </row>
    <row r="356">
      <c r="D356" s="9"/>
      <c r="E356" s="9"/>
      <c r="H356" s="9"/>
      <c r="J356" s="121"/>
      <c r="K356" s="9"/>
      <c r="M356" s="9"/>
      <c r="N356" s="9"/>
      <c r="O356" s="9"/>
      <c r="P356" s="13"/>
    </row>
    <row r="357">
      <c r="D357" s="9"/>
      <c r="E357" s="9"/>
      <c r="H357" s="9"/>
      <c r="J357" s="121"/>
      <c r="K357" s="9"/>
      <c r="M357" s="9"/>
      <c r="N357" s="9"/>
      <c r="O357" s="9"/>
      <c r="P357" s="13"/>
    </row>
    <row r="358">
      <c r="D358" s="9"/>
      <c r="E358" s="9"/>
      <c r="H358" s="9"/>
      <c r="J358" s="121"/>
      <c r="K358" s="9"/>
      <c r="M358" s="9"/>
      <c r="N358" s="9"/>
      <c r="O358" s="9"/>
      <c r="P358" s="13"/>
    </row>
    <row r="359">
      <c r="D359" s="9"/>
      <c r="E359" s="9"/>
      <c r="H359" s="9"/>
      <c r="J359" s="121"/>
      <c r="K359" s="9"/>
      <c r="M359" s="9"/>
      <c r="N359" s="9"/>
      <c r="O359" s="9"/>
      <c r="P359" s="13"/>
    </row>
    <row r="360">
      <c r="D360" s="9"/>
      <c r="E360" s="9"/>
      <c r="H360" s="9"/>
      <c r="J360" s="121"/>
      <c r="K360" s="9"/>
      <c r="M360" s="9"/>
      <c r="N360" s="9"/>
      <c r="O360" s="9"/>
      <c r="P360" s="13"/>
    </row>
    <row r="361">
      <c r="D361" s="9"/>
      <c r="E361" s="9"/>
      <c r="H361" s="9"/>
      <c r="J361" s="121"/>
      <c r="K361" s="9"/>
      <c r="M361" s="9"/>
      <c r="N361" s="9"/>
      <c r="O361" s="9"/>
      <c r="P361" s="13"/>
    </row>
    <row r="362">
      <c r="D362" s="9"/>
      <c r="E362" s="9"/>
      <c r="H362" s="9"/>
      <c r="J362" s="121"/>
      <c r="K362" s="9"/>
      <c r="M362" s="9"/>
      <c r="N362" s="9"/>
      <c r="O362" s="9"/>
      <c r="P362" s="13"/>
    </row>
    <row r="363">
      <c r="D363" s="9"/>
      <c r="E363" s="9"/>
      <c r="H363" s="9"/>
      <c r="J363" s="121"/>
      <c r="K363" s="9"/>
      <c r="M363" s="9"/>
      <c r="N363" s="9"/>
      <c r="O363" s="9"/>
      <c r="P363" s="13"/>
    </row>
    <row r="364">
      <c r="D364" s="9"/>
      <c r="E364" s="9"/>
      <c r="H364" s="9"/>
      <c r="J364" s="121"/>
      <c r="K364" s="9"/>
      <c r="M364" s="9"/>
      <c r="N364" s="9"/>
      <c r="O364" s="9"/>
      <c r="P364" s="13"/>
    </row>
    <row r="365">
      <c r="D365" s="9"/>
      <c r="E365" s="9"/>
      <c r="H365" s="9"/>
      <c r="J365" s="121"/>
      <c r="K365" s="9"/>
      <c r="M365" s="9"/>
      <c r="N365" s="9"/>
      <c r="O365" s="9"/>
      <c r="P365" s="13"/>
    </row>
    <row r="366">
      <c r="D366" s="9"/>
      <c r="E366" s="9"/>
      <c r="H366" s="9"/>
      <c r="J366" s="121"/>
      <c r="K366" s="9"/>
      <c r="M366" s="9"/>
      <c r="N366" s="9"/>
      <c r="O366" s="9"/>
      <c r="P366" s="13"/>
    </row>
    <row r="367">
      <c r="D367" s="9"/>
      <c r="E367" s="9"/>
      <c r="H367" s="9"/>
      <c r="J367" s="121"/>
      <c r="K367" s="9"/>
      <c r="M367" s="9"/>
      <c r="N367" s="9"/>
      <c r="O367" s="9"/>
      <c r="P367" s="13"/>
    </row>
    <row r="368">
      <c r="D368" s="9"/>
      <c r="E368" s="9"/>
      <c r="H368" s="9"/>
      <c r="J368" s="121"/>
      <c r="K368" s="9"/>
      <c r="M368" s="9"/>
      <c r="N368" s="9"/>
      <c r="O368" s="9"/>
      <c r="P368" s="13"/>
    </row>
    <row r="369">
      <c r="D369" s="9"/>
      <c r="E369" s="9"/>
      <c r="H369" s="9"/>
      <c r="J369" s="121"/>
      <c r="K369" s="9"/>
      <c r="M369" s="9"/>
      <c r="N369" s="9"/>
      <c r="O369" s="9"/>
      <c r="P369" s="13"/>
    </row>
    <row r="370">
      <c r="D370" s="9"/>
      <c r="E370" s="9"/>
      <c r="H370" s="9"/>
      <c r="J370" s="121"/>
      <c r="K370" s="9"/>
      <c r="M370" s="9"/>
      <c r="N370" s="9"/>
      <c r="O370" s="9"/>
      <c r="P370" s="13"/>
    </row>
    <row r="371">
      <c r="D371" s="9"/>
      <c r="E371" s="9"/>
      <c r="H371" s="9"/>
      <c r="J371" s="121"/>
      <c r="K371" s="9"/>
      <c r="M371" s="9"/>
      <c r="N371" s="9"/>
      <c r="O371" s="9"/>
      <c r="P371" s="13"/>
    </row>
    <row r="372">
      <c r="D372" s="9"/>
      <c r="E372" s="9"/>
      <c r="H372" s="9"/>
      <c r="J372" s="121"/>
      <c r="K372" s="9"/>
      <c r="M372" s="9"/>
      <c r="N372" s="9"/>
      <c r="O372" s="9"/>
      <c r="P372" s="13"/>
    </row>
    <row r="373">
      <c r="D373" s="9"/>
      <c r="E373" s="9"/>
      <c r="H373" s="9"/>
      <c r="J373" s="121"/>
      <c r="K373" s="9"/>
      <c r="M373" s="9"/>
      <c r="N373" s="9"/>
      <c r="O373" s="9"/>
      <c r="P373" s="13"/>
    </row>
    <row r="374">
      <c r="D374" s="9"/>
      <c r="E374" s="9"/>
      <c r="H374" s="9"/>
      <c r="J374" s="121"/>
      <c r="K374" s="9"/>
      <c r="M374" s="9"/>
      <c r="N374" s="9"/>
      <c r="O374" s="9"/>
      <c r="P374" s="13"/>
    </row>
    <row r="375">
      <c r="D375" s="9"/>
      <c r="E375" s="9"/>
      <c r="H375" s="9"/>
      <c r="J375" s="121"/>
      <c r="K375" s="9"/>
      <c r="M375" s="9"/>
      <c r="N375" s="9"/>
      <c r="O375" s="9"/>
      <c r="P375" s="13"/>
    </row>
    <row r="376">
      <c r="D376" s="9"/>
      <c r="E376" s="9"/>
      <c r="H376" s="9"/>
      <c r="J376" s="121"/>
      <c r="K376" s="9"/>
      <c r="M376" s="9"/>
      <c r="N376" s="9"/>
      <c r="O376" s="9"/>
      <c r="P376" s="13"/>
    </row>
    <row r="377">
      <c r="D377" s="9"/>
      <c r="E377" s="9"/>
      <c r="H377" s="9"/>
      <c r="J377" s="121"/>
      <c r="K377" s="9"/>
      <c r="M377" s="9"/>
      <c r="N377" s="9"/>
      <c r="O377" s="9"/>
      <c r="P377" s="13"/>
    </row>
    <row r="378">
      <c r="D378" s="9"/>
      <c r="E378" s="9"/>
      <c r="H378" s="9"/>
      <c r="J378" s="121"/>
      <c r="K378" s="9"/>
      <c r="M378" s="9"/>
      <c r="N378" s="9"/>
      <c r="O378" s="9"/>
      <c r="P378" s="13"/>
    </row>
    <row r="379">
      <c r="D379" s="9"/>
      <c r="E379" s="9"/>
      <c r="H379" s="9"/>
      <c r="J379" s="121"/>
      <c r="K379" s="9"/>
      <c r="M379" s="9"/>
      <c r="N379" s="9"/>
      <c r="O379" s="9"/>
      <c r="P379" s="13"/>
    </row>
    <row r="380">
      <c r="D380" s="9"/>
      <c r="E380" s="9"/>
      <c r="H380" s="9"/>
      <c r="J380" s="121"/>
      <c r="K380" s="9"/>
      <c r="M380" s="9"/>
      <c r="N380" s="9"/>
      <c r="O380" s="9"/>
      <c r="P380" s="13"/>
    </row>
    <row r="381">
      <c r="D381" s="9"/>
      <c r="E381" s="9"/>
      <c r="H381" s="9"/>
      <c r="J381" s="121"/>
      <c r="K381" s="9"/>
      <c r="M381" s="9"/>
      <c r="N381" s="9"/>
      <c r="O381" s="9"/>
      <c r="P381" s="13"/>
    </row>
    <row r="382">
      <c r="D382" s="9"/>
      <c r="E382" s="9"/>
      <c r="H382" s="9"/>
      <c r="J382" s="121"/>
      <c r="K382" s="9"/>
      <c r="M382" s="9"/>
      <c r="N382" s="9"/>
      <c r="O382" s="9"/>
      <c r="P382" s="13"/>
    </row>
    <row r="383">
      <c r="D383" s="9"/>
      <c r="E383" s="9"/>
      <c r="H383" s="9"/>
      <c r="J383" s="121"/>
      <c r="K383" s="9"/>
      <c r="M383" s="9"/>
      <c r="N383" s="9"/>
      <c r="O383" s="9"/>
      <c r="P383" s="13"/>
    </row>
    <row r="384">
      <c r="D384" s="9"/>
      <c r="E384" s="9"/>
      <c r="H384" s="9"/>
      <c r="J384" s="121"/>
      <c r="K384" s="9"/>
      <c r="M384" s="9"/>
      <c r="N384" s="9"/>
      <c r="O384" s="9"/>
      <c r="P384" s="13"/>
    </row>
    <row r="385">
      <c r="D385" s="9"/>
      <c r="E385" s="9"/>
      <c r="H385" s="9"/>
      <c r="J385" s="121"/>
      <c r="K385" s="9"/>
      <c r="M385" s="9"/>
      <c r="N385" s="9"/>
      <c r="O385" s="9"/>
      <c r="P385" s="13"/>
    </row>
    <row r="386">
      <c r="D386" s="9"/>
      <c r="E386" s="9"/>
      <c r="H386" s="9"/>
      <c r="J386" s="121"/>
      <c r="K386" s="9"/>
      <c r="M386" s="9"/>
      <c r="N386" s="9"/>
      <c r="O386" s="9"/>
      <c r="P386" s="13"/>
    </row>
    <row r="387">
      <c r="D387" s="9"/>
      <c r="E387" s="9"/>
      <c r="H387" s="9"/>
      <c r="J387" s="121"/>
      <c r="K387" s="9"/>
      <c r="M387" s="9"/>
      <c r="N387" s="9"/>
      <c r="O387" s="9"/>
      <c r="P387" s="13"/>
    </row>
    <row r="388">
      <c r="D388" s="9"/>
      <c r="E388" s="9"/>
      <c r="H388" s="9"/>
      <c r="J388" s="121"/>
      <c r="K388" s="9"/>
      <c r="M388" s="9"/>
      <c r="N388" s="9"/>
      <c r="O388" s="9"/>
      <c r="P388" s="13"/>
    </row>
    <row r="389">
      <c r="D389" s="9"/>
      <c r="E389" s="9"/>
      <c r="H389" s="9"/>
      <c r="J389" s="121"/>
      <c r="K389" s="9"/>
      <c r="M389" s="9"/>
      <c r="N389" s="9"/>
      <c r="O389" s="9"/>
      <c r="P389" s="13"/>
    </row>
    <row r="390">
      <c r="D390" s="9"/>
      <c r="E390" s="9"/>
      <c r="H390" s="9"/>
      <c r="J390" s="121"/>
      <c r="K390" s="9"/>
      <c r="M390" s="9"/>
      <c r="N390" s="9"/>
      <c r="O390" s="9"/>
      <c r="P390" s="13"/>
    </row>
    <row r="391">
      <c r="D391" s="9"/>
      <c r="E391" s="9"/>
      <c r="H391" s="9"/>
      <c r="J391" s="121"/>
      <c r="K391" s="9"/>
      <c r="M391" s="9"/>
      <c r="N391" s="9"/>
      <c r="O391" s="9"/>
      <c r="P391" s="13"/>
    </row>
    <row r="392">
      <c r="D392" s="9"/>
      <c r="E392" s="9"/>
      <c r="H392" s="9"/>
      <c r="J392" s="121"/>
      <c r="K392" s="9"/>
      <c r="M392" s="9"/>
      <c r="N392" s="9"/>
      <c r="O392" s="9"/>
      <c r="P392" s="13"/>
    </row>
    <row r="393">
      <c r="D393" s="9"/>
      <c r="E393" s="9"/>
      <c r="H393" s="9"/>
      <c r="J393" s="121"/>
      <c r="K393" s="9"/>
      <c r="M393" s="9"/>
      <c r="N393" s="9"/>
      <c r="O393" s="9"/>
      <c r="P393" s="13"/>
    </row>
    <row r="394">
      <c r="D394" s="9"/>
      <c r="E394" s="9"/>
      <c r="H394" s="9"/>
      <c r="J394" s="121"/>
      <c r="K394" s="9"/>
      <c r="M394" s="9"/>
      <c r="N394" s="9"/>
      <c r="O394" s="9"/>
      <c r="P394" s="13"/>
    </row>
    <row r="395">
      <c r="D395" s="9"/>
      <c r="E395" s="9"/>
      <c r="H395" s="9"/>
      <c r="J395" s="121"/>
      <c r="K395" s="9"/>
      <c r="M395" s="9"/>
      <c r="N395" s="9"/>
      <c r="O395" s="9"/>
      <c r="P395" s="13"/>
    </row>
    <row r="396">
      <c r="D396" s="9"/>
      <c r="E396" s="9"/>
      <c r="H396" s="9"/>
      <c r="J396" s="121"/>
      <c r="K396" s="9"/>
      <c r="M396" s="9"/>
      <c r="N396" s="9"/>
      <c r="O396" s="9"/>
      <c r="P396" s="13"/>
    </row>
    <row r="397">
      <c r="D397" s="9"/>
      <c r="E397" s="9"/>
      <c r="H397" s="9"/>
      <c r="J397" s="121"/>
      <c r="K397" s="9"/>
      <c r="M397" s="9"/>
      <c r="N397" s="9"/>
      <c r="O397" s="9"/>
      <c r="P397" s="13"/>
    </row>
    <row r="398">
      <c r="D398" s="9"/>
      <c r="E398" s="9"/>
      <c r="H398" s="9"/>
      <c r="J398" s="121"/>
      <c r="K398" s="9"/>
      <c r="M398" s="9"/>
      <c r="N398" s="9"/>
      <c r="O398" s="9"/>
      <c r="P398" s="13"/>
    </row>
    <row r="399">
      <c r="D399" s="9"/>
      <c r="E399" s="9"/>
      <c r="H399" s="9"/>
      <c r="J399" s="121"/>
      <c r="K399" s="9"/>
      <c r="M399" s="9"/>
      <c r="N399" s="9"/>
      <c r="O399" s="9"/>
      <c r="P399" s="13"/>
    </row>
    <row r="400">
      <c r="D400" s="9"/>
      <c r="E400" s="9"/>
      <c r="H400" s="9"/>
      <c r="J400" s="121"/>
      <c r="K400" s="9"/>
      <c r="M400" s="9"/>
      <c r="N400" s="9"/>
      <c r="O400" s="9"/>
      <c r="P400" s="13"/>
    </row>
    <row r="401">
      <c r="D401" s="9"/>
      <c r="E401" s="9"/>
      <c r="H401" s="9"/>
      <c r="J401" s="121"/>
      <c r="K401" s="9"/>
      <c r="M401" s="9"/>
      <c r="N401" s="9"/>
      <c r="O401" s="9"/>
      <c r="P401" s="13"/>
    </row>
    <row r="402">
      <c r="D402" s="9"/>
      <c r="E402" s="9"/>
      <c r="H402" s="9"/>
      <c r="J402" s="121"/>
      <c r="K402" s="9"/>
      <c r="M402" s="9"/>
      <c r="N402" s="9"/>
      <c r="O402" s="9"/>
      <c r="P402" s="13"/>
    </row>
    <row r="403">
      <c r="D403" s="9"/>
      <c r="E403" s="9"/>
      <c r="H403" s="9"/>
      <c r="J403" s="121"/>
      <c r="K403" s="9"/>
      <c r="M403" s="9"/>
      <c r="N403" s="9"/>
      <c r="O403" s="9"/>
      <c r="P403" s="13"/>
    </row>
    <row r="404">
      <c r="D404" s="9"/>
      <c r="E404" s="9"/>
      <c r="H404" s="9"/>
      <c r="J404" s="121"/>
      <c r="K404" s="9"/>
      <c r="M404" s="9"/>
      <c r="N404" s="9"/>
      <c r="O404" s="9"/>
      <c r="P404" s="13"/>
    </row>
    <row r="405">
      <c r="D405" s="9"/>
      <c r="E405" s="9"/>
      <c r="H405" s="9"/>
      <c r="J405" s="121"/>
      <c r="K405" s="9"/>
      <c r="M405" s="9"/>
      <c r="N405" s="9"/>
      <c r="O405" s="9"/>
      <c r="P405" s="13"/>
    </row>
    <row r="406">
      <c r="D406" s="9"/>
      <c r="E406" s="9"/>
      <c r="H406" s="9"/>
      <c r="J406" s="121"/>
      <c r="K406" s="9"/>
      <c r="M406" s="9"/>
      <c r="N406" s="9"/>
      <c r="O406" s="9"/>
      <c r="P406" s="13"/>
    </row>
    <row r="407">
      <c r="D407" s="9"/>
      <c r="E407" s="9"/>
      <c r="H407" s="9"/>
      <c r="J407" s="121"/>
      <c r="K407" s="9"/>
      <c r="M407" s="9"/>
      <c r="N407" s="9"/>
      <c r="O407" s="9"/>
      <c r="P407" s="13"/>
    </row>
    <row r="408">
      <c r="D408" s="9"/>
      <c r="E408" s="9"/>
      <c r="H408" s="9"/>
      <c r="J408" s="121"/>
      <c r="K408" s="9"/>
      <c r="M408" s="9"/>
      <c r="N408" s="9"/>
      <c r="O408" s="9"/>
      <c r="P408" s="13"/>
    </row>
    <row r="409">
      <c r="D409" s="9"/>
      <c r="E409" s="9"/>
      <c r="H409" s="9"/>
      <c r="J409" s="121"/>
      <c r="K409" s="9"/>
      <c r="M409" s="9"/>
      <c r="N409" s="9"/>
      <c r="O409" s="9"/>
      <c r="P409" s="13"/>
    </row>
    <row r="410">
      <c r="D410" s="9"/>
      <c r="E410" s="9"/>
      <c r="H410" s="9"/>
      <c r="J410" s="121"/>
      <c r="K410" s="9"/>
      <c r="M410" s="9"/>
      <c r="N410" s="9"/>
      <c r="O410" s="9"/>
      <c r="P410" s="13"/>
    </row>
    <row r="411">
      <c r="D411" s="9"/>
      <c r="E411" s="9"/>
      <c r="H411" s="9"/>
      <c r="J411" s="121"/>
      <c r="K411" s="9"/>
      <c r="M411" s="9"/>
      <c r="N411" s="9"/>
      <c r="O411" s="9"/>
      <c r="P411" s="13"/>
    </row>
    <row r="412">
      <c r="D412" s="9"/>
      <c r="E412" s="9"/>
      <c r="H412" s="9"/>
      <c r="J412" s="121"/>
      <c r="K412" s="9"/>
      <c r="M412" s="9"/>
      <c r="N412" s="9"/>
      <c r="O412" s="9"/>
      <c r="P412" s="13"/>
    </row>
    <row r="413">
      <c r="D413" s="9"/>
      <c r="E413" s="9"/>
      <c r="H413" s="9"/>
      <c r="J413" s="121"/>
      <c r="K413" s="9"/>
      <c r="M413" s="9"/>
      <c r="N413" s="9"/>
      <c r="O413" s="9"/>
      <c r="P413" s="13"/>
    </row>
    <row r="414">
      <c r="D414" s="9"/>
      <c r="E414" s="9"/>
      <c r="H414" s="9"/>
      <c r="J414" s="121"/>
      <c r="K414" s="9"/>
      <c r="M414" s="9"/>
      <c r="N414" s="9"/>
      <c r="O414" s="9"/>
      <c r="P414" s="13"/>
    </row>
    <row r="415">
      <c r="D415" s="9"/>
      <c r="E415" s="9"/>
      <c r="H415" s="9"/>
      <c r="J415" s="121"/>
      <c r="K415" s="9"/>
      <c r="M415" s="9"/>
      <c r="N415" s="9"/>
      <c r="O415" s="9"/>
      <c r="P415" s="13"/>
    </row>
    <row r="416">
      <c r="D416" s="9"/>
      <c r="E416" s="9"/>
      <c r="H416" s="9"/>
      <c r="J416" s="121"/>
      <c r="K416" s="9"/>
      <c r="M416" s="9"/>
      <c r="N416" s="9"/>
      <c r="O416" s="9"/>
      <c r="P416" s="13"/>
    </row>
    <row r="417">
      <c r="D417" s="9"/>
      <c r="E417" s="9"/>
      <c r="H417" s="9"/>
      <c r="J417" s="121"/>
      <c r="K417" s="9"/>
      <c r="M417" s="9"/>
      <c r="N417" s="9"/>
      <c r="O417" s="9"/>
      <c r="P417" s="13"/>
    </row>
    <row r="418">
      <c r="D418" s="9"/>
      <c r="E418" s="9"/>
      <c r="H418" s="9"/>
      <c r="J418" s="121"/>
      <c r="K418" s="9"/>
      <c r="M418" s="9"/>
      <c r="N418" s="9"/>
      <c r="O418" s="9"/>
      <c r="P418" s="13"/>
    </row>
    <row r="419">
      <c r="D419" s="9"/>
      <c r="E419" s="9"/>
      <c r="H419" s="9"/>
      <c r="J419" s="121"/>
      <c r="K419" s="9"/>
      <c r="M419" s="9"/>
      <c r="N419" s="9"/>
      <c r="O419" s="9"/>
      <c r="P419" s="13"/>
    </row>
    <row r="420">
      <c r="D420" s="9"/>
      <c r="E420" s="9"/>
      <c r="H420" s="9"/>
      <c r="J420" s="121"/>
      <c r="K420" s="9"/>
      <c r="M420" s="9"/>
      <c r="N420" s="9"/>
      <c r="O420" s="9"/>
      <c r="P420" s="13"/>
    </row>
    <row r="421">
      <c r="D421" s="9"/>
      <c r="E421" s="9"/>
      <c r="H421" s="9"/>
      <c r="J421" s="121"/>
      <c r="K421" s="9"/>
      <c r="M421" s="9"/>
      <c r="N421" s="9"/>
      <c r="O421" s="9"/>
      <c r="P421" s="13"/>
    </row>
    <row r="422">
      <c r="D422" s="9"/>
      <c r="E422" s="9"/>
      <c r="H422" s="9"/>
      <c r="J422" s="121"/>
      <c r="K422" s="9"/>
      <c r="M422" s="9"/>
      <c r="N422" s="9"/>
      <c r="O422" s="9"/>
      <c r="P422" s="13"/>
    </row>
    <row r="423">
      <c r="D423" s="9"/>
      <c r="E423" s="9"/>
      <c r="H423" s="9"/>
      <c r="J423" s="121"/>
      <c r="K423" s="9"/>
      <c r="M423" s="9"/>
      <c r="N423" s="9"/>
      <c r="O423" s="9"/>
      <c r="P423" s="13"/>
    </row>
    <row r="424">
      <c r="D424" s="9"/>
      <c r="E424" s="9"/>
      <c r="H424" s="9"/>
      <c r="J424" s="121"/>
      <c r="K424" s="9"/>
      <c r="M424" s="9"/>
      <c r="N424" s="9"/>
      <c r="O424" s="9"/>
      <c r="P424" s="13"/>
    </row>
    <row r="425">
      <c r="D425" s="9"/>
      <c r="E425" s="9"/>
      <c r="H425" s="9"/>
      <c r="J425" s="121"/>
      <c r="K425" s="9"/>
      <c r="M425" s="9"/>
      <c r="N425" s="9"/>
      <c r="O425" s="9"/>
      <c r="P425" s="13"/>
    </row>
    <row r="426">
      <c r="D426" s="9"/>
      <c r="E426" s="9"/>
      <c r="H426" s="9"/>
      <c r="J426" s="121"/>
      <c r="K426" s="9"/>
      <c r="M426" s="9"/>
      <c r="N426" s="9"/>
      <c r="O426" s="9"/>
      <c r="P426" s="13"/>
    </row>
    <row r="427">
      <c r="D427" s="9"/>
      <c r="E427" s="9"/>
      <c r="H427" s="9"/>
      <c r="J427" s="121"/>
      <c r="K427" s="9"/>
      <c r="M427" s="9"/>
      <c r="N427" s="9"/>
      <c r="O427" s="9"/>
      <c r="P427" s="13"/>
    </row>
    <row r="428">
      <c r="D428" s="9"/>
      <c r="E428" s="9"/>
      <c r="H428" s="9"/>
      <c r="J428" s="121"/>
      <c r="K428" s="9"/>
      <c r="M428" s="9"/>
      <c r="N428" s="9"/>
      <c r="O428" s="9"/>
      <c r="P428" s="13"/>
    </row>
    <row r="429">
      <c r="D429" s="9"/>
      <c r="E429" s="9"/>
      <c r="H429" s="9"/>
      <c r="J429" s="121"/>
      <c r="K429" s="9"/>
      <c r="M429" s="9"/>
      <c r="N429" s="9"/>
      <c r="O429" s="9"/>
      <c r="P429" s="13"/>
    </row>
    <row r="430">
      <c r="D430" s="9"/>
      <c r="E430" s="9"/>
      <c r="H430" s="9"/>
      <c r="J430" s="121"/>
      <c r="K430" s="9"/>
      <c r="M430" s="9"/>
      <c r="N430" s="9"/>
      <c r="O430" s="9"/>
      <c r="P430" s="13"/>
    </row>
    <row r="431">
      <c r="D431" s="9"/>
      <c r="E431" s="9"/>
      <c r="H431" s="9"/>
      <c r="J431" s="121"/>
      <c r="K431" s="9"/>
      <c r="M431" s="9"/>
      <c r="N431" s="9"/>
      <c r="O431" s="9"/>
      <c r="P431" s="13"/>
    </row>
    <row r="432">
      <c r="D432" s="9"/>
      <c r="E432" s="9"/>
      <c r="H432" s="9"/>
      <c r="J432" s="121"/>
      <c r="K432" s="9"/>
      <c r="M432" s="9"/>
      <c r="N432" s="9"/>
      <c r="O432" s="9"/>
      <c r="P432" s="13"/>
    </row>
    <row r="433">
      <c r="D433" s="9"/>
      <c r="E433" s="9"/>
      <c r="H433" s="9"/>
      <c r="J433" s="121"/>
      <c r="K433" s="9"/>
      <c r="M433" s="9"/>
      <c r="N433" s="9"/>
      <c r="O433" s="9"/>
      <c r="P433" s="13"/>
    </row>
    <row r="434">
      <c r="D434" s="9"/>
      <c r="E434" s="9"/>
      <c r="H434" s="9"/>
      <c r="J434" s="121"/>
      <c r="K434" s="9"/>
      <c r="M434" s="9"/>
      <c r="N434" s="9"/>
      <c r="O434" s="9"/>
      <c r="P434" s="13"/>
    </row>
    <row r="435">
      <c r="D435" s="9"/>
      <c r="E435" s="9"/>
      <c r="H435" s="9"/>
      <c r="J435" s="121"/>
      <c r="K435" s="9"/>
      <c r="M435" s="9"/>
      <c r="N435" s="9"/>
      <c r="O435" s="9"/>
      <c r="P435" s="13"/>
    </row>
    <row r="436">
      <c r="D436" s="9"/>
      <c r="E436" s="9"/>
      <c r="H436" s="9"/>
      <c r="J436" s="121"/>
      <c r="K436" s="9"/>
      <c r="M436" s="9"/>
      <c r="N436" s="9"/>
      <c r="O436" s="9"/>
      <c r="P436" s="13"/>
    </row>
    <row r="437">
      <c r="D437" s="9"/>
      <c r="E437" s="9"/>
      <c r="H437" s="9"/>
      <c r="J437" s="121"/>
      <c r="K437" s="9"/>
      <c r="M437" s="9"/>
      <c r="N437" s="9"/>
      <c r="O437" s="9"/>
      <c r="P437" s="13"/>
    </row>
    <row r="438">
      <c r="D438" s="9"/>
      <c r="E438" s="9"/>
      <c r="H438" s="9"/>
      <c r="J438" s="121"/>
      <c r="K438" s="9"/>
      <c r="M438" s="9"/>
      <c r="N438" s="9"/>
      <c r="O438" s="9"/>
      <c r="P438" s="13"/>
    </row>
    <row r="439">
      <c r="D439" s="9"/>
      <c r="E439" s="9"/>
      <c r="H439" s="9"/>
      <c r="J439" s="121"/>
      <c r="K439" s="9"/>
      <c r="M439" s="9"/>
      <c r="N439" s="9"/>
      <c r="O439" s="9"/>
      <c r="P439" s="13"/>
    </row>
    <row r="440">
      <c r="D440" s="9"/>
      <c r="E440" s="9"/>
      <c r="H440" s="9"/>
      <c r="J440" s="121"/>
      <c r="K440" s="9"/>
      <c r="M440" s="9"/>
      <c r="N440" s="9"/>
      <c r="O440" s="9"/>
      <c r="P440" s="13"/>
    </row>
    <row r="441">
      <c r="D441" s="9"/>
      <c r="E441" s="9"/>
      <c r="H441" s="9"/>
      <c r="J441" s="121"/>
      <c r="K441" s="9"/>
      <c r="M441" s="9"/>
      <c r="N441" s="9"/>
      <c r="O441" s="9"/>
      <c r="P441" s="13"/>
    </row>
    <row r="442">
      <c r="D442" s="9"/>
      <c r="E442" s="9"/>
      <c r="H442" s="9"/>
      <c r="J442" s="121"/>
      <c r="K442" s="9"/>
      <c r="M442" s="9"/>
      <c r="N442" s="9"/>
      <c r="O442" s="9"/>
      <c r="P442" s="13"/>
    </row>
    <row r="443">
      <c r="D443" s="9"/>
      <c r="E443" s="9"/>
      <c r="H443" s="9"/>
      <c r="J443" s="121"/>
      <c r="K443" s="9"/>
      <c r="M443" s="9"/>
      <c r="N443" s="9"/>
      <c r="O443" s="9"/>
      <c r="P443" s="13"/>
    </row>
    <row r="444">
      <c r="D444" s="9"/>
      <c r="E444" s="9"/>
      <c r="H444" s="9"/>
      <c r="J444" s="121"/>
      <c r="K444" s="9"/>
      <c r="M444" s="9"/>
      <c r="N444" s="9"/>
      <c r="O444" s="9"/>
      <c r="P444" s="13"/>
    </row>
    <row r="445">
      <c r="D445" s="9"/>
      <c r="E445" s="9"/>
      <c r="H445" s="9"/>
      <c r="J445" s="121"/>
      <c r="K445" s="9"/>
      <c r="M445" s="9"/>
      <c r="N445" s="9"/>
      <c r="O445" s="9"/>
      <c r="P445" s="13"/>
    </row>
    <row r="446">
      <c r="D446" s="9"/>
      <c r="E446" s="9"/>
      <c r="H446" s="9"/>
      <c r="J446" s="121"/>
      <c r="K446" s="9"/>
      <c r="M446" s="9"/>
      <c r="N446" s="9"/>
      <c r="O446" s="9"/>
      <c r="P446" s="13"/>
    </row>
    <row r="447">
      <c r="D447" s="9"/>
      <c r="E447" s="9"/>
      <c r="H447" s="9"/>
      <c r="J447" s="121"/>
      <c r="K447" s="9"/>
      <c r="M447" s="9"/>
      <c r="N447" s="9"/>
      <c r="O447" s="9"/>
      <c r="P447" s="13"/>
    </row>
    <row r="448">
      <c r="D448" s="9"/>
      <c r="E448" s="9"/>
      <c r="H448" s="9"/>
      <c r="J448" s="121"/>
      <c r="K448" s="9"/>
      <c r="M448" s="9"/>
      <c r="N448" s="9"/>
      <c r="O448" s="9"/>
      <c r="P448" s="13"/>
    </row>
    <row r="449">
      <c r="D449" s="9"/>
      <c r="E449" s="9"/>
      <c r="H449" s="9"/>
      <c r="J449" s="121"/>
      <c r="K449" s="9"/>
      <c r="M449" s="9"/>
      <c r="N449" s="9"/>
      <c r="O449" s="9"/>
      <c r="P449" s="13"/>
    </row>
    <row r="450">
      <c r="D450" s="9"/>
      <c r="E450" s="9"/>
      <c r="H450" s="9"/>
      <c r="J450" s="121"/>
      <c r="K450" s="9"/>
      <c r="M450" s="9"/>
      <c r="N450" s="9"/>
      <c r="O450" s="9"/>
      <c r="P450" s="13"/>
    </row>
    <row r="451">
      <c r="D451" s="9"/>
      <c r="E451" s="9"/>
      <c r="H451" s="9"/>
      <c r="J451" s="121"/>
      <c r="K451" s="9"/>
      <c r="M451" s="9"/>
      <c r="N451" s="9"/>
      <c r="O451" s="9"/>
      <c r="P451" s="13"/>
    </row>
    <row r="452">
      <c r="D452" s="9"/>
      <c r="E452" s="9"/>
      <c r="H452" s="9"/>
      <c r="J452" s="121"/>
      <c r="K452" s="9"/>
      <c r="M452" s="9"/>
      <c r="N452" s="9"/>
      <c r="O452" s="9"/>
      <c r="P452" s="13"/>
    </row>
    <row r="453">
      <c r="D453" s="9"/>
      <c r="E453" s="9"/>
      <c r="H453" s="9"/>
      <c r="J453" s="121"/>
      <c r="K453" s="9"/>
      <c r="M453" s="9"/>
      <c r="N453" s="9"/>
      <c r="O453" s="9"/>
      <c r="P453" s="13"/>
    </row>
    <row r="454">
      <c r="D454" s="9"/>
      <c r="E454" s="9"/>
      <c r="H454" s="9"/>
      <c r="J454" s="121"/>
      <c r="K454" s="9"/>
      <c r="M454" s="9"/>
      <c r="N454" s="9"/>
      <c r="O454" s="9"/>
      <c r="P454" s="13"/>
    </row>
    <row r="455">
      <c r="D455" s="9"/>
      <c r="E455" s="9"/>
      <c r="H455" s="9"/>
      <c r="J455" s="121"/>
      <c r="K455" s="9"/>
      <c r="M455" s="9"/>
      <c r="N455" s="9"/>
      <c r="O455" s="9"/>
      <c r="P455" s="13"/>
    </row>
    <row r="456">
      <c r="D456" s="9"/>
      <c r="E456" s="9"/>
      <c r="H456" s="9"/>
      <c r="J456" s="121"/>
      <c r="K456" s="9"/>
      <c r="M456" s="9"/>
      <c r="N456" s="9"/>
      <c r="O456" s="9"/>
      <c r="P456" s="13"/>
    </row>
    <row r="457">
      <c r="D457" s="9"/>
      <c r="E457" s="9"/>
      <c r="H457" s="9"/>
      <c r="J457" s="121"/>
      <c r="K457" s="9"/>
      <c r="M457" s="9"/>
      <c r="N457" s="9"/>
      <c r="O457" s="9"/>
      <c r="P457" s="13"/>
    </row>
    <row r="458">
      <c r="D458" s="9"/>
      <c r="E458" s="9"/>
      <c r="H458" s="9"/>
      <c r="J458" s="121"/>
      <c r="K458" s="9"/>
      <c r="M458" s="9"/>
      <c r="N458" s="9"/>
      <c r="O458" s="9"/>
      <c r="P458" s="13"/>
    </row>
    <row r="459">
      <c r="D459" s="9"/>
      <c r="E459" s="9"/>
      <c r="H459" s="9"/>
      <c r="J459" s="121"/>
      <c r="K459" s="9"/>
      <c r="M459" s="9"/>
      <c r="N459" s="9"/>
      <c r="O459" s="9"/>
      <c r="P459" s="13"/>
    </row>
    <row r="460">
      <c r="D460" s="9"/>
      <c r="E460" s="9"/>
      <c r="H460" s="9"/>
      <c r="J460" s="121"/>
      <c r="K460" s="9"/>
      <c r="M460" s="9"/>
      <c r="N460" s="9"/>
      <c r="O460" s="9"/>
      <c r="P460" s="13"/>
    </row>
    <row r="461">
      <c r="D461" s="9"/>
      <c r="E461" s="9"/>
      <c r="H461" s="9"/>
      <c r="J461" s="121"/>
      <c r="K461" s="9"/>
      <c r="M461" s="9"/>
      <c r="N461" s="9"/>
      <c r="O461" s="9"/>
      <c r="P461" s="13"/>
    </row>
    <row r="462">
      <c r="D462" s="9"/>
      <c r="E462" s="9"/>
      <c r="H462" s="9"/>
      <c r="J462" s="121"/>
      <c r="K462" s="9"/>
      <c r="M462" s="9"/>
      <c r="N462" s="9"/>
      <c r="O462" s="9"/>
      <c r="P462" s="13"/>
    </row>
    <row r="463">
      <c r="D463" s="9"/>
      <c r="E463" s="9"/>
      <c r="H463" s="9"/>
      <c r="J463" s="121"/>
      <c r="K463" s="9"/>
      <c r="M463" s="9"/>
      <c r="N463" s="9"/>
      <c r="O463" s="9"/>
      <c r="P463" s="13"/>
    </row>
    <row r="464">
      <c r="D464" s="9"/>
      <c r="E464" s="9"/>
      <c r="H464" s="9"/>
      <c r="J464" s="121"/>
      <c r="K464" s="9"/>
      <c r="M464" s="9"/>
      <c r="N464" s="9"/>
      <c r="O464" s="9"/>
      <c r="P464" s="13"/>
    </row>
    <row r="465">
      <c r="D465" s="9"/>
      <c r="E465" s="9"/>
      <c r="H465" s="9"/>
      <c r="J465" s="121"/>
      <c r="K465" s="9"/>
      <c r="M465" s="9"/>
      <c r="N465" s="9"/>
      <c r="O465" s="9"/>
      <c r="P465" s="13"/>
    </row>
    <row r="466">
      <c r="D466" s="9"/>
      <c r="E466" s="9"/>
      <c r="H466" s="9"/>
      <c r="J466" s="121"/>
      <c r="K466" s="9"/>
      <c r="M466" s="9"/>
      <c r="N466" s="9"/>
      <c r="O466" s="9"/>
      <c r="P466" s="13"/>
    </row>
    <row r="467">
      <c r="D467" s="9"/>
      <c r="E467" s="9"/>
      <c r="H467" s="9"/>
      <c r="J467" s="121"/>
      <c r="K467" s="9"/>
      <c r="M467" s="9"/>
      <c r="N467" s="9"/>
      <c r="O467" s="9"/>
      <c r="P467" s="13"/>
    </row>
    <row r="468">
      <c r="D468" s="9"/>
      <c r="E468" s="9"/>
      <c r="H468" s="9"/>
      <c r="J468" s="121"/>
      <c r="K468" s="9"/>
      <c r="M468" s="9"/>
      <c r="N468" s="9"/>
      <c r="O468" s="9"/>
      <c r="P468" s="13"/>
    </row>
    <row r="469">
      <c r="D469" s="9"/>
      <c r="E469" s="9"/>
      <c r="H469" s="9"/>
      <c r="J469" s="121"/>
      <c r="K469" s="9"/>
      <c r="M469" s="9"/>
      <c r="N469" s="9"/>
      <c r="O469" s="9"/>
      <c r="P469" s="13"/>
    </row>
    <row r="470">
      <c r="D470" s="9"/>
      <c r="E470" s="9"/>
      <c r="H470" s="9"/>
      <c r="J470" s="121"/>
      <c r="K470" s="9"/>
      <c r="M470" s="9"/>
      <c r="N470" s="9"/>
      <c r="O470" s="9"/>
      <c r="P470" s="13"/>
    </row>
    <row r="471">
      <c r="D471" s="9"/>
      <c r="E471" s="9"/>
      <c r="H471" s="9"/>
      <c r="J471" s="121"/>
      <c r="K471" s="9"/>
      <c r="M471" s="9"/>
      <c r="N471" s="9"/>
      <c r="O471" s="9"/>
      <c r="P471" s="13"/>
    </row>
    <row r="472">
      <c r="D472" s="9"/>
      <c r="E472" s="9"/>
      <c r="H472" s="9"/>
      <c r="J472" s="121"/>
      <c r="K472" s="9"/>
      <c r="M472" s="9"/>
      <c r="N472" s="9"/>
      <c r="O472" s="9"/>
      <c r="P472" s="13"/>
    </row>
    <row r="473">
      <c r="D473" s="9"/>
      <c r="E473" s="9"/>
      <c r="H473" s="9"/>
      <c r="J473" s="121"/>
      <c r="K473" s="9"/>
      <c r="M473" s="9"/>
      <c r="N473" s="9"/>
      <c r="O473" s="9"/>
      <c r="P473" s="13"/>
    </row>
    <row r="474">
      <c r="D474" s="9"/>
      <c r="E474" s="9"/>
      <c r="H474" s="9"/>
      <c r="J474" s="121"/>
      <c r="K474" s="9"/>
      <c r="M474" s="9"/>
      <c r="N474" s="9"/>
      <c r="O474" s="9"/>
      <c r="P474" s="13"/>
    </row>
    <row r="475">
      <c r="D475" s="9"/>
      <c r="E475" s="9"/>
      <c r="H475" s="9"/>
      <c r="J475" s="121"/>
      <c r="K475" s="9"/>
      <c r="M475" s="9"/>
      <c r="N475" s="9"/>
      <c r="O475" s="9"/>
      <c r="P475" s="13"/>
    </row>
    <row r="476">
      <c r="D476" s="9"/>
      <c r="E476" s="9"/>
      <c r="H476" s="9"/>
      <c r="J476" s="121"/>
      <c r="K476" s="9"/>
      <c r="M476" s="9"/>
      <c r="N476" s="9"/>
      <c r="O476" s="9"/>
      <c r="P476" s="13"/>
    </row>
    <row r="477">
      <c r="D477" s="9"/>
      <c r="E477" s="9"/>
      <c r="H477" s="9"/>
      <c r="J477" s="121"/>
      <c r="K477" s="9"/>
      <c r="M477" s="9"/>
      <c r="N477" s="9"/>
      <c r="O477" s="9"/>
      <c r="P477" s="13"/>
    </row>
    <row r="478">
      <c r="D478" s="9"/>
      <c r="E478" s="9"/>
      <c r="H478" s="9"/>
      <c r="J478" s="121"/>
      <c r="K478" s="9"/>
      <c r="M478" s="9"/>
      <c r="N478" s="9"/>
      <c r="O478" s="9"/>
      <c r="P478" s="13"/>
    </row>
    <row r="479">
      <c r="D479" s="9"/>
      <c r="E479" s="9"/>
      <c r="H479" s="9"/>
      <c r="J479" s="121"/>
      <c r="K479" s="9"/>
      <c r="M479" s="9"/>
      <c r="N479" s="9"/>
      <c r="O479" s="9"/>
      <c r="P479" s="13"/>
    </row>
    <row r="480">
      <c r="D480" s="9"/>
      <c r="E480" s="9"/>
      <c r="H480" s="9"/>
      <c r="J480" s="121"/>
      <c r="K480" s="9"/>
      <c r="M480" s="9"/>
      <c r="N480" s="9"/>
      <c r="O480" s="9"/>
      <c r="P480" s="13"/>
    </row>
    <row r="481">
      <c r="D481" s="9"/>
      <c r="E481" s="9"/>
      <c r="H481" s="9"/>
      <c r="J481" s="121"/>
      <c r="K481" s="9"/>
      <c r="M481" s="9"/>
      <c r="N481" s="9"/>
      <c r="O481" s="9"/>
      <c r="P481" s="13"/>
    </row>
    <row r="482">
      <c r="D482" s="9"/>
      <c r="E482" s="9"/>
      <c r="H482" s="9"/>
      <c r="J482" s="121"/>
      <c r="K482" s="9"/>
      <c r="M482" s="9"/>
      <c r="N482" s="9"/>
      <c r="O482" s="9"/>
      <c r="P482" s="13"/>
    </row>
    <row r="483">
      <c r="D483" s="9"/>
      <c r="E483" s="9"/>
      <c r="H483" s="9"/>
      <c r="J483" s="121"/>
      <c r="K483" s="9"/>
      <c r="M483" s="9"/>
      <c r="N483" s="9"/>
      <c r="O483" s="9"/>
      <c r="P483" s="13"/>
    </row>
    <row r="484">
      <c r="D484" s="9"/>
      <c r="E484" s="9"/>
      <c r="H484" s="9"/>
      <c r="J484" s="121"/>
      <c r="K484" s="9"/>
      <c r="M484" s="9"/>
      <c r="N484" s="9"/>
      <c r="O484" s="9"/>
      <c r="P484" s="13"/>
    </row>
    <row r="485">
      <c r="D485" s="9"/>
      <c r="E485" s="9"/>
      <c r="H485" s="9"/>
      <c r="J485" s="121"/>
      <c r="K485" s="9"/>
      <c r="M485" s="9"/>
      <c r="N485" s="9"/>
      <c r="O485" s="9"/>
      <c r="P485" s="13"/>
    </row>
    <row r="486">
      <c r="D486" s="9"/>
      <c r="E486" s="9"/>
      <c r="H486" s="9"/>
      <c r="J486" s="121"/>
      <c r="K486" s="9"/>
      <c r="M486" s="9"/>
      <c r="N486" s="9"/>
      <c r="O486" s="9"/>
      <c r="P486" s="13"/>
    </row>
    <row r="487">
      <c r="D487" s="9"/>
      <c r="E487" s="9"/>
      <c r="H487" s="9"/>
      <c r="J487" s="121"/>
      <c r="K487" s="9"/>
      <c r="M487" s="9"/>
      <c r="N487" s="9"/>
      <c r="O487" s="9"/>
      <c r="P487" s="13"/>
    </row>
    <row r="488">
      <c r="D488" s="9"/>
      <c r="E488" s="9"/>
      <c r="H488" s="9"/>
      <c r="J488" s="121"/>
      <c r="K488" s="9"/>
      <c r="M488" s="9"/>
      <c r="N488" s="9"/>
      <c r="O488" s="9"/>
      <c r="P488" s="13"/>
    </row>
    <row r="489">
      <c r="D489" s="9"/>
      <c r="E489" s="9"/>
      <c r="H489" s="9"/>
      <c r="J489" s="121"/>
      <c r="K489" s="9"/>
      <c r="M489" s="9"/>
      <c r="N489" s="9"/>
      <c r="O489" s="9"/>
      <c r="P489" s="13"/>
    </row>
    <row r="490">
      <c r="D490" s="9"/>
      <c r="E490" s="9"/>
      <c r="H490" s="9"/>
      <c r="J490" s="121"/>
      <c r="K490" s="9"/>
      <c r="M490" s="9"/>
      <c r="N490" s="9"/>
      <c r="O490" s="9"/>
      <c r="P490" s="13"/>
    </row>
    <row r="491">
      <c r="D491" s="9"/>
      <c r="E491" s="9"/>
      <c r="H491" s="9"/>
      <c r="J491" s="121"/>
      <c r="K491" s="9"/>
      <c r="M491" s="9"/>
      <c r="N491" s="9"/>
      <c r="O491" s="9"/>
      <c r="P491" s="13"/>
    </row>
    <row r="492">
      <c r="D492" s="9"/>
      <c r="E492" s="9"/>
      <c r="H492" s="9"/>
      <c r="J492" s="121"/>
      <c r="K492" s="9"/>
      <c r="M492" s="9"/>
      <c r="N492" s="9"/>
      <c r="O492" s="9"/>
      <c r="P492" s="13"/>
    </row>
    <row r="493">
      <c r="D493" s="9"/>
      <c r="E493" s="9"/>
      <c r="H493" s="9"/>
      <c r="J493" s="121"/>
      <c r="K493" s="9"/>
      <c r="M493" s="9"/>
      <c r="N493" s="9"/>
      <c r="O493" s="9"/>
      <c r="P493" s="13"/>
    </row>
    <row r="494">
      <c r="D494" s="9"/>
      <c r="E494" s="9"/>
      <c r="H494" s="9"/>
      <c r="J494" s="121"/>
      <c r="K494" s="9"/>
      <c r="M494" s="9"/>
      <c r="N494" s="9"/>
      <c r="O494" s="9"/>
      <c r="P494" s="13"/>
    </row>
    <row r="495">
      <c r="D495" s="9"/>
      <c r="E495" s="9"/>
      <c r="H495" s="9"/>
      <c r="J495" s="121"/>
      <c r="K495" s="9"/>
      <c r="M495" s="9"/>
      <c r="N495" s="9"/>
      <c r="O495" s="9"/>
      <c r="P495" s="13"/>
    </row>
    <row r="496">
      <c r="D496" s="9"/>
      <c r="E496" s="9"/>
      <c r="H496" s="9"/>
      <c r="J496" s="121"/>
      <c r="K496" s="9"/>
      <c r="M496" s="9"/>
      <c r="N496" s="9"/>
      <c r="O496" s="9"/>
      <c r="P496" s="13"/>
    </row>
    <row r="497">
      <c r="D497" s="9"/>
      <c r="E497" s="9"/>
      <c r="H497" s="9"/>
      <c r="J497" s="121"/>
      <c r="K497" s="9"/>
      <c r="M497" s="9"/>
      <c r="N497" s="9"/>
      <c r="O497" s="9"/>
      <c r="P497" s="13"/>
    </row>
    <row r="498">
      <c r="D498" s="9"/>
      <c r="E498" s="9"/>
      <c r="H498" s="9"/>
      <c r="J498" s="121"/>
      <c r="K498" s="9"/>
      <c r="M498" s="9"/>
      <c r="N498" s="9"/>
      <c r="O498" s="9"/>
      <c r="P498" s="13"/>
    </row>
    <row r="499">
      <c r="D499" s="9"/>
      <c r="E499" s="9"/>
      <c r="H499" s="9"/>
      <c r="J499" s="121"/>
      <c r="K499" s="9"/>
      <c r="M499" s="9"/>
      <c r="N499" s="9"/>
      <c r="O499" s="9"/>
      <c r="P499" s="13"/>
    </row>
    <row r="500">
      <c r="D500" s="9"/>
      <c r="E500" s="9"/>
      <c r="H500" s="9"/>
      <c r="J500" s="121"/>
      <c r="K500" s="9"/>
      <c r="M500" s="9"/>
      <c r="N500" s="9"/>
      <c r="O500" s="9"/>
      <c r="P500" s="13"/>
    </row>
    <row r="501">
      <c r="D501" s="9"/>
      <c r="E501" s="9"/>
      <c r="H501" s="9"/>
      <c r="J501" s="121"/>
      <c r="K501" s="9"/>
      <c r="M501" s="9"/>
      <c r="N501" s="9"/>
      <c r="O501" s="9"/>
      <c r="P501" s="13"/>
    </row>
    <row r="502">
      <c r="D502" s="9"/>
      <c r="E502" s="9"/>
      <c r="H502" s="9"/>
      <c r="J502" s="121"/>
      <c r="K502" s="9"/>
      <c r="M502" s="9"/>
      <c r="N502" s="9"/>
      <c r="O502" s="9"/>
      <c r="P502" s="13"/>
    </row>
    <row r="503">
      <c r="D503" s="9"/>
      <c r="E503" s="9"/>
      <c r="H503" s="9"/>
      <c r="J503" s="121"/>
      <c r="K503" s="9"/>
      <c r="M503" s="9"/>
      <c r="N503" s="9"/>
      <c r="O503" s="9"/>
      <c r="P503" s="13"/>
    </row>
    <row r="504">
      <c r="D504" s="9"/>
      <c r="E504" s="9"/>
      <c r="H504" s="9"/>
      <c r="J504" s="121"/>
      <c r="K504" s="9"/>
      <c r="M504" s="9"/>
      <c r="N504" s="9"/>
      <c r="O504" s="9"/>
      <c r="P504" s="13"/>
    </row>
    <row r="505">
      <c r="D505" s="9"/>
      <c r="E505" s="9"/>
      <c r="H505" s="9"/>
      <c r="J505" s="121"/>
      <c r="K505" s="9"/>
      <c r="M505" s="9"/>
      <c r="N505" s="9"/>
      <c r="O505" s="9"/>
      <c r="P505" s="13"/>
    </row>
    <row r="506">
      <c r="D506" s="9"/>
      <c r="E506" s="9"/>
      <c r="H506" s="9"/>
      <c r="J506" s="121"/>
      <c r="K506" s="9"/>
      <c r="M506" s="9"/>
      <c r="N506" s="9"/>
      <c r="O506" s="9"/>
      <c r="P506" s="13"/>
    </row>
    <row r="507">
      <c r="D507" s="9"/>
      <c r="E507" s="9"/>
      <c r="H507" s="9"/>
      <c r="J507" s="121"/>
      <c r="K507" s="9"/>
      <c r="M507" s="9"/>
      <c r="N507" s="9"/>
      <c r="O507" s="9"/>
      <c r="P507" s="13"/>
    </row>
    <row r="508">
      <c r="D508" s="9"/>
      <c r="E508" s="9"/>
      <c r="H508" s="9"/>
      <c r="J508" s="121"/>
      <c r="K508" s="9"/>
      <c r="M508" s="9"/>
      <c r="N508" s="9"/>
      <c r="O508" s="9"/>
      <c r="P508" s="13"/>
    </row>
    <row r="509">
      <c r="D509" s="9"/>
      <c r="E509" s="9"/>
      <c r="H509" s="9"/>
      <c r="J509" s="121"/>
      <c r="K509" s="9"/>
      <c r="M509" s="9"/>
      <c r="N509" s="9"/>
      <c r="O509" s="9"/>
      <c r="P509" s="13"/>
    </row>
    <row r="510">
      <c r="D510" s="9"/>
      <c r="E510" s="9"/>
      <c r="H510" s="9"/>
      <c r="J510" s="121"/>
      <c r="K510" s="9"/>
      <c r="M510" s="9"/>
      <c r="N510" s="9"/>
      <c r="O510" s="9"/>
      <c r="P510" s="13"/>
    </row>
    <row r="511">
      <c r="D511" s="9"/>
      <c r="E511" s="9"/>
      <c r="H511" s="9"/>
      <c r="J511" s="121"/>
      <c r="K511" s="9"/>
      <c r="M511" s="9"/>
      <c r="N511" s="9"/>
      <c r="O511" s="9"/>
      <c r="P511" s="13"/>
    </row>
    <row r="512">
      <c r="D512" s="9"/>
      <c r="E512" s="9"/>
      <c r="H512" s="9"/>
      <c r="J512" s="121"/>
      <c r="K512" s="9"/>
      <c r="M512" s="9"/>
      <c r="N512" s="9"/>
      <c r="O512" s="9"/>
      <c r="P512" s="13"/>
    </row>
    <row r="513">
      <c r="D513" s="9"/>
      <c r="E513" s="9"/>
      <c r="H513" s="9"/>
      <c r="J513" s="121"/>
      <c r="K513" s="9"/>
      <c r="M513" s="9"/>
      <c r="N513" s="9"/>
      <c r="O513" s="9"/>
      <c r="P513" s="13"/>
    </row>
    <row r="514">
      <c r="D514" s="9"/>
      <c r="E514" s="9"/>
      <c r="H514" s="9"/>
      <c r="J514" s="121"/>
      <c r="K514" s="9"/>
      <c r="M514" s="9"/>
      <c r="N514" s="9"/>
      <c r="O514" s="9"/>
      <c r="P514" s="13"/>
    </row>
    <row r="515">
      <c r="D515" s="9"/>
      <c r="E515" s="9"/>
      <c r="H515" s="9"/>
      <c r="J515" s="121"/>
      <c r="K515" s="9"/>
      <c r="M515" s="9"/>
      <c r="N515" s="9"/>
      <c r="O515" s="9"/>
      <c r="P515" s="13"/>
    </row>
    <row r="516">
      <c r="D516" s="9"/>
      <c r="E516" s="9"/>
      <c r="H516" s="9"/>
      <c r="J516" s="121"/>
      <c r="K516" s="9"/>
      <c r="M516" s="9"/>
      <c r="N516" s="9"/>
      <c r="O516" s="9"/>
      <c r="P516" s="13"/>
    </row>
    <row r="517">
      <c r="D517" s="9"/>
      <c r="E517" s="9"/>
      <c r="H517" s="9"/>
      <c r="J517" s="121"/>
      <c r="K517" s="9"/>
      <c r="M517" s="9"/>
      <c r="N517" s="9"/>
      <c r="O517" s="9"/>
      <c r="P517" s="13"/>
    </row>
    <row r="518">
      <c r="D518" s="9"/>
      <c r="E518" s="9"/>
      <c r="H518" s="9"/>
      <c r="J518" s="121"/>
      <c r="K518" s="9"/>
      <c r="M518" s="9"/>
      <c r="N518" s="9"/>
      <c r="O518" s="9"/>
      <c r="P518" s="13"/>
    </row>
    <row r="519">
      <c r="D519" s="9"/>
      <c r="E519" s="9"/>
      <c r="H519" s="9"/>
      <c r="J519" s="121"/>
      <c r="K519" s="9"/>
      <c r="M519" s="9"/>
      <c r="N519" s="9"/>
      <c r="O519" s="9"/>
      <c r="P519" s="13"/>
    </row>
    <row r="520">
      <c r="D520" s="9"/>
      <c r="E520" s="9"/>
      <c r="H520" s="9"/>
      <c r="J520" s="121"/>
      <c r="K520" s="9"/>
      <c r="M520" s="9"/>
      <c r="N520" s="9"/>
      <c r="O520" s="9"/>
      <c r="P520" s="13"/>
    </row>
    <row r="521">
      <c r="D521" s="9"/>
      <c r="E521" s="9"/>
      <c r="H521" s="9"/>
      <c r="J521" s="121"/>
      <c r="K521" s="9"/>
      <c r="M521" s="9"/>
      <c r="N521" s="9"/>
      <c r="O521" s="9"/>
      <c r="P521" s="13"/>
    </row>
    <row r="522">
      <c r="D522" s="9"/>
      <c r="E522" s="9"/>
      <c r="H522" s="9"/>
      <c r="J522" s="121"/>
      <c r="K522" s="9"/>
      <c r="M522" s="9"/>
      <c r="N522" s="9"/>
      <c r="O522" s="9"/>
      <c r="P522" s="13"/>
    </row>
    <row r="523">
      <c r="D523" s="9"/>
      <c r="E523" s="9"/>
      <c r="H523" s="9"/>
      <c r="J523" s="121"/>
      <c r="K523" s="9"/>
      <c r="M523" s="9"/>
      <c r="N523" s="9"/>
      <c r="O523" s="9"/>
      <c r="P523" s="13"/>
    </row>
    <row r="524">
      <c r="D524" s="9"/>
      <c r="E524" s="9"/>
      <c r="H524" s="9"/>
      <c r="J524" s="121"/>
      <c r="K524" s="9"/>
      <c r="M524" s="9"/>
      <c r="N524" s="9"/>
      <c r="O524" s="9"/>
      <c r="P524" s="13"/>
    </row>
    <row r="525">
      <c r="D525" s="9"/>
      <c r="E525" s="9"/>
      <c r="H525" s="9"/>
      <c r="J525" s="121"/>
      <c r="K525" s="9"/>
      <c r="M525" s="9"/>
      <c r="N525" s="9"/>
      <c r="O525" s="9"/>
      <c r="P525" s="13"/>
    </row>
    <row r="526">
      <c r="D526" s="9"/>
      <c r="E526" s="9"/>
      <c r="H526" s="9"/>
      <c r="J526" s="121"/>
      <c r="K526" s="9"/>
      <c r="M526" s="9"/>
      <c r="N526" s="9"/>
      <c r="O526" s="9"/>
      <c r="P526" s="13"/>
    </row>
    <row r="527">
      <c r="D527" s="9"/>
      <c r="E527" s="9"/>
      <c r="H527" s="9"/>
      <c r="J527" s="121"/>
      <c r="K527" s="9"/>
      <c r="M527" s="9"/>
      <c r="N527" s="9"/>
      <c r="O527" s="9"/>
      <c r="P527" s="13"/>
    </row>
    <row r="528">
      <c r="D528" s="9"/>
      <c r="E528" s="9"/>
      <c r="H528" s="9"/>
      <c r="J528" s="121"/>
      <c r="K528" s="9"/>
      <c r="M528" s="9"/>
      <c r="N528" s="9"/>
      <c r="O528" s="9"/>
      <c r="P528" s="13"/>
    </row>
    <row r="529">
      <c r="D529" s="9"/>
      <c r="E529" s="9"/>
      <c r="H529" s="9"/>
      <c r="J529" s="121"/>
      <c r="K529" s="9"/>
      <c r="M529" s="9"/>
      <c r="N529" s="9"/>
      <c r="O529" s="9"/>
      <c r="P529" s="13"/>
    </row>
    <row r="530">
      <c r="D530" s="9"/>
      <c r="E530" s="9"/>
      <c r="H530" s="9"/>
      <c r="J530" s="121"/>
      <c r="K530" s="9"/>
      <c r="M530" s="9"/>
      <c r="N530" s="9"/>
      <c r="O530" s="9"/>
      <c r="P530" s="13"/>
    </row>
    <row r="531">
      <c r="D531" s="9"/>
      <c r="E531" s="9"/>
      <c r="H531" s="9"/>
      <c r="J531" s="121"/>
      <c r="K531" s="9"/>
      <c r="M531" s="9"/>
      <c r="N531" s="9"/>
      <c r="O531" s="9"/>
      <c r="P531" s="13"/>
    </row>
    <row r="532">
      <c r="D532" s="9"/>
      <c r="E532" s="9"/>
      <c r="H532" s="9"/>
      <c r="J532" s="121"/>
      <c r="K532" s="9"/>
      <c r="M532" s="9"/>
      <c r="N532" s="9"/>
      <c r="O532" s="9"/>
      <c r="P532" s="13"/>
    </row>
    <row r="533">
      <c r="D533" s="9"/>
      <c r="E533" s="9"/>
      <c r="H533" s="9"/>
      <c r="J533" s="121"/>
      <c r="K533" s="9"/>
      <c r="M533" s="9"/>
      <c r="N533" s="9"/>
      <c r="O533" s="9"/>
      <c r="P533" s="13"/>
    </row>
    <row r="534">
      <c r="D534" s="9"/>
      <c r="E534" s="9"/>
      <c r="H534" s="9"/>
      <c r="J534" s="121"/>
      <c r="K534" s="9"/>
      <c r="M534" s="9"/>
      <c r="N534" s="9"/>
      <c r="O534" s="9"/>
      <c r="P534" s="13"/>
    </row>
    <row r="535">
      <c r="D535" s="9"/>
      <c r="E535" s="9"/>
      <c r="H535" s="9"/>
      <c r="J535" s="121"/>
      <c r="K535" s="9"/>
      <c r="M535" s="9"/>
      <c r="N535" s="9"/>
      <c r="O535" s="9"/>
      <c r="P535" s="13"/>
    </row>
    <row r="536">
      <c r="D536" s="9"/>
      <c r="E536" s="9"/>
      <c r="H536" s="9"/>
      <c r="J536" s="121"/>
      <c r="K536" s="9"/>
      <c r="M536" s="9"/>
      <c r="N536" s="9"/>
      <c r="O536" s="9"/>
      <c r="P536" s="13"/>
    </row>
    <row r="537">
      <c r="D537" s="9"/>
      <c r="E537" s="9"/>
      <c r="H537" s="9"/>
      <c r="J537" s="121"/>
      <c r="K537" s="9"/>
      <c r="M537" s="9"/>
      <c r="N537" s="9"/>
      <c r="O537" s="9"/>
      <c r="P537" s="13"/>
    </row>
    <row r="538">
      <c r="D538" s="9"/>
      <c r="E538" s="9"/>
      <c r="H538" s="9"/>
      <c r="J538" s="121"/>
      <c r="K538" s="9"/>
      <c r="M538" s="9"/>
      <c r="N538" s="9"/>
      <c r="O538" s="9"/>
      <c r="P538" s="13"/>
    </row>
    <row r="539">
      <c r="D539" s="9"/>
      <c r="E539" s="9"/>
      <c r="H539" s="9"/>
      <c r="J539" s="121"/>
      <c r="K539" s="9"/>
      <c r="M539" s="9"/>
      <c r="N539" s="9"/>
      <c r="O539" s="9"/>
      <c r="P539" s="13"/>
    </row>
    <row r="540">
      <c r="D540" s="9"/>
      <c r="E540" s="9"/>
      <c r="H540" s="9"/>
      <c r="J540" s="121"/>
      <c r="K540" s="9"/>
      <c r="M540" s="9"/>
      <c r="N540" s="9"/>
      <c r="O540" s="9"/>
      <c r="P540" s="13"/>
    </row>
    <row r="541">
      <c r="D541" s="9"/>
      <c r="E541" s="9"/>
      <c r="H541" s="9"/>
      <c r="J541" s="121"/>
      <c r="K541" s="9"/>
      <c r="M541" s="9"/>
      <c r="N541" s="9"/>
      <c r="O541" s="9"/>
      <c r="P541" s="13"/>
    </row>
    <row r="542">
      <c r="D542" s="9"/>
      <c r="E542" s="9"/>
      <c r="H542" s="9"/>
      <c r="J542" s="121"/>
      <c r="K542" s="9"/>
      <c r="M542" s="9"/>
      <c r="N542" s="9"/>
      <c r="O542" s="9"/>
      <c r="P542" s="13"/>
    </row>
    <row r="543">
      <c r="D543" s="9"/>
      <c r="E543" s="9"/>
      <c r="H543" s="9"/>
      <c r="J543" s="121"/>
      <c r="K543" s="9"/>
      <c r="M543" s="9"/>
      <c r="N543" s="9"/>
      <c r="O543" s="9"/>
      <c r="P543" s="13"/>
    </row>
    <row r="544">
      <c r="D544" s="9"/>
      <c r="E544" s="9"/>
      <c r="H544" s="9"/>
      <c r="J544" s="121"/>
      <c r="K544" s="9"/>
      <c r="M544" s="9"/>
      <c r="N544" s="9"/>
      <c r="O544" s="9"/>
      <c r="P544" s="13"/>
    </row>
    <row r="545">
      <c r="D545" s="9"/>
      <c r="E545" s="9"/>
      <c r="H545" s="9"/>
      <c r="J545" s="121"/>
      <c r="K545" s="9"/>
      <c r="M545" s="9"/>
      <c r="N545" s="9"/>
      <c r="O545" s="9"/>
      <c r="P545" s="13"/>
    </row>
    <row r="546">
      <c r="D546" s="9"/>
      <c r="E546" s="9"/>
      <c r="H546" s="9"/>
      <c r="J546" s="121"/>
      <c r="K546" s="9"/>
      <c r="M546" s="9"/>
      <c r="N546" s="9"/>
      <c r="O546" s="9"/>
      <c r="P546" s="13"/>
    </row>
    <row r="547">
      <c r="D547" s="9"/>
      <c r="E547" s="9"/>
      <c r="H547" s="9"/>
      <c r="J547" s="121"/>
      <c r="K547" s="9"/>
      <c r="M547" s="9"/>
      <c r="N547" s="9"/>
      <c r="O547" s="9"/>
      <c r="P547" s="13"/>
    </row>
    <row r="548">
      <c r="D548" s="9"/>
      <c r="E548" s="9"/>
      <c r="H548" s="9"/>
      <c r="J548" s="121"/>
      <c r="K548" s="9"/>
      <c r="M548" s="9"/>
      <c r="N548" s="9"/>
      <c r="O548" s="9"/>
      <c r="P548" s="13"/>
    </row>
    <row r="549">
      <c r="D549" s="9"/>
      <c r="E549" s="9"/>
      <c r="H549" s="9"/>
      <c r="J549" s="121"/>
      <c r="K549" s="9"/>
      <c r="M549" s="9"/>
      <c r="N549" s="9"/>
      <c r="O549" s="9"/>
      <c r="P549" s="13"/>
    </row>
    <row r="550">
      <c r="D550" s="9"/>
      <c r="E550" s="9"/>
      <c r="H550" s="9"/>
      <c r="J550" s="121"/>
      <c r="K550" s="9"/>
      <c r="M550" s="9"/>
      <c r="N550" s="9"/>
      <c r="O550" s="9"/>
      <c r="P550" s="13"/>
    </row>
    <row r="551">
      <c r="D551" s="9"/>
      <c r="E551" s="9"/>
      <c r="H551" s="9"/>
      <c r="J551" s="121"/>
      <c r="K551" s="9"/>
      <c r="M551" s="9"/>
      <c r="N551" s="9"/>
      <c r="O551" s="9"/>
      <c r="P551" s="13"/>
    </row>
    <row r="552">
      <c r="D552" s="9"/>
      <c r="E552" s="9"/>
      <c r="H552" s="9"/>
      <c r="J552" s="121"/>
      <c r="K552" s="9"/>
      <c r="M552" s="9"/>
      <c r="N552" s="9"/>
      <c r="O552" s="9"/>
      <c r="P552" s="13"/>
    </row>
    <row r="553">
      <c r="D553" s="9"/>
      <c r="E553" s="9"/>
      <c r="H553" s="9"/>
      <c r="J553" s="121"/>
      <c r="K553" s="9"/>
      <c r="M553" s="9"/>
      <c r="N553" s="9"/>
      <c r="O553" s="9"/>
      <c r="P553" s="13"/>
    </row>
    <row r="554">
      <c r="D554" s="9"/>
      <c r="E554" s="9"/>
      <c r="H554" s="9"/>
      <c r="J554" s="121"/>
      <c r="K554" s="9"/>
      <c r="M554" s="9"/>
      <c r="N554" s="9"/>
      <c r="O554" s="9"/>
      <c r="P554" s="13"/>
    </row>
    <row r="555">
      <c r="D555" s="9"/>
      <c r="E555" s="9"/>
      <c r="H555" s="9"/>
      <c r="J555" s="121"/>
      <c r="K555" s="9"/>
      <c r="M555" s="9"/>
      <c r="N555" s="9"/>
      <c r="O555" s="9"/>
      <c r="P555" s="13"/>
    </row>
    <row r="556">
      <c r="D556" s="9"/>
      <c r="E556" s="9"/>
      <c r="H556" s="9"/>
      <c r="J556" s="121"/>
      <c r="K556" s="9"/>
      <c r="M556" s="9"/>
      <c r="N556" s="9"/>
      <c r="O556" s="9"/>
      <c r="P556" s="13"/>
    </row>
    <row r="557">
      <c r="D557" s="9"/>
      <c r="E557" s="9"/>
      <c r="H557" s="9"/>
      <c r="J557" s="121"/>
      <c r="K557" s="9"/>
      <c r="M557" s="9"/>
      <c r="N557" s="9"/>
      <c r="O557" s="9"/>
      <c r="P557" s="13"/>
    </row>
    <row r="558">
      <c r="D558" s="9"/>
      <c r="E558" s="9"/>
      <c r="H558" s="9"/>
      <c r="J558" s="121"/>
      <c r="K558" s="9"/>
      <c r="M558" s="9"/>
      <c r="N558" s="9"/>
      <c r="O558" s="9"/>
      <c r="P558" s="13"/>
    </row>
    <row r="559">
      <c r="D559" s="9"/>
      <c r="E559" s="9"/>
      <c r="H559" s="9"/>
      <c r="J559" s="121"/>
      <c r="K559" s="9"/>
      <c r="M559" s="9"/>
      <c r="N559" s="9"/>
      <c r="O559" s="9"/>
      <c r="P559" s="13"/>
    </row>
    <row r="560">
      <c r="D560" s="9"/>
      <c r="E560" s="9"/>
      <c r="H560" s="9"/>
      <c r="J560" s="121"/>
      <c r="K560" s="9"/>
      <c r="M560" s="9"/>
      <c r="N560" s="9"/>
      <c r="O560" s="9"/>
      <c r="P560" s="13"/>
    </row>
    <row r="561">
      <c r="D561" s="9"/>
      <c r="E561" s="9"/>
      <c r="H561" s="9"/>
      <c r="J561" s="121"/>
      <c r="K561" s="9"/>
      <c r="M561" s="9"/>
      <c r="N561" s="9"/>
      <c r="O561" s="9"/>
      <c r="P561" s="13"/>
    </row>
    <row r="562">
      <c r="D562" s="9"/>
      <c r="E562" s="9"/>
      <c r="H562" s="9"/>
      <c r="J562" s="121"/>
      <c r="K562" s="9"/>
      <c r="M562" s="9"/>
      <c r="N562" s="9"/>
      <c r="O562" s="9"/>
      <c r="P562" s="13"/>
    </row>
    <row r="563">
      <c r="D563" s="9"/>
      <c r="E563" s="9"/>
      <c r="H563" s="9"/>
      <c r="J563" s="121"/>
      <c r="K563" s="9"/>
      <c r="M563" s="9"/>
      <c r="N563" s="9"/>
      <c r="O563" s="9"/>
      <c r="P563" s="13"/>
    </row>
    <row r="564">
      <c r="D564" s="9"/>
      <c r="E564" s="9"/>
      <c r="H564" s="9"/>
      <c r="J564" s="121"/>
      <c r="K564" s="9"/>
      <c r="M564" s="9"/>
      <c r="N564" s="9"/>
      <c r="O564" s="9"/>
      <c r="P564" s="13"/>
    </row>
    <row r="565">
      <c r="D565" s="9"/>
      <c r="E565" s="9"/>
      <c r="H565" s="9"/>
      <c r="J565" s="121"/>
      <c r="K565" s="9"/>
      <c r="M565" s="9"/>
      <c r="N565" s="9"/>
      <c r="O565" s="9"/>
      <c r="P565" s="13"/>
    </row>
    <row r="566">
      <c r="D566" s="9"/>
      <c r="E566" s="9"/>
      <c r="H566" s="9"/>
      <c r="J566" s="121"/>
      <c r="K566" s="9"/>
      <c r="M566" s="9"/>
      <c r="N566" s="9"/>
      <c r="O566" s="9"/>
      <c r="P566" s="13"/>
    </row>
    <row r="567">
      <c r="D567" s="9"/>
      <c r="E567" s="9"/>
      <c r="H567" s="9"/>
      <c r="J567" s="121"/>
      <c r="K567" s="9"/>
      <c r="M567" s="9"/>
      <c r="N567" s="9"/>
      <c r="O567" s="9"/>
      <c r="P567" s="13"/>
    </row>
    <row r="568">
      <c r="D568" s="9"/>
      <c r="E568" s="9"/>
      <c r="H568" s="9"/>
      <c r="J568" s="121"/>
      <c r="K568" s="9"/>
      <c r="M568" s="9"/>
      <c r="N568" s="9"/>
      <c r="O568" s="9"/>
      <c r="P568" s="13"/>
    </row>
    <row r="569">
      <c r="D569" s="9"/>
      <c r="E569" s="9"/>
      <c r="H569" s="9"/>
      <c r="J569" s="121"/>
      <c r="K569" s="9"/>
      <c r="M569" s="9"/>
      <c r="N569" s="9"/>
      <c r="O569" s="9"/>
      <c r="P569" s="13"/>
    </row>
    <row r="570">
      <c r="D570" s="9"/>
      <c r="E570" s="9"/>
      <c r="H570" s="9"/>
      <c r="J570" s="121"/>
      <c r="K570" s="9"/>
      <c r="M570" s="9"/>
      <c r="N570" s="9"/>
      <c r="O570" s="9"/>
      <c r="P570" s="13"/>
    </row>
    <row r="571">
      <c r="D571" s="9"/>
      <c r="E571" s="9"/>
      <c r="H571" s="9"/>
      <c r="J571" s="121"/>
      <c r="K571" s="9"/>
      <c r="M571" s="9"/>
      <c r="N571" s="9"/>
      <c r="O571" s="9"/>
      <c r="P571" s="13"/>
    </row>
    <row r="572">
      <c r="D572" s="9"/>
      <c r="E572" s="9"/>
      <c r="H572" s="9"/>
      <c r="J572" s="121"/>
      <c r="K572" s="9"/>
      <c r="M572" s="9"/>
      <c r="N572" s="9"/>
      <c r="O572" s="9"/>
      <c r="P572" s="13"/>
    </row>
    <row r="573">
      <c r="D573" s="9"/>
      <c r="E573" s="9"/>
      <c r="H573" s="9"/>
      <c r="J573" s="121"/>
      <c r="K573" s="9"/>
      <c r="M573" s="9"/>
      <c r="N573" s="9"/>
      <c r="O573" s="9"/>
      <c r="P573" s="13"/>
    </row>
    <row r="574">
      <c r="D574" s="9"/>
      <c r="E574" s="9"/>
      <c r="H574" s="9"/>
      <c r="J574" s="121"/>
      <c r="K574" s="9"/>
      <c r="M574" s="9"/>
      <c r="N574" s="9"/>
      <c r="O574" s="9"/>
      <c r="P574" s="13"/>
    </row>
    <row r="575">
      <c r="D575" s="9"/>
      <c r="E575" s="9"/>
      <c r="H575" s="9"/>
      <c r="J575" s="121"/>
      <c r="K575" s="9"/>
      <c r="M575" s="9"/>
      <c r="N575" s="9"/>
      <c r="O575" s="9"/>
      <c r="P575" s="13"/>
    </row>
    <row r="576">
      <c r="D576" s="9"/>
      <c r="E576" s="9"/>
      <c r="H576" s="9"/>
      <c r="J576" s="121"/>
      <c r="K576" s="9"/>
      <c r="M576" s="9"/>
      <c r="N576" s="9"/>
      <c r="O576" s="9"/>
      <c r="P576" s="13"/>
    </row>
    <row r="577">
      <c r="D577" s="9"/>
      <c r="E577" s="9"/>
      <c r="H577" s="9"/>
      <c r="J577" s="121"/>
      <c r="K577" s="9"/>
      <c r="M577" s="9"/>
      <c r="N577" s="9"/>
      <c r="O577" s="9"/>
      <c r="P577" s="13"/>
    </row>
    <row r="578">
      <c r="D578" s="9"/>
      <c r="E578" s="9"/>
      <c r="H578" s="9"/>
      <c r="J578" s="121"/>
      <c r="K578" s="9"/>
      <c r="M578" s="9"/>
      <c r="N578" s="9"/>
      <c r="O578" s="9"/>
      <c r="P578" s="13"/>
    </row>
    <row r="579">
      <c r="D579" s="9"/>
      <c r="E579" s="9"/>
      <c r="H579" s="9"/>
      <c r="J579" s="121"/>
      <c r="K579" s="9"/>
      <c r="M579" s="9"/>
      <c r="N579" s="9"/>
      <c r="O579" s="9"/>
      <c r="P579" s="13"/>
    </row>
    <row r="580">
      <c r="D580" s="9"/>
      <c r="E580" s="9"/>
      <c r="H580" s="9"/>
      <c r="J580" s="121"/>
      <c r="K580" s="9"/>
      <c r="M580" s="9"/>
      <c r="N580" s="9"/>
      <c r="O580" s="9"/>
      <c r="P580" s="13"/>
    </row>
    <row r="581">
      <c r="D581" s="9"/>
      <c r="E581" s="9"/>
      <c r="H581" s="9"/>
      <c r="J581" s="121"/>
      <c r="K581" s="9"/>
      <c r="M581" s="9"/>
      <c r="N581" s="9"/>
      <c r="O581" s="9"/>
      <c r="P581" s="13"/>
    </row>
    <row r="582">
      <c r="D582" s="9"/>
      <c r="E582" s="9"/>
      <c r="H582" s="9"/>
      <c r="J582" s="121"/>
      <c r="K582" s="9"/>
      <c r="M582" s="9"/>
      <c r="N582" s="9"/>
      <c r="O582" s="9"/>
      <c r="P582" s="13"/>
    </row>
    <row r="583">
      <c r="D583" s="9"/>
      <c r="E583" s="9"/>
      <c r="H583" s="9"/>
      <c r="J583" s="121"/>
      <c r="K583" s="9"/>
      <c r="M583" s="9"/>
      <c r="N583" s="9"/>
      <c r="O583" s="9"/>
      <c r="P583" s="13"/>
    </row>
    <row r="584">
      <c r="D584" s="9"/>
      <c r="E584" s="9"/>
      <c r="H584" s="9"/>
      <c r="J584" s="121"/>
      <c r="K584" s="9"/>
      <c r="M584" s="9"/>
      <c r="N584" s="9"/>
      <c r="O584" s="9"/>
      <c r="P584" s="13"/>
    </row>
    <row r="585">
      <c r="D585" s="9"/>
      <c r="E585" s="9"/>
      <c r="H585" s="9"/>
      <c r="J585" s="121"/>
      <c r="K585" s="9"/>
      <c r="M585" s="9"/>
      <c r="N585" s="9"/>
      <c r="O585" s="9"/>
      <c r="P585" s="13"/>
    </row>
    <row r="586">
      <c r="D586" s="9"/>
      <c r="E586" s="9"/>
      <c r="H586" s="9"/>
      <c r="J586" s="121"/>
      <c r="K586" s="9"/>
      <c r="M586" s="9"/>
      <c r="N586" s="9"/>
      <c r="O586" s="9"/>
      <c r="P586" s="13"/>
    </row>
    <row r="587">
      <c r="D587" s="9"/>
      <c r="E587" s="9"/>
      <c r="H587" s="9"/>
      <c r="J587" s="121"/>
      <c r="K587" s="9"/>
      <c r="M587" s="9"/>
      <c r="N587" s="9"/>
      <c r="O587" s="9"/>
      <c r="P587" s="13"/>
    </row>
    <row r="588">
      <c r="D588" s="9"/>
      <c r="E588" s="9"/>
      <c r="H588" s="9"/>
      <c r="J588" s="121"/>
      <c r="K588" s="9"/>
      <c r="M588" s="9"/>
      <c r="N588" s="9"/>
      <c r="O588" s="9"/>
      <c r="P588" s="13"/>
    </row>
    <row r="589">
      <c r="D589" s="9"/>
      <c r="E589" s="9"/>
      <c r="H589" s="9"/>
      <c r="J589" s="121"/>
      <c r="K589" s="9"/>
      <c r="M589" s="9"/>
      <c r="N589" s="9"/>
      <c r="O589" s="9"/>
      <c r="P589" s="13"/>
    </row>
    <row r="590">
      <c r="D590" s="9"/>
      <c r="E590" s="9"/>
      <c r="H590" s="9"/>
      <c r="J590" s="121"/>
      <c r="K590" s="9"/>
      <c r="M590" s="9"/>
      <c r="N590" s="9"/>
      <c r="O590" s="9"/>
      <c r="P590" s="13"/>
    </row>
    <row r="591">
      <c r="D591" s="9"/>
      <c r="E591" s="9"/>
      <c r="H591" s="9"/>
      <c r="J591" s="121"/>
      <c r="K591" s="9"/>
      <c r="M591" s="9"/>
      <c r="N591" s="9"/>
      <c r="O591" s="9"/>
      <c r="P591" s="13"/>
    </row>
    <row r="592">
      <c r="D592" s="9"/>
      <c r="E592" s="9"/>
      <c r="H592" s="9"/>
      <c r="J592" s="121"/>
      <c r="K592" s="9"/>
      <c r="M592" s="9"/>
      <c r="N592" s="9"/>
      <c r="O592" s="9"/>
      <c r="P592" s="13"/>
    </row>
    <row r="593">
      <c r="D593" s="9"/>
      <c r="E593" s="9"/>
      <c r="H593" s="9"/>
      <c r="J593" s="121"/>
      <c r="K593" s="9"/>
      <c r="M593" s="9"/>
      <c r="N593" s="9"/>
      <c r="O593" s="9"/>
      <c r="P593" s="13"/>
    </row>
    <row r="594">
      <c r="D594" s="9"/>
      <c r="E594" s="9"/>
      <c r="H594" s="9"/>
      <c r="J594" s="121"/>
      <c r="K594" s="9"/>
      <c r="M594" s="9"/>
      <c r="N594" s="9"/>
      <c r="O594" s="9"/>
      <c r="P594" s="13"/>
    </row>
    <row r="595">
      <c r="D595" s="9"/>
      <c r="E595" s="9"/>
      <c r="H595" s="9"/>
      <c r="J595" s="121"/>
      <c r="K595" s="9"/>
      <c r="M595" s="9"/>
      <c r="N595" s="9"/>
      <c r="O595" s="9"/>
      <c r="P595" s="13"/>
    </row>
    <row r="596">
      <c r="D596" s="9"/>
      <c r="E596" s="9"/>
      <c r="H596" s="9"/>
      <c r="J596" s="121"/>
      <c r="K596" s="9"/>
      <c r="M596" s="9"/>
      <c r="N596" s="9"/>
      <c r="O596" s="9"/>
      <c r="P596" s="13"/>
    </row>
    <row r="597">
      <c r="D597" s="9"/>
      <c r="E597" s="9"/>
      <c r="H597" s="9"/>
      <c r="J597" s="121"/>
      <c r="K597" s="9"/>
      <c r="M597" s="9"/>
      <c r="N597" s="9"/>
      <c r="O597" s="9"/>
      <c r="P597" s="13"/>
    </row>
    <row r="598">
      <c r="D598" s="9"/>
      <c r="E598" s="9"/>
      <c r="H598" s="9"/>
      <c r="J598" s="121"/>
      <c r="K598" s="9"/>
      <c r="M598" s="9"/>
      <c r="N598" s="9"/>
      <c r="O598" s="9"/>
      <c r="P598" s="13"/>
    </row>
    <row r="599">
      <c r="D599" s="9"/>
      <c r="E599" s="9"/>
      <c r="H599" s="9"/>
      <c r="J599" s="121"/>
      <c r="K599" s="9"/>
      <c r="M599" s="9"/>
      <c r="N599" s="9"/>
      <c r="O599" s="9"/>
      <c r="P599" s="13"/>
    </row>
    <row r="600">
      <c r="D600" s="9"/>
      <c r="E600" s="9"/>
      <c r="H600" s="9"/>
      <c r="J600" s="121"/>
      <c r="K600" s="9"/>
      <c r="M600" s="9"/>
      <c r="N600" s="9"/>
      <c r="O600" s="9"/>
      <c r="P600" s="13"/>
    </row>
    <row r="601">
      <c r="D601" s="9"/>
      <c r="E601" s="9"/>
      <c r="H601" s="9"/>
      <c r="J601" s="121"/>
      <c r="K601" s="9"/>
      <c r="M601" s="9"/>
      <c r="N601" s="9"/>
      <c r="O601" s="9"/>
      <c r="P601" s="13"/>
    </row>
    <row r="602">
      <c r="D602" s="9"/>
      <c r="E602" s="9"/>
      <c r="H602" s="9"/>
      <c r="J602" s="121"/>
      <c r="K602" s="9"/>
      <c r="M602" s="9"/>
      <c r="N602" s="9"/>
      <c r="O602" s="9"/>
      <c r="P602" s="13"/>
    </row>
    <row r="603">
      <c r="D603" s="9"/>
      <c r="E603" s="9"/>
      <c r="H603" s="9"/>
      <c r="J603" s="121"/>
      <c r="K603" s="9"/>
      <c r="M603" s="9"/>
      <c r="N603" s="9"/>
      <c r="O603" s="9"/>
      <c r="P603" s="13"/>
    </row>
    <row r="604">
      <c r="D604" s="9"/>
      <c r="E604" s="9"/>
      <c r="H604" s="9"/>
      <c r="J604" s="121"/>
      <c r="K604" s="9"/>
      <c r="M604" s="9"/>
      <c r="N604" s="9"/>
      <c r="O604" s="9"/>
      <c r="P604" s="13"/>
    </row>
    <row r="605">
      <c r="D605" s="9"/>
      <c r="E605" s="9"/>
      <c r="H605" s="9"/>
      <c r="J605" s="121"/>
      <c r="K605" s="9"/>
      <c r="M605" s="9"/>
      <c r="N605" s="9"/>
      <c r="O605" s="9"/>
      <c r="P605" s="13"/>
    </row>
    <row r="606">
      <c r="D606" s="9"/>
      <c r="E606" s="9"/>
      <c r="H606" s="9"/>
      <c r="J606" s="121"/>
      <c r="K606" s="9"/>
      <c r="M606" s="9"/>
      <c r="N606" s="9"/>
      <c r="O606" s="9"/>
      <c r="P606" s="13"/>
    </row>
    <row r="607">
      <c r="D607" s="9"/>
      <c r="E607" s="9"/>
      <c r="H607" s="9"/>
      <c r="J607" s="121"/>
      <c r="K607" s="9"/>
      <c r="M607" s="9"/>
      <c r="N607" s="9"/>
      <c r="O607" s="9"/>
      <c r="P607" s="13"/>
    </row>
    <row r="608">
      <c r="D608" s="9"/>
      <c r="E608" s="9"/>
      <c r="H608" s="9"/>
      <c r="J608" s="121"/>
      <c r="K608" s="9"/>
      <c r="M608" s="9"/>
      <c r="N608" s="9"/>
      <c r="O608" s="9"/>
      <c r="P608" s="13"/>
    </row>
    <row r="609">
      <c r="D609" s="9"/>
      <c r="E609" s="9"/>
      <c r="H609" s="9"/>
      <c r="J609" s="121"/>
      <c r="K609" s="9"/>
      <c r="M609" s="9"/>
      <c r="N609" s="9"/>
      <c r="O609" s="9"/>
      <c r="P609" s="13"/>
    </row>
    <row r="610">
      <c r="D610" s="9"/>
      <c r="E610" s="9"/>
      <c r="H610" s="9"/>
      <c r="J610" s="121"/>
      <c r="K610" s="9"/>
      <c r="M610" s="9"/>
      <c r="N610" s="9"/>
      <c r="O610" s="9"/>
      <c r="P610" s="13"/>
    </row>
    <row r="611">
      <c r="D611" s="9"/>
      <c r="E611" s="9"/>
      <c r="H611" s="9"/>
      <c r="J611" s="121"/>
      <c r="K611" s="9"/>
      <c r="M611" s="9"/>
      <c r="N611" s="9"/>
      <c r="O611" s="9"/>
      <c r="P611" s="13"/>
    </row>
    <row r="612">
      <c r="D612" s="9"/>
      <c r="E612" s="9"/>
      <c r="H612" s="9"/>
      <c r="J612" s="121"/>
      <c r="K612" s="9"/>
      <c r="M612" s="9"/>
      <c r="N612" s="9"/>
      <c r="O612" s="9"/>
      <c r="P612" s="13"/>
    </row>
    <row r="613">
      <c r="D613" s="9"/>
      <c r="E613" s="9"/>
      <c r="H613" s="9"/>
      <c r="J613" s="121"/>
      <c r="K613" s="9"/>
      <c r="M613" s="9"/>
      <c r="N613" s="9"/>
      <c r="O613" s="9"/>
      <c r="P613" s="13"/>
    </row>
    <row r="614">
      <c r="D614" s="9"/>
      <c r="E614" s="9"/>
      <c r="H614" s="9"/>
      <c r="J614" s="121"/>
      <c r="K614" s="9"/>
      <c r="M614" s="9"/>
      <c r="N614" s="9"/>
      <c r="O614" s="9"/>
      <c r="P614" s="13"/>
    </row>
    <row r="615">
      <c r="D615" s="9"/>
      <c r="E615" s="9"/>
      <c r="H615" s="9"/>
      <c r="J615" s="121"/>
      <c r="K615" s="9"/>
      <c r="M615" s="9"/>
      <c r="N615" s="9"/>
      <c r="O615" s="9"/>
      <c r="P615" s="13"/>
    </row>
    <row r="616">
      <c r="D616" s="9"/>
      <c r="E616" s="9"/>
      <c r="H616" s="9"/>
      <c r="J616" s="121"/>
      <c r="K616" s="9"/>
      <c r="M616" s="9"/>
      <c r="N616" s="9"/>
      <c r="O616" s="9"/>
      <c r="P616" s="13"/>
    </row>
    <row r="617">
      <c r="D617" s="9"/>
      <c r="E617" s="9"/>
      <c r="H617" s="9"/>
      <c r="J617" s="121"/>
      <c r="K617" s="9"/>
      <c r="M617" s="9"/>
      <c r="N617" s="9"/>
      <c r="O617" s="9"/>
      <c r="P617" s="13"/>
    </row>
    <row r="618">
      <c r="D618" s="9"/>
      <c r="E618" s="9"/>
      <c r="H618" s="9"/>
      <c r="J618" s="121"/>
      <c r="K618" s="9"/>
      <c r="M618" s="9"/>
      <c r="N618" s="9"/>
      <c r="O618" s="9"/>
      <c r="P618" s="13"/>
    </row>
    <row r="619">
      <c r="D619" s="9"/>
      <c r="E619" s="9"/>
      <c r="H619" s="9"/>
      <c r="J619" s="121"/>
      <c r="K619" s="9"/>
      <c r="M619" s="9"/>
      <c r="N619" s="9"/>
      <c r="O619" s="9"/>
      <c r="P619" s="13"/>
    </row>
    <row r="620">
      <c r="D620" s="9"/>
      <c r="E620" s="9"/>
      <c r="H620" s="9"/>
      <c r="J620" s="121"/>
      <c r="K620" s="9"/>
      <c r="M620" s="9"/>
      <c r="N620" s="9"/>
      <c r="O620" s="9"/>
      <c r="P620" s="13"/>
    </row>
    <row r="621">
      <c r="D621" s="9"/>
      <c r="E621" s="9"/>
      <c r="H621" s="9"/>
      <c r="J621" s="121"/>
      <c r="K621" s="9"/>
      <c r="M621" s="9"/>
      <c r="N621" s="9"/>
      <c r="O621" s="9"/>
      <c r="P621" s="13"/>
    </row>
    <row r="622">
      <c r="D622" s="9"/>
      <c r="E622" s="9"/>
      <c r="H622" s="9"/>
      <c r="J622" s="121"/>
      <c r="K622" s="9"/>
      <c r="M622" s="9"/>
      <c r="N622" s="9"/>
      <c r="O622" s="9"/>
      <c r="P622" s="13"/>
    </row>
    <row r="623">
      <c r="D623" s="9"/>
      <c r="E623" s="9"/>
      <c r="H623" s="9"/>
      <c r="J623" s="121"/>
      <c r="K623" s="9"/>
      <c r="M623" s="9"/>
      <c r="N623" s="9"/>
      <c r="O623" s="9"/>
      <c r="P623" s="13"/>
    </row>
    <row r="624">
      <c r="D624" s="9"/>
      <c r="E624" s="9"/>
      <c r="H624" s="9"/>
      <c r="J624" s="121"/>
      <c r="K624" s="9"/>
      <c r="M624" s="9"/>
      <c r="N624" s="9"/>
      <c r="O624" s="9"/>
      <c r="P624" s="13"/>
    </row>
    <row r="625">
      <c r="D625" s="9"/>
      <c r="E625" s="9"/>
      <c r="H625" s="9"/>
      <c r="J625" s="121"/>
      <c r="K625" s="9"/>
      <c r="M625" s="9"/>
      <c r="N625" s="9"/>
      <c r="O625" s="9"/>
      <c r="P625" s="13"/>
    </row>
    <row r="626">
      <c r="D626" s="9"/>
      <c r="E626" s="9"/>
      <c r="H626" s="9"/>
      <c r="J626" s="121"/>
      <c r="K626" s="9"/>
      <c r="M626" s="9"/>
      <c r="N626" s="9"/>
      <c r="O626" s="9"/>
      <c r="P626" s="13"/>
    </row>
    <row r="627">
      <c r="D627" s="9"/>
      <c r="E627" s="9"/>
      <c r="H627" s="9"/>
      <c r="J627" s="121"/>
      <c r="K627" s="9"/>
      <c r="M627" s="9"/>
      <c r="N627" s="9"/>
      <c r="O627" s="9"/>
      <c r="P627" s="13"/>
    </row>
    <row r="628">
      <c r="D628" s="9"/>
      <c r="E628" s="9"/>
      <c r="H628" s="9"/>
      <c r="J628" s="121"/>
      <c r="K628" s="9"/>
      <c r="M628" s="9"/>
      <c r="N628" s="9"/>
      <c r="O628" s="9"/>
      <c r="P628" s="13"/>
    </row>
    <row r="629">
      <c r="D629" s="9"/>
      <c r="E629" s="9"/>
      <c r="H629" s="9"/>
      <c r="J629" s="121"/>
      <c r="K629" s="9"/>
      <c r="M629" s="9"/>
      <c r="N629" s="9"/>
      <c r="O629" s="9"/>
      <c r="P629" s="13"/>
    </row>
    <row r="630">
      <c r="D630" s="9"/>
      <c r="E630" s="9"/>
      <c r="H630" s="9"/>
      <c r="J630" s="121"/>
      <c r="K630" s="9"/>
      <c r="M630" s="9"/>
      <c r="N630" s="9"/>
      <c r="O630" s="9"/>
      <c r="P630" s="13"/>
    </row>
    <row r="631">
      <c r="D631" s="9"/>
      <c r="E631" s="9"/>
      <c r="H631" s="9"/>
      <c r="J631" s="121"/>
      <c r="K631" s="9"/>
      <c r="M631" s="9"/>
      <c r="N631" s="9"/>
      <c r="O631" s="9"/>
      <c r="P631" s="13"/>
    </row>
    <row r="632">
      <c r="D632" s="9"/>
      <c r="E632" s="9"/>
      <c r="H632" s="9"/>
      <c r="J632" s="121"/>
      <c r="K632" s="9"/>
      <c r="M632" s="9"/>
      <c r="N632" s="9"/>
      <c r="O632" s="9"/>
      <c r="P632" s="13"/>
    </row>
    <row r="633">
      <c r="D633" s="9"/>
      <c r="E633" s="9"/>
      <c r="H633" s="9"/>
      <c r="J633" s="121"/>
      <c r="K633" s="9"/>
      <c r="M633" s="9"/>
      <c r="N633" s="9"/>
      <c r="O633" s="9"/>
      <c r="P633" s="13"/>
    </row>
    <row r="634">
      <c r="D634" s="9"/>
      <c r="E634" s="9"/>
      <c r="H634" s="9"/>
      <c r="J634" s="121"/>
      <c r="K634" s="9"/>
      <c r="M634" s="9"/>
      <c r="N634" s="9"/>
      <c r="O634" s="9"/>
      <c r="P634" s="13"/>
    </row>
    <row r="635">
      <c r="D635" s="9"/>
      <c r="E635" s="9"/>
      <c r="H635" s="9"/>
      <c r="J635" s="121"/>
      <c r="K635" s="9"/>
      <c r="M635" s="9"/>
      <c r="N635" s="9"/>
      <c r="O635" s="9"/>
      <c r="P635" s="13"/>
    </row>
    <row r="636">
      <c r="D636" s="9"/>
      <c r="E636" s="9"/>
      <c r="H636" s="9"/>
      <c r="J636" s="121"/>
      <c r="K636" s="9"/>
      <c r="M636" s="9"/>
      <c r="N636" s="9"/>
      <c r="O636" s="9"/>
      <c r="P636" s="13"/>
    </row>
    <row r="637">
      <c r="D637" s="9"/>
      <c r="E637" s="9"/>
      <c r="H637" s="9"/>
      <c r="J637" s="121"/>
      <c r="K637" s="9"/>
      <c r="M637" s="9"/>
      <c r="N637" s="9"/>
      <c r="O637" s="9"/>
      <c r="P637" s="13"/>
    </row>
    <row r="638">
      <c r="D638" s="9"/>
      <c r="E638" s="9"/>
      <c r="H638" s="9"/>
      <c r="J638" s="121"/>
      <c r="K638" s="9"/>
      <c r="M638" s="9"/>
      <c r="N638" s="9"/>
      <c r="O638" s="9"/>
      <c r="P638" s="13"/>
    </row>
    <row r="639">
      <c r="D639" s="9"/>
      <c r="E639" s="9"/>
      <c r="H639" s="9"/>
      <c r="J639" s="121"/>
      <c r="K639" s="9"/>
      <c r="M639" s="9"/>
      <c r="N639" s="9"/>
      <c r="O639" s="9"/>
      <c r="P639" s="13"/>
    </row>
    <row r="640">
      <c r="D640" s="9"/>
      <c r="E640" s="9"/>
      <c r="H640" s="9"/>
      <c r="J640" s="121"/>
      <c r="K640" s="9"/>
      <c r="M640" s="9"/>
      <c r="N640" s="9"/>
      <c r="O640" s="9"/>
      <c r="P640" s="13"/>
    </row>
    <row r="641">
      <c r="D641" s="9"/>
      <c r="E641" s="9"/>
      <c r="H641" s="9"/>
      <c r="J641" s="121"/>
      <c r="K641" s="9"/>
      <c r="M641" s="9"/>
      <c r="N641" s="9"/>
      <c r="O641" s="9"/>
      <c r="P641" s="13"/>
    </row>
    <row r="642">
      <c r="D642" s="9"/>
      <c r="E642" s="9"/>
      <c r="H642" s="9"/>
      <c r="J642" s="121"/>
      <c r="K642" s="9"/>
      <c r="M642" s="9"/>
      <c r="N642" s="9"/>
      <c r="O642" s="9"/>
      <c r="P642" s="13"/>
    </row>
    <row r="643">
      <c r="D643" s="9"/>
      <c r="E643" s="9"/>
      <c r="H643" s="9"/>
      <c r="J643" s="121"/>
      <c r="K643" s="9"/>
      <c r="M643" s="9"/>
      <c r="N643" s="9"/>
      <c r="O643" s="9"/>
      <c r="P643" s="13"/>
    </row>
    <row r="644">
      <c r="D644" s="9"/>
      <c r="E644" s="9"/>
      <c r="H644" s="9"/>
      <c r="J644" s="121"/>
      <c r="K644" s="9"/>
      <c r="M644" s="9"/>
      <c r="N644" s="9"/>
      <c r="O644" s="9"/>
      <c r="P644" s="13"/>
    </row>
    <row r="645">
      <c r="D645" s="9"/>
      <c r="E645" s="9"/>
      <c r="H645" s="9"/>
      <c r="J645" s="121"/>
      <c r="K645" s="9"/>
      <c r="M645" s="9"/>
      <c r="N645" s="9"/>
      <c r="O645" s="9"/>
      <c r="P645" s="13"/>
    </row>
    <row r="646">
      <c r="D646" s="9"/>
      <c r="E646" s="9"/>
      <c r="H646" s="9"/>
      <c r="J646" s="121"/>
      <c r="K646" s="9"/>
      <c r="M646" s="9"/>
      <c r="N646" s="9"/>
      <c r="O646" s="9"/>
      <c r="P646" s="13"/>
    </row>
    <row r="647">
      <c r="D647" s="9"/>
      <c r="E647" s="9"/>
      <c r="H647" s="9"/>
      <c r="J647" s="121"/>
      <c r="K647" s="9"/>
      <c r="M647" s="9"/>
      <c r="N647" s="9"/>
      <c r="O647" s="9"/>
      <c r="P647" s="13"/>
    </row>
    <row r="648">
      <c r="D648" s="9"/>
      <c r="E648" s="9"/>
      <c r="H648" s="9"/>
      <c r="J648" s="121"/>
      <c r="K648" s="9"/>
      <c r="M648" s="9"/>
      <c r="N648" s="9"/>
      <c r="O648" s="9"/>
      <c r="P648" s="13"/>
    </row>
    <row r="649">
      <c r="D649" s="9"/>
      <c r="E649" s="9"/>
      <c r="H649" s="9"/>
      <c r="J649" s="121"/>
      <c r="K649" s="9"/>
      <c r="M649" s="9"/>
      <c r="N649" s="9"/>
      <c r="O649" s="9"/>
      <c r="P649" s="13"/>
    </row>
    <row r="650">
      <c r="D650" s="9"/>
      <c r="E650" s="9"/>
      <c r="H650" s="9"/>
      <c r="J650" s="121"/>
      <c r="K650" s="9"/>
      <c r="M650" s="9"/>
      <c r="N650" s="9"/>
      <c r="O650" s="9"/>
      <c r="P650" s="13"/>
    </row>
    <row r="651">
      <c r="D651" s="9"/>
      <c r="E651" s="9"/>
      <c r="H651" s="9"/>
      <c r="J651" s="121"/>
      <c r="K651" s="9"/>
      <c r="M651" s="9"/>
      <c r="N651" s="9"/>
      <c r="O651" s="9"/>
      <c r="P651" s="13"/>
    </row>
    <row r="652">
      <c r="D652" s="9"/>
      <c r="E652" s="9"/>
      <c r="H652" s="9"/>
      <c r="J652" s="121"/>
      <c r="K652" s="9"/>
      <c r="M652" s="9"/>
      <c r="N652" s="9"/>
      <c r="O652" s="9"/>
      <c r="P652" s="13"/>
    </row>
    <row r="653">
      <c r="D653" s="9"/>
      <c r="E653" s="9"/>
      <c r="H653" s="9"/>
      <c r="J653" s="121"/>
      <c r="K653" s="9"/>
      <c r="M653" s="9"/>
      <c r="N653" s="9"/>
      <c r="O653" s="9"/>
      <c r="P653" s="13"/>
    </row>
    <row r="654">
      <c r="D654" s="9"/>
      <c r="E654" s="9"/>
      <c r="H654" s="9"/>
      <c r="J654" s="121"/>
      <c r="K654" s="9"/>
      <c r="M654" s="9"/>
      <c r="N654" s="9"/>
      <c r="O654" s="9"/>
      <c r="P654" s="13"/>
    </row>
    <row r="655">
      <c r="D655" s="9"/>
      <c r="E655" s="9"/>
      <c r="H655" s="9"/>
      <c r="J655" s="121"/>
      <c r="K655" s="9"/>
      <c r="M655" s="9"/>
      <c r="N655" s="9"/>
      <c r="O655" s="9"/>
      <c r="P655" s="13"/>
    </row>
    <row r="656">
      <c r="D656" s="9"/>
      <c r="E656" s="9"/>
      <c r="H656" s="9"/>
      <c r="J656" s="121"/>
      <c r="K656" s="9"/>
      <c r="M656" s="9"/>
      <c r="N656" s="9"/>
      <c r="O656" s="9"/>
      <c r="P656" s="13"/>
    </row>
    <row r="657">
      <c r="D657" s="9"/>
      <c r="E657" s="9"/>
      <c r="H657" s="9"/>
      <c r="J657" s="121"/>
      <c r="K657" s="9"/>
      <c r="M657" s="9"/>
      <c r="N657" s="9"/>
      <c r="O657" s="9"/>
      <c r="P657" s="13"/>
    </row>
    <row r="658">
      <c r="D658" s="9"/>
      <c r="E658" s="9"/>
      <c r="H658" s="9"/>
      <c r="J658" s="121"/>
      <c r="K658" s="9"/>
      <c r="M658" s="9"/>
      <c r="N658" s="9"/>
      <c r="O658" s="9"/>
      <c r="P658" s="13"/>
    </row>
    <row r="659">
      <c r="D659" s="9"/>
      <c r="E659" s="9"/>
      <c r="H659" s="9"/>
      <c r="J659" s="121"/>
      <c r="K659" s="9"/>
      <c r="M659" s="9"/>
      <c r="N659" s="9"/>
      <c r="O659" s="9"/>
      <c r="P659" s="13"/>
    </row>
    <row r="660">
      <c r="D660" s="9"/>
      <c r="E660" s="9"/>
      <c r="H660" s="9"/>
      <c r="J660" s="121"/>
      <c r="K660" s="9"/>
      <c r="M660" s="9"/>
      <c r="N660" s="9"/>
      <c r="O660" s="9"/>
      <c r="P660" s="13"/>
    </row>
    <row r="661">
      <c r="D661" s="9"/>
      <c r="E661" s="9"/>
      <c r="H661" s="9"/>
      <c r="J661" s="121"/>
      <c r="K661" s="9"/>
      <c r="M661" s="9"/>
      <c r="N661" s="9"/>
      <c r="O661" s="9"/>
      <c r="P661" s="13"/>
    </row>
    <row r="662">
      <c r="D662" s="9"/>
      <c r="E662" s="9"/>
      <c r="H662" s="9"/>
      <c r="J662" s="121"/>
      <c r="K662" s="9"/>
      <c r="M662" s="9"/>
      <c r="N662" s="9"/>
      <c r="O662" s="9"/>
      <c r="P662" s="13"/>
    </row>
    <row r="663">
      <c r="D663" s="9"/>
      <c r="E663" s="9"/>
      <c r="H663" s="9"/>
      <c r="J663" s="121"/>
      <c r="K663" s="9"/>
      <c r="M663" s="9"/>
      <c r="N663" s="9"/>
      <c r="O663" s="9"/>
      <c r="P663" s="13"/>
    </row>
    <row r="664">
      <c r="D664" s="9"/>
      <c r="E664" s="9"/>
      <c r="H664" s="9"/>
      <c r="J664" s="121"/>
      <c r="K664" s="9"/>
      <c r="M664" s="9"/>
      <c r="N664" s="9"/>
      <c r="O664" s="9"/>
      <c r="P664" s="13"/>
    </row>
    <row r="665">
      <c r="D665" s="9"/>
      <c r="E665" s="9"/>
      <c r="H665" s="9"/>
      <c r="J665" s="121"/>
      <c r="K665" s="9"/>
      <c r="M665" s="9"/>
      <c r="N665" s="9"/>
      <c r="O665" s="9"/>
      <c r="P665" s="13"/>
    </row>
    <row r="666">
      <c r="D666" s="9"/>
      <c r="E666" s="9"/>
      <c r="H666" s="9"/>
      <c r="J666" s="121"/>
      <c r="K666" s="9"/>
      <c r="M666" s="9"/>
      <c r="N666" s="9"/>
      <c r="O666" s="9"/>
      <c r="P666" s="13"/>
    </row>
    <row r="667">
      <c r="D667" s="9"/>
      <c r="E667" s="9"/>
      <c r="H667" s="9"/>
      <c r="J667" s="121"/>
      <c r="K667" s="9"/>
      <c r="M667" s="9"/>
      <c r="N667" s="9"/>
      <c r="O667" s="9"/>
      <c r="P667" s="13"/>
    </row>
    <row r="668">
      <c r="D668" s="9"/>
      <c r="E668" s="9"/>
      <c r="H668" s="9"/>
      <c r="J668" s="121"/>
      <c r="K668" s="9"/>
      <c r="M668" s="9"/>
      <c r="N668" s="9"/>
      <c r="O668" s="9"/>
      <c r="P668" s="13"/>
    </row>
    <row r="669">
      <c r="D669" s="9"/>
      <c r="E669" s="9"/>
      <c r="H669" s="9"/>
      <c r="J669" s="121"/>
      <c r="K669" s="9"/>
      <c r="M669" s="9"/>
      <c r="N669" s="9"/>
      <c r="O669" s="9"/>
      <c r="P669" s="13"/>
    </row>
    <row r="670">
      <c r="D670" s="9"/>
      <c r="E670" s="9"/>
      <c r="H670" s="9"/>
      <c r="J670" s="121"/>
      <c r="K670" s="9"/>
      <c r="M670" s="9"/>
      <c r="N670" s="9"/>
      <c r="O670" s="9"/>
      <c r="P670" s="13"/>
    </row>
    <row r="671">
      <c r="D671" s="9"/>
      <c r="E671" s="9"/>
      <c r="H671" s="9"/>
      <c r="J671" s="121"/>
      <c r="K671" s="9"/>
      <c r="M671" s="9"/>
      <c r="N671" s="9"/>
      <c r="O671" s="9"/>
      <c r="P671" s="13"/>
    </row>
    <row r="672">
      <c r="D672" s="9"/>
      <c r="E672" s="9"/>
      <c r="H672" s="9"/>
      <c r="J672" s="121"/>
      <c r="K672" s="9"/>
      <c r="M672" s="9"/>
      <c r="N672" s="9"/>
      <c r="O672" s="9"/>
      <c r="P672" s="13"/>
    </row>
    <row r="673">
      <c r="D673" s="9"/>
      <c r="E673" s="9"/>
      <c r="H673" s="9"/>
      <c r="J673" s="121"/>
      <c r="K673" s="9"/>
      <c r="M673" s="9"/>
      <c r="N673" s="9"/>
      <c r="O673" s="9"/>
      <c r="P673" s="13"/>
    </row>
    <row r="674">
      <c r="D674" s="9"/>
      <c r="E674" s="9"/>
      <c r="H674" s="9"/>
      <c r="J674" s="121"/>
      <c r="K674" s="9"/>
      <c r="M674" s="9"/>
      <c r="N674" s="9"/>
      <c r="O674" s="9"/>
      <c r="P674" s="13"/>
    </row>
    <row r="675">
      <c r="D675" s="9"/>
      <c r="E675" s="9"/>
      <c r="H675" s="9"/>
      <c r="J675" s="121"/>
      <c r="K675" s="9"/>
      <c r="M675" s="9"/>
      <c r="N675" s="9"/>
      <c r="O675" s="9"/>
      <c r="P675" s="13"/>
    </row>
    <row r="676">
      <c r="D676" s="9"/>
      <c r="E676" s="9"/>
      <c r="H676" s="9"/>
      <c r="J676" s="121"/>
      <c r="K676" s="9"/>
      <c r="M676" s="9"/>
      <c r="N676" s="9"/>
      <c r="O676" s="9"/>
      <c r="P676" s="13"/>
    </row>
    <row r="677">
      <c r="D677" s="9"/>
      <c r="E677" s="9"/>
      <c r="H677" s="9"/>
      <c r="J677" s="121"/>
      <c r="K677" s="9"/>
      <c r="M677" s="9"/>
      <c r="N677" s="9"/>
      <c r="O677" s="9"/>
      <c r="P677" s="13"/>
    </row>
    <row r="678">
      <c r="D678" s="9"/>
      <c r="E678" s="9"/>
      <c r="H678" s="9"/>
      <c r="J678" s="121"/>
      <c r="K678" s="9"/>
      <c r="M678" s="9"/>
      <c r="N678" s="9"/>
      <c r="O678" s="9"/>
      <c r="P678" s="13"/>
    </row>
    <row r="679">
      <c r="D679" s="9"/>
      <c r="E679" s="9"/>
      <c r="H679" s="9"/>
      <c r="J679" s="121"/>
      <c r="K679" s="9"/>
      <c r="M679" s="9"/>
      <c r="N679" s="9"/>
      <c r="O679" s="9"/>
      <c r="P679" s="13"/>
    </row>
    <row r="680">
      <c r="D680" s="9"/>
      <c r="E680" s="9"/>
      <c r="H680" s="9"/>
      <c r="J680" s="121"/>
      <c r="K680" s="9"/>
      <c r="M680" s="9"/>
      <c r="N680" s="9"/>
      <c r="O680" s="9"/>
      <c r="P680" s="13"/>
    </row>
    <row r="681">
      <c r="D681" s="9"/>
      <c r="E681" s="9"/>
      <c r="H681" s="9"/>
      <c r="J681" s="121"/>
      <c r="K681" s="9"/>
      <c r="M681" s="9"/>
      <c r="N681" s="9"/>
      <c r="O681" s="9"/>
      <c r="P681" s="13"/>
    </row>
    <row r="682">
      <c r="D682" s="9"/>
      <c r="E682" s="9"/>
      <c r="H682" s="9"/>
      <c r="J682" s="121"/>
      <c r="K682" s="9"/>
      <c r="M682" s="9"/>
      <c r="N682" s="9"/>
      <c r="O682" s="9"/>
      <c r="P682" s="13"/>
    </row>
    <row r="683">
      <c r="D683" s="9"/>
      <c r="E683" s="9"/>
      <c r="H683" s="9"/>
      <c r="J683" s="121"/>
      <c r="K683" s="9"/>
      <c r="M683" s="9"/>
      <c r="N683" s="9"/>
      <c r="O683" s="9"/>
      <c r="P683" s="13"/>
    </row>
    <row r="684">
      <c r="D684" s="9"/>
      <c r="E684" s="9"/>
      <c r="H684" s="9"/>
      <c r="J684" s="121"/>
      <c r="K684" s="9"/>
      <c r="M684" s="9"/>
      <c r="N684" s="9"/>
      <c r="O684" s="9"/>
      <c r="P684" s="13"/>
    </row>
    <row r="685">
      <c r="D685" s="9"/>
      <c r="E685" s="9"/>
      <c r="H685" s="9"/>
      <c r="J685" s="121"/>
      <c r="K685" s="9"/>
      <c r="M685" s="9"/>
      <c r="N685" s="9"/>
      <c r="O685" s="9"/>
      <c r="P685" s="13"/>
    </row>
    <row r="686">
      <c r="D686" s="9"/>
      <c r="E686" s="9"/>
      <c r="H686" s="9"/>
      <c r="J686" s="121"/>
      <c r="K686" s="9"/>
      <c r="M686" s="9"/>
      <c r="N686" s="9"/>
      <c r="O686" s="9"/>
      <c r="P686" s="13"/>
    </row>
    <row r="687">
      <c r="D687" s="9"/>
      <c r="E687" s="9"/>
      <c r="H687" s="9"/>
      <c r="J687" s="121"/>
      <c r="K687" s="9"/>
      <c r="M687" s="9"/>
      <c r="N687" s="9"/>
      <c r="O687" s="9"/>
      <c r="P687" s="13"/>
    </row>
    <row r="688">
      <c r="D688" s="9"/>
      <c r="E688" s="9"/>
      <c r="H688" s="9"/>
      <c r="J688" s="121"/>
      <c r="K688" s="9"/>
      <c r="M688" s="9"/>
      <c r="N688" s="9"/>
      <c r="O688" s="9"/>
      <c r="P688" s="13"/>
    </row>
    <row r="689">
      <c r="D689" s="9"/>
      <c r="E689" s="9"/>
      <c r="H689" s="9"/>
      <c r="J689" s="121"/>
      <c r="K689" s="9"/>
      <c r="M689" s="9"/>
      <c r="N689" s="9"/>
      <c r="O689" s="9"/>
      <c r="P689" s="13"/>
    </row>
    <row r="690">
      <c r="D690" s="9"/>
      <c r="E690" s="9"/>
      <c r="H690" s="9"/>
      <c r="J690" s="121"/>
      <c r="K690" s="9"/>
      <c r="M690" s="9"/>
      <c r="N690" s="9"/>
      <c r="O690" s="9"/>
      <c r="P690" s="13"/>
    </row>
    <row r="691">
      <c r="D691" s="9"/>
      <c r="E691" s="9"/>
      <c r="H691" s="9"/>
      <c r="J691" s="121"/>
      <c r="K691" s="9"/>
      <c r="M691" s="9"/>
      <c r="N691" s="9"/>
      <c r="O691" s="9"/>
      <c r="P691" s="13"/>
    </row>
    <row r="692">
      <c r="D692" s="9"/>
      <c r="E692" s="9"/>
      <c r="H692" s="9"/>
      <c r="J692" s="121"/>
      <c r="K692" s="9"/>
      <c r="M692" s="9"/>
      <c r="N692" s="9"/>
      <c r="O692" s="9"/>
      <c r="P692" s="13"/>
    </row>
    <row r="693">
      <c r="D693" s="9"/>
      <c r="E693" s="9"/>
      <c r="H693" s="9"/>
      <c r="J693" s="121"/>
      <c r="K693" s="9"/>
      <c r="M693" s="9"/>
      <c r="N693" s="9"/>
      <c r="O693" s="9"/>
      <c r="P693" s="13"/>
    </row>
    <row r="694">
      <c r="D694" s="9"/>
      <c r="E694" s="9"/>
      <c r="H694" s="9"/>
      <c r="J694" s="121"/>
      <c r="K694" s="9"/>
      <c r="M694" s="9"/>
      <c r="N694" s="9"/>
      <c r="O694" s="9"/>
      <c r="P694" s="13"/>
    </row>
    <row r="695">
      <c r="D695" s="9"/>
      <c r="E695" s="9"/>
      <c r="H695" s="9"/>
      <c r="J695" s="121"/>
      <c r="K695" s="9"/>
      <c r="M695" s="9"/>
      <c r="N695" s="9"/>
      <c r="O695" s="9"/>
      <c r="P695" s="13"/>
    </row>
    <row r="696">
      <c r="D696" s="9"/>
      <c r="E696" s="9"/>
      <c r="H696" s="9"/>
      <c r="J696" s="121"/>
      <c r="K696" s="9"/>
      <c r="M696" s="9"/>
      <c r="N696" s="9"/>
      <c r="O696" s="9"/>
      <c r="P696" s="13"/>
    </row>
    <row r="697">
      <c r="D697" s="9"/>
      <c r="E697" s="9"/>
      <c r="H697" s="9"/>
      <c r="J697" s="121"/>
      <c r="K697" s="9"/>
      <c r="M697" s="9"/>
      <c r="N697" s="9"/>
      <c r="O697" s="9"/>
      <c r="P697" s="13"/>
    </row>
    <row r="698">
      <c r="D698" s="9"/>
      <c r="E698" s="9"/>
      <c r="H698" s="9"/>
      <c r="J698" s="121"/>
      <c r="K698" s="9"/>
      <c r="M698" s="9"/>
      <c r="N698" s="9"/>
      <c r="O698" s="9"/>
      <c r="P698" s="13"/>
    </row>
    <row r="699">
      <c r="D699" s="9"/>
      <c r="E699" s="9"/>
      <c r="H699" s="9"/>
      <c r="J699" s="121"/>
      <c r="K699" s="9"/>
      <c r="M699" s="9"/>
      <c r="N699" s="9"/>
      <c r="O699" s="9"/>
      <c r="P699" s="13"/>
    </row>
    <row r="700">
      <c r="D700" s="9"/>
      <c r="E700" s="9"/>
      <c r="H700" s="9"/>
      <c r="J700" s="121"/>
      <c r="K700" s="9"/>
      <c r="M700" s="9"/>
      <c r="N700" s="9"/>
      <c r="O700" s="9"/>
      <c r="P700" s="13"/>
    </row>
    <row r="701">
      <c r="D701" s="9"/>
      <c r="E701" s="9"/>
      <c r="H701" s="9"/>
      <c r="J701" s="121"/>
      <c r="K701" s="9"/>
      <c r="M701" s="9"/>
      <c r="N701" s="9"/>
      <c r="O701" s="9"/>
      <c r="P701" s="13"/>
    </row>
    <row r="702">
      <c r="D702" s="9"/>
      <c r="E702" s="9"/>
      <c r="H702" s="9"/>
      <c r="J702" s="121"/>
      <c r="K702" s="9"/>
      <c r="M702" s="9"/>
      <c r="N702" s="9"/>
      <c r="O702" s="9"/>
      <c r="P702" s="13"/>
    </row>
    <row r="703">
      <c r="D703" s="9"/>
      <c r="E703" s="9"/>
      <c r="H703" s="9"/>
      <c r="J703" s="121"/>
      <c r="K703" s="9"/>
      <c r="M703" s="9"/>
      <c r="N703" s="9"/>
      <c r="O703" s="9"/>
      <c r="P703" s="13"/>
    </row>
    <row r="704">
      <c r="D704" s="9"/>
      <c r="E704" s="9"/>
      <c r="H704" s="9"/>
      <c r="J704" s="121"/>
      <c r="K704" s="9"/>
      <c r="M704" s="9"/>
      <c r="N704" s="9"/>
      <c r="O704" s="9"/>
      <c r="P704" s="13"/>
    </row>
    <row r="705">
      <c r="D705" s="9"/>
      <c r="E705" s="9"/>
      <c r="H705" s="9"/>
      <c r="J705" s="121"/>
      <c r="K705" s="9"/>
      <c r="M705" s="9"/>
      <c r="N705" s="9"/>
      <c r="O705" s="9"/>
      <c r="P705" s="13"/>
    </row>
    <row r="706">
      <c r="D706" s="9"/>
      <c r="E706" s="9"/>
      <c r="H706" s="9"/>
      <c r="J706" s="121"/>
      <c r="K706" s="9"/>
      <c r="M706" s="9"/>
      <c r="N706" s="9"/>
      <c r="O706" s="9"/>
      <c r="P706" s="13"/>
    </row>
    <row r="707">
      <c r="D707" s="9"/>
      <c r="E707" s="9"/>
      <c r="H707" s="9"/>
      <c r="J707" s="121"/>
      <c r="K707" s="9"/>
      <c r="M707" s="9"/>
      <c r="N707" s="9"/>
      <c r="O707" s="9"/>
      <c r="P707" s="13"/>
    </row>
    <row r="708">
      <c r="D708" s="9"/>
      <c r="E708" s="9"/>
      <c r="H708" s="9"/>
      <c r="J708" s="121"/>
      <c r="K708" s="9"/>
      <c r="M708" s="9"/>
      <c r="N708" s="9"/>
      <c r="O708" s="9"/>
      <c r="P708" s="13"/>
    </row>
    <row r="709">
      <c r="D709" s="9"/>
      <c r="E709" s="9"/>
      <c r="H709" s="9"/>
      <c r="J709" s="121"/>
      <c r="K709" s="9"/>
      <c r="M709" s="9"/>
      <c r="N709" s="9"/>
      <c r="O709" s="9"/>
      <c r="P709" s="13"/>
    </row>
    <row r="710">
      <c r="D710" s="9"/>
      <c r="E710" s="9"/>
      <c r="H710" s="9"/>
      <c r="J710" s="121"/>
      <c r="K710" s="9"/>
      <c r="M710" s="9"/>
      <c r="N710" s="9"/>
      <c r="O710" s="9"/>
      <c r="P710" s="13"/>
    </row>
    <row r="711">
      <c r="D711" s="9"/>
      <c r="E711" s="9"/>
      <c r="H711" s="9"/>
      <c r="J711" s="121"/>
      <c r="K711" s="9"/>
      <c r="M711" s="9"/>
      <c r="N711" s="9"/>
      <c r="O711" s="9"/>
      <c r="P711" s="13"/>
    </row>
    <row r="712">
      <c r="D712" s="9"/>
      <c r="E712" s="9"/>
      <c r="H712" s="9"/>
      <c r="J712" s="121"/>
      <c r="K712" s="9"/>
      <c r="M712" s="9"/>
      <c r="N712" s="9"/>
      <c r="O712" s="9"/>
      <c r="P712" s="13"/>
    </row>
    <row r="713">
      <c r="D713" s="9"/>
      <c r="E713" s="9"/>
      <c r="H713" s="9"/>
      <c r="J713" s="121"/>
      <c r="K713" s="9"/>
      <c r="M713" s="9"/>
      <c r="N713" s="9"/>
      <c r="O713" s="9"/>
      <c r="P713" s="13"/>
    </row>
    <row r="714">
      <c r="D714" s="9"/>
      <c r="E714" s="9"/>
      <c r="H714" s="9"/>
      <c r="J714" s="121"/>
      <c r="K714" s="9"/>
      <c r="M714" s="9"/>
      <c r="N714" s="9"/>
      <c r="O714" s="9"/>
      <c r="P714" s="13"/>
    </row>
    <row r="715">
      <c r="D715" s="9"/>
      <c r="E715" s="9"/>
      <c r="H715" s="9"/>
      <c r="J715" s="121"/>
      <c r="K715" s="9"/>
      <c r="M715" s="9"/>
      <c r="N715" s="9"/>
      <c r="O715" s="9"/>
      <c r="P715" s="13"/>
    </row>
    <row r="716">
      <c r="D716" s="9"/>
      <c r="E716" s="9"/>
      <c r="H716" s="9"/>
      <c r="J716" s="121"/>
      <c r="K716" s="9"/>
      <c r="M716" s="9"/>
      <c r="N716" s="9"/>
      <c r="O716" s="9"/>
      <c r="P716" s="13"/>
    </row>
    <row r="717">
      <c r="D717" s="9"/>
      <c r="E717" s="9"/>
      <c r="H717" s="9"/>
      <c r="J717" s="121"/>
      <c r="K717" s="9"/>
      <c r="M717" s="9"/>
      <c r="N717" s="9"/>
      <c r="O717" s="9"/>
      <c r="P717" s="13"/>
    </row>
    <row r="718">
      <c r="D718" s="9"/>
      <c r="E718" s="9"/>
      <c r="H718" s="9"/>
      <c r="J718" s="121"/>
      <c r="K718" s="9"/>
      <c r="M718" s="9"/>
      <c r="N718" s="9"/>
      <c r="O718" s="9"/>
      <c r="P718" s="13"/>
    </row>
    <row r="719">
      <c r="D719" s="9"/>
      <c r="E719" s="9"/>
      <c r="H719" s="9"/>
      <c r="J719" s="121"/>
      <c r="K719" s="9"/>
      <c r="M719" s="9"/>
      <c r="N719" s="9"/>
      <c r="O719" s="9"/>
      <c r="P719" s="13"/>
    </row>
    <row r="720">
      <c r="D720" s="9"/>
      <c r="E720" s="9"/>
      <c r="H720" s="9"/>
      <c r="J720" s="121"/>
      <c r="K720" s="9"/>
      <c r="M720" s="9"/>
      <c r="N720" s="9"/>
      <c r="O720" s="9"/>
      <c r="P720" s="13"/>
    </row>
    <row r="721">
      <c r="D721" s="9"/>
      <c r="E721" s="9"/>
      <c r="H721" s="9"/>
      <c r="J721" s="121"/>
      <c r="K721" s="9"/>
      <c r="M721" s="9"/>
      <c r="N721" s="9"/>
      <c r="O721" s="9"/>
      <c r="P721" s="13"/>
    </row>
    <row r="722">
      <c r="D722" s="9"/>
      <c r="E722" s="9"/>
      <c r="H722" s="9"/>
      <c r="J722" s="121"/>
      <c r="K722" s="9"/>
      <c r="M722" s="9"/>
      <c r="N722" s="9"/>
      <c r="O722" s="9"/>
      <c r="P722" s="13"/>
    </row>
    <row r="723">
      <c r="D723" s="9"/>
      <c r="E723" s="9"/>
      <c r="H723" s="9"/>
      <c r="J723" s="121"/>
      <c r="K723" s="9"/>
      <c r="M723" s="9"/>
      <c r="N723" s="9"/>
      <c r="O723" s="9"/>
      <c r="P723" s="13"/>
    </row>
    <row r="724">
      <c r="D724" s="9"/>
      <c r="E724" s="9"/>
      <c r="H724" s="9"/>
      <c r="J724" s="121"/>
      <c r="K724" s="9"/>
      <c r="M724" s="9"/>
      <c r="N724" s="9"/>
      <c r="O724" s="9"/>
      <c r="P724" s="13"/>
    </row>
    <row r="725">
      <c r="D725" s="9"/>
      <c r="E725" s="9"/>
      <c r="H725" s="9"/>
      <c r="J725" s="121"/>
      <c r="K725" s="9"/>
      <c r="M725" s="9"/>
      <c r="N725" s="9"/>
      <c r="O725" s="9"/>
      <c r="P725" s="13"/>
    </row>
    <row r="726">
      <c r="D726" s="9"/>
      <c r="E726" s="9"/>
      <c r="H726" s="9"/>
      <c r="J726" s="121"/>
      <c r="K726" s="9"/>
      <c r="M726" s="9"/>
      <c r="N726" s="9"/>
      <c r="O726" s="9"/>
      <c r="P726" s="13"/>
    </row>
    <row r="727">
      <c r="D727" s="9"/>
      <c r="E727" s="9"/>
      <c r="H727" s="9"/>
      <c r="J727" s="121"/>
      <c r="K727" s="9"/>
      <c r="M727" s="9"/>
      <c r="N727" s="9"/>
      <c r="O727" s="9"/>
      <c r="P727" s="13"/>
    </row>
    <row r="728">
      <c r="D728" s="9"/>
      <c r="E728" s="9"/>
      <c r="H728" s="9"/>
      <c r="J728" s="121"/>
      <c r="K728" s="9"/>
      <c r="M728" s="9"/>
      <c r="N728" s="9"/>
      <c r="O728" s="9"/>
      <c r="P728" s="13"/>
    </row>
    <row r="729">
      <c r="D729" s="9"/>
      <c r="E729" s="9"/>
      <c r="H729" s="9"/>
      <c r="J729" s="121"/>
      <c r="K729" s="9"/>
      <c r="M729" s="9"/>
      <c r="N729" s="9"/>
      <c r="O729" s="9"/>
      <c r="P729" s="13"/>
    </row>
    <row r="730">
      <c r="D730" s="9"/>
      <c r="E730" s="9"/>
      <c r="H730" s="9"/>
      <c r="J730" s="121"/>
      <c r="K730" s="9"/>
      <c r="M730" s="9"/>
      <c r="N730" s="9"/>
      <c r="O730" s="9"/>
      <c r="P730" s="13"/>
    </row>
    <row r="731">
      <c r="D731" s="9"/>
      <c r="E731" s="9"/>
      <c r="H731" s="9"/>
      <c r="J731" s="121"/>
      <c r="K731" s="9"/>
      <c r="M731" s="9"/>
      <c r="N731" s="9"/>
      <c r="O731" s="9"/>
      <c r="P731" s="13"/>
    </row>
    <row r="732">
      <c r="D732" s="9"/>
      <c r="E732" s="9"/>
      <c r="H732" s="9"/>
      <c r="J732" s="121"/>
      <c r="K732" s="9"/>
      <c r="M732" s="9"/>
      <c r="N732" s="9"/>
      <c r="O732" s="9"/>
      <c r="P732" s="13"/>
    </row>
    <row r="733">
      <c r="D733" s="9"/>
      <c r="E733" s="9"/>
      <c r="H733" s="9"/>
      <c r="J733" s="121"/>
      <c r="K733" s="9"/>
      <c r="M733" s="9"/>
      <c r="N733" s="9"/>
      <c r="O733" s="9"/>
      <c r="P733" s="13"/>
    </row>
    <row r="734">
      <c r="D734" s="9"/>
      <c r="E734" s="9"/>
      <c r="H734" s="9"/>
      <c r="J734" s="121"/>
      <c r="K734" s="9"/>
      <c r="M734" s="9"/>
      <c r="N734" s="9"/>
      <c r="O734" s="9"/>
      <c r="P734" s="13"/>
    </row>
    <row r="735">
      <c r="D735" s="9"/>
      <c r="E735" s="9"/>
      <c r="H735" s="9"/>
      <c r="J735" s="121"/>
      <c r="K735" s="9"/>
      <c r="M735" s="9"/>
      <c r="N735" s="9"/>
      <c r="O735" s="9"/>
      <c r="P735" s="13"/>
    </row>
    <row r="736">
      <c r="D736" s="9"/>
      <c r="E736" s="9"/>
      <c r="H736" s="9"/>
      <c r="J736" s="121"/>
      <c r="K736" s="9"/>
      <c r="M736" s="9"/>
      <c r="N736" s="9"/>
      <c r="O736" s="9"/>
      <c r="P736" s="13"/>
    </row>
    <row r="737">
      <c r="D737" s="9"/>
      <c r="E737" s="9"/>
      <c r="H737" s="9"/>
      <c r="J737" s="121"/>
      <c r="K737" s="9"/>
      <c r="M737" s="9"/>
      <c r="N737" s="9"/>
      <c r="O737" s="9"/>
      <c r="P737" s="13"/>
    </row>
    <row r="738">
      <c r="D738" s="9"/>
      <c r="E738" s="9"/>
      <c r="H738" s="9"/>
      <c r="J738" s="121"/>
      <c r="K738" s="9"/>
      <c r="M738" s="9"/>
      <c r="N738" s="9"/>
      <c r="O738" s="9"/>
      <c r="P738" s="13"/>
    </row>
    <row r="739">
      <c r="D739" s="9"/>
      <c r="E739" s="9"/>
      <c r="H739" s="9"/>
      <c r="J739" s="121"/>
      <c r="K739" s="9"/>
      <c r="M739" s="9"/>
      <c r="N739" s="9"/>
      <c r="O739" s="9"/>
      <c r="P739" s="13"/>
    </row>
    <row r="740">
      <c r="D740" s="9"/>
      <c r="E740" s="9"/>
      <c r="H740" s="9"/>
      <c r="J740" s="121"/>
      <c r="K740" s="9"/>
      <c r="M740" s="9"/>
      <c r="N740" s="9"/>
      <c r="O740" s="9"/>
      <c r="P740" s="13"/>
    </row>
    <row r="741">
      <c r="D741" s="9"/>
      <c r="E741" s="9"/>
      <c r="H741" s="9"/>
      <c r="J741" s="121"/>
      <c r="K741" s="9"/>
      <c r="M741" s="9"/>
      <c r="N741" s="9"/>
      <c r="O741" s="9"/>
      <c r="P741" s="13"/>
    </row>
    <row r="742">
      <c r="D742" s="9"/>
      <c r="E742" s="9"/>
      <c r="H742" s="9"/>
      <c r="J742" s="121"/>
      <c r="K742" s="9"/>
      <c r="M742" s="9"/>
      <c r="N742" s="9"/>
      <c r="O742" s="9"/>
      <c r="P742" s="13"/>
    </row>
    <row r="743">
      <c r="D743" s="9"/>
      <c r="E743" s="9"/>
      <c r="H743" s="9"/>
      <c r="J743" s="121"/>
      <c r="K743" s="9"/>
      <c r="M743" s="9"/>
      <c r="N743" s="9"/>
      <c r="O743" s="9"/>
      <c r="P743" s="13"/>
    </row>
    <row r="744">
      <c r="D744" s="9"/>
      <c r="E744" s="9"/>
      <c r="H744" s="9"/>
      <c r="J744" s="121"/>
      <c r="K744" s="9"/>
      <c r="M744" s="9"/>
      <c r="N744" s="9"/>
      <c r="O744" s="9"/>
      <c r="P744" s="13"/>
    </row>
    <row r="745">
      <c r="D745" s="9"/>
      <c r="E745" s="9"/>
      <c r="H745" s="9"/>
      <c r="J745" s="121"/>
      <c r="K745" s="9"/>
      <c r="M745" s="9"/>
      <c r="N745" s="9"/>
      <c r="O745" s="9"/>
      <c r="P745" s="13"/>
    </row>
    <row r="746">
      <c r="D746" s="9"/>
      <c r="E746" s="9"/>
      <c r="H746" s="9"/>
      <c r="J746" s="121"/>
      <c r="K746" s="9"/>
      <c r="M746" s="9"/>
      <c r="N746" s="9"/>
      <c r="O746" s="9"/>
      <c r="P746" s="13"/>
    </row>
    <row r="747">
      <c r="D747" s="9"/>
      <c r="E747" s="9"/>
      <c r="H747" s="9"/>
      <c r="J747" s="121"/>
      <c r="K747" s="9"/>
      <c r="M747" s="9"/>
      <c r="N747" s="9"/>
      <c r="O747" s="9"/>
      <c r="P747" s="13"/>
    </row>
    <row r="748">
      <c r="D748" s="9"/>
      <c r="E748" s="9"/>
      <c r="H748" s="9"/>
      <c r="J748" s="121"/>
      <c r="K748" s="9"/>
      <c r="M748" s="9"/>
      <c r="N748" s="9"/>
      <c r="O748" s="9"/>
      <c r="P748" s="13"/>
    </row>
    <row r="749">
      <c r="D749" s="9"/>
      <c r="E749" s="9"/>
      <c r="H749" s="9"/>
      <c r="J749" s="121"/>
      <c r="K749" s="9"/>
      <c r="M749" s="9"/>
      <c r="N749" s="9"/>
      <c r="O749" s="9"/>
      <c r="P749" s="13"/>
    </row>
    <row r="750">
      <c r="D750" s="9"/>
      <c r="E750" s="9"/>
      <c r="H750" s="9"/>
      <c r="J750" s="121"/>
      <c r="K750" s="9"/>
      <c r="M750" s="9"/>
      <c r="N750" s="9"/>
      <c r="O750" s="9"/>
      <c r="P750" s="13"/>
    </row>
    <row r="751">
      <c r="D751" s="9"/>
      <c r="E751" s="9"/>
      <c r="H751" s="9"/>
      <c r="J751" s="121"/>
      <c r="K751" s="9"/>
      <c r="M751" s="9"/>
      <c r="N751" s="9"/>
      <c r="O751" s="9"/>
      <c r="P751" s="13"/>
    </row>
    <row r="752">
      <c r="D752" s="9"/>
      <c r="E752" s="9"/>
      <c r="H752" s="9"/>
      <c r="J752" s="121"/>
      <c r="K752" s="9"/>
      <c r="M752" s="9"/>
      <c r="N752" s="9"/>
      <c r="O752" s="9"/>
      <c r="P752" s="13"/>
    </row>
    <row r="753">
      <c r="D753" s="9"/>
      <c r="E753" s="9"/>
      <c r="H753" s="9"/>
      <c r="J753" s="121"/>
      <c r="K753" s="9"/>
      <c r="M753" s="9"/>
      <c r="N753" s="9"/>
      <c r="O753" s="9"/>
      <c r="P753" s="13"/>
    </row>
    <row r="754">
      <c r="D754" s="9"/>
      <c r="E754" s="9"/>
      <c r="H754" s="9"/>
      <c r="J754" s="121"/>
      <c r="K754" s="9"/>
      <c r="M754" s="9"/>
      <c r="N754" s="9"/>
      <c r="O754" s="9"/>
      <c r="P754" s="13"/>
    </row>
    <row r="755">
      <c r="D755" s="9"/>
      <c r="E755" s="9"/>
      <c r="H755" s="9"/>
      <c r="J755" s="121"/>
      <c r="K755" s="9"/>
      <c r="M755" s="9"/>
      <c r="N755" s="9"/>
      <c r="O755" s="9"/>
      <c r="P755" s="13"/>
    </row>
    <row r="756">
      <c r="D756" s="9"/>
      <c r="E756" s="9"/>
      <c r="H756" s="9"/>
      <c r="J756" s="121"/>
      <c r="K756" s="9"/>
      <c r="M756" s="9"/>
      <c r="N756" s="9"/>
      <c r="O756" s="9"/>
      <c r="P756" s="13"/>
    </row>
    <row r="757">
      <c r="D757" s="9"/>
      <c r="E757" s="9"/>
      <c r="H757" s="9"/>
      <c r="J757" s="121"/>
      <c r="K757" s="9"/>
      <c r="M757" s="9"/>
      <c r="N757" s="9"/>
      <c r="O757" s="9"/>
      <c r="P757" s="13"/>
    </row>
    <row r="758">
      <c r="D758" s="9"/>
      <c r="E758" s="9"/>
      <c r="H758" s="9"/>
      <c r="J758" s="121"/>
      <c r="K758" s="9"/>
      <c r="M758" s="9"/>
      <c r="N758" s="9"/>
      <c r="O758" s="9"/>
      <c r="P758" s="13"/>
    </row>
    <row r="759">
      <c r="D759" s="9"/>
      <c r="E759" s="9"/>
      <c r="H759" s="9"/>
      <c r="J759" s="121"/>
      <c r="K759" s="9"/>
      <c r="M759" s="9"/>
      <c r="N759" s="9"/>
      <c r="O759" s="9"/>
      <c r="P759" s="13"/>
    </row>
    <row r="760">
      <c r="D760" s="9"/>
      <c r="E760" s="9"/>
      <c r="H760" s="9"/>
      <c r="J760" s="121"/>
      <c r="K760" s="9"/>
      <c r="M760" s="9"/>
      <c r="N760" s="9"/>
      <c r="O760" s="9"/>
      <c r="P760" s="13"/>
    </row>
    <row r="761">
      <c r="D761" s="9"/>
      <c r="E761" s="9"/>
      <c r="H761" s="9"/>
      <c r="J761" s="121"/>
      <c r="K761" s="9"/>
      <c r="M761" s="9"/>
      <c r="N761" s="9"/>
      <c r="O761" s="9"/>
      <c r="P761" s="13"/>
    </row>
    <row r="762">
      <c r="D762" s="9"/>
      <c r="E762" s="9"/>
      <c r="H762" s="9"/>
      <c r="J762" s="121"/>
      <c r="K762" s="9"/>
      <c r="M762" s="9"/>
      <c r="N762" s="9"/>
      <c r="O762" s="9"/>
      <c r="P762" s="13"/>
    </row>
    <row r="763">
      <c r="D763" s="9"/>
      <c r="E763" s="9"/>
      <c r="H763" s="9"/>
      <c r="J763" s="121"/>
      <c r="K763" s="9"/>
      <c r="M763" s="9"/>
      <c r="N763" s="9"/>
      <c r="O763" s="9"/>
      <c r="P763" s="13"/>
    </row>
    <row r="764">
      <c r="D764" s="9"/>
      <c r="E764" s="9"/>
      <c r="H764" s="9"/>
      <c r="J764" s="121"/>
      <c r="K764" s="9"/>
      <c r="M764" s="9"/>
      <c r="N764" s="9"/>
      <c r="O764" s="9"/>
      <c r="P764" s="13"/>
    </row>
    <row r="765">
      <c r="D765" s="9"/>
      <c r="E765" s="9"/>
      <c r="H765" s="9"/>
      <c r="J765" s="121"/>
      <c r="K765" s="9"/>
      <c r="M765" s="9"/>
      <c r="N765" s="9"/>
      <c r="O765" s="9"/>
      <c r="P765" s="13"/>
    </row>
    <row r="766">
      <c r="D766" s="9"/>
      <c r="E766" s="9"/>
      <c r="H766" s="9"/>
      <c r="J766" s="121"/>
      <c r="K766" s="9"/>
      <c r="M766" s="9"/>
      <c r="N766" s="9"/>
      <c r="O766" s="9"/>
      <c r="P766" s="13"/>
    </row>
    <row r="767">
      <c r="D767" s="9"/>
      <c r="E767" s="9"/>
      <c r="H767" s="9"/>
      <c r="J767" s="121"/>
      <c r="K767" s="9"/>
      <c r="M767" s="9"/>
      <c r="N767" s="9"/>
      <c r="O767" s="9"/>
      <c r="P767" s="13"/>
    </row>
    <row r="768">
      <c r="D768" s="9"/>
      <c r="E768" s="9"/>
      <c r="H768" s="9"/>
      <c r="J768" s="121"/>
      <c r="K768" s="9"/>
      <c r="M768" s="9"/>
      <c r="N768" s="9"/>
      <c r="O768" s="9"/>
      <c r="P768" s="13"/>
    </row>
    <row r="769">
      <c r="D769" s="9"/>
      <c r="E769" s="9"/>
      <c r="H769" s="9"/>
      <c r="J769" s="121"/>
      <c r="K769" s="9"/>
      <c r="M769" s="9"/>
      <c r="N769" s="9"/>
      <c r="O769" s="9"/>
      <c r="P769" s="13"/>
    </row>
    <row r="770">
      <c r="D770" s="9"/>
      <c r="E770" s="9"/>
      <c r="H770" s="9"/>
      <c r="J770" s="121"/>
      <c r="K770" s="9"/>
      <c r="M770" s="9"/>
      <c r="N770" s="9"/>
      <c r="O770" s="9"/>
      <c r="P770" s="13"/>
    </row>
    <row r="771">
      <c r="D771" s="9"/>
      <c r="E771" s="9"/>
      <c r="H771" s="9"/>
      <c r="J771" s="121"/>
      <c r="K771" s="9"/>
      <c r="M771" s="9"/>
      <c r="N771" s="9"/>
      <c r="O771" s="9"/>
      <c r="P771" s="13"/>
    </row>
    <row r="772">
      <c r="D772" s="9"/>
      <c r="E772" s="9"/>
      <c r="H772" s="9"/>
      <c r="J772" s="121"/>
      <c r="K772" s="9"/>
      <c r="M772" s="9"/>
      <c r="N772" s="9"/>
      <c r="O772" s="9"/>
      <c r="P772" s="13"/>
    </row>
    <row r="773">
      <c r="D773" s="9"/>
      <c r="E773" s="9"/>
      <c r="H773" s="9"/>
      <c r="J773" s="121"/>
      <c r="K773" s="9"/>
      <c r="M773" s="9"/>
      <c r="N773" s="9"/>
      <c r="O773" s="9"/>
      <c r="P773" s="13"/>
    </row>
    <row r="774">
      <c r="D774" s="9"/>
      <c r="E774" s="9"/>
      <c r="H774" s="9"/>
      <c r="J774" s="121"/>
      <c r="K774" s="9"/>
      <c r="M774" s="9"/>
      <c r="N774" s="9"/>
      <c r="O774" s="9"/>
      <c r="P774" s="13"/>
    </row>
    <row r="775">
      <c r="D775" s="9"/>
      <c r="E775" s="9"/>
      <c r="H775" s="9"/>
      <c r="J775" s="121"/>
      <c r="K775" s="9"/>
      <c r="M775" s="9"/>
      <c r="N775" s="9"/>
      <c r="O775" s="9"/>
      <c r="P775" s="13"/>
    </row>
    <row r="776">
      <c r="D776" s="9"/>
      <c r="E776" s="9"/>
      <c r="H776" s="9"/>
      <c r="J776" s="121"/>
      <c r="K776" s="9"/>
      <c r="M776" s="9"/>
      <c r="N776" s="9"/>
      <c r="O776" s="9"/>
      <c r="P776" s="13"/>
    </row>
    <row r="777">
      <c r="D777" s="9"/>
      <c r="E777" s="9"/>
      <c r="H777" s="9"/>
      <c r="J777" s="121"/>
      <c r="K777" s="9"/>
      <c r="M777" s="9"/>
      <c r="N777" s="9"/>
      <c r="O777" s="9"/>
      <c r="P777" s="13"/>
    </row>
    <row r="778">
      <c r="D778" s="9"/>
      <c r="E778" s="9"/>
      <c r="H778" s="9"/>
      <c r="J778" s="121"/>
      <c r="K778" s="9"/>
      <c r="M778" s="9"/>
      <c r="N778" s="9"/>
      <c r="O778" s="9"/>
      <c r="P778" s="13"/>
    </row>
    <row r="779">
      <c r="D779" s="9"/>
      <c r="E779" s="9"/>
      <c r="H779" s="9"/>
      <c r="J779" s="121"/>
      <c r="K779" s="9"/>
      <c r="M779" s="9"/>
      <c r="N779" s="9"/>
      <c r="O779" s="9"/>
      <c r="P779" s="13"/>
    </row>
    <row r="780">
      <c r="D780" s="9"/>
      <c r="E780" s="9"/>
      <c r="H780" s="9"/>
      <c r="J780" s="121"/>
      <c r="K780" s="9"/>
      <c r="M780" s="9"/>
      <c r="N780" s="9"/>
      <c r="O780" s="9"/>
      <c r="P780" s="13"/>
    </row>
    <row r="781">
      <c r="D781" s="9"/>
      <c r="E781" s="9"/>
      <c r="H781" s="9"/>
      <c r="J781" s="121"/>
      <c r="K781" s="9"/>
      <c r="M781" s="9"/>
      <c r="N781" s="9"/>
      <c r="O781" s="9"/>
      <c r="P781" s="13"/>
    </row>
    <row r="782">
      <c r="D782" s="9"/>
      <c r="E782" s="9"/>
      <c r="H782" s="9"/>
      <c r="J782" s="121"/>
      <c r="K782" s="9"/>
      <c r="M782" s="9"/>
      <c r="N782" s="9"/>
      <c r="O782" s="9"/>
      <c r="P782" s="13"/>
    </row>
    <row r="783">
      <c r="D783" s="9"/>
      <c r="E783" s="9"/>
      <c r="H783" s="9"/>
      <c r="J783" s="121"/>
      <c r="K783" s="9"/>
      <c r="M783" s="9"/>
      <c r="N783" s="9"/>
      <c r="O783" s="9"/>
      <c r="P783" s="13"/>
    </row>
    <row r="784">
      <c r="D784" s="9"/>
      <c r="E784" s="9"/>
      <c r="H784" s="9"/>
      <c r="J784" s="121"/>
      <c r="K784" s="9"/>
      <c r="M784" s="9"/>
      <c r="N784" s="9"/>
      <c r="O784" s="9"/>
      <c r="P784" s="13"/>
    </row>
    <row r="785">
      <c r="D785" s="9"/>
      <c r="E785" s="9"/>
      <c r="H785" s="9"/>
      <c r="J785" s="121"/>
      <c r="K785" s="9"/>
      <c r="M785" s="9"/>
      <c r="N785" s="9"/>
      <c r="O785" s="9"/>
      <c r="P785" s="13"/>
    </row>
    <row r="786">
      <c r="D786" s="9"/>
      <c r="E786" s="9"/>
      <c r="H786" s="9"/>
      <c r="J786" s="121"/>
      <c r="K786" s="9"/>
      <c r="M786" s="9"/>
      <c r="N786" s="9"/>
      <c r="O786" s="9"/>
      <c r="P786" s="13"/>
    </row>
    <row r="787">
      <c r="D787" s="9"/>
      <c r="E787" s="9"/>
      <c r="H787" s="9"/>
      <c r="J787" s="121"/>
      <c r="K787" s="9"/>
      <c r="M787" s="9"/>
      <c r="N787" s="9"/>
      <c r="O787" s="9"/>
      <c r="P787" s="13"/>
    </row>
    <row r="788">
      <c r="D788" s="9"/>
      <c r="E788" s="9"/>
      <c r="H788" s="9"/>
      <c r="J788" s="121"/>
      <c r="K788" s="9"/>
      <c r="M788" s="9"/>
      <c r="N788" s="9"/>
      <c r="O788" s="9"/>
      <c r="P788" s="13"/>
    </row>
    <row r="789">
      <c r="D789" s="9"/>
      <c r="E789" s="9"/>
      <c r="H789" s="9"/>
      <c r="J789" s="121"/>
      <c r="K789" s="9"/>
      <c r="M789" s="9"/>
      <c r="N789" s="9"/>
      <c r="O789" s="9"/>
      <c r="P789" s="13"/>
    </row>
    <row r="790">
      <c r="D790" s="9"/>
      <c r="E790" s="9"/>
      <c r="H790" s="9"/>
      <c r="J790" s="121"/>
      <c r="K790" s="9"/>
      <c r="M790" s="9"/>
      <c r="N790" s="9"/>
      <c r="O790" s="9"/>
      <c r="P790" s="13"/>
    </row>
    <row r="791">
      <c r="D791" s="9"/>
      <c r="E791" s="9"/>
      <c r="H791" s="9"/>
      <c r="J791" s="121"/>
      <c r="K791" s="9"/>
      <c r="M791" s="9"/>
      <c r="N791" s="9"/>
      <c r="O791" s="9"/>
      <c r="P791" s="13"/>
    </row>
    <row r="792">
      <c r="D792" s="9"/>
      <c r="E792" s="9"/>
      <c r="H792" s="9"/>
      <c r="J792" s="121"/>
      <c r="K792" s="9"/>
      <c r="M792" s="9"/>
      <c r="N792" s="9"/>
      <c r="O792" s="9"/>
      <c r="P792" s="13"/>
    </row>
    <row r="793">
      <c r="D793" s="9"/>
      <c r="E793" s="9"/>
      <c r="H793" s="9"/>
      <c r="J793" s="121"/>
      <c r="K793" s="9"/>
      <c r="M793" s="9"/>
      <c r="N793" s="9"/>
      <c r="O793" s="9"/>
      <c r="P793" s="13"/>
    </row>
    <row r="794">
      <c r="D794" s="9"/>
      <c r="E794" s="9"/>
      <c r="H794" s="9"/>
      <c r="J794" s="121"/>
      <c r="K794" s="9"/>
      <c r="M794" s="9"/>
      <c r="N794" s="9"/>
      <c r="O794" s="9"/>
      <c r="P794" s="13"/>
    </row>
    <row r="795">
      <c r="D795" s="9"/>
      <c r="E795" s="9"/>
      <c r="H795" s="9"/>
      <c r="J795" s="121"/>
      <c r="K795" s="9"/>
      <c r="M795" s="9"/>
      <c r="N795" s="9"/>
      <c r="O795" s="9"/>
      <c r="P795" s="13"/>
    </row>
    <row r="796">
      <c r="D796" s="9"/>
      <c r="E796" s="9"/>
      <c r="H796" s="9"/>
      <c r="J796" s="121"/>
      <c r="K796" s="9"/>
      <c r="M796" s="9"/>
      <c r="N796" s="9"/>
      <c r="O796" s="9"/>
      <c r="P796" s="13"/>
    </row>
    <row r="797">
      <c r="D797" s="9"/>
      <c r="E797" s="9"/>
      <c r="H797" s="9"/>
      <c r="J797" s="121"/>
      <c r="K797" s="9"/>
      <c r="M797" s="9"/>
      <c r="N797" s="9"/>
      <c r="O797" s="9"/>
      <c r="P797" s="13"/>
    </row>
    <row r="798">
      <c r="D798" s="9"/>
      <c r="E798" s="9"/>
      <c r="H798" s="9"/>
      <c r="J798" s="121"/>
      <c r="K798" s="9"/>
      <c r="M798" s="9"/>
      <c r="N798" s="9"/>
      <c r="O798" s="9"/>
      <c r="P798" s="13"/>
    </row>
    <row r="799">
      <c r="D799" s="9"/>
      <c r="E799" s="9"/>
      <c r="H799" s="9"/>
      <c r="J799" s="121"/>
      <c r="K799" s="9"/>
      <c r="M799" s="9"/>
      <c r="N799" s="9"/>
      <c r="O799" s="9"/>
      <c r="P799" s="13"/>
    </row>
    <row r="800">
      <c r="D800" s="9"/>
      <c r="E800" s="9"/>
      <c r="H800" s="9"/>
      <c r="J800" s="121"/>
      <c r="K800" s="9"/>
      <c r="M800" s="9"/>
      <c r="N800" s="9"/>
      <c r="O800" s="9"/>
      <c r="P800" s="13"/>
    </row>
    <row r="801">
      <c r="D801" s="9"/>
      <c r="E801" s="9"/>
      <c r="H801" s="9"/>
      <c r="J801" s="121"/>
      <c r="K801" s="9"/>
      <c r="M801" s="9"/>
      <c r="N801" s="9"/>
      <c r="O801" s="9"/>
      <c r="P801" s="13"/>
    </row>
    <row r="802">
      <c r="D802" s="9"/>
      <c r="E802" s="9"/>
      <c r="H802" s="9"/>
      <c r="J802" s="121"/>
      <c r="K802" s="9"/>
      <c r="M802" s="9"/>
      <c r="N802" s="9"/>
      <c r="O802" s="9"/>
      <c r="P802" s="13"/>
    </row>
    <row r="803">
      <c r="D803" s="9"/>
      <c r="E803" s="9"/>
      <c r="H803" s="9"/>
      <c r="J803" s="121"/>
      <c r="K803" s="9"/>
      <c r="M803" s="9"/>
      <c r="N803" s="9"/>
      <c r="O803" s="9"/>
      <c r="P803" s="13"/>
    </row>
    <row r="804">
      <c r="D804" s="9"/>
      <c r="E804" s="9"/>
      <c r="H804" s="9"/>
      <c r="J804" s="121"/>
      <c r="K804" s="9"/>
      <c r="M804" s="9"/>
      <c r="N804" s="9"/>
      <c r="O804" s="9"/>
      <c r="P804" s="13"/>
    </row>
    <row r="805">
      <c r="D805" s="9"/>
      <c r="E805" s="9"/>
      <c r="H805" s="9"/>
      <c r="J805" s="121"/>
      <c r="K805" s="9"/>
      <c r="M805" s="9"/>
      <c r="N805" s="9"/>
      <c r="O805" s="9"/>
      <c r="P805" s="13"/>
    </row>
    <row r="806">
      <c r="D806" s="9"/>
      <c r="E806" s="9"/>
      <c r="H806" s="9"/>
      <c r="J806" s="121"/>
      <c r="K806" s="9"/>
      <c r="M806" s="9"/>
      <c r="N806" s="9"/>
      <c r="O806" s="9"/>
      <c r="P806" s="13"/>
    </row>
    <row r="807">
      <c r="D807" s="9"/>
      <c r="E807" s="9"/>
      <c r="H807" s="9"/>
      <c r="J807" s="121"/>
      <c r="K807" s="9"/>
      <c r="M807" s="9"/>
      <c r="N807" s="9"/>
      <c r="O807" s="9"/>
      <c r="P807" s="13"/>
    </row>
    <row r="808">
      <c r="D808" s="9"/>
      <c r="E808" s="9"/>
      <c r="H808" s="9"/>
      <c r="J808" s="121"/>
      <c r="K808" s="9"/>
      <c r="M808" s="9"/>
      <c r="N808" s="9"/>
      <c r="O808" s="9"/>
      <c r="P808" s="13"/>
    </row>
    <row r="809">
      <c r="D809" s="9"/>
      <c r="E809" s="9"/>
      <c r="H809" s="9"/>
      <c r="J809" s="121"/>
      <c r="K809" s="9"/>
      <c r="M809" s="9"/>
      <c r="N809" s="9"/>
      <c r="O809" s="9"/>
      <c r="P809" s="13"/>
    </row>
    <row r="810">
      <c r="D810" s="9"/>
      <c r="E810" s="9"/>
      <c r="H810" s="9"/>
      <c r="J810" s="121"/>
      <c r="K810" s="9"/>
      <c r="M810" s="9"/>
      <c r="N810" s="9"/>
      <c r="O810" s="9"/>
      <c r="P810" s="13"/>
    </row>
    <row r="811">
      <c r="D811" s="9"/>
      <c r="E811" s="9"/>
      <c r="H811" s="9"/>
      <c r="J811" s="121"/>
      <c r="K811" s="9"/>
      <c r="M811" s="9"/>
      <c r="N811" s="9"/>
      <c r="O811" s="9"/>
      <c r="P811" s="13"/>
    </row>
    <row r="812">
      <c r="D812" s="9"/>
      <c r="E812" s="9"/>
      <c r="H812" s="9"/>
      <c r="J812" s="121"/>
      <c r="K812" s="9"/>
      <c r="M812" s="9"/>
      <c r="N812" s="9"/>
      <c r="O812" s="9"/>
      <c r="P812" s="13"/>
    </row>
    <row r="813">
      <c r="D813" s="9"/>
      <c r="E813" s="9"/>
      <c r="H813" s="9"/>
      <c r="J813" s="121"/>
      <c r="K813" s="9"/>
      <c r="M813" s="9"/>
      <c r="N813" s="9"/>
      <c r="O813" s="9"/>
      <c r="P813" s="13"/>
    </row>
    <row r="814">
      <c r="D814" s="9"/>
      <c r="E814" s="9"/>
      <c r="H814" s="9"/>
      <c r="J814" s="121"/>
      <c r="K814" s="9"/>
      <c r="M814" s="9"/>
      <c r="N814" s="9"/>
      <c r="O814" s="9"/>
      <c r="P814" s="13"/>
    </row>
    <row r="815">
      <c r="D815" s="9"/>
      <c r="E815" s="9"/>
      <c r="H815" s="9"/>
      <c r="J815" s="121"/>
      <c r="K815" s="9"/>
      <c r="M815" s="9"/>
      <c r="N815" s="9"/>
      <c r="O815" s="9"/>
      <c r="P815" s="13"/>
    </row>
    <row r="816">
      <c r="D816" s="9"/>
      <c r="E816" s="9"/>
      <c r="H816" s="9"/>
      <c r="J816" s="121"/>
      <c r="K816" s="9"/>
      <c r="M816" s="9"/>
      <c r="N816" s="9"/>
      <c r="O816" s="9"/>
      <c r="P816" s="13"/>
    </row>
    <row r="817">
      <c r="D817" s="9"/>
      <c r="E817" s="9"/>
      <c r="H817" s="9"/>
      <c r="J817" s="121"/>
      <c r="K817" s="9"/>
      <c r="M817" s="9"/>
      <c r="N817" s="9"/>
      <c r="O817" s="9"/>
      <c r="P817" s="13"/>
    </row>
    <row r="818">
      <c r="D818" s="9"/>
      <c r="E818" s="9"/>
      <c r="H818" s="9"/>
      <c r="J818" s="121"/>
      <c r="K818" s="9"/>
      <c r="M818" s="9"/>
      <c r="N818" s="9"/>
      <c r="O818" s="9"/>
      <c r="P818" s="13"/>
    </row>
    <row r="819">
      <c r="D819" s="9"/>
      <c r="E819" s="9"/>
      <c r="H819" s="9"/>
      <c r="J819" s="121"/>
      <c r="K819" s="9"/>
      <c r="M819" s="9"/>
      <c r="N819" s="9"/>
      <c r="O819" s="9"/>
      <c r="P819" s="13"/>
    </row>
    <row r="820">
      <c r="D820" s="9"/>
      <c r="E820" s="9"/>
      <c r="H820" s="9"/>
      <c r="J820" s="121"/>
      <c r="K820" s="9"/>
      <c r="M820" s="9"/>
      <c r="N820" s="9"/>
      <c r="O820" s="9"/>
      <c r="P820" s="13"/>
    </row>
    <row r="821">
      <c r="D821" s="9"/>
      <c r="E821" s="9"/>
      <c r="H821" s="9"/>
      <c r="J821" s="121"/>
      <c r="K821" s="9"/>
      <c r="M821" s="9"/>
      <c r="N821" s="9"/>
      <c r="O821" s="9"/>
      <c r="P821" s="13"/>
    </row>
    <row r="822">
      <c r="D822" s="9"/>
      <c r="E822" s="9"/>
      <c r="H822" s="9"/>
      <c r="J822" s="121"/>
      <c r="K822" s="9"/>
      <c r="M822" s="9"/>
      <c r="N822" s="9"/>
      <c r="O822" s="9"/>
      <c r="P822" s="13"/>
    </row>
    <row r="823">
      <c r="D823" s="9"/>
      <c r="E823" s="9"/>
      <c r="H823" s="9"/>
      <c r="J823" s="121"/>
      <c r="K823" s="9"/>
      <c r="M823" s="9"/>
      <c r="N823" s="9"/>
      <c r="O823" s="9"/>
      <c r="P823" s="13"/>
    </row>
    <row r="824">
      <c r="D824" s="9"/>
      <c r="E824" s="9"/>
      <c r="H824" s="9"/>
      <c r="J824" s="121"/>
      <c r="K824" s="9"/>
      <c r="M824" s="9"/>
      <c r="N824" s="9"/>
      <c r="O824" s="9"/>
      <c r="P824" s="13"/>
    </row>
    <row r="825">
      <c r="D825" s="9"/>
      <c r="E825" s="9"/>
      <c r="H825" s="9"/>
      <c r="J825" s="121"/>
      <c r="K825" s="9"/>
      <c r="M825" s="9"/>
      <c r="N825" s="9"/>
      <c r="O825" s="9"/>
      <c r="P825" s="13"/>
    </row>
    <row r="826">
      <c r="D826" s="9"/>
      <c r="E826" s="9"/>
      <c r="H826" s="9"/>
      <c r="J826" s="121"/>
      <c r="K826" s="9"/>
      <c r="M826" s="9"/>
      <c r="N826" s="9"/>
      <c r="O826" s="9"/>
      <c r="P826" s="13"/>
    </row>
    <row r="827">
      <c r="D827" s="9"/>
      <c r="E827" s="9"/>
      <c r="H827" s="9"/>
      <c r="J827" s="121"/>
      <c r="K827" s="9"/>
      <c r="M827" s="9"/>
      <c r="N827" s="9"/>
      <c r="O827" s="9"/>
      <c r="P827" s="13"/>
    </row>
    <row r="828">
      <c r="D828" s="9"/>
      <c r="E828" s="9"/>
      <c r="H828" s="9"/>
      <c r="J828" s="121"/>
      <c r="K828" s="9"/>
      <c r="M828" s="9"/>
      <c r="N828" s="9"/>
      <c r="O828" s="9"/>
      <c r="P828" s="13"/>
    </row>
    <row r="829">
      <c r="D829" s="9"/>
      <c r="E829" s="9"/>
      <c r="H829" s="9"/>
      <c r="J829" s="121"/>
      <c r="K829" s="9"/>
      <c r="M829" s="9"/>
      <c r="N829" s="9"/>
      <c r="O829" s="9"/>
      <c r="P829" s="13"/>
    </row>
    <row r="830">
      <c r="D830" s="9"/>
      <c r="E830" s="9"/>
      <c r="H830" s="9"/>
      <c r="J830" s="121"/>
      <c r="K830" s="9"/>
      <c r="M830" s="9"/>
      <c r="N830" s="9"/>
      <c r="O830" s="9"/>
      <c r="P830" s="13"/>
    </row>
    <row r="831">
      <c r="D831" s="9"/>
      <c r="E831" s="9"/>
      <c r="H831" s="9"/>
      <c r="J831" s="121"/>
      <c r="K831" s="9"/>
      <c r="M831" s="9"/>
      <c r="N831" s="9"/>
      <c r="O831" s="9"/>
      <c r="P831" s="13"/>
    </row>
    <row r="832">
      <c r="D832" s="9"/>
      <c r="E832" s="9"/>
      <c r="H832" s="9"/>
      <c r="J832" s="121"/>
      <c r="K832" s="9"/>
      <c r="M832" s="9"/>
      <c r="N832" s="9"/>
      <c r="O832" s="9"/>
      <c r="P832" s="13"/>
    </row>
    <row r="833">
      <c r="D833" s="9"/>
      <c r="E833" s="9"/>
      <c r="H833" s="9"/>
      <c r="J833" s="121"/>
      <c r="K833" s="9"/>
      <c r="M833" s="9"/>
      <c r="N833" s="9"/>
      <c r="O833" s="9"/>
      <c r="P833" s="13"/>
    </row>
    <row r="834">
      <c r="D834" s="9"/>
      <c r="E834" s="9"/>
      <c r="H834" s="9"/>
      <c r="J834" s="121"/>
      <c r="K834" s="9"/>
      <c r="M834" s="9"/>
      <c r="N834" s="9"/>
      <c r="O834" s="9"/>
      <c r="P834" s="13"/>
    </row>
    <row r="835">
      <c r="D835" s="9"/>
      <c r="E835" s="9"/>
      <c r="H835" s="9"/>
      <c r="J835" s="121"/>
      <c r="K835" s="9"/>
      <c r="M835" s="9"/>
      <c r="N835" s="9"/>
      <c r="O835" s="9"/>
      <c r="P835" s="13"/>
    </row>
    <row r="836">
      <c r="D836" s="9"/>
      <c r="E836" s="9"/>
      <c r="H836" s="9"/>
      <c r="J836" s="121"/>
      <c r="K836" s="9"/>
      <c r="M836" s="9"/>
      <c r="N836" s="9"/>
      <c r="O836" s="9"/>
      <c r="P836" s="13"/>
    </row>
    <row r="837">
      <c r="D837" s="9"/>
      <c r="E837" s="9"/>
      <c r="H837" s="9"/>
      <c r="J837" s="121"/>
      <c r="K837" s="9"/>
      <c r="M837" s="9"/>
      <c r="N837" s="9"/>
      <c r="O837" s="9"/>
      <c r="P837" s="13"/>
    </row>
    <row r="838">
      <c r="D838" s="9"/>
      <c r="E838" s="9"/>
      <c r="H838" s="9"/>
      <c r="J838" s="121"/>
      <c r="K838" s="9"/>
      <c r="M838" s="9"/>
      <c r="N838" s="9"/>
      <c r="O838" s="9"/>
      <c r="P838" s="13"/>
    </row>
    <row r="839">
      <c r="D839" s="9"/>
      <c r="E839" s="9"/>
      <c r="H839" s="9"/>
      <c r="J839" s="121"/>
      <c r="K839" s="9"/>
      <c r="M839" s="9"/>
      <c r="N839" s="9"/>
      <c r="O839" s="9"/>
      <c r="P839" s="13"/>
    </row>
    <row r="840">
      <c r="D840" s="9"/>
      <c r="E840" s="9"/>
      <c r="H840" s="9"/>
      <c r="J840" s="121"/>
      <c r="K840" s="9"/>
      <c r="M840" s="9"/>
      <c r="N840" s="9"/>
      <c r="O840" s="9"/>
      <c r="P840" s="13"/>
    </row>
    <row r="841">
      <c r="D841" s="9"/>
      <c r="E841" s="9"/>
      <c r="H841" s="9"/>
      <c r="J841" s="121"/>
      <c r="K841" s="9"/>
      <c r="M841" s="9"/>
      <c r="N841" s="9"/>
      <c r="O841" s="9"/>
      <c r="P841" s="13"/>
    </row>
    <row r="842">
      <c r="D842" s="9"/>
      <c r="E842" s="9"/>
      <c r="H842" s="9"/>
      <c r="J842" s="121"/>
      <c r="K842" s="9"/>
      <c r="M842" s="9"/>
      <c r="N842" s="9"/>
      <c r="O842" s="9"/>
      <c r="P842" s="13"/>
    </row>
    <row r="843">
      <c r="D843" s="9"/>
      <c r="E843" s="9"/>
      <c r="H843" s="9"/>
      <c r="J843" s="121"/>
      <c r="K843" s="9"/>
      <c r="M843" s="9"/>
      <c r="N843" s="9"/>
      <c r="O843" s="9"/>
      <c r="P843" s="13"/>
    </row>
    <row r="844">
      <c r="D844" s="9"/>
      <c r="E844" s="9"/>
      <c r="H844" s="9"/>
      <c r="J844" s="121"/>
      <c r="K844" s="9"/>
      <c r="M844" s="9"/>
      <c r="N844" s="9"/>
      <c r="O844" s="9"/>
      <c r="P844" s="13"/>
    </row>
    <row r="845">
      <c r="D845" s="9"/>
      <c r="E845" s="9"/>
      <c r="H845" s="9"/>
      <c r="J845" s="121"/>
      <c r="K845" s="9"/>
      <c r="M845" s="9"/>
      <c r="N845" s="9"/>
      <c r="O845" s="9"/>
      <c r="P845" s="13"/>
    </row>
    <row r="846">
      <c r="D846" s="9"/>
      <c r="E846" s="9"/>
      <c r="H846" s="9"/>
      <c r="J846" s="121"/>
      <c r="K846" s="9"/>
      <c r="M846" s="9"/>
      <c r="N846" s="9"/>
      <c r="O846" s="9"/>
      <c r="P846" s="13"/>
    </row>
    <row r="847">
      <c r="D847" s="9"/>
      <c r="E847" s="9"/>
      <c r="H847" s="9"/>
      <c r="J847" s="121"/>
      <c r="K847" s="9"/>
      <c r="M847" s="9"/>
      <c r="N847" s="9"/>
      <c r="O847" s="9"/>
      <c r="P847" s="13"/>
    </row>
    <row r="848">
      <c r="D848" s="9"/>
      <c r="E848" s="9"/>
      <c r="H848" s="9"/>
      <c r="J848" s="121"/>
      <c r="K848" s="9"/>
      <c r="M848" s="9"/>
      <c r="N848" s="9"/>
      <c r="O848" s="9"/>
      <c r="P848" s="13"/>
    </row>
    <row r="849">
      <c r="D849" s="9"/>
      <c r="E849" s="9"/>
      <c r="H849" s="9"/>
      <c r="J849" s="121"/>
      <c r="K849" s="9"/>
      <c r="M849" s="9"/>
      <c r="N849" s="9"/>
      <c r="O849" s="9"/>
      <c r="P849" s="13"/>
    </row>
    <row r="850">
      <c r="D850" s="9"/>
      <c r="E850" s="9"/>
      <c r="H850" s="9"/>
      <c r="J850" s="121"/>
      <c r="K850" s="9"/>
      <c r="M850" s="9"/>
      <c r="N850" s="9"/>
      <c r="O850" s="9"/>
      <c r="P850" s="13"/>
    </row>
    <row r="851">
      <c r="D851" s="9"/>
      <c r="E851" s="9"/>
      <c r="H851" s="9"/>
      <c r="J851" s="121"/>
      <c r="K851" s="9"/>
      <c r="M851" s="9"/>
      <c r="N851" s="9"/>
      <c r="O851" s="9"/>
      <c r="P851" s="13"/>
    </row>
    <row r="852">
      <c r="D852" s="9"/>
      <c r="E852" s="9"/>
      <c r="H852" s="9"/>
      <c r="J852" s="121"/>
      <c r="K852" s="9"/>
      <c r="M852" s="9"/>
      <c r="N852" s="9"/>
      <c r="O852" s="9"/>
      <c r="P852" s="13"/>
    </row>
    <row r="853">
      <c r="D853" s="9"/>
      <c r="E853" s="9"/>
      <c r="H853" s="9"/>
      <c r="J853" s="121"/>
      <c r="K853" s="9"/>
      <c r="M853" s="9"/>
      <c r="N853" s="9"/>
      <c r="O853" s="9"/>
      <c r="P853" s="13"/>
    </row>
    <row r="854">
      <c r="D854" s="9"/>
      <c r="E854" s="9"/>
      <c r="H854" s="9"/>
      <c r="J854" s="121"/>
      <c r="K854" s="9"/>
      <c r="M854" s="9"/>
      <c r="N854" s="9"/>
      <c r="O854" s="9"/>
      <c r="P854" s="13"/>
    </row>
    <row r="855">
      <c r="D855" s="9"/>
      <c r="E855" s="9"/>
      <c r="H855" s="9"/>
      <c r="J855" s="121"/>
      <c r="K855" s="9"/>
      <c r="M855" s="9"/>
      <c r="N855" s="9"/>
      <c r="O855" s="9"/>
      <c r="P855" s="13"/>
    </row>
    <row r="856">
      <c r="D856" s="9"/>
      <c r="E856" s="9"/>
      <c r="H856" s="9"/>
      <c r="J856" s="121"/>
      <c r="K856" s="9"/>
      <c r="M856" s="9"/>
      <c r="N856" s="9"/>
      <c r="O856" s="9"/>
      <c r="P856" s="13"/>
    </row>
    <row r="857">
      <c r="D857" s="9"/>
      <c r="E857" s="9"/>
      <c r="H857" s="9"/>
      <c r="J857" s="121"/>
      <c r="K857" s="9"/>
      <c r="M857" s="9"/>
      <c r="N857" s="9"/>
      <c r="O857" s="9"/>
      <c r="P857" s="13"/>
    </row>
    <row r="858">
      <c r="D858" s="9"/>
      <c r="E858" s="9"/>
      <c r="H858" s="9"/>
      <c r="J858" s="121"/>
      <c r="K858" s="9"/>
      <c r="M858" s="9"/>
      <c r="N858" s="9"/>
      <c r="O858" s="9"/>
      <c r="P858" s="13"/>
    </row>
    <row r="859">
      <c r="D859" s="9"/>
      <c r="E859" s="9"/>
      <c r="H859" s="9"/>
      <c r="J859" s="121"/>
      <c r="K859" s="9"/>
      <c r="M859" s="9"/>
      <c r="N859" s="9"/>
      <c r="O859" s="9"/>
      <c r="P859" s="13"/>
    </row>
    <row r="860">
      <c r="D860" s="9"/>
      <c r="E860" s="9"/>
      <c r="H860" s="9"/>
      <c r="J860" s="121"/>
      <c r="K860" s="9"/>
      <c r="M860" s="9"/>
      <c r="N860" s="9"/>
      <c r="O860" s="9"/>
      <c r="P860" s="13"/>
    </row>
    <row r="861">
      <c r="D861" s="9"/>
      <c r="E861" s="9"/>
      <c r="H861" s="9"/>
      <c r="J861" s="121"/>
      <c r="K861" s="9"/>
      <c r="M861" s="9"/>
      <c r="N861" s="9"/>
      <c r="O861" s="9"/>
      <c r="P861" s="13"/>
    </row>
    <row r="862">
      <c r="D862" s="9"/>
      <c r="E862" s="9"/>
      <c r="H862" s="9"/>
      <c r="J862" s="121"/>
      <c r="K862" s="9"/>
      <c r="M862" s="9"/>
      <c r="N862" s="9"/>
      <c r="O862" s="9"/>
      <c r="P862" s="13"/>
    </row>
    <row r="863">
      <c r="D863" s="9"/>
      <c r="E863" s="9"/>
      <c r="H863" s="9"/>
      <c r="J863" s="121"/>
      <c r="K863" s="9"/>
      <c r="M863" s="9"/>
      <c r="N863" s="9"/>
      <c r="O863" s="9"/>
      <c r="P863" s="13"/>
    </row>
    <row r="864">
      <c r="D864" s="9"/>
      <c r="E864" s="9"/>
      <c r="H864" s="9"/>
      <c r="J864" s="121"/>
      <c r="K864" s="9"/>
      <c r="M864" s="9"/>
      <c r="N864" s="9"/>
      <c r="O864" s="9"/>
      <c r="P864" s="13"/>
    </row>
    <row r="865">
      <c r="D865" s="9"/>
      <c r="E865" s="9"/>
      <c r="H865" s="9"/>
      <c r="J865" s="121"/>
      <c r="K865" s="9"/>
      <c r="M865" s="9"/>
      <c r="N865" s="9"/>
      <c r="O865" s="9"/>
      <c r="P865" s="13"/>
    </row>
    <row r="866">
      <c r="D866" s="9"/>
      <c r="E866" s="9"/>
      <c r="H866" s="9"/>
      <c r="J866" s="121"/>
      <c r="K866" s="9"/>
      <c r="M866" s="9"/>
      <c r="N866" s="9"/>
      <c r="O866" s="9"/>
      <c r="P866" s="13"/>
    </row>
    <row r="867">
      <c r="D867" s="9"/>
      <c r="E867" s="9"/>
      <c r="H867" s="9"/>
      <c r="J867" s="121"/>
      <c r="K867" s="9"/>
      <c r="M867" s="9"/>
      <c r="N867" s="9"/>
      <c r="O867" s="9"/>
      <c r="P867" s="13"/>
    </row>
    <row r="868">
      <c r="D868" s="9"/>
      <c r="E868" s="9"/>
      <c r="H868" s="9"/>
      <c r="J868" s="121"/>
      <c r="K868" s="9"/>
      <c r="M868" s="9"/>
      <c r="N868" s="9"/>
      <c r="O868" s="9"/>
      <c r="P868" s="13"/>
    </row>
    <row r="869">
      <c r="D869" s="9"/>
      <c r="E869" s="9"/>
      <c r="H869" s="9"/>
      <c r="J869" s="121"/>
      <c r="K869" s="9"/>
      <c r="M869" s="9"/>
      <c r="N869" s="9"/>
      <c r="O869" s="9"/>
      <c r="P869" s="13"/>
    </row>
    <row r="870">
      <c r="D870" s="9"/>
      <c r="E870" s="9"/>
      <c r="H870" s="9"/>
      <c r="J870" s="121"/>
      <c r="K870" s="9"/>
      <c r="M870" s="9"/>
      <c r="N870" s="9"/>
      <c r="O870" s="9"/>
      <c r="P870" s="13"/>
    </row>
    <row r="871">
      <c r="D871" s="9"/>
      <c r="E871" s="9"/>
      <c r="H871" s="9"/>
      <c r="J871" s="121"/>
      <c r="K871" s="9"/>
      <c r="M871" s="9"/>
      <c r="N871" s="9"/>
      <c r="O871" s="9"/>
      <c r="P871" s="13"/>
    </row>
    <row r="872">
      <c r="D872" s="9"/>
      <c r="E872" s="9"/>
      <c r="H872" s="9"/>
      <c r="J872" s="121"/>
      <c r="K872" s="9"/>
      <c r="M872" s="9"/>
      <c r="N872" s="9"/>
      <c r="O872" s="9"/>
      <c r="P872" s="13"/>
    </row>
    <row r="873">
      <c r="D873" s="9"/>
      <c r="E873" s="9"/>
      <c r="H873" s="9"/>
      <c r="J873" s="121"/>
      <c r="K873" s="9"/>
      <c r="M873" s="9"/>
      <c r="N873" s="9"/>
      <c r="O873" s="9"/>
      <c r="P873" s="13"/>
    </row>
    <row r="874">
      <c r="D874" s="9"/>
      <c r="E874" s="9"/>
      <c r="H874" s="9"/>
      <c r="J874" s="121"/>
      <c r="K874" s="9"/>
      <c r="M874" s="9"/>
      <c r="N874" s="9"/>
      <c r="O874" s="9"/>
      <c r="P874" s="13"/>
    </row>
    <row r="875">
      <c r="D875" s="9"/>
      <c r="E875" s="9"/>
      <c r="H875" s="9"/>
      <c r="J875" s="121"/>
      <c r="K875" s="9"/>
      <c r="M875" s="9"/>
      <c r="N875" s="9"/>
      <c r="O875" s="9"/>
      <c r="P875" s="13"/>
    </row>
    <row r="876">
      <c r="D876" s="9"/>
      <c r="E876" s="9"/>
      <c r="H876" s="9"/>
      <c r="J876" s="121"/>
      <c r="K876" s="9"/>
      <c r="M876" s="9"/>
      <c r="N876" s="9"/>
      <c r="O876" s="9"/>
      <c r="P876" s="13"/>
    </row>
    <row r="877">
      <c r="D877" s="9"/>
      <c r="E877" s="9"/>
      <c r="H877" s="9"/>
      <c r="J877" s="121"/>
      <c r="K877" s="9"/>
      <c r="M877" s="9"/>
      <c r="N877" s="9"/>
      <c r="O877" s="9"/>
      <c r="P877" s="13"/>
    </row>
    <row r="878">
      <c r="D878" s="9"/>
      <c r="E878" s="9"/>
      <c r="H878" s="9"/>
      <c r="J878" s="121"/>
      <c r="K878" s="9"/>
      <c r="M878" s="9"/>
      <c r="N878" s="9"/>
      <c r="O878" s="9"/>
      <c r="P878" s="13"/>
    </row>
    <row r="879">
      <c r="D879" s="9"/>
      <c r="E879" s="9"/>
      <c r="H879" s="9"/>
      <c r="J879" s="121"/>
      <c r="K879" s="9"/>
      <c r="M879" s="9"/>
      <c r="N879" s="9"/>
      <c r="O879" s="9"/>
      <c r="P879" s="13"/>
    </row>
    <row r="880">
      <c r="D880" s="9"/>
      <c r="E880" s="9"/>
      <c r="H880" s="9"/>
      <c r="J880" s="121"/>
      <c r="K880" s="9"/>
      <c r="M880" s="9"/>
      <c r="N880" s="9"/>
      <c r="O880" s="9"/>
      <c r="P880" s="13"/>
    </row>
    <row r="881">
      <c r="D881" s="9"/>
      <c r="E881" s="9"/>
      <c r="H881" s="9"/>
      <c r="J881" s="121"/>
      <c r="K881" s="9"/>
      <c r="M881" s="9"/>
      <c r="N881" s="9"/>
      <c r="O881" s="9"/>
      <c r="P881" s="13"/>
    </row>
    <row r="882">
      <c r="D882" s="9"/>
      <c r="E882" s="9"/>
      <c r="H882" s="9"/>
      <c r="J882" s="121"/>
      <c r="K882" s="9"/>
      <c r="M882" s="9"/>
      <c r="N882" s="9"/>
      <c r="O882" s="9"/>
      <c r="P882" s="13"/>
    </row>
    <row r="883">
      <c r="D883" s="9"/>
      <c r="E883" s="9"/>
      <c r="H883" s="9"/>
      <c r="J883" s="121"/>
      <c r="K883" s="9"/>
      <c r="M883" s="9"/>
      <c r="N883" s="9"/>
      <c r="O883" s="9"/>
      <c r="P883" s="13"/>
    </row>
    <row r="884">
      <c r="D884" s="9"/>
      <c r="E884" s="9"/>
      <c r="H884" s="9"/>
      <c r="J884" s="121"/>
      <c r="K884" s="9"/>
      <c r="M884" s="9"/>
      <c r="N884" s="9"/>
      <c r="O884" s="9"/>
      <c r="P884" s="13"/>
    </row>
    <row r="885">
      <c r="D885" s="9"/>
      <c r="E885" s="9"/>
      <c r="H885" s="9"/>
      <c r="J885" s="121"/>
      <c r="K885" s="9"/>
      <c r="M885" s="9"/>
      <c r="N885" s="9"/>
      <c r="O885" s="9"/>
      <c r="P885" s="13"/>
    </row>
    <row r="886">
      <c r="D886" s="9"/>
      <c r="E886" s="9"/>
      <c r="H886" s="9"/>
      <c r="J886" s="121"/>
      <c r="K886" s="9"/>
      <c r="M886" s="9"/>
      <c r="N886" s="9"/>
      <c r="O886" s="9"/>
      <c r="P886" s="13"/>
    </row>
    <row r="887">
      <c r="D887" s="9"/>
      <c r="E887" s="9"/>
      <c r="H887" s="9"/>
      <c r="J887" s="121"/>
      <c r="K887" s="9"/>
      <c r="M887" s="9"/>
      <c r="N887" s="9"/>
      <c r="O887" s="9"/>
      <c r="P887" s="13"/>
    </row>
    <row r="888">
      <c r="D888" s="9"/>
      <c r="E888" s="9"/>
      <c r="H888" s="9"/>
      <c r="J888" s="121"/>
      <c r="K888" s="9"/>
      <c r="M888" s="9"/>
      <c r="N888" s="9"/>
      <c r="O888" s="9"/>
      <c r="P888" s="13"/>
    </row>
    <row r="889">
      <c r="D889" s="9"/>
      <c r="E889" s="9"/>
      <c r="H889" s="9"/>
      <c r="J889" s="121"/>
      <c r="K889" s="9"/>
      <c r="M889" s="9"/>
      <c r="N889" s="9"/>
      <c r="O889" s="9"/>
      <c r="P889" s="13"/>
    </row>
    <row r="890">
      <c r="D890" s="9"/>
      <c r="E890" s="9"/>
      <c r="H890" s="9"/>
      <c r="J890" s="121"/>
      <c r="K890" s="9"/>
      <c r="M890" s="9"/>
      <c r="N890" s="9"/>
      <c r="O890" s="9"/>
      <c r="P890" s="13"/>
    </row>
    <row r="891">
      <c r="D891" s="9"/>
      <c r="E891" s="9"/>
      <c r="H891" s="9"/>
      <c r="J891" s="121"/>
      <c r="K891" s="9"/>
      <c r="M891" s="9"/>
      <c r="N891" s="9"/>
      <c r="O891" s="9"/>
      <c r="P891" s="13"/>
    </row>
    <row r="892">
      <c r="D892" s="9"/>
      <c r="E892" s="9"/>
      <c r="H892" s="9"/>
      <c r="J892" s="121"/>
      <c r="K892" s="9"/>
      <c r="M892" s="9"/>
      <c r="N892" s="9"/>
      <c r="O892" s="9"/>
      <c r="P892" s="13"/>
    </row>
    <row r="893">
      <c r="D893" s="9"/>
      <c r="E893" s="9"/>
      <c r="H893" s="9"/>
      <c r="J893" s="121"/>
      <c r="K893" s="9"/>
      <c r="M893" s="9"/>
      <c r="N893" s="9"/>
      <c r="O893" s="9"/>
      <c r="P893" s="13"/>
    </row>
    <row r="894">
      <c r="D894" s="9"/>
      <c r="E894" s="9"/>
      <c r="H894" s="9"/>
      <c r="J894" s="121"/>
      <c r="K894" s="9"/>
      <c r="M894" s="9"/>
      <c r="N894" s="9"/>
      <c r="O894" s="9"/>
      <c r="P894" s="13"/>
    </row>
    <row r="895">
      <c r="D895" s="9"/>
      <c r="E895" s="9"/>
      <c r="H895" s="9"/>
      <c r="J895" s="121"/>
      <c r="K895" s="9"/>
      <c r="M895" s="9"/>
      <c r="N895" s="9"/>
      <c r="O895" s="9"/>
      <c r="P895" s="13"/>
    </row>
    <row r="896">
      <c r="D896" s="9"/>
      <c r="E896" s="9"/>
      <c r="H896" s="9"/>
      <c r="J896" s="121"/>
      <c r="K896" s="9"/>
      <c r="M896" s="9"/>
      <c r="N896" s="9"/>
      <c r="O896" s="9"/>
      <c r="P896" s="13"/>
    </row>
    <row r="897">
      <c r="D897" s="9"/>
      <c r="E897" s="9"/>
      <c r="H897" s="9"/>
      <c r="J897" s="121"/>
      <c r="K897" s="9"/>
      <c r="M897" s="9"/>
      <c r="N897" s="9"/>
      <c r="O897" s="9"/>
      <c r="P897" s="13"/>
    </row>
    <row r="898">
      <c r="D898" s="9"/>
      <c r="E898" s="9"/>
      <c r="H898" s="9"/>
      <c r="J898" s="121"/>
      <c r="K898" s="9"/>
      <c r="M898" s="9"/>
      <c r="N898" s="9"/>
      <c r="O898" s="9"/>
      <c r="P898" s="13"/>
    </row>
    <row r="899">
      <c r="D899" s="9"/>
      <c r="E899" s="9"/>
      <c r="H899" s="9"/>
      <c r="J899" s="121"/>
      <c r="K899" s="9"/>
      <c r="M899" s="9"/>
      <c r="N899" s="9"/>
      <c r="O899" s="9"/>
      <c r="P899" s="13"/>
    </row>
    <row r="900">
      <c r="D900" s="9"/>
      <c r="E900" s="9"/>
      <c r="H900" s="9"/>
      <c r="J900" s="121"/>
      <c r="K900" s="9"/>
      <c r="M900" s="9"/>
      <c r="N900" s="9"/>
      <c r="O900" s="9"/>
      <c r="P900" s="13"/>
    </row>
    <row r="901">
      <c r="D901" s="9"/>
      <c r="E901" s="9"/>
      <c r="H901" s="9"/>
      <c r="J901" s="121"/>
      <c r="K901" s="9"/>
      <c r="M901" s="9"/>
      <c r="N901" s="9"/>
      <c r="O901" s="9"/>
      <c r="P901" s="13"/>
    </row>
    <row r="902">
      <c r="D902" s="9"/>
      <c r="E902" s="9"/>
      <c r="H902" s="9"/>
      <c r="J902" s="121"/>
      <c r="K902" s="9"/>
      <c r="M902" s="9"/>
      <c r="N902" s="9"/>
      <c r="O902" s="9"/>
      <c r="P902" s="13"/>
    </row>
    <row r="903">
      <c r="D903" s="9"/>
      <c r="E903" s="9"/>
      <c r="H903" s="9"/>
      <c r="J903" s="121"/>
      <c r="K903" s="9"/>
      <c r="M903" s="9"/>
      <c r="N903" s="9"/>
      <c r="O903" s="9"/>
      <c r="P903" s="13"/>
    </row>
    <row r="904">
      <c r="D904" s="9"/>
      <c r="E904" s="9"/>
      <c r="H904" s="9"/>
      <c r="J904" s="121"/>
      <c r="K904" s="9"/>
      <c r="M904" s="9"/>
      <c r="N904" s="9"/>
      <c r="O904" s="9"/>
      <c r="P904" s="13"/>
    </row>
    <row r="905">
      <c r="D905" s="9"/>
      <c r="E905" s="9"/>
      <c r="H905" s="9"/>
      <c r="J905" s="121"/>
      <c r="K905" s="9"/>
      <c r="M905" s="9"/>
      <c r="N905" s="9"/>
      <c r="O905" s="9"/>
      <c r="P905" s="13"/>
    </row>
    <row r="906">
      <c r="D906" s="9"/>
      <c r="E906" s="9"/>
      <c r="H906" s="9"/>
      <c r="J906" s="121"/>
      <c r="K906" s="9"/>
      <c r="M906" s="9"/>
      <c r="N906" s="9"/>
      <c r="O906" s="9"/>
      <c r="P906" s="13"/>
    </row>
    <row r="907">
      <c r="D907" s="9"/>
      <c r="E907" s="9"/>
      <c r="H907" s="9"/>
      <c r="J907" s="121"/>
      <c r="K907" s="9"/>
      <c r="M907" s="9"/>
      <c r="N907" s="9"/>
      <c r="O907" s="9"/>
      <c r="P907" s="13"/>
    </row>
    <row r="908">
      <c r="D908" s="9"/>
      <c r="E908" s="9"/>
      <c r="H908" s="9"/>
      <c r="J908" s="121"/>
      <c r="K908" s="9"/>
      <c r="M908" s="9"/>
      <c r="N908" s="9"/>
      <c r="O908" s="9"/>
      <c r="P908" s="13"/>
    </row>
    <row r="909">
      <c r="D909" s="9"/>
      <c r="E909" s="9"/>
      <c r="H909" s="9"/>
      <c r="J909" s="121"/>
      <c r="K909" s="9"/>
      <c r="M909" s="9"/>
      <c r="N909" s="9"/>
      <c r="O909" s="9"/>
      <c r="P909" s="13"/>
    </row>
    <row r="910">
      <c r="D910" s="9"/>
      <c r="E910" s="9"/>
      <c r="H910" s="9"/>
      <c r="J910" s="121"/>
      <c r="K910" s="9"/>
      <c r="M910" s="9"/>
      <c r="N910" s="9"/>
      <c r="O910" s="9"/>
      <c r="P910" s="13"/>
    </row>
    <row r="911">
      <c r="D911" s="9"/>
      <c r="E911" s="9"/>
      <c r="H911" s="9"/>
      <c r="J911" s="121"/>
      <c r="K911" s="9"/>
      <c r="M911" s="9"/>
      <c r="N911" s="9"/>
      <c r="O911" s="9"/>
      <c r="P911" s="13"/>
    </row>
    <row r="912">
      <c r="D912" s="9"/>
      <c r="E912" s="9"/>
      <c r="H912" s="9"/>
      <c r="J912" s="121"/>
      <c r="K912" s="9"/>
      <c r="M912" s="9"/>
      <c r="N912" s="9"/>
      <c r="O912" s="9"/>
      <c r="P912" s="13"/>
    </row>
    <row r="913">
      <c r="D913" s="9"/>
      <c r="E913" s="9"/>
      <c r="H913" s="9"/>
      <c r="J913" s="121"/>
      <c r="K913" s="9"/>
      <c r="M913" s="9"/>
      <c r="N913" s="9"/>
      <c r="O913" s="9"/>
      <c r="P913" s="13"/>
    </row>
    <row r="914">
      <c r="D914" s="9"/>
      <c r="E914" s="9"/>
      <c r="H914" s="9"/>
      <c r="J914" s="121"/>
      <c r="K914" s="9"/>
      <c r="M914" s="9"/>
      <c r="N914" s="9"/>
      <c r="O914" s="9"/>
      <c r="P914" s="13"/>
    </row>
    <row r="915">
      <c r="D915" s="9"/>
      <c r="E915" s="9"/>
      <c r="H915" s="9"/>
      <c r="J915" s="121"/>
      <c r="K915" s="9"/>
      <c r="M915" s="9"/>
      <c r="N915" s="9"/>
      <c r="O915" s="9"/>
      <c r="P915" s="13"/>
    </row>
    <row r="916">
      <c r="D916" s="9"/>
      <c r="E916" s="9"/>
      <c r="H916" s="9"/>
      <c r="J916" s="121"/>
      <c r="K916" s="9"/>
      <c r="M916" s="9"/>
      <c r="N916" s="9"/>
      <c r="O916" s="9"/>
      <c r="P916" s="13"/>
    </row>
    <row r="917">
      <c r="D917" s="9"/>
      <c r="E917" s="9"/>
      <c r="H917" s="9"/>
      <c r="J917" s="121"/>
      <c r="K917" s="9"/>
      <c r="M917" s="9"/>
      <c r="N917" s="9"/>
      <c r="O917" s="9"/>
      <c r="P917" s="13"/>
    </row>
    <row r="918">
      <c r="D918" s="9"/>
      <c r="E918" s="9"/>
      <c r="H918" s="9"/>
      <c r="J918" s="121"/>
      <c r="K918" s="9"/>
      <c r="M918" s="9"/>
      <c r="N918" s="9"/>
      <c r="O918" s="9"/>
      <c r="P918" s="13"/>
    </row>
    <row r="919">
      <c r="D919" s="9"/>
      <c r="E919" s="9"/>
      <c r="H919" s="9"/>
      <c r="J919" s="121"/>
      <c r="K919" s="9"/>
      <c r="M919" s="9"/>
      <c r="N919" s="9"/>
      <c r="O919" s="9"/>
      <c r="P919" s="13"/>
    </row>
    <row r="920">
      <c r="D920" s="9"/>
      <c r="E920" s="9"/>
      <c r="H920" s="9"/>
      <c r="J920" s="121"/>
      <c r="K920" s="9"/>
      <c r="M920" s="9"/>
      <c r="N920" s="9"/>
      <c r="O920" s="9"/>
      <c r="P920" s="13"/>
    </row>
    <row r="921">
      <c r="D921" s="9"/>
      <c r="E921" s="9"/>
      <c r="H921" s="9"/>
      <c r="J921" s="121"/>
      <c r="K921" s="9"/>
      <c r="M921" s="9"/>
      <c r="N921" s="9"/>
      <c r="O921" s="9"/>
      <c r="P921" s="13"/>
    </row>
    <row r="922">
      <c r="D922" s="9"/>
      <c r="E922" s="9"/>
      <c r="H922" s="9"/>
      <c r="J922" s="121"/>
      <c r="K922" s="9"/>
      <c r="M922" s="9"/>
      <c r="N922" s="9"/>
      <c r="O922" s="9"/>
      <c r="P922" s="13"/>
    </row>
    <row r="923">
      <c r="D923" s="9"/>
      <c r="E923" s="9"/>
      <c r="H923" s="9"/>
      <c r="J923" s="121"/>
      <c r="K923" s="9"/>
      <c r="M923" s="9"/>
      <c r="N923" s="9"/>
      <c r="O923" s="9"/>
      <c r="P923" s="13"/>
    </row>
    <row r="924">
      <c r="D924" s="9"/>
      <c r="E924" s="9"/>
      <c r="H924" s="9"/>
      <c r="J924" s="121"/>
      <c r="K924" s="9"/>
      <c r="M924" s="9"/>
      <c r="N924" s="9"/>
      <c r="O924" s="9"/>
      <c r="P924" s="13"/>
    </row>
    <row r="925">
      <c r="D925" s="9"/>
      <c r="E925" s="9"/>
      <c r="H925" s="9"/>
      <c r="J925" s="121"/>
      <c r="K925" s="9"/>
      <c r="M925" s="9"/>
      <c r="N925" s="9"/>
      <c r="O925" s="9"/>
      <c r="P925" s="13"/>
    </row>
    <row r="926">
      <c r="D926" s="9"/>
      <c r="E926" s="9"/>
      <c r="H926" s="9"/>
      <c r="J926" s="121"/>
      <c r="K926" s="9"/>
      <c r="M926" s="9"/>
      <c r="N926" s="9"/>
      <c r="O926" s="9"/>
      <c r="P926" s="13"/>
    </row>
    <row r="927">
      <c r="D927" s="9"/>
      <c r="E927" s="9"/>
      <c r="H927" s="9"/>
      <c r="J927" s="121"/>
      <c r="K927" s="9"/>
      <c r="M927" s="9"/>
      <c r="N927" s="9"/>
      <c r="O927" s="9"/>
      <c r="P927" s="13"/>
    </row>
    <row r="928">
      <c r="D928" s="9"/>
      <c r="E928" s="9"/>
      <c r="H928" s="9"/>
      <c r="J928" s="121"/>
      <c r="K928" s="9"/>
      <c r="M928" s="9"/>
      <c r="N928" s="9"/>
      <c r="O928" s="9"/>
      <c r="P928" s="13"/>
    </row>
    <row r="929">
      <c r="D929" s="9"/>
      <c r="E929" s="9"/>
      <c r="H929" s="9"/>
      <c r="J929" s="121"/>
      <c r="K929" s="9"/>
      <c r="M929" s="9"/>
      <c r="N929" s="9"/>
      <c r="O929" s="9"/>
      <c r="P929" s="13"/>
    </row>
    <row r="930">
      <c r="D930" s="9"/>
      <c r="E930" s="9"/>
      <c r="H930" s="9"/>
      <c r="J930" s="121"/>
      <c r="K930" s="9"/>
      <c r="M930" s="9"/>
      <c r="N930" s="9"/>
      <c r="O930" s="9"/>
      <c r="P930" s="13"/>
    </row>
    <row r="931">
      <c r="D931" s="9"/>
      <c r="E931" s="9"/>
      <c r="H931" s="9"/>
      <c r="J931" s="121"/>
      <c r="K931" s="9"/>
      <c r="M931" s="9"/>
      <c r="N931" s="9"/>
      <c r="O931" s="9"/>
      <c r="P931" s="13"/>
    </row>
    <row r="932">
      <c r="D932" s="9"/>
      <c r="E932" s="9"/>
      <c r="H932" s="9"/>
      <c r="J932" s="121"/>
      <c r="K932" s="9"/>
      <c r="M932" s="9"/>
      <c r="N932" s="9"/>
      <c r="O932" s="9"/>
      <c r="P932" s="13"/>
    </row>
    <row r="933">
      <c r="D933" s="9"/>
      <c r="E933" s="9"/>
      <c r="H933" s="9"/>
      <c r="J933" s="121"/>
      <c r="K933" s="9"/>
      <c r="M933" s="9"/>
      <c r="N933" s="9"/>
      <c r="O933" s="9"/>
      <c r="P933" s="13"/>
    </row>
    <row r="934">
      <c r="D934" s="9"/>
      <c r="E934" s="9"/>
      <c r="H934" s="9"/>
      <c r="J934" s="121"/>
      <c r="K934" s="9"/>
      <c r="M934" s="9"/>
      <c r="N934" s="9"/>
      <c r="O934" s="9"/>
      <c r="P934" s="13"/>
    </row>
    <row r="935">
      <c r="D935" s="9"/>
      <c r="E935" s="9"/>
      <c r="H935" s="9"/>
      <c r="J935" s="121"/>
      <c r="K935" s="9"/>
      <c r="M935" s="9"/>
      <c r="N935" s="9"/>
      <c r="O935" s="9"/>
      <c r="P935" s="13"/>
    </row>
    <row r="936">
      <c r="D936" s="9"/>
      <c r="E936" s="9"/>
      <c r="H936" s="9"/>
      <c r="J936" s="121"/>
      <c r="K936" s="9"/>
      <c r="M936" s="9"/>
      <c r="N936" s="9"/>
      <c r="O936" s="9"/>
      <c r="P936" s="13"/>
    </row>
    <row r="937">
      <c r="D937" s="9"/>
      <c r="E937" s="9"/>
      <c r="H937" s="9"/>
      <c r="J937" s="121"/>
      <c r="K937" s="9"/>
      <c r="M937" s="9"/>
      <c r="N937" s="9"/>
      <c r="O937" s="9"/>
      <c r="P937" s="13"/>
    </row>
    <row r="938">
      <c r="D938" s="9"/>
      <c r="E938" s="9"/>
      <c r="H938" s="9"/>
      <c r="J938" s="121"/>
      <c r="K938" s="9"/>
      <c r="M938" s="9"/>
      <c r="N938" s="9"/>
      <c r="O938" s="9"/>
      <c r="P938" s="13"/>
    </row>
    <row r="939">
      <c r="D939" s="9"/>
      <c r="E939" s="9"/>
      <c r="H939" s="9"/>
      <c r="J939" s="121"/>
      <c r="K939" s="9"/>
      <c r="M939" s="9"/>
      <c r="N939" s="9"/>
      <c r="O939" s="9"/>
      <c r="P939" s="13"/>
    </row>
    <row r="940">
      <c r="D940" s="9"/>
      <c r="E940" s="9"/>
      <c r="H940" s="9"/>
      <c r="J940" s="121"/>
      <c r="K940" s="9"/>
      <c r="M940" s="9"/>
      <c r="N940" s="9"/>
      <c r="O940" s="9"/>
      <c r="P940" s="13"/>
    </row>
    <row r="941">
      <c r="D941" s="9"/>
      <c r="E941" s="9"/>
      <c r="H941" s="9"/>
      <c r="J941" s="121"/>
      <c r="K941" s="9"/>
      <c r="M941" s="9"/>
      <c r="N941" s="9"/>
      <c r="O941" s="9"/>
      <c r="P941" s="13"/>
    </row>
    <row r="942">
      <c r="D942" s="9"/>
      <c r="E942" s="9"/>
      <c r="H942" s="9"/>
      <c r="J942" s="121"/>
      <c r="K942" s="9"/>
      <c r="M942" s="9"/>
      <c r="N942" s="9"/>
      <c r="O942" s="9"/>
      <c r="P942" s="13"/>
    </row>
    <row r="943">
      <c r="D943" s="9"/>
      <c r="E943" s="9"/>
      <c r="H943" s="9"/>
      <c r="J943" s="121"/>
      <c r="K943" s="9"/>
      <c r="M943" s="9"/>
      <c r="N943" s="9"/>
      <c r="O943" s="9"/>
      <c r="P943" s="13"/>
    </row>
    <row r="944">
      <c r="D944" s="9"/>
      <c r="E944" s="9"/>
      <c r="H944" s="9"/>
      <c r="J944" s="121"/>
      <c r="K944" s="9"/>
      <c r="M944" s="9"/>
      <c r="N944" s="9"/>
      <c r="O944" s="9"/>
      <c r="P944" s="13"/>
    </row>
    <row r="945">
      <c r="D945" s="9"/>
      <c r="E945" s="9"/>
      <c r="H945" s="9"/>
      <c r="J945" s="121"/>
      <c r="K945" s="9"/>
      <c r="M945" s="9"/>
      <c r="N945" s="9"/>
      <c r="O945" s="9"/>
      <c r="P945" s="13"/>
    </row>
    <row r="946">
      <c r="D946" s="9"/>
      <c r="E946" s="9"/>
      <c r="H946" s="9"/>
      <c r="J946" s="121"/>
      <c r="K946" s="9"/>
      <c r="M946" s="9"/>
      <c r="N946" s="9"/>
      <c r="O946" s="9"/>
      <c r="P946" s="13"/>
    </row>
    <row r="947">
      <c r="D947" s="9"/>
      <c r="E947" s="9"/>
      <c r="H947" s="9"/>
      <c r="J947" s="121"/>
      <c r="K947" s="9"/>
      <c r="M947" s="9"/>
      <c r="N947" s="9"/>
      <c r="O947" s="9"/>
      <c r="P947" s="13"/>
    </row>
    <row r="948">
      <c r="D948" s="9"/>
      <c r="E948" s="9"/>
      <c r="H948" s="9"/>
      <c r="J948" s="121"/>
      <c r="K948" s="9"/>
      <c r="M948" s="9"/>
      <c r="N948" s="9"/>
      <c r="O948" s="9"/>
      <c r="P948" s="13"/>
    </row>
    <row r="949">
      <c r="D949" s="9"/>
      <c r="E949" s="9"/>
      <c r="H949" s="9"/>
      <c r="J949" s="121"/>
      <c r="K949" s="9"/>
      <c r="M949" s="9"/>
      <c r="N949" s="9"/>
      <c r="O949" s="9"/>
      <c r="P949" s="13"/>
    </row>
    <row r="950">
      <c r="D950" s="9"/>
      <c r="E950" s="9"/>
      <c r="H950" s="9"/>
      <c r="J950" s="121"/>
      <c r="K950" s="9"/>
      <c r="M950" s="9"/>
      <c r="N950" s="9"/>
      <c r="O950" s="9"/>
      <c r="P950" s="13"/>
    </row>
    <row r="951">
      <c r="D951" s="9"/>
      <c r="E951" s="9"/>
      <c r="H951" s="9"/>
      <c r="J951" s="121"/>
      <c r="K951" s="9"/>
      <c r="M951" s="9"/>
      <c r="N951" s="9"/>
      <c r="O951" s="9"/>
      <c r="P951" s="13"/>
    </row>
    <row r="952">
      <c r="D952" s="9"/>
      <c r="E952" s="9"/>
      <c r="H952" s="9"/>
      <c r="J952" s="121"/>
      <c r="K952" s="9"/>
      <c r="M952" s="9"/>
      <c r="N952" s="9"/>
      <c r="O952" s="9"/>
      <c r="P952" s="13"/>
    </row>
    <row r="953">
      <c r="D953" s="9"/>
      <c r="E953" s="9"/>
      <c r="H953" s="9"/>
      <c r="J953" s="121"/>
      <c r="K953" s="9"/>
      <c r="M953" s="9"/>
      <c r="N953" s="9"/>
      <c r="O953" s="9"/>
      <c r="P953" s="13"/>
    </row>
    <row r="954">
      <c r="D954" s="9"/>
      <c r="E954" s="9"/>
      <c r="H954" s="9"/>
      <c r="J954" s="121"/>
      <c r="K954" s="9"/>
      <c r="M954" s="9"/>
      <c r="N954" s="9"/>
      <c r="O954" s="9"/>
      <c r="P954" s="13"/>
    </row>
    <row r="955">
      <c r="D955" s="9"/>
      <c r="E955" s="9"/>
      <c r="H955" s="9"/>
      <c r="J955" s="121"/>
      <c r="K955" s="9"/>
      <c r="M955" s="9"/>
      <c r="N955" s="9"/>
      <c r="O955" s="9"/>
      <c r="P955" s="13"/>
    </row>
    <row r="956">
      <c r="D956" s="9"/>
      <c r="E956" s="9"/>
      <c r="H956" s="9"/>
      <c r="J956" s="121"/>
      <c r="K956" s="9"/>
      <c r="M956" s="9"/>
      <c r="N956" s="9"/>
      <c r="O956" s="9"/>
      <c r="P956" s="13"/>
    </row>
    <row r="957">
      <c r="D957" s="9"/>
      <c r="E957" s="9"/>
      <c r="H957" s="9"/>
      <c r="J957" s="121"/>
      <c r="K957" s="9"/>
      <c r="M957" s="9"/>
      <c r="N957" s="9"/>
      <c r="O957" s="9"/>
      <c r="P957" s="13"/>
    </row>
    <row r="958">
      <c r="D958" s="9"/>
      <c r="E958" s="9"/>
      <c r="H958" s="9"/>
      <c r="J958" s="121"/>
      <c r="K958" s="9"/>
      <c r="M958" s="9"/>
      <c r="N958" s="9"/>
      <c r="O958" s="9"/>
      <c r="P958" s="13"/>
    </row>
    <row r="959">
      <c r="D959" s="9"/>
      <c r="E959" s="9"/>
      <c r="H959" s="9"/>
      <c r="J959" s="121"/>
      <c r="K959" s="9"/>
      <c r="M959" s="9"/>
      <c r="N959" s="9"/>
      <c r="O959" s="9"/>
      <c r="P959" s="13"/>
    </row>
    <row r="960">
      <c r="D960" s="9"/>
      <c r="E960" s="9"/>
      <c r="H960" s="9"/>
      <c r="J960" s="121"/>
      <c r="K960" s="9"/>
      <c r="M960" s="9"/>
      <c r="N960" s="9"/>
      <c r="O960" s="9"/>
      <c r="P960" s="13"/>
    </row>
    <row r="961">
      <c r="D961" s="9"/>
      <c r="E961" s="9"/>
      <c r="H961" s="9"/>
      <c r="J961" s="121"/>
      <c r="K961" s="9"/>
      <c r="M961" s="9"/>
      <c r="N961" s="9"/>
      <c r="O961" s="9"/>
      <c r="P961" s="13"/>
    </row>
    <row r="962">
      <c r="D962" s="9"/>
      <c r="E962" s="9"/>
      <c r="H962" s="9"/>
      <c r="J962" s="121"/>
      <c r="K962" s="9"/>
      <c r="M962" s="9"/>
      <c r="N962" s="9"/>
      <c r="O962" s="9"/>
      <c r="P962" s="13"/>
    </row>
    <row r="963">
      <c r="D963" s="9"/>
      <c r="E963" s="9"/>
      <c r="H963" s="9"/>
      <c r="J963" s="121"/>
      <c r="K963" s="9"/>
      <c r="M963" s="9"/>
      <c r="N963" s="9"/>
      <c r="O963" s="9"/>
      <c r="P963" s="13"/>
    </row>
    <row r="964">
      <c r="D964" s="9"/>
      <c r="E964" s="9"/>
      <c r="H964" s="9"/>
      <c r="J964" s="121"/>
      <c r="K964" s="9"/>
      <c r="M964" s="9"/>
      <c r="N964" s="9"/>
      <c r="O964" s="9"/>
      <c r="P964" s="13"/>
    </row>
    <row r="965">
      <c r="D965" s="9"/>
      <c r="E965" s="9"/>
      <c r="H965" s="9"/>
      <c r="J965" s="121"/>
      <c r="K965" s="9"/>
      <c r="M965" s="9"/>
      <c r="N965" s="9"/>
      <c r="O965" s="9"/>
      <c r="P965" s="13"/>
    </row>
    <row r="966">
      <c r="D966" s="9"/>
      <c r="E966" s="9"/>
      <c r="H966" s="9"/>
      <c r="J966" s="121"/>
      <c r="K966" s="9"/>
      <c r="M966" s="9"/>
      <c r="N966" s="9"/>
      <c r="O966" s="9"/>
      <c r="P966" s="13"/>
    </row>
    <row r="967">
      <c r="D967" s="9"/>
      <c r="E967" s="9"/>
      <c r="H967" s="9"/>
      <c r="J967" s="121"/>
      <c r="K967" s="9"/>
      <c r="M967" s="9"/>
      <c r="N967" s="9"/>
      <c r="O967" s="9"/>
      <c r="P967" s="13"/>
    </row>
    <row r="968">
      <c r="D968" s="9"/>
      <c r="E968" s="9"/>
      <c r="H968" s="9"/>
      <c r="J968" s="121"/>
      <c r="K968" s="9"/>
      <c r="M968" s="9"/>
      <c r="N968" s="9"/>
      <c r="O968" s="9"/>
      <c r="P968" s="13"/>
    </row>
    <row r="969">
      <c r="D969" s="9"/>
      <c r="E969" s="9"/>
      <c r="H969" s="9"/>
      <c r="J969" s="121"/>
      <c r="K969" s="9"/>
      <c r="M969" s="9"/>
      <c r="N969" s="9"/>
      <c r="O969" s="9"/>
      <c r="P969" s="13"/>
    </row>
    <row r="970">
      <c r="D970" s="9"/>
      <c r="E970" s="9"/>
      <c r="H970" s="9"/>
      <c r="J970" s="121"/>
      <c r="K970" s="9"/>
      <c r="M970" s="9"/>
      <c r="N970" s="9"/>
      <c r="O970" s="9"/>
      <c r="P970" s="13"/>
    </row>
    <row r="971">
      <c r="D971" s="9"/>
      <c r="E971" s="9"/>
      <c r="H971" s="9"/>
      <c r="J971" s="121"/>
      <c r="K971" s="9"/>
      <c r="M971" s="9"/>
      <c r="N971" s="9"/>
      <c r="O971" s="9"/>
      <c r="P971" s="13"/>
    </row>
    <row r="972">
      <c r="D972" s="9"/>
      <c r="E972" s="9"/>
      <c r="H972" s="9"/>
      <c r="J972" s="121"/>
      <c r="K972" s="9"/>
      <c r="M972" s="9"/>
      <c r="N972" s="9"/>
      <c r="O972" s="9"/>
      <c r="P972" s="13"/>
    </row>
    <row r="973">
      <c r="D973" s="9"/>
      <c r="E973" s="9"/>
      <c r="H973" s="9"/>
      <c r="J973" s="121"/>
      <c r="K973" s="9"/>
      <c r="M973" s="9"/>
      <c r="N973" s="9"/>
      <c r="O973" s="9"/>
      <c r="P973" s="13"/>
    </row>
    <row r="974">
      <c r="D974" s="9"/>
      <c r="E974" s="9"/>
      <c r="H974" s="9"/>
      <c r="J974" s="121"/>
      <c r="K974" s="9"/>
      <c r="M974" s="9"/>
      <c r="N974" s="9"/>
      <c r="O974" s="9"/>
      <c r="P974" s="13"/>
    </row>
    <row r="975">
      <c r="D975" s="9"/>
      <c r="E975" s="9"/>
      <c r="H975" s="9"/>
      <c r="J975" s="121"/>
      <c r="K975" s="9"/>
      <c r="M975" s="9"/>
      <c r="N975" s="9"/>
      <c r="O975" s="9"/>
      <c r="P975" s="13"/>
    </row>
    <row r="976">
      <c r="D976" s="9"/>
      <c r="E976" s="9"/>
      <c r="H976" s="9"/>
      <c r="J976" s="121"/>
      <c r="K976" s="9"/>
      <c r="M976" s="9"/>
      <c r="N976" s="9"/>
      <c r="O976" s="9"/>
      <c r="P976" s="13"/>
    </row>
    <row r="977">
      <c r="D977" s="9"/>
      <c r="E977" s="9"/>
      <c r="H977" s="9"/>
      <c r="J977" s="121"/>
      <c r="K977" s="9"/>
      <c r="M977" s="9"/>
      <c r="N977" s="9"/>
      <c r="O977" s="9"/>
      <c r="P977" s="13"/>
    </row>
    <row r="978">
      <c r="D978" s="9"/>
      <c r="E978" s="9"/>
      <c r="H978" s="9"/>
      <c r="J978" s="121"/>
      <c r="K978" s="9"/>
      <c r="M978" s="9"/>
      <c r="N978" s="9"/>
      <c r="O978" s="9"/>
      <c r="P978" s="13"/>
    </row>
    <row r="979">
      <c r="D979" s="9"/>
      <c r="E979" s="9"/>
      <c r="H979" s="9"/>
      <c r="J979" s="121"/>
      <c r="K979" s="9"/>
      <c r="M979" s="9"/>
      <c r="N979" s="9"/>
      <c r="O979" s="9"/>
      <c r="P979" s="13"/>
    </row>
    <row r="980">
      <c r="D980" s="9"/>
      <c r="E980" s="9"/>
      <c r="H980" s="9"/>
      <c r="J980" s="121"/>
      <c r="K980" s="9"/>
      <c r="M980" s="9"/>
      <c r="N980" s="9"/>
      <c r="O980" s="9"/>
      <c r="P980" s="13"/>
    </row>
    <row r="981">
      <c r="D981" s="9"/>
      <c r="E981" s="9"/>
      <c r="H981" s="9"/>
      <c r="J981" s="121"/>
      <c r="K981" s="9"/>
      <c r="M981" s="9"/>
      <c r="N981" s="9"/>
      <c r="O981" s="9"/>
      <c r="P981" s="13"/>
    </row>
    <row r="982">
      <c r="D982" s="9"/>
      <c r="E982" s="9"/>
      <c r="H982" s="9"/>
      <c r="J982" s="121"/>
      <c r="K982" s="9"/>
      <c r="M982" s="9"/>
      <c r="N982" s="9"/>
      <c r="O982" s="9"/>
      <c r="P982" s="13"/>
    </row>
    <row r="983">
      <c r="D983" s="9"/>
      <c r="E983" s="9"/>
      <c r="H983" s="9"/>
      <c r="J983" s="121"/>
      <c r="K983" s="9"/>
      <c r="M983" s="9"/>
      <c r="N983" s="9"/>
      <c r="O983" s="9"/>
      <c r="P983" s="13"/>
    </row>
    <row r="984">
      <c r="D984" s="9"/>
      <c r="E984" s="9"/>
      <c r="H984" s="9"/>
      <c r="J984" s="121"/>
      <c r="K984" s="9"/>
      <c r="M984" s="9"/>
      <c r="N984" s="9"/>
      <c r="O984" s="9"/>
      <c r="P984" s="13"/>
    </row>
    <row r="985">
      <c r="D985" s="9"/>
      <c r="E985" s="9"/>
      <c r="H985" s="9"/>
      <c r="J985" s="121"/>
      <c r="K985" s="9"/>
      <c r="M985" s="9"/>
      <c r="N985" s="9"/>
      <c r="O985" s="9"/>
      <c r="P985" s="13"/>
    </row>
    <row r="986">
      <c r="D986" s="9"/>
      <c r="E986" s="9"/>
      <c r="H986" s="9"/>
      <c r="J986" s="121"/>
      <c r="K986" s="9"/>
      <c r="M986" s="9"/>
      <c r="N986" s="9"/>
      <c r="O986" s="9"/>
      <c r="P986" s="13"/>
    </row>
    <row r="987">
      <c r="D987" s="9"/>
      <c r="E987" s="9"/>
      <c r="H987" s="9"/>
      <c r="J987" s="121"/>
      <c r="K987" s="9"/>
      <c r="M987" s="9"/>
      <c r="N987" s="9"/>
      <c r="O987" s="9"/>
      <c r="P987" s="13"/>
    </row>
    <row r="988">
      <c r="D988" s="9"/>
      <c r="E988" s="9"/>
      <c r="H988" s="9"/>
      <c r="J988" s="121"/>
      <c r="K988" s="9"/>
      <c r="M988" s="9"/>
      <c r="N988" s="9"/>
      <c r="O988" s="9"/>
      <c r="P988" s="13"/>
    </row>
    <row r="989">
      <c r="D989" s="9"/>
      <c r="E989" s="9"/>
      <c r="H989" s="9"/>
      <c r="J989" s="121"/>
      <c r="K989" s="9"/>
      <c r="M989" s="9"/>
      <c r="N989" s="9"/>
      <c r="O989" s="9"/>
      <c r="P989" s="13"/>
    </row>
    <row r="990">
      <c r="D990" s="9"/>
      <c r="E990" s="9"/>
      <c r="H990" s="9"/>
      <c r="J990" s="121"/>
      <c r="K990" s="9"/>
      <c r="M990" s="9"/>
      <c r="N990" s="9"/>
      <c r="O990" s="9"/>
      <c r="P990" s="13"/>
    </row>
    <row r="991">
      <c r="D991" s="9"/>
      <c r="E991" s="9"/>
      <c r="H991" s="9"/>
      <c r="J991" s="121"/>
      <c r="K991" s="9"/>
      <c r="M991" s="9"/>
      <c r="N991" s="9"/>
      <c r="O991" s="9"/>
      <c r="P991" s="13"/>
    </row>
    <row r="992">
      <c r="D992" s="9"/>
      <c r="E992" s="9"/>
      <c r="H992" s="9"/>
      <c r="J992" s="121"/>
      <c r="K992" s="9"/>
      <c r="M992" s="9"/>
      <c r="N992" s="9"/>
      <c r="O992" s="9"/>
      <c r="P992" s="13"/>
    </row>
  </sheetData>
  <mergeCells count="1">
    <mergeCell ref="A1:P1"/>
  </mergeCells>
  <printOptions gridLines="1" horizontalCentered="1"/>
  <pageMargins bottom="0.2886740331491713" footer="0.0" header="0.0" left="0.25" right="0.25" top="0.30386740331491713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75"/>
    <col customWidth="1" min="2" max="2" width="25.88"/>
    <col customWidth="1" min="3" max="3" width="23.88"/>
    <col customWidth="1" min="4" max="4" width="6.63"/>
    <col customWidth="1" min="5" max="5" width="6.5"/>
    <col customWidth="1" min="6" max="6" width="14.0"/>
    <col customWidth="1" min="7" max="7" width="20.5"/>
    <col customWidth="1" min="8" max="8" width="4.75"/>
    <col customWidth="1" min="9" max="9" width="5.63"/>
    <col customWidth="1" min="10" max="10" width="4.75"/>
    <col customWidth="1" min="11" max="11" width="8.25"/>
    <col customWidth="1" min="12" max="12" width="5.63"/>
    <col customWidth="1" min="13" max="13" width="6.88"/>
    <col customWidth="1" min="14" max="14" width="6.5"/>
    <col customWidth="1" min="15" max="15" width="5.63"/>
    <col customWidth="1" min="16" max="16" width="22.63"/>
    <col customWidth="1" min="17" max="17" width="5.88"/>
    <col customWidth="1" min="18" max="18" width="4.75"/>
    <col customWidth="1" min="19" max="19" width="9.88"/>
    <col customWidth="1" min="20" max="20" width="5.88"/>
    <col customWidth="1" min="21" max="21" width="4.75"/>
    <col customWidth="1" min="22" max="22" width="7.5"/>
    <col customWidth="1" min="23" max="23" width="5.88"/>
    <col customWidth="1" min="24" max="27" width="5.5"/>
    <col customWidth="1" min="28" max="28" width="4.38"/>
    <col customWidth="1" min="29" max="29" width="7.63"/>
  </cols>
  <sheetData>
    <row r="1">
      <c r="A1" s="1" t="s">
        <v>1911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 t="s">
        <v>1912</v>
      </c>
    </row>
    <row r="2">
      <c r="A2" s="32" t="s">
        <v>8</v>
      </c>
      <c r="B2" s="31" t="s">
        <v>9</v>
      </c>
      <c r="C2" s="31" t="s">
        <v>10</v>
      </c>
      <c r="D2" s="32" t="s">
        <v>1790</v>
      </c>
      <c r="E2" s="32" t="s">
        <v>12</v>
      </c>
      <c r="F2" s="247" t="s">
        <v>13</v>
      </c>
      <c r="G2" s="32" t="s">
        <v>14</v>
      </c>
      <c r="H2" s="31" t="s">
        <v>248</v>
      </c>
      <c r="I2" s="31" t="s">
        <v>16</v>
      </c>
      <c r="J2" s="236" t="s">
        <v>17</v>
      </c>
      <c r="K2" s="32" t="s">
        <v>18</v>
      </c>
      <c r="L2" s="32" t="s">
        <v>19</v>
      </c>
      <c r="M2" s="32" t="s">
        <v>20</v>
      </c>
      <c r="N2" s="32" t="s">
        <v>249</v>
      </c>
      <c r="O2" s="32" t="s">
        <v>250</v>
      </c>
      <c r="P2" s="31" t="s">
        <v>23</v>
      </c>
      <c r="Q2" s="32" t="s">
        <v>251</v>
      </c>
      <c r="R2" s="31" t="s">
        <v>252</v>
      </c>
      <c r="S2" s="31" t="s">
        <v>253</v>
      </c>
      <c r="T2" s="32" t="s">
        <v>251</v>
      </c>
      <c r="U2" s="31" t="s">
        <v>252</v>
      </c>
      <c r="V2" s="31" t="s">
        <v>253</v>
      </c>
      <c r="W2" s="32" t="s">
        <v>251</v>
      </c>
      <c r="X2" s="31" t="s">
        <v>252</v>
      </c>
      <c r="Y2" s="31" t="s">
        <v>253</v>
      </c>
      <c r="Z2" s="32" t="s">
        <v>251</v>
      </c>
      <c r="AA2" s="31" t="s">
        <v>252</v>
      </c>
      <c r="AB2" s="31" t="s">
        <v>253</v>
      </c>
      <c r="AC2" s="31"/>
    </row>
    <row r="3">
      <c r="A3" s="6">
        <v>1.0</v>
      </c>
      <c r="B3" s="37" t="s">
        <v>1913</v>
      </c>
      <c r="C3" s="37" t="s">
        <v>1914</v>
      </c>
      <c r="D3" s="5" t="s">
        <v>1794</v>
      </c>
      <c r="F3" s="13" t="s">
        <v>1915</v>
      </c>
      <c r="G3" s="9">
        <v>9.602220295E9</v>
      </c>
      <c r="I3" s="14">
        <v>30000.0</v>
      </c>
      <c r="J3" s="238">
        <v>6500.0</v>
      </c>
      <c r="K3" s="9"/>
      <c r="L3" s="9"/>
      <c r="M3" s="9">
        <f t="shared" ref="M3:M45" si="1">(H3+I3+J3+K3-L3)</f>
        <v>36500</v>
      </c>
      <c r="N3" s="9">
        <f t="shared" ref="N3:N45" si="2">(Q3+T3+W3+Z3)</f>
        <v>0</v>
      </c>
      <c r="O3" s="9">
        <f t="shared" ref="O3:O45" si="3">(M3-N3)</f>
        <v>36500</v>
      </c>
      <c r="Q3" s="9"/>
    </row>
    <row r="4">
      <c r="A4" s="287">
        <v>2.0</v>
      </c>
      <c r="B4" s="291" t="s">
        <v>1916</v>
      </c>
      <c r="C4" s="291" t="s">
        <v>1917</v>
      </c>
      <c r="D4" s="298" t="s">
        <v>1794</v>
      </c>
      <c r="E4" s="291"/>
      <c r="F4" s="374" t="s">
        <v>145</v>
      </c>
      <c r="G4" s="375">
        <v>9.950106902E9</v>
      </c>
      <c r="H4" s="290">
        <v>0.0</v>
      </c>
      <c r="I4" s="300">
        <v>30000.0</v>
      </c>
      <c r="J4" s="293">
        <v>0.0</v>
      </c>
      <c r="K4" s="294">
        <v>0.0</v>
      </c>
      <c r="L4" s="290">
        <v>6000.0</v>
      </c>
      <c r="M4" s="9">
        <f t="shared" si="1"/>
        <v>24000</v>
      </c>
      <c r="N4" s="9">
        <f t="shared" si="2"/>
        <v>17000</v>
      </c>
      <c r="O4" s="9">
        <f t="shared" si="3"/>
        <v>7000</v>
      </c>
      <c r="P4" s="289" t="s">
        <v>44</v>
      </c>
      <c r="Q4" s="293">
        <v>5000.0</v>
      </c>
      <c r="R4" s="293">
        <v>3231.0</v>
      </c>
      <c r="S4" s="289" t="s">
        <v>220</v>
      </c>
      <c r="T4" s="287">
        <v>6000.0</v>
      </c>
      <c r="U4" s="287">
        <v>3531.0</v>
      </c>
      <c r="V4" s="297">
        <v>45818.0</v>
      </c>
      <c r="W4" s="287">
        <v>6000.0</v>
      </c>
      <c r="X4" s="287">
        <v>4057.0</v>
      </c>
      <c r="Y4" s="287" t="s">
        <v>1918</v>
      </c>
      <c r="Z4" s="291"/>
      <c r="AA4" s="291"/>
      <c r="AB4" s="291"/>
      <c r="AC4" s="291"/>
    </row>
    <row r="5">
      <c r="A5" s="287">
        <v>3.0</v>
      </c>
      <c r="B5" s="291" t="s">
        <v>1919</v>
      </c>
      <c r="C5" s="291" t="s">
        <v>1920</v>
      </c>
      <c r="D5" s="298" t="s">
        <v>1794</v>
      </c>
      <c r="E5" s="291"/>
      <c r="F5" s="374" t="s">
        <v>354</v>
      </c>
      <c r="G5" s="375">
        <v>9.928078291E9</v>
      </c>
      <c r="H5" s="290">
        <v>0.0</v>
      </c>
      <c r="I5" s="300">
        <v>30000.0</v>
      </c>
      <c r="J5" s="293">
        <v>8000.0</v>
      </c>
      <c r="K5" s="290"/>
      <c r="L5" s="290">
        <v>5000.0</v>
      </c>
      <c r="M5" s="9">
        <f t="shared" si="1"/>
        <v>33000</v>
      </c>
      <c r="N5" s="9">
        <f t="shared" si="2"/>
        <v>17000</v>
      </c>
      <c r="O5" s="9">
        <f t="shared" si="3"/>
        <v>16000</v>
      </c>
      <c r="P5" s="289" t="s">
        <v>44</v>
      </c>
      <c r="Q5" s="298">
        <v>7000.0</v>
      </c>
      <c r="R5" s="287">
        <v>3235.0</v>
      </c>
      <c r="S5" s="287" t="s">
        <v>220</v>
      </c>
      <c r="T5" s="287">
        <v>10000.0</v>
      </c>
      <c r="U5" s="287">
        <v>3670.0</v>
      </c>
      <c r="V5" s="297">
        <v>45910.0</v>
      </c>
      <c r="W5" s="291"/>
      <c r="X5" s="291"/>
      <c r="Y5" s="291"/>
      <c r="Z5" s="291"/>
      <c r="AA5" s="291"/>
      <c r="AB5" s="291"/>
      <c r="AC5" s="291"/>
    </row>
    <row r="6">
      <c r="A6" s="6">
        <v>4.0</v>
      </c>
      <c r="B6" s="37" t="s">
        <v>1030</v>
      </c>
      <c r="C6" s="37" t="s">
        <v>1921</v>
      </c>
      <c r="D6" s="5" t="s">
        <v>1794</v>
      </c>
      <c r="F6" s="7" t="s">
        <v>1922</v>
      </c>
      <c r="G6" s="9">
        <v>9.602433427E9</v>
      </c>
      <c r="I6" s="14">
        <v>30000.0</v>
      </c>
      <c r="J6" s="238">
        <v>0.0</v>
      </c>
      <c r="K6" s="9"/>
      <c r="L6" s="9"/>
      <c r="M6" s="9">
        <f t="shared" si="1"/>
        <v>30000</v>
      </c>
      <c r="N6" s="9">
        <f t="shared" si="2"/>
        <v>10000</v>
      </c>
      <c r="O6" s="9">
        <f t="shared" si="3"/>
        <v>20000</v>
      </c>
      <c r="Q6" s="5">
        <v>10000.0</v>
      </c>
      <c r="R6" s="6">
        <v>4014.0</v>
      </c>
      <c r="S6" s="6" t="s">
        <v>312</v>
      </c>
    </row>
    <row r="7">
      <c r="A7" s="287">
        <v>5.0</v>
      </c>
      <c r="B7" s="291" t="s">
        <v>1923</v>
      </c>
      <c r="C7" s="291" t="s">
        <v>1924</v>
      </c>
      <c r="D7" s="298" t="s">
        <v>1794</v>
      </c>
      <c r="E7" s="291"/>
      <c r="F7" s="374" t="s">
        <v>145</v>
      </c>
      <c r="G7" s="375">
        <v>9.116352234E9</v>
      </c>
      <c r="H7" s="290">
        <v>0.0</v>
      </c>
      <c r="I7" s="300">
        <v>30000.0</v>
      </c>
      <c r="J7" s="293">
        <v>0.0</v>
      </c>
      <c r="K7" s="294">
        <v>0.0</v>
      </c>
      <c r="L7" s="290">
        <v>6000.0</v>
      </c>
      <c r="M7" s="9">
        <f t="shared" si="1"/>
        <v>24000</v>
      </c>
      <c r="N7" s="9">
        <f t="shared" si="2"/>
        <v>10000</v>
      </c>
      <c r="O7" s="9">
        <f t="shared" si="3"/>
        <v>14000</v>
      </c>
      <c r="P7" s="289" t="s">
        <v>44</v>
      </c>
      <c r="Q7" s="293">
        <v>5000.0</v>
      </c>
      <c r="R7" s="293">
        <v>3215.0</v>
      </c>
      <c r="S7" s="289" t="s">
        <v>1801</v>
      </c>
      <c r="T7" s="287">
        <v>5000.0</v>
      </c>
      <c r="U7" s="287">
        <v>3658.0</v>
      </c>
      <c r="V7" s="297">
        <v>45910.0</v>
      </c>
      <c r="W7" s="291"/>
      <c r="X7" s="291"/>
      <c r="Y7" s="291"/>
      <c r="Z7" s="291"/>
      <c r="AA7" s="291"/>
      <c r="AB7" s="291"/>
      <c r="AC7" s="291"/>
    </row>
    <row r="8">
      <c r="A8" s="6">
        <v>6.0</v>
      </c>
      <c r="B8" s="37" t="s">
        <v>570</v>
      </c>
      <c r="C8" s="37" t="s">
        <v>1925</v>
      </c>
      <c r="D8" s="5" t="s">
        <v>1794</v>
      </c>
      <c r="F8" s="13" t="s">
        <v>1915</v>
      </c>
      <c r="G8" s="9">
        <v>9.610287435E9</v>
      </c>
      <c r="I8" s="14">
        <v>30000.0</v>
      </c>
      <c r="J8" s="238">
        <v>7000.0</v>
      </c>
      <c r="K8" s="9"/>
      <c r="L8" s="9"/>
      <c r="M8" s="9">
        <f t="shared" si="1"/>
        <v>37000</v>
      </c>
      <c r="N8" s="9">
        <f t="shared" si="2"/>
        <v>9000</v>
      </c>
      <c r="O8" s="9">
        <f t="shared" si="3"/>
        <v>28000</v>
      </c>
      <c r="Q8" s="16">
        <v>1000.0</v>
      </c>
      <c r="R8" s="16">
        <v>3218.0</v>
      </c>
      <c r="S8" s="10" t="s">
        <v>562</v>
      </c>
      <c r="T8" s="6">
        <v>8000.0</v>
      </c>
      <c r="U8" s="6">
        <v>3750.0</v>
      </c>
      <c r="V8" s="6" t="s">
        <v>291</v>
      </c>
    </row>
    <row r="9">
      <c r="A9" s="376">
        <v>7.0</v>
      </c>
      <c r="B9" s="143" t="s">
        <v>1926</v>
      </c>
      <c r="C9" s="143" t="s">
        <v>1927</v>
      </c>
      <c r="D9" s="377" t="s">
        <v>1794</v>
      </c>
      <c r="E9" s="143"/>
      <c r="F9" s="378" t="s">
        <v>145</v>
      </c>
      <c r="G9" s="377">
        <v>9.001630812E9</v>
      </c>
      <c r="H9" s="143"/>
      <c r="I9" s="379">
        <v>30000.0</v>
      </c>
      <c r="J9" s="380">
        <v>0.0</v>
      </c>
      <c r="K9" s="381"/>
      <c r="L9" s="377">
        <v>8000.0</v>
      </c>
      <c r="M9" s="381">
        <f t="shared" si="1"/>
        <v>22000</v>
      </c>
      <c r="N9" s="381">
        <f t="shared" si="2"/>
        <v>10000</v>
      </c>
      <c r="O9" s="381">
        <f t="shared" si="3"/>
        <v>12000</v>
      </c>
      <c r="P9" s="143"/>
      <c r="Q9" s="377">
        <v>10000.0</v>
      </c>
      <c r="R9" s="376">
        <v>3673.0</v>
      </c>
      <c r="S9" s="382">
        <v>45910.0</v>
      </c>
      <c r="T9" s="143"/>
      <c r="U9" s="143"/>
      <c r="V9" s="143"/>
      <c r="W9" s="143"/>
      <c r="X9" s="143"/>
      <c r="Y9" s="143"/>
      <c r="Z9" s="143"/>
      <c r="AA9" s="143"/>
      <c r="AB9" s="143"/>
      <c r="AC9" s="143"/>
    </row>
    <row r="10">
      <c r="A10" s="6">
        <v>8.0</v>
      </c>
      <c r="B10" s="37" t="s">
        <v>1928</v>
      </c>
      <c r="C10" s="37" t="s">
        <v>1929</v>
      </c>
      <c r="D10" s="5" t="s">
        <v>1794</v>
      </c>
      <c r="F10" s="13" t="s">
        <v>169</v>
      </c>
      <c r="G10" s="9">
        <v>7.229800584E9</v>
      </c>
      <c r="I10" s="14">
        <v>30000.0</v>
      </c>
      <c r="J10" s="238">
        <v>7000.0</v>
      </c>
      <c r="K10" s="9"/>
      <c r="L10" s="9"/>
      <c r="M10" s="9">
        <f t="shared" si="1"/>
        <v>37000</v>
      </c>
      <c r="N10" s="9">
        <f t="shared" si="2"/>
        <v>3000</v>
      </c>
      <c r="O10" s="9">
        <f t="shared" si="3"/>
        <v>34000</v>
      </c>
      <c r="Q10" s="5">
        <v>3000.0</v>
      </c>
      <c r="R10" s="6">
        <v>3967.0</v>
      </c>
      <c r="S10" s="6" t="s">
        <v>132</v>
      </c>
    </row>
    <row r="11">
      <c r="A11" s="6">
        <v>9.0</v>
      </c>
      <c r="B11" s="6" t="s">
        <v>1930</v>
      </c>
      <c r="C11" s="6" t="s">
        <v>1931</v>
      </c>
      <c r="D11" s="5" t="s">
        <v>1816</v>
      </c>
      <c r="E11" s="5">
        <v>1974.0</v>
      </c>
      <c r="F11" s="7" t="s">
        <v>474</v>
      </c>
      <c r="G11" s="5">
        <v>9.799401077E9</v>
      </c>
      <c r="I11" s="6">
        <v>27000.0</v>
      </c>
      <c r="J11" s="238">
        <v>5000.0</v>
      </c>
      <c r="K11" s="9"/>
      <c r="L11" s="9"/>
      <c r="M11" s="9">
        <f t="shared" si="1"/>
        <v>32000</v>
      </c>
      <c r="N11" s="9">
        <f t="shared" si="2"/>
        <v>10000</v>
      </c>
      <c r="O11" s="9">
        <f t="shared" si="3"/>
        <v>22000</v>
      </c>
      <c r="Q11" s="5">
        <v>10000.0</v>
      </c>
      <c r="R11" s="6">
        <v>3739.0</v>
      </c>
      <c r="S11" s="6" t="s">
        <v>291</v>
      </c>
      <c r="AC11" s="6" t="s">
        <v>1932</v>
      </c>
    </row>
    <row r="12">
      <c r="A12" s="6">
        <v>10.0</v>
      </c>
      <c r="B12" s="6" t="s">
        <v>1933</v>
      </c>
      <c r="C12" s="6" t="s">
        <v>1934</v>
      </c>
      <c r="D12" s="5" t="s">
        <v>1816</v>
      </c>
      <c r="E12" s="5">
        <v>1804.0</v>
      </c>
      <c r="F12" s="7" t="s">
        <v>474</v>
      </c>
      <c r="G12" s="5">
        <v>6.367587205E9</v>
      </c>
      <c r="I12" s="6">
        <v>27000.0</v>
      </c>
      <c r="J12" s="238">
        <v>5000.0</v>
      </c>
      <c r="K12" s="9"/>
      <c r="L12" s="9"/>
      <c r="M12" s="9">
        <f t="shared" si="1"/>
        <v>32000</v>
      </c>
      <c r="N12" s="9">
        <f t="shared" si="2"/>
        <v>10000</v>
      </c>
      <c r="O12" s="9">
        <f t="shared" si="3"/>
        <v>22000</v>
      </c>
      <c r="Q12" s="5">
        <v>5000.0</v>
      </c>
      <c r="R12" s="6">
        <v>3645.0</v>
      </c>
      <c r="S12" s="27">
        <v>45910.0</v>
      </c>
      <c r="T12" s="6">
        <v>5000.0</v>
      </c>
      <c r="U12" s="6">
        <v>3964.0</v>
      </c>
      <c r="V12" s="6" t="s">
        <v>132</v>
      </c>
    </row>
    <row r="13">
      <c r="A13" s="6">
        <v>11.0</v>
      </c>
      <c r="B13" s="6" t="s">
        <v>1935</v>
      </c>
      <c r="C13" s="6" t="s">
        <v>1936</v>
      </c>
      <c r="D13" s="5" t="s">
        <v>1816</v>
      </c>
      <c r="E13" s="5">
        <v>1803.0</v>
      </c>
      <c r="F13" s="7" t="s">
        <v>474</v>
      </c>
      <c r="G13" s="5">
        <v>9.929463619E9</v>
      </c>
      <c r="I13" s="6">
        <v>27000.0</v>
      </c>
      <c r="J13" s="238">
        <v>5000.0</v>
      </c>
      <c r="K13" s="9"/>
      <c r="L13" s="9"/>
      <c r="M13" s="9">
        <f t="shared" si="1"/>
        <v>32000</v>
      </c>
      <c r="N13" s="9">
        <f t="shared" si="2"/>
        <v>5000</v>
      </c>
      <c r="O13" s="9">
        <f t="shared" si="3"/>
        <v>27000</v>
      </c>
      <c r="Q13" s="5">
        <v>5000.0</v>
      </c>
      <c r="R13" s="6">
        <v>3644.0</v>
      </c>
      <c r="S13" s="27">
        <v>45910.0</v>
      </c>
    </row>
    <row r="14">
      <c r="A14" s="6">
        <v>12.0</v>
      </c>
      <c r="B14" s="6" t="s">
        <v>1937</v>
      </c>
      <c r="C14" s="6" t="s">
        <v>1273</v>
      </c>
      <c r="D14" s="5" t="s">
        <v>1816</v>
      </c>
      <c r="E14" s="5">
        <v>1825.0</v>
      </c>
      <c r="F14" s="7" t="s">
        <v>1938</v>
      </c>
      <c r="G14" s="5">
        <v>7.56822941E9</v>
      </c>
      <c r="I14" s="6">
        <v>27000.0</v>
      </c>
      <c r="J14" s="238"/>
      <c r="K14" s="9"/>
      <c r="L14" s="5">
        <v>27000.0</v>
      </c>
      <c r="M14" s="9">
        <f t="shared" si="1"/>
        <v>0</v>
      </c>
      <c r="N14" s="9">
        <f t="shared" si="2"/>
        <v>0</v>
      </c>
      <c r="O14" s="9">
        <f t="shared" si="3"/>
        <v>0</v>
      </c>
      <c r="P14" s="6" t="s">
        <v>34</v>
      </c>
      <c r="Q14" s="9"/>
    </row>
    <row r="15">
      <c r="A15" s="6">
        <v>13.0</v>
      </c>
      <c r="B15" s="6" t="s">
        <v>1939</v>
      </c>
      <c r="C15" s="6" t="s">
        <v>1940</v>
      </c>
      <c r="D15" s="5" t="s">
        <v>1816</v>
      </c>
      <c r="E15" s="5">
        <v>1845.0</v>
      </c>
      <c r="F15" s="7" t="s">
        <v>474</v>
      </c>
      <c r="G15" s="5">
        <v>9.636150544E9</v>
      </c>
      <c r="H15" s="242"/>
      <c r="I15" s="244">
        <v>27000.0</v>
      </c>
      <c r="J15" s="241">
        <v>5000.0</v>
      </c>
      <c r="K15" s="383"/>
      <c r="L15" s="383"/>
      <c r="M15" s="9">
        <f t="shared" si="1"/>
        <v>32000</v>
      </c>
      <c r="N15" s="9">
        <f t="shared" si="2"/>
        <v>5000</v>
      </c>
      <c r="O15" s="9">
        <f t="shared" si="3"/>
        <v>27000</v>
      </c>
      <c r="P15" s="242"/>
      <c r="Q15" s="255">
        <v>5000.0</v>
      </c>
      <c r="R15" s="244">
        <v>3392.0</v>
      </c>
      <c r="S15" s="279">
        <v>45909.0</v>
      </c>
    </row>
    <row r="16">
      <c r="A16" s="6">
        <v>14.0</v>
      </c>
      <c r="B16" s="6" t="s">
        <v>1941</v>
      </c>
      <c r="C16" s="6" t="s">
        <v>1942</v>
      </c>
      <c r="D16" s="5" t="s">
        <v>1816</v>
      </c>
      <c r="E16" s="6">
        <v>1824.0</v>
      </c>
      <c r="F16" s="7" t="s">
        <v>474</v>
      </c>
      <c r="G16" s="5" t="s">
        <v>1943</v>
      </c>
      <c r="I16" s="6">
        <v>27000.0</v>
      </c>
      <c r="J16" s="238">
        <v>5000.0</v>
      </c>
      <c r="K16" s="9"/>
      <c r="L16" s="9"/>
      <c r="M16" s="9">
        <f t="shared" si="1"/>
        <v>32000</v>
      </c>
      <c r="N16" s="9">
        <f t="shared" si="2"/>
        <v>25000</v>
      </c>
      <c r="O16" s="9">
        <f t="shared" si="3"/>
        <v>7000</v>
      </c>
      <c r="Q16" s="5">
        <v>25000.0</v>
      </c>
      <c r="R16" s="6">
        <v>3772.0</v>
      </c>
      <c r="S16" s="27">
        <v>45819.0</v>
      </c>
    </row>
    <row r="17">
      <c r="A17" s="384">
        <v>15.0</v>
      </c>
      <c r="B17" s="384" t="s">
        <v>1866</v>
      </c>
      <c r="C17" s="384" t="s">
        <v>1742</v>
      </c>
      <c r="D17" s="385" t="s">
        <v>1816</v>
      </c>
      <c r="E17" s="385">
        <v>1802.0</v>
      </c>
      <c r="F17" s="386" t="s">
        <v>361</v>
      </c>
      <c r="G17" s="385">
        <v>8.209621724E9</v>
      </c>
      <c r="H17" s="152"/>
      <c r="I17" s="384">
        <v>27000.0</v>
      </c>
      <c r="J17" s="387">
        <v>5000.0</v>
      </c>
      <c r="K17" s="388"/>
      <c r="L17" s="385">
        <v>6000.0</v>
      </c>
      <c r="M17" s="388">
        <f t="shared" si="1"/>
        <v>26000</v>
      </c>
      <c r="N17" s="388">
        <f t="shared" si="2"/>
        <v>5000</v>
      </c>
      <c r="O17" s="388">
        <f t="shared" si="3"/>
        <v>21000</v>
      </c>
      <c r="P17" s="152"/>
      <c r="Q17" s="385">
        <v>5000.0</v>
      </c>
      <c r="R17" s="384">
        <v>3884.0</v>
      </c>
      <c r="S17" s="384" t="s">
        <v>374</v>
      </c>
      <c r="T17" s="152"/>
      <c r="U17" s="152"/>
      <c r="V17" s="152"/>
      <c r="W17" s="152"/>
      <c r="X17" s="152"/>
      <c r="Y17" s="152"/>
      <c r="Z17" s="152"/>
      <c r="AA17" s="152"/>
      <c r="AB17" s="152"/>
      <c r="AC17" s="152"/>
    </row>
    <row r="18">
      <c r="A18" s="6">
        <v>16.0</v>
      </c>
      <c r="B18" s="6" t="s">
        <v>1944</v>
      </c>
      <c r="C18" s="6" t="s">
        <v>1945</v>
      </c>
      <c r="D18" s="5" t="s">
        <v>1816</v>
      </c>
      <c r="E18" s="5">
        <v>1934.0</v>
      </c>
      <c r="F18" s="7" t="s">
        <v>1946</v>
      </c>
      <c r="G18" s="5">
        <v>9.00114896E9</v>
      </c>
      <c r="I18" s="6">
        <v>27000.0</v>
      </c>
      <c r="J18" s="238">
        <v>0.0</v>
      </c>
      <c r="K18" s="9"/>
      <c r="L18" s="9"/>
      <c r="M18" s="9">
        <f t="shared" si="1"/>
        <v>27000</v>
      </c>
      <c r="N18" s="9">
        <f t="shared" si="2"/>
        <v>4000</v>
      </c>
      <c r="O18" s="9">
        <f t="shared" si="3"/>
        <v>23000</v>
      </c>
      <c r="Q18" s="5">
        <v>4000.0</v>
      </c>
      <c r="R18" s="6">
        <v>3775.0</v>
      </c>
      <c r="S18" s="27">
        <v>45819.0</v>
      </c>
    </row>
    <row r="19">
      <c r="A19" s="6">
        <v>17.0</v>
      </c>
      <c r="B19" s="6" t="s">
        <v>1947</v>
      </c>
      <c r="C19" s="6" t="s">
        <v>1948</v>
      </c>
      <c r="D19" s="5" t="s">
        <v>1949</v>
      </c>
      <c r="E19" s="9"/>
      <c r="F19" s="7" t="s">
        <v>1950</v>
      </c>
      <c r="G19" s="5">
        <v>8.890878752E9</v>
      </c>
      <c r="I19" s="6">
        <v>27000.0</v>
      </c>
      <c r="J19" s="238">
        <v>7000.0</v>
      </c>
      <c r="K19" s="9"/>
      <c r="L19" s="9"/>
      <c r="M19" s="9">
        <f t="shared" si="1"/>
        <v>34000</v>
      </c>
      <c r="N19" s="9">
        <f t="shared" si="2"/>
        <v>7500</v>
      </c>
      <c r="O19" s="9">
        <f t="shared" si="3"/>
        <v>26500</v>
      </c>
      <c r="Q19" s="5">
        <v>7500.0</v>
      </c>
      <c r="R19" s="6">
        <v>3948.0</v>
      </c>
      <c r="S19" s="6" t="s">
        <v>132</v>
      </c>
    </row>
    <row r="20">
      <c r="A20" s="6">
        <v>18.0</v>
      </c>
      <c r="B20" s="6" t="s">
        <v>1951</v>
      </c>
      <c r="C20" s="6" t="s">
        <v>1952</v>
      </c>
      <c r="D20" s="5" t="s">
        <v>1949</v>
      </c>
      <c r="E20" s="9"/>
      <c r="F20" s="7" t="s">
        <v>145</v>
      </c>
      <c r="G20" s="5">
        <v>8.003182344E9</v>
      </c>
      <c r="I20" s="6">
        <v>27000.0</v>
      </c>
      <c r="J20" s="238">
        <v>0.0</v>
      </c>
      <c r="K20" s="9"/>
      <c r="L20" s="9"/>
      <c r="M20" s="9">
        <f t="shared" si="1"/>
        <v>27000</v>
      </c>
      <c r="N20" s="9">
        <f t="shared" si="2"/>
        <v>5000</v>
      </c>
      <c r="O20" s="9">
        <f t="shared" si="3"/>
        <v>22000</v>
      </c>
      <c r="Q20" s="5">
        <v>5000.0</v>
      </c>
      <c r="R20" s="6">
        <v>3958.0</v>
      </c>
      <c r="S20" s="6" t="s">
        <v>132</v>
      </c>
    </row>
    <row r="21">
      <c r="A21" s="287">
        <v>19.0</v>
      </c>
      <c r="B21" s="287" t="s">
        <v>1953</v>
      </c>
      <c r="C21" s="287" t="s">
        <v>1954</v>
      </c>
      <c r="D21" s="298" t="s">
        <v>1949</v>
      </c>
      <c r="E21" s="375"/>
      <c r="F21" s="288" t="s">
        <v>702</v>
      </c>
      <c r="G21" s="298">
        <v>8.003575521E9</v>
      </c>
      <c r="H21" s="287">
        <v>1000.0</v>
      </c>
      <c r="I21" s="287">
        <v>27000.0</v>
      </c>
      <c r="J21" s="292">
        <v>8000.0</v>
      </c>
      <c r="K21" s="375"/>
      <c r="L21" s="298">
        <v>6000.0</v>
      </c>
      <c r="M21" s="9">
        <f t="shared" si="1"/>
        <v>30000</v>
      </c>
      <c r="N21" s="9">
        <f t="shared" si="2"/>
        <v>7000</v>
      </c>
      <c r="O21" s="9">
        <f t="shared" si="3"/>
        <v>23000</v>
      </c>
      <c r="P21" s="291"/>
      <c r="Q21" s="298">
        <v>2000.0</v>
      </c>
      <c r="R21" s="287">
        <v>3094.0</v>
      </c>
      <c r="S21" s="297">
        <v>45723.0</v>
      </c>
      <c r="T21" s="287">
        <v>5000.0</v>
      </c>
      <c r="U21" s="287">
        <v>3155.0</v>
      </c>
      <c r="V21" s="297">
        <v>45785.0</v>
      </c>
      <c r="W21" s="291"/>
      <c r="X21" s="291"/>
      <c r="Y21" s="291"/>
      <c r="Z21" s="291"/>
      <c r="AA21" s="291"/>
      <c r="AB21" s="291"/>
      <c r="AC21" s="291"/>
    </row>
    <row r="22">
      <c r="A22" s="287">
        <v>20.0</v>
      </c>
      <c r="B22" s="287" t="s">
        <v>1955</v>
      </c>
      <c r="C22" s="287" t="s">
        <v>1956</v>
      </c>
      <c r="D22" s="298" t="s">
        <v>1949</v>
      </c>
      <c r="E22" s="375"/>
      <c r="F22" s="288" t="s">
        <v>474</v>
      </c>
      <c r="G22" s="298">
        <v>8.000804286E9</v>
      </c>
      <c r="H22" s="287">
        <v>1000.0</v>
      </c>
      <c r="I22" s="287">
        <v>27000.0</v>
      </c>
      <c r="J22" s="292">
        <v>5000.0</v>
      </c>
      <c r="K22" s="375"/>
      <c r="L22" s="298">
        <v>5000.0</v>
      </c>
      <c r="M22" s="9">
        <f t="shared" si="1"/>
        <v>28000</v>
      </c>
      <c r="N22" s="9">
        <f t="shared" si="2"/>
        <v>5000</v>
      </c>
      <c r="O22" s="9">
        <f t="shared" si="3"/>
        <v>23000</v>
      </c>
      <c r="P22" s="291"/>
      <c r="Q22" s="298">
        <v>5000.0</v>
      </c>
      <c r="R22" s="287">
        <v>3977.0</v>
      </c>
      <c r="S22" s="287" t="s">
        <v>132</v>
      </c>
      <c r="T22" s="291"/>
      <c r="U22" s="291"/>
      <c r="V22" s="291"/>
      <c r="W22" s="291"/>
      <c r="X22" s="291"/>
      <c r="Y22" s="291"/>
      <c r="Z22" s="291"/>
      <c r="AA22" s="291"/>
      <c r="AB22" s="291"/>
      <c r="AC22" s="291"/>
    </row>
    <row r="23">
      <c r="A23" s="272">
        <v>21.0</v>
      </c>
      <c r="B23" s="272" t="s">
        <v>1957</v>
      </c>
      <c r="C23" s="272" t="s">
        <v>1706</v>
      </c>
      <c r="D23" s="271" t="s">
        <v>1877</v>
      </c>
      <c r="E23" s="271">
        <v>1811.0</v>
      </c>
      <c r="F23" s="280" t="s">
        <v>354</v>
      </c>
      <c r="G23" s="276">
        <v>9.799128815E9</v>
      </c>
      <c r="H23" s="305"/>
      <c r="I23" s="305">
        <v>30000.0</v>
      </c>
      <c r="J23" s="281">
        <v>8000.0</v>
      </c>
      <c r="K23" s="276"/>
      <c r="L23" s="389">
        <v>16000.0</v>
      </c>
      <c r="M23" s="277">
        <f t="shared" si="1"/>
        <v>22000</v>
      </c>
      <c r="N23" s="277">
        <f t="shared" si="2"/>
        <v>17000</v>
      </c>
      <c r="O23" s="277">
        <f t="shared" si="3"/>
        <v>5000</v>
      </c>
      <c r="P23" s="274"/>
      <c r="Q23" s="282">
        <v>17000.0</v>
      </c>
      <c r="R23" s="282">
        <v>3085.0</v>
      </c>
      <c r="S23" s="280" t="s">
        <v>1074</v>
      </c>
      <c r="T23" s="274"/>
      <c r="U23" s="274"/>
      <c r="V23" s="274"/>
      <c r="W23" s="274"/>
      <c r="X23" s="274"/>
      <c r="Y23" s="274"/>
      <c r="Z23" s="274"/>
      <c r="AA23" s="274"/>
      <c r="AB23" s="274"/>
      <c r="AC23" s="274"/>
    </row>
    <row r="24">
      <c r="A24" s="287">
        <v>22.0</v>
      </c>
      <c r="B24" s="287" t="s">
        <v>1958</v>
      </c>
      <c r="C24" s="287" t="s">
        <v>1959</v>
      </c>
      <c r="D24" s="298" t="s">
        <v>1877</v>
      </c>
      <c r="E24" s="298">
        <v>2006.0</v>
      </c>
      <c r="F24" s="306" t="s">
        <v>1052</v>
      </c>
      <c r="G24" s="290">
        <v>6.367114309E9</v>
      </c>
      <c r="H24" s="290">
        <v>1000.0</v>
      </c>
      <c r="I24" s="300">
        <v>30000.0</v>
      </c>
      <c r="J24" s="293">
        <v>8000.0</v>
      </c>
      <c r="K24" s="290"/>
      <c r="L24" s="290">
        <v>5000.0</v>
      </c>
      <c r="M24" s="9">
        <f t="shared" si="1"/>
        <v>34000</v>
      </c>
      <c r="N24" s="9">
        <f t="shared" si="2"/>
        <v>11500</v>
      </c>
      <c r="O24" s="9">
        <f t="shared" si="3"/>
        <v>22500</v>
      </c>
      <c r="P24" s="289" t="s">
        <v>44</v>
      </c>
      <c r="Q24" s="290">
        <v>4500.0</v>
      </c>
      <c r="R24" s="293">
        <v>2997.0</v>
      </c>
      <c r="S24" s="289" t="s">
        <v>191</v>
      </c>
      <c r="T24" s="300">
        <v>7000.0</v>
      </c>
      <c r="U24" s="300">
        <v>3778.0</v>
      </c>
      <c r="V24" s="307">
        <v>45850.0</v>
      </c>
      <c r="W24" s="289"/>
      <c r="X24" s="289"/>
      <c r="Y24" s="289"/>
      <c r="Z24" s="289"/>
      <c r="AA24" s="289"/>
      <c r="AB24" s="289"/>
      <c r="AC24" s="289"/>
    </row>
    <row r="25" ht="14.25" customHeight="1">
      <c r="A25" s="6">
        <v>23.0</v>
      </c>
      <c r="B25" s="6" t="s">
        <v>1960</v>
      </c>
      <c r="C25" s="6" t="s">
        <v>1961</v>
      </c>
      <c r="D25" s="5" t="s">
        <v>1877</v>
      </c>
      <c r="E25" s="5">
        <v>1866.0</v>
      </c>
      <c r="F25" s="7" t="s">
        <v>354</v>
      </c>
      <c r="G25" s="5">
        <v>9.001020098E9</v>
      </c>
      <c r="I25" s="14">
        <v>30000.0</v>
      </c>
      <c r="J25" s="121"/>
      <c r="K25" s="9"/>
      <c r="L25" s="9"/>
      <c r="M25" s="9">
        <f t="shared" si="1"/>
        <v>30000</v>
      </c>
      <c r="N25" s="9">
        <f t="shared" si="2"/>
        <v>15000</v>
      </c>
      <c r="O25" s="9">
        <f t="shared" si="3"/>
        <v>15000</v>
      </c>
      <c r="Q25" s="5">
        <v>5000.0</v>
      </c>
      <c r="R25" s="6">
        <v>3262.0</v>
      </c>
      <c r="S25" s="6" t="s">
        <v>727</v>
      </c>
      <c r="T25" s="6">
        <v>5000.0</v>
      </c>
      <c r="U25" s="6">
        <v>3698.0</v>
      </c>
      <c r="V25" s="240">
        <v>45940.0</v>
      </c>
      <c r="W25" s="6">
        <v>5000.0</v>
      </c>
      <c r="X25" s="6">
        <v>4071.0</v>
      </c>
      <c r="Y25" s="27">
        <v>45700.0</v>
      </c>
    </row>
    <row r="26">
      <c r="A26" s="6">
        <v>24.0</v>
      </c>
      <c r="B26" s="6" t="s">
        <v>1962</v>
      </c>
      <c r="C26" s="12" t="s">
        <v>1936</v>
      </c>
      <c r="D26" s="5" t="s">
        <v>1877</v>
      </c>
      <c r="E26" s="5">
        <v>1813.0</v>
      </c>
      <c r="F26" s="7" t="s">
        <v>474</v>
      </c>
      <c r="G26" s="390">
        <v>9.602051934E9</v>
      </c>
      <c r="I26" s="14">
        <v>30000.0</v>
      </c>
      <c r="J26" s="238">
        <v>5000.0</v>
      </c>
      <c r="K26" s="9"/>
      <c r="L26" s="9"/>
      <c r="M26" s="9">
        <f t="shared" si="1"/>
        <v>35000</v>
      </c>
      <c r="N26" s="9">
        <f t="shared" si="2"/>
        <v>10000</v>
      </c>
      <c r="O26" s="9">
        <f t="shared" si="3"/>
        <v>25000</v>
      </c>
      <c r="Q26" s="5">
        <v>10000.0</v>
      </c>
      <c r="R26" s="6">
        <v>3484.0</v>
      </c>
      <c r="S26" s="240">
        <v>45757.0</v>
      </c>
    </row>
    <row r="27">
      <c r="A27" s="6">
        <v>25.0</v>
      </c>
      <c r="B27" s="6" t="s">
        <v>1963</v>
      </c>
      <c r="C27" s="6" t="s">
        <v>1526</v>
      </c>
      <c r="D27" s="5" t="s">
        <v>1877</v>
      </c>
      <c r="E27" s="5">
        <v>1821.0</v>
      </c>
      <c r="F27" s="7" t="s">
        <v>145</v>
      </c>
      <c r="G27" s="5">
        <v>9.680477908E9</v>
      </c>
      <c r="I27" s="14">
        <v>30000.0</v>
      </c>
      <c r="J27" s="121"/>
      <c r="K27" s="9"/>
      <c r="L27" s="9"/>
      <c r="M27" s="9">
        <f t="shared" si="1"/>
        <v>30000</v>
      </c>
      <c r="N27" s="9">
        <f t="shared" si="2"/>
        <v>2500</v>
      </c>
      <c r="O27" s="9">
        <f t="shared" si="3"/>
        <v>27500</v>
      </c>
      <c r="Q27" s="5">
        <v>2500.0</v>
      </c>
      <c r="R27" s="6">
        <v>3308.0</v>
      </c>
      <c r="S27" s="6" t="s">
        <v>962</v>
      </c>
      <c r="AC27" s="6" t="s">
        <v>1791</v>
      </c>
    </row>
    <row r="28">
      <c r="A28" s="6">
        <v>26.0</v>
      </c>
      <c r="B28" s="6" t="s">
        <v>1964</v>
      </c>
      <c r="C28" s="6" t="s">
        <v>1965</v>
      </c>
      <c r="D28" s="5" t="s">
        <v>1877</v>
      </c>
      <c r="E28" s="5">
        <v>1846.0</v>
      </c>
      <c r="F28" s="7" t="s">
        <v>145</v>
      </c>
      <c r="G28" s="5">
        <v>9.521273445E9</v>
      </c>
      <c r="I28" s="14">
        <v>30000.0</v>
      </c>
      <c r="J28" s="121"/>
      <c r="K28" s="9"/>
      <c r="L28" s="9"/>
      <c r="M28" s="9">
        <f t="shared" si="1"/>
        <v>30000</v>
      </c>
      <c r="N28" s="9">
        <f t="shared" si="2"/>
        <v>0</v>
      </c>
      <c r="O28" s="9">
        <f t="shared" si="3"/>
        <v>30000</v>
      </c>
      <c r="Q28" s="9"/>
    </row>
    <row r="29">
      <c r="A29" s="6">
        <v>27.0</v>
      </c>
      <c r="B29" s="6" t="s">
        <v>1966</v>
      </c>
      <c r="C29" s="6" t="s">
        <v>1967</v>
      </c>
      <c r="D29" s="5" t="s">
        <v>1877</v>
      </c>
      <c r="E29" s="5">
        <v>1843.0</v>
      </c>
      <c r="F29" s="7" t="s">
        <v>354</v>
      </c>
      <c r="G29" s="5">
        <v>9.001253398E9</v>
      </c>
      <c r="I29" s="14">
        <v>30000.0</v>
      </c>
      <c r="J29" s="121"/>
      <c r="K29" s="9"/>
      <c r="L29" s="9"/>
      <c r="M29" s="9">
        <f t="shared" si="1"/>
        <v>30000</v>
      </c>
      <c r="N29" s="9">
        <f t="shared" si="2"/>
        <v>10000</v>
      </c>
      <c r="O29" s="9">
        <f t="shared" si="3"/>
        <v>20000</v>
      </c>
      <c r="Q29" s="5">
        <v>5000.0</v>
      </c>
      <c r="R29" s="6">
        <v>3779.0</v>
      </c>
      <c r="S29" s="27">
        <v>45849.0</v>
      </c>
      <c r="T29" s="6">
        <v>5000.0</v>
      </c>
      <c r="U29" s="6">
        <v>3978.0</v>
      </c>
      <c r="V29" s="6" t="s">
        <v>132</v>
      </c>
    </row>
    <row r="30">
      <c r="A30" s="287">
        <v>28.0</v>
      </c>
      <c r="B30" s="287" t="s">
        <v>1968</v>
      </c>
      <c r="C30" s="287" t="s">
        <v>1969</v>
      </c>
      <c r="D30" s="298" t="s">
        <v>1877</v>
      </c>
      <c r="E30" s="298">
        <v>1844.0</v>
      </c>
      <c r="F30" s="289" t="s">
        <v>1970</v>
      </c>
      <c r="G30" s="290">
        <v>7.742693058E9</v>
      </c>
      <c r="H30" s="290">
        <v>0.0</v>
      </c>
      <c r="I30" s="300">
        <v>30000.0</v>
      </c>
      <c r="J30" s="293">
        <v>6500.0</v>
      </c>
      <c r="K30" s="290"/>
      <c r="L30" s="290">
        <v>5000.0</v>
      </c>
      <c r="M30" s="9">
        <f t="shared" si="1"/>
        <v>31500</v>
      </c>
      <c r="N30" s="9">
        <f t="shared" si="2"/>
        <v>10000</v>
      </c>
      <c r="O30" s="9">
        <f t="shared" si="3"/>
        <v>21500</v>
      </c>
      <c r="P30" s="289" t="s">
        <v>177</v>
      </c>
      <c r="Q30" s="293">
        <v>5000.0</v>
      </c>
      <c r="R30" s="293">
        <v>3121.0</v>
      </c>
      <c r="S30" s="295">
        <v>45665.0</v>
      </c>
      <c r="T30" s="287">
        <v>5000.0</v>
      </c>
      <c r="U30" s="287">
        <v>3527.0</v>
      </c>
      <c r="V30" s="297">
        <v>45818.0</v>
      </c>
      <c r="W30" s="291"/>
      <c r="X30" s="291"/>
      <c r="Y30" s="291"/>
      <c r="Z30" s="291"/>
      <c r="AA30" s="291"/>
      <c r="AB30" s="291"/>
      <c r="AC30" s="287" t="s">
        <v>1971</v>
      </c>
    </row>
    <row r="31">
      <c r="A31" s="287">
        <v>29.0</v>
      </c>
      <c r="B31" s="287" t="s">
        <v>1972</v>
      </c>
      <c r="C31" s="287" t="s">
        <v>1826</v>
      </c>
      <c r="D31" s="298" t="s">
        <v>1877</v>
      </c>
      <c r="E31" s="298">
        <v>1820.0</v>
      </c>
      <c r="F31" s="289" t="s">
        <v>298</v>
      </c>
      <c r="G31" s="290">
        <v>7.296938977E9</v>
      </c>
      <c r="H31" s="290">
        <v>0.0</v>
      </c>
      <c r="I31" s="300">
        <v>30000.0</v>
      </c>
      <c r="J31" s="293">
        <v>7000.0</v>
      </c>
      <c r="K31" s="290"/>
      <c r="L31" s="290">
        <v>7000.0</v>
      </c>
      <c r="M31" s="9">
        <f t="shared" si="1"/>
        <v>30000</v>
      </c>
      <c r="N31" s="9">
        <f t="shared" si="2"/>
        <v>2000</v>
      </c>
      <c r="O31" s="9">
        <f t="shared" si="3"/>
        <v>28000</v>
      </c>
      <c r="P31" s="289" t="s">
        <v>44</v>
      </c>
      <c r="Q31" s="298">
        <v>2000.0</v>
      </c>
      <c r="R31" s="287">
        <v>3310.0</v>
      </c>
      <c r="S31" s="287" t="s">
        <v>241</v>
      </c>
      <c r="T31" s="291"/>
      <c r="U31" s="291"/>
      <c r="V31" s="291"/>
      <c r="W31" s="291"/>
      <c r="X31" s="291"/>
      <c r="Y31" s="291"/>
      <c r="Z31" s="291"/>
      <c r="AA31" s="291"/>
      <c r="AB31" s="291"/>
      <c r="AC31" s="291"/>
    </row>
    <row r="32">
      <c r="A32" s="6">
        <v>30.0</v>
      </c>
      <c r="B32" s="6" t="s">
        <v>721</v>
      </c>
      <c r="C32" s="6" t="s">
        <v>1973</v>
      </c>
      <c r="D32" s="5" t="s">
        <v>1877</v>
      </c>
      <c r="E32" s="5">
        <v>1810.0</v>
      </c>
      <c r="F32" s="7" t="s">
        <v>1974</v>
      </c>
      <c r="G32" s="5">
        <v>9.79924465E9</v>
      </c>
      <c r="I32" s="14">
        <v>30000.0</v>
      </c>
      <c r="J32" s="121"/>
      <c r="K32" s="9"/>
      <c r="L32" s="9"/>
      <c r="M32" s="9">
        <f t="shared" si="1"/>
        <v>30000</v>
      </c>
      <c r="N32" s="9">
        <f t="shared" si="2"/>
        <v>7000</v>
      </c>
      <c r="O32" s="9">
        <f t="shared" si="3"/>
        <v>23000</v>
      </c>
      <c r="Q32" s="5">
        <v>7000.0</v>
      </c>
      <c r="R32" s="6">
        <v>3965.0</v>
      </c>
      <c r="S32" s="6" t="s">
        <v>132</v>
      </c>
    </row>
    <row r="33">
      <c r="A33" s="6">
        <v>31.0</v>
      </c>
      <c r="B33" s="6" t="s">
        <v>1975</v>
      </c>
      <c r="C33" s="6" t="s">
        <v>1771</v>
      </c>
      <c r="D33" s="5" t="s">
        <v>1877</v>
      </c>
      <c r="E33" s="5">
        <v>1863.0</v>
      </c>
      <c r="F33" s="7" t="s">
        <v>169</v>
      </c>
      <c r="G33" s="5">
        <v>6.378668369E9</v>
      </c>
      <c r="I33" s="14">
        <v>30000.0</v>
      </c>
      <c r="J33" s="121"/>
      <c r="K33" s="9"/>
      <c r="L33" s="9"/>
      <c r="M33" s="9">
        <f t="shared" si="1"/>
        <v>30000</v>
      </c>
      <c r="N33" s="9">
        <f t="shared" si="2"/>
        <v>20000</v>
      </c>
      <c r="O33" s="9">
        <f t="shared" si="3"/>
        <v>10000</v>
      </c>
      <c r="Q33" s="5">
        <v>10000.0</v>
      </c>
      <c r="R33" s="6">
        <v>3465.0</v>
      </c>
      <c r="S33" s="27">
        <v>45726.0</v>
      </c>
      <c r="T33" s="6">
        <v>10000.0</v>
      </c>
      <c r="U33" s="6">
        <v>3961.0</v>
      </c>
      <c r="V33" s="6" t="s">
        <v>132</v>
      </c>
    </row>
    <row r="34">
      <c r="A34" s="6">
        <v>32.0</v>
      </c>
      <c r="B34" s="6" t="s">
        <v>1976</v>
      </c>
      <c r="C34" s="6" t="s">
        <v>1977</v>
      </c>
      <c r="D34" s="5" t="s">
        <v>1877</v>
      </c>
      <c r="E34" s="5">
        <v>1838.0</v>
      </c>
      <c r="F34" s="7" t="s">
        <v>474</v>
      </c>
      <c r="G34" s="5">
        <v>9.799834512E9</v>
      </c>
      <c r="I34" s="14">
        <v>30000.0</v>
      </c>
      <c r="J34" s="121"/>
      <c r="K34" s="9"/>
      <c r="L34" s="9"/>
      <c r="M34" s="9">
        <f t="shared" si="1"/>
        <v>30000</v>
      </c>
      <c r="N34" s="9">
        <f t="shared" si="2"/>
        <v>4000</v>
      </c>
      <c r="O34" s="9">
        <f t="shared" si="3"/>
        <v>26000</v>
      </c>
      <c r="Q34" s="5">
        <v>4000.0</v>
      </c>
      <c r="R34" s="6">
        <v>3623.0</v>
      </c>
      <c r="S34" s="27">
        <v>45879.0</v>
      </c>
    </row>
    <row r="35">
      <c r="A35" s="272">
        <v>33.0</v>
      </c>
      <c r="B35" s="272" t="s">
        <v>1978</v>
      </c>
      <c r="C35" s="272" t="s">
        <v>1979</v>
      </c>
      <c r="D35" s="271" t="s">
        <v>1877</v>
      </c>
      <c r="E35" s="271">
        <v>1832.0</v>
      </c>
      <c r="F35" s="273" t="s">
        <v>1980</v>
      </c>
      <c r="G35" s="391">
        <v>9.829809116E9</v>
      </c>
      <c r="H35" s="274"/>
      <c r="I35" s="305">
        <v>30000.0</v>
      </c>
      <c r="J35" s="392">
        <v>5000.0</v>
      </c>
      <c r="K35" s="277"/>
      <c r="L35" s="271">
        <v>8000.0</v>
      </c>
      <c r="M35" s="277">
        <f t="shared" si="1"/>
        <v>27000</v>
      </c>
      <c r="N35" s="277">
        <f t="shared" si="2"/>
        <v>5000</v>
      </c>
      <c r="O35" s="277">
        <f t="shared" si="3"/>
        <v>22000</v>
      </c>
      <c r="P35" s="274"/>
      <c r="Q35" s="271">
        <v>5000.0</v>
      </c>
      <c r="R35" s="272">
        <v>3629.0</v>
      </c>
      <c r="S35" s="284">
        <v>45879.0</v>
      </c>
      <c r="T35" s="274"/>
      <c r="U35" s="274"/>
      <c r="V35" s="274"/>
      <c r="W35" s="274"/>
      <c r="X35" s="274"/>
      <c r="Y35" s="274"/>
      <c r="Z35" s="274"/>
      <c r="AA35" s="274"/>
      <c r="AB35" s="274"/>
      <c r="AC35" s="272" t="s">
        <v>1791</v>
      </c>
    </row>
    <row r="36">
      <c r="A36" s="287">
        <v>34.0</v>
      </c>
      <c r="B36" s="287" t="s">
        <v>1981</v>
      </c>
      <c r="C36" s="287" t="s">
        <v>1982</v>
      </c>
      <c r="D36" s="298" t="s">
        <v>1877</v>
      </c>
      <c r="E36" s="298">
        <v>1865.0</v>
      </c>
      <c r="F36" s="289" t="s">
        <v>270</v>
      </c>
      <c r="G36" s="290">
        <v>7.742693058E9</v>
      </c>
      <c r="H36" s="290">
        <v>0.0</v>
      </c>
      <c r="I36" s="300">
        <v>30000.0</v>
      </c>
      <c r="J36" s="293">
        <v>6500.0</v>
      </c>
      <c r="K36" s="290"/>
      <c r="L36" s="290">
        <v>5000.0</v>
      </c>
      <c r="M36" s="9">
        <f t="shared" si="1"/>
        <v>31500</v>
      </c>
      <c r="N36" s="9">
        <f t="shared" si="2"/>
        <v>0</v>
      </c>
      <c r="O36" s="9">
        <f t="shared" si="3"/>
        <v>31500</v>
      </c>
      <c r="P36" s="289" t="s">
        <v>177</v>
      </c>
      <c r="Q36" s="375"/>
      <c r="R36" s="291"/>
      <c r="S36" s="291"/>
      <c r="T36" s="291"/>
      <c r="U36" s="291"/>
      <c r="V36" s="291"/>
      <c r="W36" s="291"/>
      <c r="X36" s="291"/>
      <c r="Y36" s="291"/>
      <c r="Z36" s="291"/>
      <c r="AA36" s="291"/>
      <c r="AB36" s="291"/>
      <c r="AC36" s="291"/>
    </row>
    <row r="37">
      <c r="A37" s="272">
        <v>35.0</v>
      </c>
      <c r="B37" s="272" t="s">
        <v>1983</v>
      </c>
      <c r="C37" s="272" t="s">
        <v>1984</v>
      </c>
      <c r="D37" s="271" t="s">
        <v>1877</v>
      </c>
      <c r="E37" s="271">
        <v>1847.0</v>
      </c>
      <c r="F37" s="273" t="s">
        <v>474</v>
      </c>
      <c r="G37" s="271">
        <v>9.829809116E9</v>
      </c>
      <c r="H37" s="274"/>
      <c r="I37" s="272">
        <v>30000.0</v>
      </c>
      <c r="J37" s="275"/>
      <c r="K37" s="277"/>
      <c r="L37" s="271">
        <v>8000.0</v>
      </c>
      <c r="M37" s="277">
        <f t="shared" si="1"/>
        <v>22000</v>
      </c>
      <c r="N37" s="277">
        <f t="shared" si="2"/>
        <v>5000</v>
      </c>
      <c r="O37" s="277">
        <f t="shared" si="3"/>
        <v>17000</v>
      </c>
      <c r="P37" s="274"/>
      <c r="Q37" s="271">
        <v>5000.0</v>
      </c>
      <c r="R37" s="272">
        <v>3630.0</v>
      </c>
      <c r="S37" s="284">
        <v>45879.0</v>
      </c>
      <c r="T37" s="274"/>
      <c r="U37" s="274"/>
      <c r="V37" s="274"/>
      <c r="W37" s="274"/>
      <c r="X37" s="274"/>
      <c r="Y37" s="274"/>
      <c r="Z37" s="274"/>
      <c r="AA37" s="274"/>
      <c r="AB37" s="274"/>
      <c r="AC37" s="274"/>
    </row>
    <row r="38">
      <c r="A38" s="6">
        <v>36.0</v>
      </c>
      <c r="B38" s="6" t="s">
        <v>1985</v>
      </c>
      <c r="C38" s="6" t="s">
        <v>1986</v>
      </c>
      <c r="D38" s="5" t="s">
        <v>1877</v>
      </c>
      <c r="E38" s="5">
        <v>1831.0</v>
      </c>
      <c r="F38" s="331" t="s">
        <v>354</v>
      </c>
      <c r="G38" s="5">
        <v>9.799248874E9</v>
      </c>
      <c r="I38" s="14">
        <v>30000.0</v>
      </c>
      <c r="J38" s="121"/>
      <c r="K38" s="9"/>
      <c r="L38" s="9"/>
      <c r="M38" s="9">
        <f t="shared" si="1"/>
        <v>30000</v>
      </c>
      <c r="N38" s="9">
        <f t="shared" si="2"/>
        <v>10000</v>
      </c>
      <c r="O38" s="9">
        <f t="shared" si="3"/>
        <v>20000</v>
      </c>
      <c r="Q38" s="5">
        <v>10000.0</v>
      </c>
      <c r="R38" s="6">
        <v>3979.0</v>
      </c>
      <c r="S38" s="6" t="s">
        <v>132</v>
      </c>
    </row>
    <row r="39">
      <c r="A39" s="272">
        <v>37.0</v>
      </c>
      <c r="B39" s="272" t="s">
        <v>1987</v>
      </c>
      <c r="C39" s="272" t="s">
        <v>1</v>
      </c>
      <c r="D39" s="271" t="s">
        <v>1877</v>
      </c>
      <c r="E39" s="271">
        <v>1833.0</v>
      </c>
      <c r="F39" s="273" t="s">
        <v>3</v>
      </c>
      <c r="G39" s="271">
        <v>8.696159898E9</v>
      </c>
      <c r="H39" s="274"/>
      <c r="I39" s="305">
        <v>30000.0</v>
      </c>
      <c r="J39" s="275"/>
      <c r="K39" s="277"/>
      <c r="L39" s="271">
        <v>5000.0</v>
      </c>
      <c r="M39" s="277">
        <f t="shared" si="1"/>
        <v>25000</v>
      </c>
      <c r="N39" s="277">
        <f t="shared" si="2"/>
        <v>5000</v>
      </c>
      <c r="O39" s="277">
        <f t="shared" si="3"/>
        <v>20000</v>
      </c>
      <c r="P39" s="274"/>
      <c r="Q39" s="271">
        <v>5000.0</v>
      </c>
      <c r="R39" s="272">
        <v>3410.0</v>
      </c>
      <c r="S39" s="272" t="s">
        <v>1036</v>
      </c>
      <c r="T39" s="274"/>
      <c r="U39" s="274"/>
      <c r="V39" s="274"/>
      <c r="W39" s="274"/>
      <c r="X39" s="274"/>
      <c r="Y39" s="274"/>
      <c r="Z39" s="274"/>
      <c r="AA39" s="274"/>
      <c r="AB39" s="274"/>
      <c r="AC39" s="274"/>
    </row>
    <row r="40">
      <c r="A40" s="287">
        <v>38.0</v>
      </c>
      <c r="B40" s="287" t="s">
        <v>1988</v>
      </c>
      <c r="C40" s="287" t="s">
        <v>1989</v>
      </c>
      <c r="D40" s="298" t="s">
        <v>1990</v>
      </c>
      <c r="E40" s="298">
        <v>1995.0</v>
      </c>
      <c r="F40" s="306" t="s">
        <v>662</v>
      </c>
      <c r="G40" s="290">
        <v>9.352342901E9</v>
      </c>
      <c r="H40" s="290">
        <v>1000.0</v>
      </c>
      <c r="I40" s="300">
        <v>30000.0</v>
      </c>
      <c r="J40" s="293">
        <v>6500.0</v>
      </c>
      <c r="K40" s="290"/>
      <c r="L40" s="290">
        <v>3500.0</v>
      </c>
      <c r="M40" s="9">
        <f t="shared" si="1"/>
        <v>34000</v>
      </c>
      <c r="N40" s="9">
        <f t="shared" si="2"/>
        <v>12000</v>
      </c>
      <c r="O40" s="9">
        <f t="shared" si="3"/>
        <v>22000</v>
      </c>
      <c r="P40" s="289" t="s">
        <v>44</v>
      </c>
      <c r="Q40" s="290">
        <v>6000.0</v>
      </c>
      <c r="R40" s="293">
        <v>3081.0</v>
      </c>
      <c r="S40" s="289" t="s">
        <v>1074</v>
      </c>
      <c r="T40" s="287">
        <v>6000.0</v>
      </c>
      <c r="U40" s="287">
        <v>3329.0</v>
      </c>
      <c r="V40" s="287" t="s">
        <v>241</v>
      </c>
      <c r="W40" s="291"/>
      <c r="X40" s="291"/>
      <c r="Y40" s="291"/>
      <c r="Z40" s="291"/>
      <c r="AA40" s="291"/>
      <c r="AB40" s="291"/>
      <c r="AC40" s="291"/>
    </row>
    <row r="41">
      <c r="A41" s="6">
        <v>39.0</v>
      </c>
      <c r="B41" s="6" t="s">
        <v>1991</v>
      </c>
      <c r="C41" s="6" t="s">
        <v>1992</v>
      </c>
      <c r="D41" s="5" t="s">
        <v>1903</v>
      </c>
      <c r="E41" s="5">
        <v>1822.0</v>
      </c>
      <c r="F41" s="7" t="s">
        <v>169</v>
      </c>
      <c r="G41" s="5">
        <v>7.56848265E9</v>
      </c>
      <c r="I41" s="14">
        <v>30000.0</v>
      </c>
      <c r="J41" s="121"/>
      <c r="K41" s="9"/>
      <c r="L41" s="9"/>
      <c r="M41" s="9">
        <f t="shared" si="1"/>
        <v>30000</v>
      </c>
      <c r="N41" s="9">
        <f t="shared" si="2"/>
        <v>0</v>
      </c>
      <c r="O41" s="9">
        <f t="shared" si="3"/>
        <v>30000</v>
      </c>
      <c r="Q41" s="9"/>
      <c r="AC41" s="6" t="s">
        <v>1791</v>
      </c>
    </row>
    <row r="42">
      <c r="A42" s="272">
        <v>40.0</v>
      </c>
      <c r="B42" s="272" t="s">
        <v>1993</v>
      </c>
      <c r="C42" s="272" t="s">
        <v>1994</v>
      </c>
      <c r="D42" s="271" t="s">
        <v>1903</v>
      </c>
      <c r="E42" s="271">
        <v>1823.0</v>
      </c>
      <c r="F42" s="273" t="s">
        <v>165</v>
      </c>
      <c r="G42" s="271">
        <v>9.982606281E9</v>
      </c>
      <c r="H42" s="274"/>
      <c r="I42" s="305">
        <v>30000.0</v>
      </c>
      <c r="J42" s="275"/>
      <c r="K42" s="277"/>
      <c r="L42" s="271">
        <v>5000.0</v>
      </c>
      <c r="M42" s="277">
        <f t="shared" si="1"/>
        <v>25000</v>
      </c>
      <c r="N42" s="277">
        <f t="shared" si="2"/>
        <v>0</v>
      </c>
      <c r="O42" s="277">
        <f t="shared" si="3"/>
        <v>25000</v>
      </c>
      <c r="P42" s="274"/>
      <c r="Q42" s="277"/>
      <c r="R42" s="274"/>
      <c r="S42" s="274"/>
      <c r="T42" s="274"/>
      <c r="U42" s="274"/>
      <c r="V42" s="274"/>
      <c r="W42" s="274"/>
      <c r="X42" s="274"/>
      <c r="Y42" s="274"/>
      <c r="Z42" s="274"/>
      <c r="AA42" s="274"/>
      <c r="AB42" s="274"/>
      <c r="AC42" s="274"/>
    </row>
    <row r="43">
      <c r="A43" s="287">
        <v>41.0</v>
      </c>
      <c r="B43" s="287" t="s">
        <v>1995</v>
      </c>
      <c r="C43" s="287" t="s">
        <v>1996</v>
      </c>
      <c r="D43" s="298" t="s">
        <v>1903</v>
      </c>
      <c r="E43" s="298">
        <v>1834.0</v>
      </c>
      <c r="F43" s="288" t="s">
        <v>145</v>
      </c>
      <c r="G43" s="298">
        <v>7.568405002E9</v>
      </c>
      <c r="H43" s="291"/>
      <c r="I43" s="300">
        <v>30000.0</v>
      </c>
      <c r="J43" s="302"/>
      <c r="K43" s="375"/>
      <c r="L43" s="298">
        <v>30000.0</v>
      </c>
      <c r="M43" s="9">
        <f t="shared" si="1"/>
        <v>0</v>
      </c>
      <c r="N43" s="9">
        <f t="shared" si="2"/>
        <v>0</v>
      </c>
      <c r="O43" s="9">
        <f t="shared" si="3"/>
        <v>0</v>
      </c>
      <c r="P43" s="287" t="s">
        <v>1997</v>
      </c>
      <c r="Q43" s="375"/>
      <c r="R43" s="291"/>
      <c r="S43" s="291"/>
      <c r="T43" s="291"/>
      <c r="U43" s="291"/>
      <c r="V43" s="291"/>
      <c r="W43" s="291"/>
      <c r="X43" s="291"/>
      <c r="Y43" s="291"/>
      <c r="Z43" s="291"/>
      <c r="AA43" s="291"/>
      <c r="AB43" s="291"/>
      <c r="AC43" s="287" t="s">
        <v>1791</v>
      </c>
    </row>
    <row r="44">
      <c r="A44" s="6">
        <v>42.0</v>
      </c>
      <c r="B44" s="6" t="s">
        <v>1998</v>
      </c>
      <c r="C44" s="6" t="s">
        <v>1999</v>
      </c>
      <c r="D44" s="5" t="s">
        <v>1903</v>
      </c>
      <c r="E44" s="5">
        <v>1839.0</v>
      </c>
      <c r="F44" s="331" t="s">
        <v>3</v>
      </c>
      <c r="G44" s="5">
        <v>9.829444346E9</v>
      </c>
      <c r="I44" s="14">
        <v>30000.0</v>
      </c>
      <c r="J44" s="121"/>
      <c r="K44" s="9"/>
      <c r="L44" s="9"/>
      <c r="M44" s="9">
        <f t="shared" si="1"/>
        <v>30000</v>
      </c>
      <c r="N44" s="9">
        <f t="shared" si="2"/>
        <v>10000</v>
      </c>
      <c r="O44" s="9">
        <f t="shared" si="3"/>
        <v>20000</v>
      </c>
      <c r="P44" s="287" t="s">
        <v>2000</v>
      </c>
      <c r="Q44" s="5">
        <v>10000.0</v>
      </c>
      <c r="R44" s="6">
        <v>3841.0</v>
      </c>
      <c r="S44" s="393">
        <v>45941.0</v>
      </c>
    </row>
    <row r="45">
      <c r="A45" s="6">
        <v>43.0</v>
      </c>
      <c r="B45" s="6" t="s">
        <v>1649</v>
      </c>
      <c r="C45" s="6" t="s">
        <v>1824</v>
      </c>
      <c r="D45" s="5" t="s">
        <v>1903</v>
      </c>
      <c r="E45" s="5">
        <v>1814.0</v>
      </c>
      <c r="F45" s="331" t="s">
        <v>169</v>
      </c>
      <c r="G45" s="5">
        <v>9.636150159E9</v>
      </c>
      <c r="I45" s="14">
        <v>30000.0</v>
      </c>
      <c r="J45" s="121"/>
      <c r="K45" s="9"/>
      <c r="L45" s="9"/>
      <c r="M45" s="9">
        <f t="shared" si="1"/>
        <v>30000</v>
      </c>
      <c r="N45" s="9">
        <f t="shared" si="2"/>
        <v>15000</v>
      </c>
      <c r="O45" s="9">
        <f t="shared" si="3"/>
        <v>15000</v>
      </c>
      <c r="P45" s="287" t="s">
        <v>2000</v>
      </c>
      <c r="Q45" s="5">
        <v>10000.0</v>
      </c>
      <c r="R45" s="6">
        <v>3455.0</v>
      </c>
      <c r="S45" s="6" t="s">
        <v>1279</v>
      </c>
      <c r="T45" s="6">
        <v>5000.0</v>
      </c>
      <c r="U45" s="6">
        <v>3966.0</v>
      </c>
      <c r="V45" s="6" t="s">
        <v>132</v>
      </c>
    </row>
    <row r="46">
      <c r="D46" s="5"/>
      <c r="E46" s="9"/>
      <c r="F46" s="13"/>
      <c r="G46" s="9"/>
      <c r="J46" s="121"/>
      <c r="K46" s="9"/>
      <c r="L46" s="9"/>
      <c r="M46" s="9"/>
      <c r="N46" s="9"/>
      <c r="O46" s="9"/>
      <c r="Q46" s="9"/>
    </row>
    <row r="47">
      <c r="D47" s="5"/>
      <c r="E47" s="9"/>
      <c r="F47" s="13"/>
      <c r="G47" s="9"/>
      <c r="J47" s="121"/>
      <c r="K47" s="9"/>
      <c r="L47" s="9"/>
      <c r="M47" s="9"/>
      <c r="N47" s="9"/>
      <c r="O47" s="9"/>
      <c r="Q47" s="9"/>
    </row>
    <row r="48">
      <c r="D48" s="5"/>
      <c r="E48" s="9"/>
      <c r="F48" s="13"/>
      <c r="G48" s="9"/>
      <c r="J48" s="121"/>
      <c r="K48" s="9"/>
      <c r="L48" s="9"/>
      <c r="M48" s="9"/>
      <c r="N48" s="9"/>
      <c r="O48" s="9"/>
      <c r="Q48" s="9"/>
    </row>
    <row r="49">
      <c r="D49" s="5"/>
      <c r="E49" s="9"/>
      <c r="F49" s="13"/>
      <c r="G49" s="9"/>
      <c r="J49" s="121"/>
      <c r="K49" s="9"/>
      <c r="L49" s="9"/>
      <c r="M49" s="9"/>
      <c r="N49" s="9"/>
      <c r="O49" s="9"/>
      <c r="Q49" s="9"/>
    </row>
    <row r="50">
      <c r="D50" s="5"/>
      <c r="E50" s="9"/>
      <c r="F50" s="13"/>
      <c r="G50" s="9"/>
      <c r="J50" s="121"/>
      <c r="K50" s="9"/>
      <c r="L50" s="9"/>
      <c r="M50" s="9"/>
      <c r="N50" s="9"/>
      <c r="O50" s="9"/>
      <c r="Q50" s="9"/>
    </row>
    <row r="51">
      <c r="D51" s="9"/>
      <c r="E51" s="9"/>
      <c r="F51" s="13"/>
      <c r="G51" s="9"/>
      <c r="J51" s="121"/>
      <c r="K51" s="9"/>
      <c r="L51" s="9"/>
      <c r="M51" s="9"/>
      <c r="N51" s="9"/>
      <c r="O51" s="9"/>
      <c r="Q51" s="9"/>
    </row>
    <row r="52">
      <c r="D52" s="9"/>
      <c r="E52" s="9"/>
      <c r="F52" s="13"/>
      <c r="G52" s="9"/>
      <c r="J52" s="121"/>
      <c r="K52" s="9"/>
      <c r="L52" s="9"/>
      <c r="M52" s="9"/>
      <c r="N52" s="9"/>
      <c r="O52" s="9"/>
      <c r="Q52" s="9"/>
    </row>
    <row r="53">
      <c r="D53" s="9"/>
      <c r="E53" s="9"/>
      <c r="F53" s="13"/>
      <c r="G53" s="9"/>
      <c r="J53" s="121"/>
      <c r="K53" s="9"/>
      <c r="L53" s="9"/>
      <c r="M53" s="9"/>
      <c r="N53" s="9"/>
      <c r="O53" s="9"/>
      <c r="Q53" s="9"/>
    </row>
    <row r="54">
      <c r="D54" s="9"/>
      <c r="E54" s="9"/>
      <c r="F54" s="13"/>
      <c r="G54" s="9"/>
      <c r="J54" s="121"/>
      <c r="K54" s="9"/>
      <c r="L54" s="9"/>
      <c r="M54" s="9"/>
      <c r="N54" s="9"/>
      <c r="O54" s="9"/>
      <c r="Q54" s="9"/>
    </row>
    <row r="55">
      <c r="D55" s="9"/>
      <c r="E55" s="9"/>
      <c r="F55" s="13"/>
      <c r="G55" s="9"/>
      <c r="J55" s="121"/>
      <c r="K55" s="9"/>
      <c r="L55" s="9"/>
      <c r="M55" s="9"/>
      <c r="N55" s="9"/>
      <c r="O55" s="9"/>
      <c r="Q55" s="9"/>
    </row>
    <row r="56">
      <c r="D56" s="9"/>
      <c r="E56" s="9"/>
      <c r="F56" s="13"/>
      <c r="G56" s="9"/>
      <c r="J56" s="121"/>
      <c r="K56" s="9"/>
      <c r="L56" s="9"/>
      <c r="M56" s="9"/>
      <c r="N56" s="9"/>
      <c r="O56" s="9"/>
      <c r="Q56" s="9"/>
    </row>
    <row r="57">
      <c r="D57" s="9"/>
      <c r="E57" s="9"/>
      <c r="F57" s="13"/>
      <c r="G57" s="9"/>
      <c r="J57" s="121"/>
      <c r="K57" s="9"/>
      <c r="L57" s="9"/>
      <c r="M57" s="9"/>
      <c r="N57" s="9"/>
      <c r="O57" s="9"/>
      <c r="Q57" s="9"/>
    </row>
    <row r="58">
      <c r="D58" s="9"/>
      <c r="E58" s="9"/>
      <c r="F58" s="13"/>
      <c r="G58" s="9"/>
      <c r="J58" s="121"/>
      <c r="K58" s="9"/>
      <c r="L58" s="9"/>
      <c r="M58" s="9"/>
      <c r="N58" s="9"/>
      <c r="O58" s="9"/>
      <c r="Q58" s="9"/>
    </row>
    <row r="59">
      <c r="D59" s="9"/>
      <c r="E59" s="9"/>
      <c r="F59" s="13"/>
      <c r="G59" s="9"/>
      <c r="J59" s="121"/>
      <c r="K59" s="9"/>
      <c r="L59" s="9"/>
      <c r="M59" s="9"/>
      <c r="N59" s="9"/>
      <c r="O59" s="9"/>
      <c r="Q59" s="9"/>
    </row>
    <row r="60">
      <c r="D60" s="9"/>
      <c r="E60" s="9"/>
      <c r="F60" s="13"/>
      <c r="G60" s="9"/>
      <c r="J60" s="121"/>
      <c r="K60" s="9"/>
      <c r="L60" s="9"/>
      <c r="M60" s="9"/>
      <c r="N60" s="9"/>
      <c r="O60" s="9"/>
      <c r="Q60" s="9"/>
    </row>
    <row r="61">
      <c r="D61" s="9"/>
      <c r="E61" s="9"/>
      <c r="F61" s="13"/>
      <c r="G61" s="9"/>
      <c r="J61" s="121"/>
      <c r="K61" s="9"/>
      <c r="L61" s="9"/>
      <c r="M61" s="9"/>
      <c r="N61" s="9"/>
      <c r="O61" s="9"/>
      <c r="Q61" s="9"/>
    </row>
    <row r="62">
      <c r="D62" s="9"/>
      <c r="E62" s="9"/>
      <c r="F62" s="13"/>
      <c r="G62" s="9"/>
      <c r="J62" s="121"/>
      <c r="K62" s="9"/>
      <c r="L62" s="9"/>
      <c r="M62" s="9"/>
      <c r="N62" s="9"/>
      <c r="O62" s="9"/>
      <c r="Q62" s="9"/>
    </row>
    <row r="63">
      <c r="D63" s="9"/>
      <c r="E63" s="9"/>
      <c r="F63" s="13"/>
      <c r="G63" s="9"/>
      <c r="J63" s="121"/>
      <c r="K63" s="9"/>
      <c r="L63" s="9"/>
      <c r="M63" s="9"/>
      <c r="N63" s="9"/>
      <c r="O63" s="9"/>
      <c r="Q63" s="9"/>
    </row>
    <row r="64">
      <c r="D64" s="9"/>
      <c r="E64" s="9"/>
      <c r="F64" s="13"/>
      <c r="G64" s="9"/>
      <c r="J64" s="121"/>
      <c r="K64" s="9"/>
      <c r="L64" s="9"/>
      <c r="M64" s="9"/>
      <c r="N64" s="9"/>
      <c r="O64" s="9"/>
      <c r="Q64" s="9"/>
    </row>
    <row r="65">
      <c r="D65" s="9"/>
      <c r="E65" s="9"/>
      <c r="F65" s="13"/>
      <c r="G65" s="9"/>
      <c r="J65" s="121"/>
      <c r="K65" s="9"/>
      <c r="L65" s="9"/>
      <c r="M65" s="9"/>
      <c r="N65" s="9"/>
      <c r="O65" s="9"/>
      <c r="Q65" s="9"/>
    </row>
    <row r="66">
      <c r="D66" s="9"/>
      <c r="E66" s="9"/>
      <c r="F66" s="13"/>
      <c r="G66" s="9"/>
      <c r="J66" s="121"/>
      <c r="K66" s="9"/>
      <c r="L66" s="9"/>
      <c r="M66" s="9"/>
      <c r="N66" s="9"/>
      <c r="O66" s="9"/>
      <c r="Q66" s="9"/>
    </row>
    <row r="67">
      <c r="D67" s="9"/>
      <c r="E67" s="9"/>
      <c r="F67" s="13"/>
      <c r="G67" s="9"/>
      <c r="J67" s="121"/>
      <c r="K67" s="9"/>
      <c r="L67" s="9"/>
      <c r="M67" s="9"/>
      <c r="N67" s="9"/>
      <c r="O67" s="9"/>
      <c r="Q67" s="9"/>
    </row>
    <row r="68">
      <c r="D68" s="9"/>
      <c r="E68" s="9"/>
      <c r="F68" s="13"/>
      <c r="G68" s="9"/>
      <c r="J68" s="121"/>
      <c r="K68" s="9"/>
      <c r="L68" s="9"/>
      <c r="M68" s="9"/>
      <c r="N68" s="9"/>
      <c r="O68" s="9"/>
      <c r="Q68" s="9"/>
    </row>
    <row r="69">
      <c r="D69" s="9"/>
      <c r="E69" s="9"/>
      <c r="F69" s="13"/>
      <c r="G69" s="9"/>
      <c r="J69" s="121"/>
      <c r="K69" s="9"/>
      <c r="L69" s="9"/>
      <c r="M69" s="9"/>
      <c r="N69" s="9"/>
      <c r="O69" s="9"/>
      <c r="Q69" s="9"/>
    </row>
    <row r="70">
      <c r="D70" s="9"/>
      <c r="E70" s="9"/>
      <c r="F70" s="13"/>
      <c r="G70" s="9"/>
      <c r="J70" s="121"/>
      <c r="K70" s="9"/>
      <c r="L70" s="9"/>
      <c r="M70" s="9"/>
      <c r="N70" s="9"/>
      <c r="O70" s="9"/>
      <c r="Q70" s="9"/>
    </row>
    <row r="71">
      <c r="D71" s="9"/>
      <c r="E71" s="9"/>
      <c r="F71" s="13"/>
      <c r="G71" s="9"/>
      <c r="J71" s="121"/>
      <c r="K71" s="9"/>
      <c r="L71" s="9"/>
      <c r="M71" s="9"/>
      <c r="N71" s="9"/>
      <c r="O71" s="9"/>
      <c r="Q71" s="9"/>
    </row>
    <row r="72">
      <c r="D72" s="9"/>
      <c r="E72" s="9"/>
      <c r="F72" s="13"/>
      <c r="G72" s="9"/>
      <c r="J72" s="121"/>
      <c r="K72" s="9"/>
      <c r="L72" s="9"/>
      <c r="M72" s="9"/>
      <c r="N72" s="9"/>
      <c r="O72" s="9"/>
      <c r="Q72" s="9"/>
    </row>
    <row r="73">
      <c r="D73" s="9"/>
      <c r="E73" s="9"/>
      <c r="F73" s="13"/>
      <c r="G73" s="9"/>
      <c r="J73" s="121"/>
      <c r="K73" s="9"/>
      <c r="L73" s="9"/>
      <c r="M73" s="9"/>
      <c r="N73" s="9"/>
      <c r="O73" s="9"/>
      <c r="Q73" s="9"/>
    </row>
    <row r="74">
      <c r="D74" s="9"/>
      <c r="E74" s="9"/>
      <c r="F74" s="13"/>
      <c r="G74" s="9"/>
      <c r="J74" s="121"/>
      <c r="K74" s="9"/>
      <c r="L74" s="9"/>
      <c r="M74" s="9"/>
      <c r="N74" s="9"/>
      <c r="O74" s="9"/>
      <c r="Q74" s="9"/>
    </row>
    <row r="75">
      <c r="D75" s="9"/>
      <c r="E75" s="9"/>
      <c r="F75" s="13"/>
      <c r="G75" s="9"/>
      <c r="J75" s="121"/>
      <c r="K75" s="9"/>
      <c r="L75" s="9"/>
      <c r="M75" s="9"/>
      <c r="N75" s="9"/>
      <c r="O75" s="9"/>
      <c r="Q75" s="9"/>
    </row>
    <row r="76">
      <c r="D76" s="9"/>
      <c r="E76" s="9"/>
      <c r="F76" s="13"/>
      <c r="G76" s="9"/>
      <c r="J76" s="121"/>
      <c r="K76" s="9"/>
      <c r="L76" s="9"/>
      <c r="M76" s="9"/>
      <c r="N76" s="9"/>
      <c r="O76" s="9"/>
      <c r="Q76" s="9"/>
    </row>
    <row r="77">
      <c r="D77" s="9"/>
      <c r="E77" s="9"/>
      <c r="F77" s="13"/>
      <c r="G77" s="9"/>
      <c r="J77" s="121"/>
      <c r="K77" s="9"/>
      <c r="L77" s="9"/>
      <c r="M77" s="9"/>
      <c r="N77" s="9"/>
      <c r="O77" s="9"/>
      <c r="Q77" s="9"/>
    </row>
    <row r="78">
      <c r="D78" s="9"/>
      <c r="E78" s="9"/>
      <c r="F78" s="13"/>
      <c r="G78" s="9"/>
      <c r="J78" s="121"/>
      <c r="K78" s="9"/>
      <c r="L78" s="9"/>
      <c r="M78" s="9"/>
      <c r="N78" s="9"/>
      <c r="O78" s="9"/>
      <c r="Q78" s="9"/>
    </row>
    <row r="79">
      <c r="D79" s="9"/>
      <c r="E79" s="9"/>
      <c r="F79" s="13"/>
      <c r="G79" s="9"/>
      <c r="J79" s="121"/>
      <c r="K79" s="9"/>
      <c r="L79" s="9"/>
      <c r="M79" s="9"/>
      <c r="N79" s="9"/>
      <c r="O79" s="9"/>
      <c r="Q79" s="9"/>
    </row>
    <row r="80">
      <c r="D80" s="9"/>
      <c r="E80" s="9"/>
      <c r="F80" s="13"/>
      <c r="G80" s="9"/>
      <c r="J80" s="121"/>
      <c r="K80" s="9"/>
      <c r="L80" s="9"/>
      <c r="M80" s="9"/>
      <c r="N80" s="9"/>
      <c r="O80" s="9"/>
      <c r="Q80" s="9"/>
    </row>
    <row r="81">
      <c r="D81" s="9"/>
      <c r="E81" s="9"/>
      <c r="F81" s="13"/>
      <c r="G81" s="9"/>
      <c r="J81" s="121"/>
      <c r="K81" s="9"/>
      <c r="L81" s="9"/>
      <c r="M81" s="9"/>
      <c r="N81" s="9"/>
      <c r="O81" s="9"/>
      <c r="Q81" s="9"/>
    </row>
    <row r="82">
      <c r="D82" s="9"/>
      <c r="E82" s="9"/>
      <c r="F82" s="13"/>
      <c r="G82" s="9"/>
      <c r="J82" s="121"/>
      <c r="K82" s="9"/>
      <c r="L82" s="9"/>
      <c r="M82" s="9"/>
      <c r="N82" s="9"/>
      <c r="O82" s="9"/>
      <c r="Q82" s="9"/>
    </row>
    <row r="83">
      <c r="D83" s="9"/>
      <c r="E83" s="9"/>
      <c r="F83" s="13"/>
      <c r="G83" s="9"/>
      <c r="J83" s="121"/>
      <c r="K83" s="9"/>
      <c r="L83" s="9"/>
      <c r="M83" s="9"/>
      <c r="N83" s="9"/>
      <c r="O83" s="9"/>
      <c r="Q83" s="9"/>
    </row>
    <row r="84">
      <c r="D84" s="9"/>
      <c r="E84" s="9"/>
      <c r="F84" s="13"/>
      <c r="G84" s="9"/>
      <c r="J84" s="121"/>
      <c r="K84" s="9"/>
      <c r="L84" s="9"/>
      <c r="M84" s="9"/>
      <c r="N84" s="9"/>
      <c r="O84" s="9"/>
      <c r="Q84" s="9"/>
    </row>
    <row r="85">
      <c r="D85" s="9"/>
      <c r="E85" s="9"/>
      <c r="F85" s="13"/>
      <c r="G85" s="9"/>
      <c r="J85" s="121"/>
      <c r="K85" s="9"/>
      <c r="L85" s="9"/>
      <c r="M85" s="9"/>
      <c r="N85" s="9"/>
      <c r="O85" s="9"/>
      <c r="Q85" s="9"/>
    </row>
    <row r="86">
      <c r="D86" s="9"/>
      <c r="E86" s="9"/>
      <c r="F86" s="13"/>
      <c r="G86" s="9"/>
      <c r="J86" s="121"/>
      <c r="K86" s="9"/>
      <c r="L86" s="9"/>
      <c r="M86" s="9"/>
      <c r="N86" s="9"/>
      <c r="O86" s="9"/>
      <c r="Q86" s="9"/>
    </row>
    <row r="87">
      <c r="D87" s="9"/>
      <c r="E87" s="9"/>
      <c r="F87" s="13"/>
      <c r="G87" s="9"/>
      <c r="J87" s="121"/>
      <c r="K87" s="9"/>
      <c r="L87" s="9"/>
      <c r="M87" s="9"/>
      <c r="N87" s="9"/>
      <c r="O87" s="9"/>
      <c r="Q87" s="9"/>
    </row>
    <row r="88">
      <c r="D88" s="9"/>
      <c r="E88" s="9"/>
      <c r="F88" s="13"/>
      <c r="G88" s="9"/>
      <c r="J88" s="121"/>
      <c r="K88" s="9"/>
      <c r="L88" s="9"/>
      <c r="M88" s="9"/>
      <c r="N88" s="9"/>
      <c r="O88" s="9"/>
      <c r="Q88" s="9"/>
    </row>
    <row r="89">
      <c r="D89" s="9"/>
      <c r="E89" s="9"/>
      <c r="F89" s="13"/>
      <c r="G89" s="9"/>
      <c r="J89" s="121"/>
      <c r="K89" s="9"/>
      <c r="L89" s="9"/>
      <c r="M89" s="9"/>
      <c r="N89" s="9"/>
      <c r="O89" s="9"/>
      <c r="Q89" s="9"/>
    </row>
    <row r="90">
      <c r="D90" s="9"/>
      <c r="E90" s="9"/>
      <c r="F90" s="13"/>
      <c r="G90" s="9"/>
      <c r="J90" s="121"/>
      <c r="K90" s="9"/>
      <c r="L90" s="9"/>
      <c r="M90" s="9"/>
      <c r="N90" s="9"/>
      <c r="O90" s="9"/>
      <c r="Q90" s="9"/>
    </row>
    <row r="91">
      <c r="D91" s="9"/>
      <c r="E91" s="9"/>
      <c r="F91" s="13"/>
      <c r="G91" s="9"/>
      <c r="J91" s="121"/>
      <c r="K91" s="9"/>
      <c r="L91" s="9"/>
      <c r="M91" s="9"/>
      <c r="N91" s="9"/>
      <c r="O91" s="9"/>
      <c r="Q91" s="9"/>
    </row>
    <row r="92">
      <c r="D92" s="9"/>
      <c r="E92" s="9"/>
      <c r="F92" s="13"/>
      <c r="G92" s="9"/>
      <c r="J92" s="121"/>
      <c r="K92" s="9"/>
      <c r="L92" s="9"/>
      <c r="M92" s="9"/>
      <c r="N92" s="9"/>
      <c r="O92" s="9"/>
      <c r="Q92" s="9"/>
    </row>
    <row r="93">
      <c r="D93" s="9"/>
      <c r="E93" s="9"/>
      <c r="F93" s="13"/>
      <c r="G93" s="9"/>
      <c r="J93" s="121"/>
      <c r="K93" s="9"/>
      <c r="L93" s="9"/>
      <c r="M93" s="9"/>
      <c r="N93" s="9"/>
      <c r="O93" s="9"/>
      <c r="Q93" s="9"/>
    </row>
    <row r="94">
      <c r="D94" s="9"/>
      <c r="E94" s="9"/>
      <c r="F94" s="13"/>
      <c r="G94" s="9"/>
      <c r="J94" s="121"/>
      <c r="K94" s="9"/>
      <c r="L94" s="9"/>
      <c r="M94" s="9"/>
      <c r="N94" s="9"/>
      <c r="O94" s="9"/>
      <c r="Q94" s="9"/>
    </row>
    <row r="95">
      <c r="D95" s="9"/>
      <c r="E95" s="9"/>
      <c r="F95" s="13"/>
      <c r="G95" s="9"/>
      <c r="J95" s="121"/>
      <c r="K95" s="9"/>
      <c r="L95" s="9"/>
      <c r="M95" s="9"/>
      <c r="N95" s="9"/>
      <c r="O95" s="9"/>
      <c r="Q95" s="9"/>
    </row>
    <row r="96">
      <c r="D96" s="9"/>
      <c r="E96" s="9"/>
      <c r="F96" s="13"/>
      <c r="G96" s="9"/>
      <c r="J96" s="121"/>
      <c r="K96" s="9"/>
      <c r="L96" s="9"/>
      <c r="M96" s="9"/>
      <c r="N96" s="9"/>
      <c r="O96" s="9"/>
      <c r="Q96" s="9"/>
    </row>
    <row r="97">
      <c r="D97" s="9"/>
      <c r="E97" s="9"/>
      <c r="F97" s="13"/>
      <c r="G97" s="9"/>
      <c r="J97" s="121"/>
      <c r="K97" s="9"/>
      <c r="L97" s="9"/>
      <c r="M97" s="9"/>
      <c r="N97" s="9"/>
      <c r="O97" s="9"/>
      <c r="Q97" s="9"/>
    </row>
    <row r="98">
      <c r="D98" s="9"/>
      <c r="E98" s="9"/>
      <c r="F98" s="13"/>
      <c r="G98" s="9"/>
      <c r="J98" s="121"/>
      <c r="K98" s="9"/>
      <c r="L98" s="9"/>
      <c r="M98" s="9"/>
      <c r="N98" s="9"/>
      <c r="O98" s="9"/>
      <c r="Q98" s="9"/>
    </row>
    <row r="99">
      <c r="D99" s="9"/>
      <c r="E99" s="9"/>
      <c r="F99" s="13"/>
      <c r="G99" s="9"/>
      <c r="J99" s="121"/>
      <c r="K99" s="9"/>
      <c r="L99" s="9"/>
      <c r="M99" s="9"/>
      <c r="N99" s="9"/>
      <c r="O99" s="9"/>
      <c r="Q99" s="9"/>
    </row>
    <row r="100">
      <c r="D100" s="9"/>
      <c r="E100" s="9"/>
      <c r="F100" s="13"/>
      <c r="G100" s="9"/>
      <c r="J100" s="121"/>
      <c r="K100" s="9"/>
      <c r="L100" s="9"/>
      <c r="M100" s="9"/>
      <c r="N100" s="9"/>
      <c r="O100" s="9"/>
      <c r="Q100" s="9"/>
    </row>
    <row r="101">
      <c r="D101" s="9"/>
      <c r="E101" s="9"/>
      <c r="F101" s="13"/>
      <c r="G101" s="9"/>
      <c r="J101" s="121"/>
      <c r="K101" s="9"/>
      <c r="L101" s="9"/>
      <c r="M101" s="9"/>
      <c r="N101" s="9"/>
      <c r="O101" s="9"/>
      <c r="Q101" s="9"/>
    </row>
    <row r="102">
      <c r="D102" s="9"/>
      <c r="E102" s="9"/>
      <c r="F102" s="13"/>
      <c r="G102" s="9"/>
      <c r="J102" s="121"/>
      <c r="K102" s="9"/>
      <c r="L102" s="9"/>
      <c r="M102" s="9"/>
      <c r="N102" s="9"/>
      <c r="O102" s="9"/>
      <c r="Q102" s="9"/>
    </row>
    <row r="103">
      <c r="D103" s="9"/>
      <c r="E103" s="9"/>
      <c r="F103" s="13"/>
      <c r="G103" s="9"/>
      <c r="J103" s="121"/>
      <c r="K103" s="9"/>
      <c r="L103" s="9"/>
      <c r="M103" s="9"/>
      <c r="N103" s="9"/>
      <c r="O103" s="9"/>
      <c r="Q103" s="9"/>
    </row>
    <row r="104">
      <c r="D104" s="9"/>
      <c r="E104" s="9"/>
      <c r="F104" s="13"/>
      <c r="G104" s="9"/>
      <c r="J104" s="121"/>
      <c r="K104" s="9"/>
      <c r="L104" s="9"/>
      <c r="M104" s="9"/>
      <c r="N104" s="9"/>
      <c r="O104" s="9"/>
      <c r="Q104" s="9"/>
    </row>
    <row r="105">
      <c r="D105" s="9"/>
      <c r="E105" s="9"/>
      <c r="F105" s="13"/>
      <c r="G105" s="9"/>
      <c r="J105" s="121"/>
      <c r="K105" s="9"/>
      <c r="L105" s="9"/>
      <c r="M105" s="9"/>
      <c r="N105" s="9"/>
      <c r="O105" s="9"/>
      <c r="Q105" s="9"/>
    </row>
    <row r="106">
      <c r="D106" s="9"/>
      <c r="E106" s="9"/>
      <c r="F106" s="13"/>
      <c r="G106" s="9"/>
      <c r="J106" s="121"/>
      <c r="K106" s="9"/>
      <c r="L106" s="9"/>
      <c r="M106" s="9"/>
      <c r="N106" s="9"/>
      <c r="O106" s="9"/>
      <c r="Q106" s="9"/>
    </row>
    <row r="107">
      <c r="D107" s="9"/>
      <c r="E107" s="9"/>
      <c r="F107" s="13"/>
      <c r="G107" s="9"/>
      <c r="J107" s="121"/>
      <c r="K107" s="9"/>
      <c r="L107" s="9"/>
      <c r="M107" s="9"/>
      <c r="N107" s="9"/>
      <c r="O107" s="9"/>
      <c r="Q107" s="9"/>
    </row>
    <row r="108">
      <c r="D108" s="9"/>
      <c r="E108" s="9"/>
      <c r="F108" s="13"/>
      <c r="G108" s="9"/>
      <c r="J108" s="121"/>
      <c r="K108" s="9"/>
      <c r="L108" s="9"/>
      <c r="M108" s="9"/>
      <c r="N108" s="9"/>
      <c r="O108" s="9"/>
      <c r="Q108" s="9"/>
    </row>
    <row r="109">
      <c r="D109" s="9"/>
      <c r="E109" s="9"/>
      <c r="F109" s="13"/>
      <c r="G109" s="9"/>
      <c r="J109" s="121"/>
      <c r="K109" s="9"/>
      <c r="L109" s="9"/>
      <c r="M109" s="9"/>
      <c r="N109" s="9"/>
      <c r="O109" s="9"/>
      <c r="Q109" s="9"/>
    </row>
    <row r="110">
      <c r="D110" s="9"/>
      <c r="E110" s="9"/>
      <c r="F110" s="13"/>
      <c r="G110" s="9"/>
      <c r="J110" s="121"/>
      <c r="K110" s="9"/>
      <c r="L110" s="9"/>
      <c r="M110" s="9"/>
      <c r="N110" s="9"/>
      <c r="O110" s="9"/>
      <c r="Q110" s="9"/>
    </row>
    <row r="111">
      <c r="D111" s="9"/>
      <c r="E111" s="9"/>
      <c r="F111" s="13"/>
      <c r="G111" s="9"/>
      <c r="J111" s="121"/>
      <c r="K111" s="9"/>
      <c r="L111" s="9"/>
      <c r="M111" s="9"/>
      <c r="N111" s="9"/>
      <c r="O111" s="9"/>
      <c r="Q111" s="9"/>
    </row>
    <row r="112">
      <c r="D112" s="9"/>
      <c r="E112" s="9"/>
      <c r="F112" s="13"/>
      <c r="G112" s="9"/>
      <c r="J112" s="121"/>
      <c r="K112" s="9"/>
      <c r="L112" s="9"/>
      <c r="M112" s="9"/>
      <c r="N112" s="9"/>
      <c r="O112" s="9"/>
      <c r="Q112" s="9"/>
    </row>
    <row r="113">
      <c r="D113" s="9"/>
      <c r="E113" s="9"/>
      <c r="F113" s="13"/>
      <c r="G113" s="9"/>
      <c r="J113" s="121"/>
      <c r="K113" s="9"/>
      <c r="L113" s="9"/>
      <c r="M113" s="9"/>
      <c r="N113" s="9"/>
      <c r="O113" s="9"/>
      <c r="Q113" s="9"/>
    </row>
    <row r="114">
      <c r="D114" s="9"/>
      <c r="E114" s="9"/>
      <c r="F114" s="13"/>
      <c r="G114" s="9"/>
      <c r="J114" s="121"/>
      <c r="K114" s="9"/>
      <c r="L114" s="9"/>
      <c r="M114" s="9"/>
      <c r="N114" s="9"/>
      <c r="O114" s="9"/>
      <c r="Q114" s="9"/>
    </row>
    <row r="115">
      <c r="D115" s="9"/>
      <c r="E115" s="9"/>
      <c r="F115" s="13"/>
      <c r="G115" s="9"/>
      <c r="J115" s="121"/>
      <c r="K115" s="9"/>
      <c r="L115" s="9"/>
      <c r="M115" s="9"/>
      <c r="N115" s="9"/>
      <c r="O115" s="9"/>
      <c r="Q115" s="9"/>
    </row>
    <row r="116">
      <c r="D116" s="9"/>
      <c r="E116" s="9"/>
      <c r="F116" s="13"/>
      <c r="G116" s="9"/>
      <c r="J116" s="121"/>
      <c r="K116" s="9"/>
      <c r="L116" s="9"/>
      <c r="M116" s="9"/>
      <c r="N116" s="9"/>
      <c r="O116" s="9"/>
      <c r="Q116" s="9"/>
    </row>
    <row r="117">
      <c r="D117" s="9"/>
      <c r="E117" s="9"/>
      <c r="F117" s="13"/>
      <c r="G117" s="9"/>
      <c r="J117" s="121"/>
      <c r="K117" s="9"/>
      <c r="L117" s="9"/>
      <c r="M117" s="9"/>
      <c r="N117" s="9"/>
      <c r="O117" s="9"/>
      <c r="Q117" s="9"/>
    </row>
    <row r="118">
      <c r="D118" s="9"/>
      <c r="E118" s="9"/>
      <c r="F118" s="13"/>
      <c r="G118" s="9"/>
      <c r="J118" s="121"/>
      <c r="K118" s="9"/>
      <c r="L118" s="9"/>
      <c r="M118" s="9"/>
      <c r="N118" s="9"/>
      <c r="O118" s="9"/>
      <c r="Q118" s="9"/>
    </row>
    <row r="119">
      <c r="D119" s="9"/>
      <c r="E119" s="9"/>
      <c r="F119" s="13"/>
      <c r="G119" s="9"/>
      <c r="J119" s="121"/>
      <c r="K119" s="9"/>
      <c r="L119" s="9"/>
      <c r="M119" s="9"/>
      <c r="N119" s="9"/>
      <c r="O119" s="9"/>
      <c r="Q119" s="9"/>
    </row>
    <row r="120">
      <c r="D120" s="9"/>
      <c r="E120" s="9"/>
      <c r="F120" s="13"/>
      <c r="G120" s="9"/>
      <c r="J120" s="121"/>
      <c r="K120" s="9"/>
      <c r="L120" s="9"/>
      <c r="M120" s="9"/>
      <c r="N120" s="9"/>
      <c r="O120" s="9"/>
      <c r="Q120" s="9"/>
    </row>
    <row r="121">
      <c r="D121" s="9"/>
      <c r="E121" s="9"/>
      <c r="F121" s="13"/>
      <c r="G121" s="9"/>
      <c r="J121" s="121"/>
      <c r="K121" s="9"/>
      <c r="L121" s="9"/>
      <c r="M121" s="9"/>
      <c r="N121" s="9"/>
      <c r="O121" s="9"/>
      <c r="Q121" s="9"/>
    </row>
    <row r="122">
      <c r="D122" s="9"/>
      <c r="E122" s="9"/>
      <c r="F122" s="13"/>
      <c r="G122" s="9"/>
      <c r="J122" s="121"/>
      <c r="K122" s="9"/>
      <c r="L122" s="9"/>
      <c r="M122" s="9"/>
      <c r="N122" s="9"/>
      <c r="O122" s="9"/>
      <c r="Q122" s="9"/>
    </row>
    <row r="123">
      <c r="D123" s="9"/>
      <c r="E123" s="9"/>
      <c r="F123" s="13"/>
      <c r="G123" s="9"/>
      <c r="J123" s="121"/>
      <c r="K123" s="9"/>
      <c r="L123" s="9"/>
      <c r="M123" s="9"/>
      <c r="N123" s="9"/>
      <c r="O123" s="9"/>
      <c r="Q123" s="9"/>
    </row>
    <row r="124">
      <c r="D124" s="9"/>
      <c r="E124" s="9"/>
      <c r="F124" s="13"/>
      <c r="G124" s="9"/>
      <c r="J124" s="121"/>
      <c r="K124" s="9"/>
      <c r="L124" s="9"/>
      <c r="M124" s="9"/>
      <c r="N124" s="9"/>
      <c r="O124" s="9"/>
      <c r="Q124" s="9"/>
    </row>
    <row r="125">
      <c r="D125" s="9"/>
      <c r="E125" s="9"/>
      <c r="F125" s="13"/>
      <c r="G125" s="9"/>
      <c r="J125" s="121"/>
      <c r="K125" s="9"/>
      <c r="L125" s="9"/>
      <c r="M125" s="9"/>
      <c r="N125" s="9"/>
      <c r="O125" s="9"/>
      <c r="Q125" s="9"/>
    </row>
    <row r="126">
      <c r="D126" s="9"/>
      <c r="E126" s="9"/>
      <c r="F126" s="13"/>
      <c r="G126" s="9"/>
      <c r="J126" s="121"/>
      <c r="K126" s="9"/>
      <c r="L126" s="9"/>
      <c r="M126" s="9"/>
      <c r="N126" s="9"/>
      <c r="O126" s="9"/>
      <c r="Q126" s="9"/>
    </row>
    <row r="127">
      <c r="D127" s="9"/>
      <c r="E127" s="9"/>
      <c r="F127" s="13"/>
      <c r="G127" s="9"/>
      <c r="J127" s="121"/>
      <c r="K127" s="9"/>
      <c r="L127" s="9"/>
      <c r="M127" s="9"/>
      <c r="N127" s="9"/>
      <c r="O127" s="9"/>
      <c r="Q127" s="9"/>
    </row>
    <row r="128">
      <c r="D128" s="9"/>
      <c r="E128" s="9"/>
      <c r="F128" s="13"/>
      <c r="G128" s="9"/>
      <c r="J128" s="121"/>
      <c r="K128" s="9"/>
      <c r="L128" s="9"/>
      <c r="M128" s="9"/>
      <c r="N128" s="9"/>
      <c r="O128" s="9"/>
      <c r="Q128" s="9"/>
    </row>
    <row r="129">
      <c r="D129" s="9"/>
      <c r="E129" s="9"/>
      <c r="F129" s="13"/>
      <c r="G129" s="9"/>
      <c r="J129" s="121"/>
      <c r="K129" s="9"/>
      <c r="L129" s="9"/>
      <c r="M129" s="9"/>
      <c r="N129" s="9"/>
      <c r="O129" s="9"/>
      <c r="Q129" s="9"/>
    </row>
    <row r="130">
      <c r="D130" s="9"/>
      <c r="E130" s="9"/>
      <c r="F130" s="13"/>
      <c r="G130" s="9"/>
      <c r="J130" s="121"/>
      <c r="K130" s="9"/>
      <c r="L130" s="9"/>
      <c r="M130" s="9"/>
      <c r="N130" s="9"/>
      <c r="O130" s="9"/>
      <c r="Q130" s="9"/>
    </row>
    <row r="131">
      <c r="D131" s="9"/>
      <c r="E131" s="9"/>
      <c r="F131" s="13"/>
      <c r="G131" s="9"/>
      <c r="J131" s="121"/>
      <c r="K131" s="9"/>
      <c r="L131" s="9"/>
      <c r="M131" s="9"/>
      <c r="N131" s="9"/>
      <c r="O131" s="9"/>
      <c r="Q131" s="9"/>
    </row>
    <row r="132">
      <c r="D132" s="9"/>
      <c r="E132" s="9"/>
      <c r="F132" s="13"/>
      <c r="G132" s="9"/>
      <c r="J132" s="121"/>
      <c r="K132" s="9"/>
      <c r="L132" s="9"/>
      <c r="M132" s="9"/>
      <c r="N132" s="9"/>
      <c r="O132" s="9"/>
      <c r="Q132" s="9"/>
    </row>
    <row r="133">
      <c r="D133" s="9"/>
      <c r="E133" s="9"/>
      <c r="F133" s="13"/>
      <c r="G133" s="9"/>
      <c r="J133" s="121"/>
      <c r="K133" s="9"/>
      <c r="L133" s="9"/>
      <c r="M133" s="9"/>
      <c r="N133" s="9"/>
      <c r="O133" s="9"/>
      <c r="Q133" s="9"/>
    </row>
    <row r="134">
      <c r="D134" s="9"/>
      <c r="E134" s="9"/>
      <c r="F134" s="13"/>
      <c r="G134" s="9"/>
      <c r="J134" s="121"/>
      <c r="K134" s="9"/>
      <c r="L134" s="9"/>
      <c r="M134" s="9"/>
      <c r="N134" s="9"/>
      <c r="O134" s="9"/>
      <c r="Q134" s="9"/>
    </row>
    <row r="135">
      <c r="D135" s="9"/>
      <c r="E135" s="9"/>
      <c r="F135" s="13"/>
      <c r="G135" s="9"/>
      <c r="J135" s="121"/>
      <c r="K135" s="9"/>
      <c r="L135" s="9"/>
      <c r="M135" s="9"/>
      <c r="N135" s="9"/>
      <c r="O135" s="9"/>
      <c r="Q135" s="9"/>
    </row>
    <row r="136">
      <c r="D136" s="9"/>
      <c r="E136" s="9"/>
      <c r="F136" s="13"/>
      <c r="G136" s="9"/>
      <c r="J136" s="121"/>
      <c r="K136" s="9"/>
      <c r="L136" s="9"/>
      <c r="M136" s="9"/>
      <c r="N136" s="9"/>
      <c r="O136" s="9"/>
      <c r="Q136" s="9"/>
    </row>
    <row r="137">
      <c r="D137" s="9"/>
      <c r="E137" s="9"/>
      <c r="F137" s="13"/>
      <c r="G137" s="9"/>
      <c r="J137" s="121"/>
      <c r="K137" s="9"/>
      <c r="L137" s="9"/>
      <c r="M137" s="9"/>
      <c r="N137" s="9"/>
      <c r="O137" s="9"/>
      <c r="Q137" s="9"/>
    </row>
    <row r="138">
      <c r="D138" s="9"/>
      <c r="E138" s="9"/>
      <c r="F138" s="13"/>
      <c r="G138" s="9"/>
      <c r="J138" s="121"/>
      <c r="K138" s="9"/>
      <c r="L138" s="9"/>
      <c r="M138" s="9"/>
      <c r="N138" s="9"/>
      <c r="O138" s="9"/>
      <c r="Q138" s="9"/>
    </row>
    <row r="139">
      <c r="D139" s="9"/>
      <c r="E139" s="9"/>
      <c r="F139" s="13"/>
      <c r="G139" s="9"/>
      <c r="J139" s="121"/>
      <c r="K139" s="9"/>
      <c r="L139" s="9"/>
      <c r="M139" s="9"/>
      <c r="N139" s="9"/>
      <c r="O139" s="9"/>
      <c r="Q139" s="9"/>
    </row>
    <row r="140">
      <c r="D140" s="9"/>
      <c r="E140" s="9"/>
      <c r="F140" s="13"/>
      <c r="G140" s="9"/>
      <c r="J140" s="121"/>
      <c r="K140" s="9"/>
      <c r="L140" s="9"/>
      <c r="M140" s="9"/>
      <c r="N140" s="9"/>
      <c r="O140" s="9"/>
      <c r="Q140" s="9"/>
    </row>
    <row r="141">
      <c r="D141" s="9"/>
      <c r="E141" s="9"/>
      <c r="F141" s="13"/>
      <c r="G141" s="9"/>
      <c r="J141" s="121"/>
      <c r="K141" s="9"/>
      <c r="L141" s="9"/>
      <c r="M141" s="9"/>
      <c r="N141" s="9"/>
      <c r="O141" s="9"/>
      <c r="Q141" s="9"/>
    </row>
    <row r="142">
      <c r="D142" s="9"/>
      <c r="E142" s="9"/>
      <c r="F142" s="13"/>
      <c r="G142" s="9"/>
      <c r="J142" s="121"/>
      <c r="K142" s="9"/>
      <c r="L142" s="9"/>
      <c r="M142" s="9"/>
      <c r="N142" s="9"/>
      <c r="O142" s="9"/>
      <c r="Q142" s="9"/>
    </row>
    <row r="143">
      <c r="D143" s="9"/>
      <c r="E143" s="9"/>
      <c r="F143" s="13"/>
      <c r="G143" s="9"/>
      <c r="J143" s="121"/>
      <c r="K143" s="9"/>
      <c r="L143" s="9"/>
      <c r="M143" s="9"/>
      <c r="N143" s="9"/>
      <c r="O143" s="9"/>
      <c r="Q143" s="9"/>
    </row>
    <row r="144">
      <c r="D144" s="9"/>
      <c r="E144" s="9"/>
      <c r="F144" s="13"/>
      <c r="G144" s="9"/>
      <c r="J144" s="121"/>
      <c r="K144" s="9"/>
      <c r="L144" s="9"/>
      <c r="M144" s="9"/>
      <c r="N144" s="9"/>
      <c r="O144" s="9"/>
      <c r="Q144" s="9"/>
    </row>
    <row r="145">
      <c r="D145" s="9"/>
      <c r="E145" s="9"/>
      <c r="F145" s="13"/>
      <c r="G145" s="9"/>
      <c r="J145" s="121"/>
      <c r="K145" s="9"/>
      <c r="L145" s="9"/>
      <c r="M145" s="9"/>
      <c r="N145" s="9"/>
      <c r="O145" s="9"/>
      <c r="Q145" s="9"/>
    </row>
    <row r="146">
      <c r="D146" s="9"/>
      <c r="E146" s="9"/>
      <c r="F146" s="13"/>
      <c r="G146" s="9"/>
      <c r="J146" s="121"/>
      <c r="K146" s="9"/>
      <c r="L146" s="9"/>
      <c r="M146" s="9"/>
      <c r="N146" s="9"/>
      <c r="O146" s="9"/>
      <c r="Q146" s="9"/>
    </row>
    <row r="147">
      <c r="D147" s="9"/>
      <c r="E147" s="9"/>
      <c r="F147" s="13"/>
      <c r="G147" s="9"/>
      <c r="J147" s="121"/>
      <c r="K147" s="9"/>
      <c r="L147" s="9"/>
      <c r="M147" s="9"/>
      <c r="N147" s="9"/>
      <c r="O147" s="9"/>
      <c r="Q147" s="9"/>
    </row>
    <row r="148">
      <c r="D148" s="9"/>
      <c r="E148" s="9"/>
      <c r="F148" s="13"/>
      <c r="G148" s="9"/>
      <c r="J148" s="121"/>
      <c r="K148" s="9"/>
      <c r="L148" s="9"/>
      <c r="M148" s="9"/>
      <c r="N148" s="9"/>
      <c r="O148" s="9"/>
      <c r="Q148" s="9"/>
    </row>
    <row r="149">
      <c r="D149" s="9"/>
      <c r="E149" s="9"/>
      <c r="F149" s="13"/>
      <c r="G149" s="9"/>
      <c r="J149" s="121"/>
      <c r="K149" s="9"/>
      <c r="L149" s="9"/>
      <c r="M149" s="9"/>
      <c r="N149" s="9"/>
      <c r="O149" s="9"/>
      <c r="Q149" s="9"/>
    </row>
    <row r="150">
      <c r="D150" s="9"/>
      <c r="E150" s="9"/>
      <c r="F150" s="13"/>
      <c r="G150" s="9"/>
      <c r="J150" s="121"/>
      <c r="K150" s="9"/>
      <c r="L150" s="9"/>
      <c r="M150" s="9"/>
      <c r="N150" s="9"/>
      <c r="O150" s="9"/>
      <c r="Q150" s="9"/>
    </row>
    <row r="151">
      <c r="D151" s="9"/>
      <c r="E151" s="9"/>
      <c r="F151" s="13"/>
      <c r="G151" s="9"/>
      <c r="J151" s="121"/>
      <c r="K151" s="9"/>
      <c r="L151" s="9"/>
      <c r="M151" s="9"/>
      <c r="N151" s="9"/>
      <c r="O151" s="9"/>
      <c r="Q151" s="9"/>
    </row>
    <row r="152">
      <c r="D152" s="9"/>
      <c r="E152" s="9"/>
      <c r="F152" s="13"/>
      <c r="G152" s="9"/>
      <c r="J152" s="121"/>
      <c r="K152" s="9"/>
      <c r="L152" s="9"/>
      <c r="M152" s="9"/>
      <c r="N152" s="9"/>
      <c r="O152" s="9"/>
      <c r="Q152" s="9"/>
    </row>
    <row r="153">
      <c r="D153" s="9"/>
      <c r="E153" s="9"/>
      <c r="F153" s="13"/>
      <c r="G153" s="9"/>
      <c r="J153" s="121"/>
      <c r="K153" s="9"/>
      <c r="L153" s="9"/>
      <c r="M153" s="9"/>
      <c r="N153" s="9"/>
      <c r="O153" s="9"/>
      <c r="Q153" s="9"/>
    </row>
    <row r="154">
      <c r="D154" s="9"/>
      <c r="E154" s="9"/>
      <c r="F154" s="13"/>
      <c r="G154" s="9"/>
      <c r="J154" s="121"/>
      <c r="K154" s="9"/>
      <c r="L154" s="9"/>
      <c r="M154" s="9"/>
      <c r="N154" s="9"/>
      <c r="O154" s="9"/>
      <c r="Q154" s="9"/>
    </row>
    <row r="155">
      <c r="D155" s="9"/>
      <c r="E155" s="9"/>
      <c r="F155" s="13"/>
      <c r="G155" s="9"/>
      <c r="J155" s="121"/>
      <c r="K155" s="9"/>
      <c r="L155" s="9"/>
      <c r="M155" s="9"/>
      <c r="N155" s="9"/>
      <c r="O155" s="9"/>
      <c r="Q155" s="9"/>
    </row>
    <row r="156">
      <c r="D156" s="9"/>
      <c r="E156" s="9"/>
      <c r="F156" s="13"/>
      <c r="G156" s="9"/>
      <c r="J156" s="121"/>
      <c r="K156" s="9"/>
      <c r="L156" s="9"/>
      <c r="M156" s="9"/>
      <c r="N156" s="9"/>
      <c r="O156" s="9"/>
      <c r="Q156" s="9"/>
    </row>
    <row r="157">
      <c r="D157" s="9"/>
      <c r="E157" s="9"/>
      <c r="F157" s="13"/>
      <c r="G157" s="9"/>
      <c r="J157" s="121"/>
      <c r="K157" s="9"/>
      <c r="L157" s="9"/>
      <c r="M157" s="9"/>
      <c r="N157" s="9"/>
      <c r="O157" s="9"/>
      <c r="Q157" s="9"/>
    </row>
    <row r="158">
      <c r="D158" s="9"/>
      <c r="E158" s="9"/>
      <c r="F158" s="13"/>
      <c r="G158" s="9"/>
      <c r="J158" s="121"/>
      <c r="K158" s="9"/>
      <c r="L158" s="9"/>
      <c r="M158" s="9"/>
      <c r="N158" s="9"/>
      <c r="O158" s="9"/>
      <c r="Q158" s="9"/>
    </row>
    <row r="159">
      <c r="D159" s="9"/>
      <c r="E159" s="9"/>
      <c r="F159" s="13"/>
      <c r="G159" s="9"/>
      <c r="J159" s="121"/>
      <c r="K159" s="9"/>
      <c r="L159" s="9"/>
      <c r="M159" s="9"/>
      <c r="N159" s="9"/>
      <c r="O159" s="9"/>
      <c r="Q159" s="9"/>
    </row>
    <row r="160">
      <c r="D160" s="9"/>
      <c r="E160" s="9"/>
      <c r="F160" s="13"/>
      <c r="G160" s="9"/>
      <c r="J160" s="121"/>
      <c r="K160" s="9"/>
      <c r="L160" s="9"/>
      <c r="M160" s="9"/>
      <c r="N160" s="9"/>
      <c r="O160" s="9"/>
      <c r="Q160" s="9"/>
    </row>
    <row r="161">
      <c r="D161" s="9"/>
      <c r="E161" s="9"/>
      <c r="F161" s="13"/>
      <c r="G161" s="9"/>
      <c r="J161" s="121"/>
      <c r="K161" s="9"/>
      <c r="L161" s="9"/>
      <c r="M161" s="9"/>
      <c r="N161" s="9"/>
      <c r="O161" s="9"/>
      <c r="Q161" s="9"/>
    </row>
    <row r="162">
      <c r="D162" s="9"/>
      <c r="E162" s="9"/>
      <c r="F162" s="13"/>
      <c r="G162" s="9"/>
      <c r="J162" s="121"/>
      <c r="K162" s="9"/>
      <c r="L162" s="9"/>
      <c r="M162" s="9"/>
      <c r="N162" s="9"/>
      <c r="O162" s="9"/>
      <c r="Q162" s="9"/>
    </row>
    <row r="163">
      <c r="D163" s="9"/>
      <c r="E163" s="9"/>
      <c r="F163" s="13"/>
      <c r="G163" s="9"/>
      <c r="J163" s="121"/>
      <c r="K163" s="9"/>
      <c r="L163" s="9"/>
      <c r="M163" s="9"/>
      <c r="N163" s="9"/>
      <c r="O163" s="9"/>
      <c r="Q163" s="9"/>
    </row>
    <row r="164">
      <c r="D164" s="9"/>
      <c r="E164" s="9"/>
      <c r="F164" s="13"/>
      <c r="G164" s="9"/>
      <c r="J164" s="121"/>
      <c r="K164" s="9"/>
      <c r="L164" s="9"/>
      <c r="M164" s="9"/>
      <c r="N164" s="9"/>
      <c r="O164" s="9"/>
      <c r="Q164" s="9"/>
    </row>
    <row r="165">
      <c r="D165" s="9"/>
      <c r="E165" s="9"/>
      <c r="F165" s="13"/>
      <c r="G165" s="9"/>
      <c r="J165" s="121"/>
      <c r="K165" s="9"/>
      <c r="L165" s="9"/>
      <c r="M165" s="9"/>
      <c r="N165" s="9"/>
      <c r="O165" s="9"/>
      <c r="Q165" s="9"/>
    </row>
    <row r="166">
      <c r="D166" s="9"/>
      <c r="E166" s="9"/>
      <c r="F166" s="13"/>
      <c r="G166" s="9"/>
      <c r="J166" s="121"/>
      <c r="K166" s="9"/>
      <c r="L166" s="9"/>
      <c r="M166" s="9"/>
      <c r="N166" s="9"/>
      <c r="O166" s="9"/>
      <c r="Q166" s="9"/>
    </row>
    <row r="167">
      <c r="D167" s="9"/>
      <c r="E167" s="9"/>
      <c r="F167" s="13"/>
      <c r="G167" s="9"/>
      <c r="J167" s="121"/>
      <c r="K167" s="9"/>
      <c r="L167" s="9"/>
      <c r="M167" s="9"/>
      <c r="N167" s="9"/>
      <c r="O167" s="9"/>
      <c r="Q167" s="9"/>
    </row>
    <row r="168">
      <c r="D168" s="9"/>
      <c r="E168" s="9"/>
      <c r="F168" s="13"/>
      <c r="G168" s="9"/>
      <c r="J168" s="121"/>
      <c r="K168" s="9"/>
      <c r="L168" s="9"/>
      <c r="M168" s="9"/>
      <c r="N168" s="9"/>
      <c r="O168" s="9"/>
      <c r="Q168" s="9"/>
    </row>
    <row r="169">
      <c r="D169" s="9"/>
      <c r="E169" s="9"/>
      <c r="F169" s="13"/>
      <c r="G169" s="9"/>
      <c r="J169" s="121"/>
      <c r="K169" s="9"/>
      <c r="L169" s="9"/>
      <c r="M169" s="9"/>
      <c r="N169" s="9"/>
      <c r="O169" s="9"/>
      <c r="Q169" s="9"/>
    </row>
    <row r="170">
      <c r="D170" s="9"/>
      <c r="E170" s="9"/>
      <c r="F170" s="13"/>
      <c r="G170" s="9"/>
      <c r="J170" s="121"/>
      <c r="K170" s="9"/>
      <c r="L170" s="9"/>
      <c r="M170" s="9"/>
      <c r="N170" s="9"/>
      <c r="O170" s="9"/>
      <c r="Q170" s="9"/>
    </row>
    <row r="171">
      <c r="D171" s="9"/>
      <c r="E171" s="9"/>
      <c r="F171" s="13"/>
      <c r="G171" s="9"/>
      <c r="J171" s="121"/>
      <c r="K171" s="9"/>
      <c r="L171" s="9"/>
      <c r="M171" s="9"/>
      <c r="N171" s="9"/>
      <c r="O171" s="9"/>
      <c r="Q171" s="9"/>
    </row>
    <row r="172">
      <c r="D172" s="9"/>
      <c r="E172" s="9"/>
      <c r="F172" s="13"/>
      <c r="G172" s="9"/>
      <c r="J172" s="121"/>
      <c r="K172" s="9"/>
      <c r="L172" s="9"/>
      <c r="M172" s="9"/>
      <c r="N172" s="9"/>
      <c r="O172" s="9"/>
      <c r="Q172" s="9"/>
    </row>
    <row r="173">
      <c r="D173" s="9"/>
      <c r="E173" s="9"/>
      <c r="F173" s="13"/>
      <c r="G173" s="9"/>
      <c r="J173" s="121"/>
      <c r="K173" s="9"/>
      <c r="L173" s="9"/>
      <c r="M173" s="9"/>
      <c r="N173" s="9"/>
      <c r="O173" s="9"/>
      <c r="Q173" s="9"/>
    </row>
    <row r="174">
      <c r="D174" s="9"/>
      <c r="E174" s="9"/>
      <c r="F174" s="13"/>
      <c r="G174" s="9"/>
      <c r="J174" s="121"/>
      <c r="K174" s="9"/>
      <c r="L174" s="9"/>
      <c r="M174" s="9"/>
      <c r="N174" s="9"/>
      <c r="O174" s="9"/>
      <c r="Q174" s="9"/>
    </row>
    <row r="175">
      <c r="D175" s="9"/>
      <c r="E175" s="9"/>
      <c r="F175" s="13"/>
      <c r="G175" s="9"/>
      <c r="J175" s="121"/>
      <c r="K175" s="9"/>
      <c r="L175" s="9"/>
      <c r="M175" s="9"/>
      <c r="N175" s="9"/>
      <c r="O175" s="9"/>
      <c r="Q175" s="9"/>
    </row>
    <row r="176">
      <c r="D176" s="9"/>
      <c r="E176" s="9"/>
      <c r="F176" s="13"/>
      <c r="G176" s="9"/>
      <c r="J176" s="121"/>
      <c r="K176" s="9"/>
      <c r="L176" s="9"/>
      <c r="M176" s="9"/>
      <c r="N176" s="9"/>
      <c r="O176" s="9"/>
      <c r="Q176" s="9"/>
    </row>
    <row r="177">
      <c r="D177" s="9"/>
      <c r="E177" s="9"/>
      <c r="F177" s="13"/>
      <c r="G177" s="9"/>
      <c r="J177" s="121"/>
      <c r="K177" s="9"/>
      <c r="L177" s="9"/>
      <c r="M177" s="9"/>
      <c r="N177" s="9"/>
      <c r="O177" s="9"/>
      <c r="Q177" s="9"/>
    </row>
    <row r="178">
      <c r="D178" s="9"/>
      <c r="E178" s="9"/>
      <c r="F178" s="13"/>
      <c r="G178" s="9"/>
      <c r="J178" s="121"/>
      <c r="K178" s="9"/>
      <c r="L178" s="9"/>
      <c r="M178" s="9"/>
      <c r="N178" s="9"/>
      <c r="O178" s="9"/>
      <c r="Q178" s="9"/>
    </row>
    <row r="179">
      <c r="D179" s="9"/>
      <c r="E179" s="9"/>
      <c r="F179" s="13"/>
      <c r="G179" s="9"/>
      <c r="J179" s="121"/>
      <c r="K179" s="9"/>
      <c r="L179" s="9"/>
      <c r="M179" s="9"/>
      <c r="N179" s="9"/>
      <c r="O179" s="9"/>
      <c r="Q179" s="9"/>
    </row>
    <row r="180">
      <c r="D180" s="9"/>
      <c r="E180" s="9"/>
      <c r="F180" s="13"/>
      <c r="G180" s="9"/>
      <c r="J180" s="121"/>
      <c r="K180" s="9"/>
      <c r="L180" s="9"/>
      <c r="M180" s="9"/>
      <c r="N180" s="9"/>
      <c r="O180" s="9"/>
      <c r="Q180" s="9"/>
    </row>
    <row r="181">
      <c r="D181" s="9"/>
      <c r="E181" s="9"/>
      <c r="F181" s="13"/>
      <c r="G181" s="9"/>
      <c r="J181" s="121"/>
      <c r="K181" s="9"/>
      <c r="L181" s="9"/>
      <c r="M181" s="9"/>
      <c r="N181" s="9"/>
      <c r="O181" s="9"/>
      <c r="Q181" s="9"/>
    </row>
    <row r="182">
      <c r="D182" s="9"/>
      <c r="E182" s="9"/>
      <c r="F182" s="13"/>
      <c r="G182" s="9"/>
      <c r="J182" s="121"/>
      <c r="K182" s="9"/>
      <c r="L182" s="9"/>
      <c r="M182" s="9"/>
      <c r="N182" s="9"/>
      <c r="O182" s="9"/>
      <c r="Q182" s="9"/>
    </row>
    <row r="183">
      <c r="D183" s="9"/>
      <c r="E183" s="9"/>
      <c r="F183" s="13"/>
      <c r="G183" s="9"/>
      <c r="J183" s="121"/>
      <c r="K183" s="9"/>
      <c r="L183" s="9"/>
      <c r="M183" s="9"/>
      <c r="N183" s="9"/>
      <c r="O183" s="9"/>
      <c r="Q183" s="9"/>
    </row>
    <row r="184">
      <c r="D184" s="9"/>
      <c r="E184" s="9"/>
      <c r="F184" s="13"/>
      <c r="G184" s="9"/>
      <c r="J184" s="121"/>
      <c r="K184" s="9"/>
      <c r="L184" s="9"/>
      <c r="M184" s="9"/>
      <c r="N184" s="9"/>
      <c r="O184" s="9"/>
      <c r="Q184" s="9"/>
    </row>
    <row r="185">
      <c r="D185" s="9"/>
      <c r="E185" s="9"/>
      <c r="F185" s="13"/>
      <c r="G185" s="9"/>
      <c r="J185" s="121"/>
      <c r="K185" s="9"/>
      <c r="L185" s="9"/>
      <c r="M185" s="9"/>
      <c r="N185" s="9"/>
      <c r="O185" s="9"/>
      <c r="Q185" s="9"/>
    </row>
    <row r="186">
      <c r="D186" s="9"/>
      <c r="E186" s="9"/>
      <c r="F186" s="13"/>
      <c r="G186" s="9"/>
      <c r="J186" s="121"/>
      <c r="K186" s="9"/>
      <c r="L186" s="9"/>
      <c r="M186" s="9"/>
      <c r="N186" s="9"/>
      <c r="O186" s="9"/>
      <c r="Q186" s="9"/>
    </row>
    <row r="187">
      <c r="D187" s="9"/>
      <c r="E187" s="9"/>
      <c r="F187" s="13"/>
      <c r="G187" s="9"/>
      <c r="J187" s="121"/>
      <c r="K187" s="9"/>
      <c r="L187" s="9"/>
      <c r="M187" s="9"/>
      <c r="N187" s="9"/>
      <c r="O187" s="9"/>
      <c r="Q187" s="9"/>
    </row>
    <row r="188">
      <c r="D188" s="9"/>
      <c r="E188" s="9"/>
      <c r="F188" s="13"/>
      <c r="G188" s="9"/>
      <c r="J188" s="121"/>
      <c r="K188" s="9"/>
      <c r="L188" s="9"/>
      <c r="M188" s="9"/>
      <c r="N188" s="9"/>
      <c r="O188" s="9"/>
      <c r="Q188" s="9"/>
    </row>
    <row r="189">
      <c r="D189" s="9"/>
      <c r="E189" s="9"/>
      <c r="F189" s="13"/>
      <c r="G189" s="9"/>
      <c r="J189" s="121"/>
      <c r="K189" s="9"/>
      <c r="L189" s="9"/>
      <c r="M189" s="9"/>
      <c r="N189" s="9"/>
      <c r="O189" s="9"/>
      <c r="Q189" s="9"/>
    </row>
    <row r="190">
      <c r="D190" s="9"/>
      <c r="E190" s="9"/>
      <c r="F190" s="13"/>
      <c r="G190" s="9"/>
      <c r="J190" s="121"/>
      <c r="K190" s="9"/>
      <c r="L190" s="9"/>
      <c r="M190" s="9"/>
      <c r="N190" s="9"/>
      <c r="O190" s="9"/>
      <c r="Q190" s="9"/>
    </row>
    <row r="191">
      <c r="D191" s="9"/>
      <c r="E191" s="9"/>
      <c r="F191" s="13"/>
      <c r="G191" s="9"/>
      <c r="J191" s="121"/>
      <c r="K191" s="9"/>
      <c r="L191" s="9"/>
      <c r="M191" s="9"/>
      <c r="N191" s="9"/>
      <c r="O191" s="9"/>
      <c r="Q191" s="9"/>
    </row>
    <row r="192">
      <c r="D192" s="9"/>
      <c r="E192" s="9"/>
      <c r="F192" s="13"/>
      <c r="G192" s="9"/>
      <c r="J192" s="121"/>
      <c r="K192" s="9"/>
      <c r="L192" s="9"/>
      <c r="M192" s="9"/>
      <c r="N192" s="9"/>
      <c r="O192" s="9"/>
      <c r="Q192" s="9"/>
    </row>
    <row r="193">
      <c r="D193" s="9"/>
      <c r="E193" s="9"/>
      <c r="F193" s="13"/>
      <c r="G193" s="9"/>
      <c r="J193" s="121"/>
      <c r="K193" s="9"/>
      <c r="L193" s="9"/>
      <c r="M193" s="9"/>
      <c r="N193" s="9"/>
      <c r="O193" s="9"/>
      <c r="Q193" s="9"/>
    </row>
    <row r="194">
      <c r="D194" s="9"/>
      <c r="E194" s="9"/>
      <c r="F194" s="13"/>
      <c r="G194" s="9"/>
      <c r="J194" s="121"/>
      <c r="K194" s="9"/>
      <c r="L194" s="9"/>
      <c r="M194" s="9"/>
      <c r="N194" s="9"/>
      <c r="O194" s="9"/>
      <c r="Q194" s="9"/>
    </row>
    <row r="195">
      <c r="D195" s="9"/>
      <c r="E195" s="9"/>
      <c r="F195" s="13"/>
      <c r="G195" s="9"/>
      <c r="J195" s="121"/>
      <c r="K195" s="9"/>
      <c r="L195" s="9"/>
      <c r="M195" s="9"/>
      <c r="N195" s="9"/>
      <c r="O195" s="9"/>
      <c r="Q195" s="9"/>
    </row>
    <row r="196">
      <c r="D196" s="9"/>
      <c r="E196" s="9"/>
      <c r="F196" s="13"/>
      <c r="G196" s="9"/>
      <c r="J196" s="121"/>
      <c r="K196" s="9"/>
      <c r="L196" s="9"/>
      <c r="M196" s="9"/>
      <c r="N196" s="9"/>
      <c r="O196" s="9"/>
      <c r="Q196" s="9"/>
    </row>
    <row r="197">
      <c r="D197" s="9"/>
      <c r="E197" s="9"/>
      <c r="F197" s="13"/>
      <c r="G197" s="9"/>
      <c r="J197" s="121"/>
      <c r="K197" s="9"/>
      <c r="L197" s="9"/>
      <c r="M197" s="9"/>
      <c r="N197" s="9"/>
      <c r="O197" s="9"/>
      <c r="Q197" s="9"/>
    </row>
    <row r="198">
      <c r="D198" s="9"/>
      <c r="E198" s="9"/>
      <c r="F198" s="13"/>
      <c r="G198" s="9"/>
      <c r="J198" s="121"/>
      <c r="K198" s="9"/>
      <c r="L198" s="9"/>
      <c r="M198" s="9"/>
      <c r="N198" s="9"/>
      <c r="O198" s="9"/>
      <c r="Q198" s="9"/>
    </row>
    <row r="199">
      <c r="D199" s="9"/>
      <c r="E199" s="9"/>
      <c r="F199" s="13"/>
      <c r="G199" s="9"/>
      <c r="J199" s="121"/>
      <c r="K199" s="9"/>
      <c r="L199" s="9"/>
      <c r="M199" s="9"/>
      <c r="N199" s="9"/>
      <c r="O199" s="9"/>
      <c r="Q199" s="9"/>
    </row>
    <row r="200">
      <c r="D200" s="9"/>
      <c r="E200" s="9"/>
      <c r="F200" s="13"/>
      <c r="G200" s="9"/>
      <c r="J200" s="121"/>
      <c r="K200" s="9"/>
      <c r="L200" s="9"/>
      <c r="M200" s="9"/>
      <c r="N200" s="9"/>
      <c r="O200" s="9"/>
      <c r="Q200" s="9"/>
    </row>
    <row r="201">
      <c r="D201" s="9"/>
      <c r="E201" s="9"/>
      <c r="F201" s="13"/>
      <c r="G201" s="9"/>
      <c r="J201" s="121"/>
      <c r="K201" s="9"/>
      <c r="L201" s="9"/>
      <c r="M201" s="9"/>
      <c r="N201" s="9"/>
      <c r="O201" s="9"/>
      <c r="Q201" s="9"/>
    </row>
    <row r="202">
      <c r="D202" s="9"/>
      <c r="E202" s="9"/>
      <c r="F202" s="13"/>
      <c r="G202" s="9"/>
      <c r="J202" s="121"/>
      <c r="K202" s="9"/>
      <c r="L202" s="9"/>
      <c r="M202" s="9"/>
      <c r="N202" s="9"/>
      <c r="O202" s="9"/>
      <c r="Q202" s="9"/>
    </row>
    <row r="203">
      <c r="D203" s="9"/>
      <c r="E203" s="9"/>
      <c r="F203" s="13"/>
      <c r="G203" s="9"/>
      <c r="J203" s="121"/>
      <c r="K203" s="9"/>
      <c r="L203" s="9"/>
      <c r="M203" s="9"/>
      <c r="N203" s="9"/>
      <c r="O203" s="9"/>
      <c r="Q203" s="9"/>
    </row>
    <row r="204">
      <c r="D204" s="9"/>
      <c r="E204" s="9"/>
      <c r="F204" s="13"/>
      <c r="G204" s="9"/>
      <c r="J204" s="121"/>
      <c r="K204" s="9"/>
      <c r="L204" s="9"/>
      <c r="M204" s="9"/>
      <c r="N204" s="9"/>
      <c r="O204" s="9"/>
      <c r="Q204" s="9"/>
    </row>
    <row r="205">
      <c r="D205" s="9"/>
      <c r="E205" s="9"/>
      <c r="F205" s="13"/>
      <c r="G205" s="9"/>
      <c r="J205" s="121"/>
      <c r="K205" s="9"/>
      <c r="L205" s="9"/>
      <c r="M205" s="9"/>
      <c r="N205" s="9"/>
      <c r="O205" s="9"/>
      <c r="Q205" s="9"/>
    </row>
    <row r="206">
      <c r="D206" s="9"/>
      <c r="E206" s="9"/>
      <c r="F206" s="13"/>
      <c r="G206" s="9"/>
      <c r="J206" s="121"/>
      <c r="K206" s="9"/>
      <c r="L206" s="9"/>
      <c r="M206" s="9"/>
      <c r="N206" s="9"/>
      <c r="O206" s="9"/>
      <c r="Q206" s="9"/>
    </row>
    <row r="207">
      <c r="D207" s="9"/>
      <c r="E207" s="9"/>
      <c r="F207" s="13"/>
      <c r="G207" s="9"/>
      <c r="J207" s="121"/>
      <c r="K207" s="9"/>
      <c r="L207" s="9"/>
      <c r="M207" s="9"/>
      <c r="N207" s="9"/>
      <c r="O207" s="9"/>
      <c r="Q207" s="9"/>
    </row>
    <row r="208">
      <c r="D208" s="9"/>
      <c r="E208" s="9"/>
      <c r="F208" s="13"/>
      <c r="G208" s="9"/>
      <c r="J208" s="121"/>
      <c r="K208" s="9"/>
      <c r="L208" s="9"/>
      <c r="M208" s="9"/>
      <c r="N208" s="9"/>
      <c r="O208" s="9"/>
      <c r="Q208" s="9"/>
    </row>
    <row r="209">
      <c r="D209" s="9"/>
      <c r="E209" s="9"/>
      <c r="F209" s="13"/>
      <c r="G209" s="9"/>
      <c r="J209" s="121"/>
      <c r="K209" s="9"/>
      <c r="L209" s="9"/>
      <c r="M209" s="9"/>
      <c r="N209" s="9"/>
      <c r="O209" s="9"/>
      <c r="Q209" s="9"/>
    </row>
    <row r="210">
      <c r="D210" s="9"/>
      <c r="E210" s="9"/>
      <c r="F210" s="13"/>
      <c r="G210" s="9"/>
      <c r="J210" s="121"/>
      <c r="K210" s="9"/>
      <c r="L210" s="9"/>
      <c r="M210" s="9"/>
      <c r="N210" s="9"/>
      <c r="O210" s="9"/>
      <c r="Q210" s="9"/>
    </row>
    <row r="211">
      <c r="D211" s="9"/>
      <c r="E211" s="9"/>
      <c r="F211" s="13"/>
      <c r="G211" s="9"/>
      <c r="J211" s="121"/>
      <c r="K211" s="9"/>
      <c r="L211" s="9"/>
      <c r="M211" s="9"/>
      <c r="N211" s="9"/>
      <c r="O211" s="9"/>
      <c r="Q211" s="9"/>
    </row>
    <row r="212">
      <c r="D212" s="9"/>
      <c r="E212" s="9"/>
      <c r="F212" s="13"/>
      <c r="G212" s="9"/>
      <c r="J212" s="121"/>
      <c r="K212" s="9"/>
      <c r="L212" s="9"/>
      <c r="M212" s="9"/>
      <c r="N212" s="9"/>
      <c r="O212" s="9"/>
      <c r="Q212" s="9"/>
    </row>
    <row r="213">
      <c r="D213" s="9"/>
      <c r="E213" s="9"/>
      <c r="F213" s="13"/>
      <c r="G213" s="9"/>
      <c r="J213" s="121"/>
      <c r="K213" s="9"/>
      <c r="L213" s="9"/>
      <c r="M213" s="9"/>
      <c r="N213" s="9"/>
      <c r="O213" s="9"/>
      <c r="Q213" s="9"/>
    </row>
    <row r="214">
      <c r="D214" s="9"/>
      <c r="E214" s="9"/>
      <c r="F214" s="13"/>
      <c r="G214" s="9"/>
      <c r="J214" s="121"/>
      <c r="K214" s="9"/>
      <c r="L214" s="9"/>
      <c r="M214" s="9"/>
      <c r="N214" s="9"/>
      <c r="O214" s="9"/>
      <c r="Q214" s="9"/>
    </row>
    <row r="215">
      <c r="D215" s="9"/>
      <c r="E215" s="9"/>
      <c r="F215" s="13"/>
      <c r="G215" s="9"/>
      <c r="J215" s="121"/>
      <c r="K215" s="9"/>
      <c r="L215" s="9"/>
      <c r="M215" s="9"/>
      <c r="N215" s="9"/>
      <c r="O215" s="9"/>
      <c r="Q215" s="9"/>
    </row>
    <row r="216">
      <c r="D216" s="9"/>
      <c r="E216" s="9"/>
      <c r="F216" s="13"/>
      <c r="G216" s="9"/>
      <c r="J216" s="121"/>
      <c r="K216" s="9"/>
      <c r="L216" s="9"/>
      <c r="M216" s="9"/>
      <c r="N216" s="9"/>
      <c r="O216" s="9"/>
      <c r="Q216" s="9"/>
    </row>
    <row r="217">
      <c r="D217" s="9"/>
      <c r="E217" s="9"/>
      <c r="F217" s="13"/>
      <c r="G217" s="9"/>
      <c r="J217" s="121"/>
      <c r="K217" s="9"/>
      <c r="L217" s="9"/>
      <c r="M217" s="9"/>
      <c r="N217" s="9"/>
      <c r="O217" s="9"/>
      <c r="Q217" s="9"/>
    </row>
    <row r="218">
      <c r="D218" s="9"/>
      <c r="E218" s="9"/>
      <c r="F218" s="13"/>
      <c r="G218" s="9"/>
      <c r="J218" s="121"/>
      <c r="K218" s="9"/>
      <c r="L218" s="9"/>
      <c r="M218" s="9"/>
      <c r="N218" s="9"/>
      <c r="O218" s="9"/>
      <c r="Q218" s="9"/>
    </row>
    <row r="219">
      <c r="D219" s="9"/>
      <c r="E219" s="9"/>
      <c r="F219" s="13"/>
      <c r="G219" s="9"/>
      <c r="J219" s="121"/>
      <c r="K219" s="9"/>
      <c r="L219" s="9"/>
      <c r="M219" s="9"/>
      <c r="N219" s="9"/>
      <c r="O219" s="9"/>
      <c r="Q219" s="9"/>
    </row>
    <row r="220">
      <c r="D220" s="9"/>
      <c r="E220" s="9"/>
      <c r="F220" s="13"/>
      <c r="G220" s="9"/>
      <c r="J220" s="121"/>
      <c r="K220" s="9"/>
      <c r="L220" s="9"/>
      <c r="M220" s="9"/>
      <c r="N220" s="9"/>
      <c r="O220" s="9"/>
      <c r="Q220" s="9"/>
    </row>
    <row r="221">
      <c r="D221" s="9"/>
      <c r="E221" s="9"/>
      <c r="F221" s="13"/>
      <c r="G221" s="9"/>
      <c r="J221" s="121"/>
      <c r="K221" s="9"/>
      <c r="L221" s="9"/>
      <c r="M221" s="9"/>
      <c r="N221" s="9"/>
      <c r="O221" s="9"/>
      <c r="Q221" s="9"/>
    </row>
    <row r="222">
      <c r="D222" s="9"/>
      <c r="E222" s="9"/>
      <c r="F222" s="13"/>
      <c r="G222" s="9"/>
      <c r="J222" s="121"/>
      <c r="K222" s="9"/>
      <c r="L222" s="9"/>
      <c r="M222" s="9"/>
      <c r="N222" s="9"/>
      <c r="O222" s="9"/>
      <c r="Q222" s="9"/>
    </row>
    <row r="223">
      <c r="D223" s="9"/>
      <c r="E223" s="9"/>
      <c r="F223" s="13"/>
      <c r="G223" s="9"/>
      <c r="J223" s="121"/>
      <c r="K223" s="9"/>
      <c r="L223" s="9"/>
      <c r="M223" s="9"/>
      <c r="N223" s="9"/>
      <c r="O223" s="9"/>
      <c r="Q223" s="9"/>
    </row>
    <row r="224">
      <c r="D224" s="9"/>
      <c r="E224" s="9"/>
      <c r="F224" s="13"/>
      <c r="G224" s="9"/>
      <c r="J224" s="121"/>
      <c r="K224" s="9"/>
      <c r="L224" s="9"/>
      <c r="M224" s="9"/>
      <c r="N224" s="9"/>
      <c r="O224" s="9"/>
      <c r="Q224" s="9"/>
    </row>
    <row r="225">
      <c r="D225" s="9"/>
      <c r="E225" s="9"/>
      <c r="F225" s="13"/>
      <c r="G225" s="9"/>
      <c r="J225" s="121"/>
      <c r="K225" s="9"/>
      <c r="L225" s="9"/>
      <c r="M225" s="9"/>
      <c r="N225" s="9"/>
      <c r="O225" s="9"/>
      <c r="Q225" s="9"/>
    </row>
    <row r="226">
      <c r="D226" s="9"/>
      <c r="E226" s="9"/>
      <c r="F226" s="13"/>
      <c r="G226" s="9"/>
      <c r="J226" s="121"/>
      <c r="K226" s="9"/>
      <c r="L226" s="9"/>
      <c r="M226" s="9"/>
      <c r="N226" s="9"/>
      <c r="O226" s="9"/>
      <c r="Q226" s="9"/>
    </row>
    <row r="227">
      <c r="D227" s="9"/>
      <c r="E227" s="9"/>
      <c r="F227" s="13"/>
      <c r="G227" s="9"/>
      <c r="J227" s="121"/>
      <c r="K227" s="9"/>
      <c r="L227" s="9"/>
      <c r="M227" s="9"/>
      <c r="N227" s="9"/>
      <c r="O227" s="9"/>
      <c r="Q227" s="9"/>
    </row>
    <row r="228">
      <c r="D228" s="9"/>
      <c r="E228" s="9"/>
      <c r="F228" s="13"/>
      <c r="G228" s="9"/>
      <c r="J228" s="121"/>
      <c r="K228" s="9"/>
      <c r="L228" s="9"/>
      <c r="M228" s="9"/>
      <c r="N228" s="9"/>
      <c r="O228" s="9"/>
      <c r="Q228" s="9"/>
    </row>
    <row r="229">
      <c r="D229" s="9"/>
      <c r="E229" s="9"/>
      <c r="F229" s="13"/>
      <c r="G229" s="9"/>
      <c r="J229" s="121"/>
      <c r="K229" s="9"/>
      <c r="L229" s="9"/>
      <c r="M229" s="9"/>
      <c r="N229" s="9"/>
      <c r="O229" s="9"/>
      <c r="Q229" s="9"/>
    </row>
    <row r="230">
      <c r="D230" s="9"/>
      <c r="E230" s="9"/>
      <c r="F230" s="13"/>
      <c r="G230" s="9"/>
      <c r="J230" s="121"/>
      <c r="K230" s="9"/>
      <c r="L230" s="9"/>
      <c r="M230" s="9"/>
      <c r="N230" s="9"/>
      <c r="O230" s="9"/>
      <c r="Q230" s="9"/>
    </row>
    <row r="231">
      <c r="D231" s="9"/>
      <c r="E231" s="9"/>
      <c r="F231" s="13"/>
      <c r="G231" s="9"/>
      <c r="J231" s="121"/>
      <c r="K231" s="9"/>
      <c r="L231" s="9"/>
      <c r="M231" s="9"/>
      <c r="N231" s="9"/>
      <c r="O231" s="9"/>
      <c r="Q231" s="9"/>
    </row>
    <row r="232">
      <c r="D232" s="9"/>
      <c r="E232" s="9"/>
      <c r="F232" s="13"/>
      <c r="G232" s="9"/>
      <c r="J232" s="121"/>
      <c r="K232" s="9"/>
      <c r="L232" s="9"/>
      <c r="M232" s="9"/>
      <c r="N232" s="9"/>
      <c r="O232" s="9"/>
      <c r="Q232" s="9"/>
    </row>
    <row r="233">
      <c r="D233" s="9"/>
      <c r="E233" s="9"/>
      <c r="F233" s="13"/>
      <c r="G233" s="9"/>
      <c r="J233" s="121"/>
      <c r="K233" s="9"/>
      <c r="L233" s="9"/>
      <c r="M233" s="9"/>
      <c r="N233" s="9"/>
      <c r="O233" s="9"/>
      <c r="Q233" s="9"/>
    </row>
    <row r="234">
      <c r="D234" s="9"/>
      <c r="E234" s="9"/>
      <c r="F234" s="13"/>
      <c r="G234" s="9"/>
      <c r="J234" s="121"/>
      <c r="K234" s="9"/>
      <c r="L234" s="9"/>
      <c r="M234" s="9"/>
      <c r="N234" s="9"/>
      <c r="O234" s="9"/>
      <c r="Q234" s="9"/>
    </row>
    <row r="235">
      <c r="D235" s="9"/>
      <c r="E235" s="9"/>
      <c r="F235" s="13"/>
      <c r="G235" s="9"/>
      <c r="J235" s="121"/>
      <c r="K235" s="9"/>
      <c r="L235" s="9"/>
      <c r="M235" s="9"/>
      <c r="N235" s="9"/>
      <c r="O235" s="9"/>
      <c r="Q235" s="9"/>
    </row>
    <row r="236">
      <c r="D236" s="9"/>
      <c r="E236" s="9"/>
      <c r="F236" s="13"/>
      <c r="G236" s="9"/>
      <c r="J236" s="121"/>
      <c r="K236" s="9"/>
      <c r="L236" s="9"/>
      <c r="M236" s="9"/>
      <c r="N236" s="9"/>
      <c r="O236" s="9"/>
      <c r="Q236" s="9"/>
    </row>
    <row r="237">
      <c r="D237" s="9"/>
      <c r="E237" s="9"/>
      <c r="F237" s="13"/>
      <c r="G237" s="9"/>
      <c r="J237" s="121"/>
      <c r="K237" s="9"/>
      <c r="L237" s="9"/>
      <c r="M237" s="9"/>
      <c r="N237" s="9"/>
      <c r="O237" s="9"/>
      <c r="Q237" s="9"/>
    </row>
    <row r="238">
      <c r="D238" s="9"/>
      <c r="E238" s="9"/>
      <c r="F238" s="13"/>
      <c r="G238" s="9"/>
      <c r="J238" s="121"/>
      <c r="K238" s="9"/>
      <c r="L238" s="9"/>
      <c r="M238" s="9"/>
      <c r="N238" s="9"/>
      <c r="O238" s="9"/>
      <c r="Q238" s="9"/>
    </row>
    <row r="239">
      <c r="D239" s="9"/>
      <c r="E239" s="9"/>
      <c r="F239" s="13"/>
      <c r="G239" s="9"/>
      <c r="J239" s="121"/>
      <c r="K239" s="9"/>
      <c r="L239" s="9"/>
      <c r="M239" s="9"/>
      <c r="N239" s="9"/>
      <c r="O239" s="9"/>
      <c r="Q239" s="9"/>
    </row>
    <row r="240">
      <c r="D240" s="9"/>
      <c r="E240" s="9"/>
      <c r="F240" s="13"/>
      <c r="G240" s="9"/>
      <c r="J240" s="121"/>
      <c r="K240" s="9"/>
      <c r="L240" s="9"/>
      <c r="M240" s="9"/>
      <c r="N240" s="9"/>
      <c r="O240" s="9"/>
      <c r="Q240" s="9"/>
    </row>
    <row r="241">
      <c r="D241" s="9"/>
      <c r="E241" s="9"/>
      <c r="F241" s="13"/>
      <c r="G241" s="9"/>
      <c r="J241" s="121"/>
      <c r="K241" s="9"/>
      <c r="L241" s="9"/>
      <c r="M241" s="9"/>
      <c r="N241" s="9"/>
      <c r="O241" s="9"/>
      <c r="Q241" s="9"/>
    </row>
    <row r="242">
      <c r="D242" s="9"/>
      <c r="E242" s="9"/>
      <c r="F242" s="13"/>
      <c r="G242" s="9"/>
      <c r="J242" s="121"/>
      <c r="K242" s="9"/>
      <c r="L242" s="9"/>
      <c r="M242" s="9"/>
      <c r="N242" s="9"/>
      <c r="O242" s="9"/>
      <c r="Q242" s="9"/>
    </row>
    <row r="243">
      <c r="D243" s="9"/>
      <c r="E243" s="9"/>
      <c r="F243" s="13"/>
      <c r="G243" s="9"/>
      <c r="J243" s="121"/>
      <c r="K243" s="9"/>
      <c r="L243" s="9"/>
      <c r="M243" s="9"/>
      <c r="N243" s="9"/>
      <c r="O243" s="9"/>
      <c r="Q243" s="9"/>
    </row>
    <row r="244">
      <c r="D244" s="9"/>
      <c r="E244" s="9"/>
      <c r="F244" s="13"/>
      <c r="G244" s="9"/>
      <c r="J244" s="121"/>
      <c r="K244" s="9"/>
      <c r="L244" s="9"/>
      <c r="M244" s="9"/>
      <c r="N244" s="9"/>
      <c r="O244" s="9"/>
      <c r="Q244" s="9"/>
    </row>
    <row r="245">
      <c r="D245" s="9"/>
      <c r="E245" s="9"/>
      <c r="F245" s="13"/>
      <c r="G245" s="9"/>
      <c r="J245" s="121"/>
      <c r="K245" s="9"/>
      <c r="L245" s="9"/>
      <c r="M245" s="9"/>
      <c r="N245" s="9"/>
      <c r="O245" s="9"/>
      <c r="Q245" s="9"/>
    </row>
    <row r="246">
      <c r="D246" s="9"/>
      <c r="E246" s="9"/>
      <c r="F246" s="13"/>
      <c r="G246" s="9"/>
      <c r="J246" s="121"/>
      <c r="K246" s="9"/>
      <c r="L246" s="9"/>
      <c r="M246" s="9"/>
      <c r="N246" s="9"/>
      <c r="O246" s="9"/>
      <c r="Q246" s="9"/>
    </row>
    <row r="247">
      <c r="D247" s="9"/>
      <c r="E247" s="9"/>
      <c r="F247" s="13"/>
      <c r="G247" s="9"/>
      <c r="J247" s="121"/>
      <c r="K247" s="9"/>
      <c r="L247" s="9"/>
      <c r="M247" s="9"/>
      <c r="N247" s="9"/>
      <c r="O247" s="9"/>
      <c r="Q247" s="9"/>
    </row>
    <row r="248">
      <c r="D248" s="9"/>
      <c r="E248" s="9"/>
      <c r="F248" s="13"/>
      <c r="G248" s="9"/>
      <c r="J248" s="121"/>
      <c r="K248" s="9"/>
      <c r="L248" s="9"/>
      <c r="M248" s="9"/>
      <c r="N248" s="9"/>
      <c r="O248" s="9"/>
      <c r="Q248" s="9"/>
    </row>
    <row r="249">
      <c r="D249" s="9"/>
      <c r="E249" s="9"/>
      <c r="F249" s="13"/>
      <c r="G249" s="9"/>
      <c r="J249" s="121"/>
      <c r="K249" s="9"/>
      <c r="L249" s="9"/>
      <c r="M249" s="9"/>
      <c r="N249" s="9"/>
      <c r="O249" s="9"/>
      <c r="Q249" s="9"/>
    </row>
    <row r="250">
      <c r="D250" s="9"/>
      <c r="E250" s="9"/>
      <c r="F250" s="13"/>
      <c r="G250" s="9"/>
      <c r="J250" s="121"/>
      <c r="K250" s="9"/>
      <c r="L250" s="9"/>
      <c r="M250" s="9"/>
      <c r="N250" s="9"/>
      <c r="O250" s="9"/>
      <c r="Q250" s="9"/>
    </row>
    <row r="251">
      <c r="D251" s="9"/>
      <c r="E251" s="9"/>
      <c r="F251" s="13"/>
      <c r="G251" s="9"/>
      <c r="J251" s="121"/>
      <c r="K251" s="9"/>
      <c r="L251" s="9"/>
      <c r="M251" s="9"/>
      <c r="N251" s="9"/>
      <c r="O251" s="9"/>
      <c r="Q251" s="9"/>
    </row>
    <row r="252">
      <c r="D252" s="9"/>
      <c r="E252" s="9"/>
      <c r="F252" s="13"/>
      <c r="G252" s="9"/>
      <c r="J252" s="121"/>
      <c r="K252" s="9"/>
      <c r="L252" s="9"/>
      <c r="M252" s="9"/>
      <c r="N252" s="9"/>
      <c r="O252" s="9"/>
      <c r="Q252" s="9"/>
    </row>
    <row r="253">
      <c r="D253" s="9"/>
      <c r="E253" s="9"/>
      <c r="F253" s="13"/>
      <c r="G253" s="9"/>
      <c r="J253" s="121"/>
      <c r="K253" s="9"/>
      <c r="L253" s="9"/>
      <c r="M253" s="9"/>
      <c r="N253" s="9"/>
      <c r="O253" s="9"/>
      <c r="Q253" s="9"/>
    </row>
    <row r="254">
      <c r="D254" s="9"/>
      <c r="E254" s="9"/>
      <c r="F254" s="13"/>
      <c r="G254" s="9"/>
      <c r="J254" s="121"/>
      <c r="K254" s="9"/>
      <c r="L254" s="9"/>
      <c r="M254" s="9"/>
      <c r="N254" s="9"/>
      <c r="O254" s="9"/>
      <c r="Q254" s="9"/>
    </row>
    <row r="255">
      <c r="D255" s="9"/>
      <c r="E255" s="9"/>
      <c r="F255" s="13"/>
      <c r="G255" s="9"/>
      <c r="J255" s="121"/>
      <c r="K255" s="9"/>
      <c r="L255" s="9"/>
      <c r="M255" s="9"/>
      <c r="N255" s="9"/>
      <c r="O255" s="9"/>
      <c r="Q255" s="9"/>
    </row>
    <row r="256">
      <c r="D256" s="9"/>
      <c r="E256" s="9"/>
      <c r="F256" s="13"/>
      <c r="G256" s="9"/>
      <c r="J256" s="121"/>
      <c r="K256" s="9"/>
      <c r="L256" s="9"/>
      <c r="M256" s="9"/>
      <c r="N256" s="9"/>
      <c r="O256" s="9"/>
      <c r="Q256" s="9"/>
    </row>
    <row r="257">
      <c r="D257" s="9"/>
      <c r="E257" s="9"/>
      <c r="F257" s="13"/>
      <c r="G257" s="9"/>
      <c r="J257" s="121"/>
      <c r="K257" s="9"/>
      <c r="L257" s="9"/>
      <c r="M257" s="9"/>
      <c r="N257" s="9"/>
      <c r="O257" s="9"/>
      <c r="Q257" s="9"/>
    </row>
    <row r="258">
      <c r="D258" s="9"/>
      <c r="E258" s="9"/>
      <c r="F258" s="13"/>
      <c r="G258" s="9"/>
      <c r="J258" s="121"/>
      <c r="K258" s="9"/>
      <c r="L258" s="9"/>
      <c r="M258" s="9"/>
      <c r="N258" s="9"/>
      <c r="O258" s="9"/>
      <c r="Q258" s="9"/>
    </row>
    <row r="259">
      <c r="D259" s="9"/>
      <c r="E259" s="9"/>
      <c r="F259" s="13"/>
      <c r="G259" s="9"/>
      <c r="J259" s="121"/>
      <c r="K259" s="9"/>
      <c r="L259" s="9"/>
      <c r="M259" s="9"/>
      <c r="N259" s="9"/>
      <c r="O259" s="9"/>
      <c r="Q259" s="9"/>
    </row>
    <row r="260">
      <c r="D260" s="9"/>
      <c r="E260" s="9"/>
      <c r="F260" s="13"/>
      <c r="G260" s="9"/>
      <c r="J260" s="121"/>
      <c r="K260" s="9"/>
      <c r="L260" s="9"/>
      <c r="M260" s="9"/>
      <c r="N260" s="9"/>
      <c r="O260" s="9"/>
      <c r="Q260" s="9"/>
    </row>
    <row r="261">
      <c r="D261" s="9"/>
      <c r="E261" s="9"/>
      <c r="F261" s="13"/>
      <c r="G261" s="9"/>
      <c r="J261" s="121"/>
      <c r="K261" s="9"/>
      <c r="L261" s="9"/>
      <c r="M261" s="9"/>
      <c r="N261" s="9"/>
      <c r="O261" s="9"/>
      <c r="Q261" s="9"/>
    </row>
    <row r="262">
      <c r="D262" s="9"/>
      <c r="E262" s="9"/>
      <c r="F262" s="13"/>
      <c r="G262" s="9"/>
      <c r="J262" s="121"/>
      <c r="K262" s="9"/>
      <c r="L262" s="9"/>
      <c r="M262" s="9"/>
      <c r="N262" s="9"/>
      <c r="O262" s="9"/>
      <c r="Q262" s="9"/>
    </row>
    <row r="263">
      <c r="D263" s="9"/>
      <c r="E263" s="9"/>
      <c r="F263" s="13"/>
      <c r="G263" s="9"/>
      <c r="J263" s="121"/>
      <c r="K263" s="9"/>
      <c r="L263" s="9"/>
      <c r="M263" s="9"/>
      <c r="N263" s="9"/>
      <c r="O263" s="9"/>
      <c r="Q263" s="9"/>
    </row>
    <row r="264">
      <c r="D264" s="9"/>
      <c r="E264" s="9"/>
      <c r="F264" s="13"/>
      <c r="G264" s="9"/>
      <c r="J264" s="121"/>
      <c r="K264" s="9"/>
      <c r="L264" s="9"/>
      <c r="M264" s="9"/>
      <c r="N264" s="9"/>
      <c r="O264" s="9"/>
      <c r="Q264" s="9"/>
    </row>
    <row r="265">
      <c r="D265" s="9"/>
      <c r="E265" s="9"/>
      <c r="F265" s="13"/>
      <c r="G265" s="9"/>
      <c r="J265" s="121"/>
      <c r="K265" s="9"/>
      <c r="L265" s="9"/>
      <c r="M265" s="9"/>
      <c r="N265" s="9"/>
      <c r="O265" s="9"/>
      <c r="Q265" s="9"/>
    </row>
    <row r="266">
      <c r="D266" s="9"/>
      <c r="E266" s="9"/>
      <c r="F266" s="13"/>
      <c r="G266" s="9"/>
      <c r="J266" s="121"/>
      <c r="K266" s="9"/>
      <c r="L266" s="9"/>
      <c r="M266" s="9"/>
      <c r="N266" s="9"/>
      <c r="O266" s="9"/>
      <c r="Q266" s="9"/>
    </row>
    <row r="267">
      <c r="D267" s="9"/>
      <c r="E267" s="9"/>
      <c r="F267" s="13"/>
      <c r="G267" s="9"/>
      <c r="J267" s="121"/>
      <c r="K267" s="9"/>
      <c r="L267" s="9"/>
      <c r="M267" s="9"/>
      <c r="N267" s="9"/>
      <c r="O267" s="9"/>
      <c r="Q267" s="9"/>
    </row>
    <row r="268">
      <c r="D268" s="9"/>
      <c r="E268" s="9"/>
      <c r="F268" s="13"/>
      <c r="G268" s="9"/>
      <c r="J268" s="121"/>
      <c r="K268" s="9"/>
      <c r="L268" s="9"/>
      <c r="M268" s="9"/>
      <c r="N268" s="9"/>
      <c r="O268" s="9"/>
      <c r="Q268" s="9"/>
    </row>
    <row r="269">
      <c r="D269" s="9"/>
      <c r="E269" s="9"/>
      <c r="F269" s="13"/>
      <c r="G269" s="9"/>
      <c r="J269" s="121"/>
      <c r="K269" s="9"/>
      <c r="L269" s="9"/>
      <c r="M269" s="9"/>
      <c r="N269" s="9"/>
      <c r="O269" s="9"/>
      <c r="Q269" s="9"/>
    </row>
    <row r="270">
      <c r="D270" s="9"/>
      <c r="E270" s="9"/>
      <c r="F270" s="13"/>
      <c r="G270" s="9"/>
      <c r="J270" s="121"/>
      <c r="K270" s="9"/>
      <c r="L270" s="9"/>
      <c r="M270" s="9"/>
      <c r="N270" s="9"/>
      <c r="O270" s="9"/>
      <c r="Q270" s="9"/>
    </row>
    <row r="271">
      <c r="D271" s="9"/>
      <c r="E271" s="9"/>
      <c r="F271" s="13"/>
      <c r="G271" s="9"/>
      <c r="J271" s="121"/>
      <c r="K271" s="9"/>
      <c r="L271" s="9"/>
      <c r="M271" s="9"/>
      <c r="N271" s="9"/>
      <c r="O271" s="9"/>
      <c r="Q271" s="9"/>
    </row>
    <row r="272">
      <c r="D272" s="9"/>
      <c r="E272" s="9"/>
      <c r="F272" s="13"/>
      <c r="G272" s="9"/>
      <c r="J272" s="121"/>
      <c r="K272" s="9"/>
      <c r="L272" s="9"/>
      <c r="M272" s="9"/>
      <c r="N272" s="9"/>
      <c r="O272" s="9"/>
      <c r="Q272" s="9"/>
    </row>
    <row r="273">
      <c r="D273" s="9"/>
      <c r="E273" s="9"/>
      <c r="F273" s="13"/>
      <c r="G273" s="9"/>
      <c r="J273" s="121"/>
      <c r="K273" s="9"/>
      <c r="L273" s="9"/>
      <c r="M273" s="9"/>
      <c r="N273" s="9"/>
      <c r="O273" s="9"/>
      <c r="Q273" s="9"/>
    </row>
    <row r="274">
      <c r="D274" s="9"/>
      <c r="E274" s="9"/>
      <c r="F274" s="13"/>
      <c r="G274" s="9"/>
      <c r="J274" s="121"/>
      <c r="K274" s="9"/>
      <c r="L274" s="9"/>
      <c r="M274" s="9"/>
      <c r="N274" s="9"/>
      <c r="O274" s="9"/>
      <c r="Q274" s="9"/>
    </row>
    <row r="275">
      <c r="D275" s="9"/>
      <c r="E275" s="9"/>
      <c r="F275" s="13"/>
      <c r="G275" s="9"/>
      <c r="J275" s="121"/>
      <c r="K275" s="9"/>
      <c r="L275" s="9"/>
      <c r="M275" s="9"/>
      <c r="N275" s="9"/>
      <c r="O275" s="9"/>
      <c r="Q275" s="9"/>
    </row>
    <row r="276">
      <c r="D276" s="9"/>
      <c r="E276" s="9"/>
      <c r="F276" s="13"/>
      <c r="G276" s="9"/>
      <c r="J276" s="121"/>
      <c r="K276" s="9"/>
      <c r="L276" s="9"/>
      <c r="M276" s="9"/>
      <c r="N276" s="9"/>
      <c r="O276" s="9"/>
      <c r="Q276" s="9"/>
    </row>
    <row r="277">
      <c r="D277" s="9"/>
      <c r="E277" s="9"/>
      <c r="F277" s="13"/>
      <c r="G277" s="9"/>
      <c r="J277" s="121"/>
      <c r="K277" s="9"/>
      <c r="L277" s="9"/>
      <c r="M277" s="9"/>
      <c r="N277" s="9"/>
      <c r="O277" s="9"/>
      <c r="Q277" s="9"/>
    </row>
    <row r="278">
      <c r="D278" s="9"/>
      <c r="E278" s="9"/>
      <c r="F278" s="13"/>
      <c r="G278" s="9"/>
      <c r="J278" s="121"/>
      <c r="K278" s="9"/>
      <c r="L278" s="9"/>
      <c r="M278" s="9"/>
      <c r="N278" s="9"/>
      <c r="O278" s="9"/>
      <c r="Q278" s="9"/>
    </row>
    <row r="279">
      <c r="D279" s="9"/>
      <c r="E279" s="9"/>
      <c r="F279" s="13"/>
      <c r="G279" s="9"/>
      <c r="J279" s="121"/>
      <c r="K279" s="9"/>
      <c r="L279" s="9"/>
      <c r="M279" s="9"/>
      <c r="N279" s="9"/>
      <c r="O279" s="9"/>
      <c r="Q279" s="9"/>
    </row>
    <row r="280">
      <c r="D280" s="9"/>
      <c r="E280" s="9"/>
      <c r="F280" s="13"/>
      <c r="G280" s="9"/>
      <c r="J280" s="121"/>
      <c r="K280" s="9"/>
      <c r="L280" s="9"/>
      <c r="M280" s="9"/>
      <c r="N280" s="9"/>
      <c r="O280" s="9"/>
      <c r="Q280" s="9"/>
    </row>
    <row r="281">
      <c r="D281" s="9"/>
      <c r="E281" s="9"/>
      <c r="F281" s="13"/>
      <c r="G281" s="9"/>
      <c r="J281" s="121"/>
      <c r="K281" s="9"/>
      <c r="L281" s="9"/>
      <c r="M281" s="9"/>
      <c r="N281" s="9"/>
      <c r="O281" s="9"/>
      <c r="Q281" s="9"/>
    </row>
    <row r="282">
      <c r="D282" s="9"/>
      <c r="E282" s="9"/>
      <c r="F282" s="13"/>
      <c r="G282" s="9"/>
      <c r="J282" s="121"/>
      <c r="K282" s="9"/>
      <c r="L282" s="9"/>
      <c r="M282" s="9"/>
      <c r="N282" s="9"/>
      <c r="O282" s="9"/>
      <c r="Q282" s="9"/>
    </row>
    <row r="283">
      <c r="D283" s="9"/>
      <c r="E283" s="9"/>
      <c r="F283" s="13"/>
      <c r="G283" s="9"/>
      <c r="J283" s="121"/>
      <c r="K283" s="9"/>
      <c r="L283" s="9"/>
      <c r="M283" s="9"/>
      <c r="N283" s="9"/>
      <c r="O283" s="9"/>
      <c r="Q283" s="9"/>
    </row>
    <row r="284">
      <c r="D284" s="9"/>
      <c r="E284" s="9"/>
      <c r="F284" s="13"/>
      <c r="G284" s="9"/>
      <c r="J284" s="121"/>
      <c r="K284" s="9"/>
      <c r="L284" s="9"/>
      <c r="M284" s="9"/>
      <c r="N284" s="9"/>
      <c r="O284" s="9"/>
      <c r="Q284" s="9"/>
    </row>
    <row r="285">
      <c r="D285" s="9"/>
      <c r="E285" s="9"/>
      <c r="F285" s="13"/>
      <c r="G285" s="9"/>
      <c r="J285" s="121"/>
      <c r="K285" s="9"/>
      <c r="L285" s="9"/>
      <c r="M285" s="9"/>
      <c r="N285" s="9"/>
      <c r="O285" s="9"/>
      <c r="Q285" s="9"/>
    </row>
    <row r="286">
      <c r="D286" s="9"/>
      <c r="E286" s="9"/>
      <c r="F286" s="13"/>
      <c r="G286" s="9"/>
      <c r="J286" s="121"/>
      <c r="K286" s="9"/>
      <c r="L286" s="9"/>
      <c r="M286" s="9"/>
      <c r="N286" s="9"/>
      <c r="O286" s="9"/>
      <c r="Q286" s="9"/>
    </row>
    <row r="287">
      <c r="D287" s="9"/>
      <c r="E287" s="9"/>
      <c r="F287" s="13"/>
      <c r="G287" s="9"/>
      <c r="J287" s="121"/>
      <c r="K287" s="9"/>
      <c r="L287" s="9"/>
      <c r="M287" s="9"/>
      <c r="N287" s="9"/>
      <c r="O287" s="9"/>
      <c r="Q287" s="9"/>
    </row>
    <row r="288">
      <c r="D288" s="9"/>
      <c r="E288" s="9"/>
      <c r="F288" s="13"/>
      <c r="G288" s="9"/>
      <c r="J288" s="121"/>
      <c r="K288" s="9"/>
      <c r="L288" s="9"/>
      <c r="M288" s="9"/>
      <c r="N288" s="9"/>
      <c r="O288" s="9"/>
      <c r="Q288" s="9"/>
    </row>
    <row r="289">
      <c r="D289" s="9"/>
      <c r="E289" s="9"/>
      <c r="F289" s="13"/>
      <c r="G289" s="9"/>
      <c r="J289" s="121"/>
      <c r="K289" s="9"/>
      <c r="L289" s="9"/>
      <c r="M289" s="9"/>
      <c r="N289" s="9"/>
      <c r="O289" s="9"/>
      <c r="Q289" s="9"/>
    </row>
    <row r="290">
      <c r="D290" s="9"/>
      <c r="E290" s="9"/>
      <c r="F290" s="13"/>
      <c r="G290" s="9"/>
      <c r="J290" s="121"/>
      <c r="K290" s="9"/>
      <c r="L290" s="9"/>
      <c r="M290" s="9"/>
      <c r="N290" s="9"/>
      <c r="O290" s="9"/>
      <c r="Q290" s="9"/>
    </row>
    <row r="291">
      <c r="D291" s="9"/>
      <c r="E291" s="9"/>
      <c r="F291" s="13"/>
      <c r="G291" s="9"/>
      <c r="J291" s="121"/>
      <c r="K291" s="9"/>
      <c r="L291" s="9"/>
      <c r="M291" s="9"/>
      <c r="N291" s="9"/>
      <c r="O291" s="9"/>
      <c r="Q291" s="9"/>
    </row>
    <row r="292">
      <c r="D292" s="9"/>
      <c r="E292" s="9"/>
      <c r="F292" s="13"/>
      <c r="G292" s="9"/>
      <c r="J292" s="121"/>
      <c r="K292" s="9"/>
      <c r="L292" s="9"/>
      <c r="M292" s="9"/>
      <c r="N292" s="9"/>
      <c r="O292" s="9"/>
      <c r="Q292" s="9"/>
    </row>
    <row r="293">
      <c r="D293" s="9"/>
      <c r="E293" s="9"/>
      <c r="F293" s="13"/>
      <c r="G293" s="9"/>
      <c r="J293" s="121"/>
      <c r="K293" s="9"/>
      <c r="L293" s="9"/>
      <c r="M293" s="9"/>
      <c r="N293" s="9"/>
      <c r="O293" s="9"/>
      <c r="Q293" s="9"/>
    </row>
    <row r="294">
      <c r="D294" s="9"/>
      <c r="E294" s="9"/>
      <c r="F294" s="13"/>
      <c r="G294" s="9"/>
      <c r="J294" s="121"/>
      <c r="K294" s="9"/>
      <c r="L294" s="9"/>
      <c r="M294" s="9"/>
      <c r="N294" s="9"/>
      <c r="O294" s="9"/>
      <c r="Q294" s="9"/>
    </row>
    <row r="295">
      <c r="D295" s="9"/>
      <c r="E295" s="9"/>
      <c r="F295" s="13"/>
      <c r="G295" s="9"/>
      <c r="J295" s="121"/>
      <c r="K295" s="9"/>
      <c r="L295" s="9"/>
      <c r="M295" s="9"/>
      <c r="N295" s="9"/>
      <c r="O295" s="9"/>
      <c r="Q295" s="9"/>
    </row>
    <row r="296">
      <c r="D296" s="9"/>
      <c r="E296" s="9"/>
      <c r="F296" s="13"/>
      <c r="G296" s="9"/>
      <c r="J296" s="121"/>
      <c r="K296" s="9"/>
      <c r="L296" s="9"/>
      <c r="M296" s="9"/>
      <c r="N296" s="9"/>
      <c r="O296" s="9"/>
      <c r="Q296" s="9"/>
    </row>
    <row r="297">
      <c r="D297" s="9"/>
      <c r="E297" s="9"/>
      <c r="F297" s="13"/>
      <c r="G297" s="9"/>
      <c r="J297" s="121"/>
      <c r="K297" s="9"/>
      <c r="L297" s="9"/>
      <c r="M297" s="9"/>
      <c r="N297" s="9"/>
      <c r="O297" s="9"/>
      <c r="Q297" s="9"/>
    </row>
    <row r="298">
      <c r="D298" s="9"/>
      <c r="E298" s="9"/>
      <c r="F298" s="13"/>
      <c r="G298" s="9"/>
      <c r="J298" s="121"/>
      <c r="K298" s="9"/>
      <c r="L298" s="9"/>
      <c r="M298" s="9"/>
      <c r="N298" s="9"/>
      <c r="O298" s="9"/>
      <c r="Q298" s="9"/>
    </row>
    <row r="299">
      <c r="D299" s="9"/>
      <c r="E299" s="9"/>
      <c r="F299" s="13"/>
      <c r="G299" s="9"/>
      <c r="J299" s="121"/>
      <c r="K299" s="9"/>
      <c r="L299" s="9"/>
      <c r="M299" s="9"/>
      <c r="N299" s="9"/>
      <c r="O299" s="9"/>
      <c r="Q299" s="9"/>
    </row>
    <row r="300">
      <c r="D300" s="9"/>
      <c r="E300" s="9"/>
      <c r="F300" s="13"/>
      <c r="G300" s="9"/>
      <c r="J300" s="121"/>
      <c r="K300" s="9"/>
      <c r="L300" s="9"/>
      <c r="M300" s="9"/>
      <c r="N300" s="9"/>
      <c r="O300" s="9"/>
      <c r="Q300" s="9"/>
    </row>
    <row r="301">
      <c r="D301" s="9"/>
      <c r="E301" s="9"/>
      <c r="F301" s="13"/>
      <c r="G301" s="9"/>
      <c r="J301" s="121"/>
      <c r="K301" s="9"/>
      <c r="L301" s="9"/>
      <c r="M301" s="9"/>
      <c r="N301" s="9"/>
      <c r="O301" s="9"/>
      <c r="Q301" s="9"/>
    </row>
    <row r="302">
      <c r="D302" s="9"/>
      <c r="E302" s="9"/>
      <c r="F302" s="13"/>
      <c r="G302" s="9"/>
      <c r="J302" s="121"/>
      <c r="K302" s="9"/>
      <c r="L302" s="9"/>
      <c r="M302" s="9"/>
      <c r="N302" s="9"/>
      <c r="O302" s="9"/>
      <c r="Q302" s="9"/>
    </row>
    <row r="303">
      <c r="D303" s="9"/>
      <c r="E303" s="9"/>
      <c r="F303" s="13"/>
      <c r="G303" s="9"/>
      <c r="J303" s="121"/>
      <c r="K303" s="9"/>
      <c r="L303" s="9"/>
      <c r="M303" s="9"/>
      <c r="N303" s="9"/>
      <c r="O303" s="9"/>
      <c r="Q303" s="9"/>
    </row>
    <row r="304">
      <c r="D304" s="9"/>
      <c r="E304" s="9"/>
      <c r="F304" s="13"/>
      <c r="G304" s="9"/>
      <c r="J304" s="121"/>
      <c r="K304" s="9"/>
      <c r="L304" s="9"/>
      <c r="M304" s="9"/>
      <c r="N304" s="9"/>
      <c r="O304" s="9"/>
      <c r="Q304" s="9"/>
    </row>
    <row r="305">
      <c r="D305" s="9"/>
      <c r="E305" s="9"/>
      <c r="F305" s="13"/>
      <c r="G305" s="9"/>
      <c r="J305" s="121"/>
      <c r="K305" s="9"/>
      <c r="L305" s="9"/>
      <c r="M305" s="9"/>
      <c r="N305" s="9"/>
      <c r="O305" s="9"/>
      <c r="Q305" s="9"/>
    </row>
    <row r="306">
      <c r="D306" s="9"/>
      <c r="E306" s="9"/>
      <c r="F306" s="13"/>
      <c r="G306" s="9"/>
      <c r="J306" s="121"/>
      <c r="K306" s="9"/>
      <c r="L306" s="9"/>
      <c r="M306" s="9"/>
      <c r="N306" s="9"/>
      <c r="O306" s="9"/>
      <c r="Q306" s="9"/>
    </row>
    <row r="307">
      <c r="D307" s="9"/>
      <c r="E307" s="9"/>
      <c r="F307" s="13"/>
      <c r="G307" s="9"/>
      <c r="J307" s="121"/>
      <c r="K307" s="9"/>
      <c r="L307" s="9"/>
      <c r="M307" s="9"/>
      <c r="N307" s="9"/>
      <c r="O307" s="9"/>
      <c r="Q307" s="9"/>
    </row>
    <row r="308">
      <c r="D308" s="9"/>
      <c r="E308" s="9"/>
      <c r="F308" s="13"/>
      <c r="G308" s="9"/>
      <c r="J308" s="121"/>
      <c r="K308" s="9"/>
      <c r="L308" s="9"/>
      <c r="M308" s="9"/>
      <c r="N308" s="9"/>
      <c r="O308" s="9"/>
      <c r="Q308" s="9"/>
    </row>
    <row r="309">
      <c r="D309" s="9"/>
      <c r="E309" s="9"/>
      <c r="F309" s="13"/>
      <c r="G309" s="9"/>
      <c r="J309" s="121"/>
      <c r="K309" s="9"/>
      <c r="L309" s="9"/>
      <c r="M309" s="9"/>
      <c r="N309" s="9"/>
      <c r="O309" s="9"/>
      <c r="Q309" s="9"/>
    </row>
    <row r="310">
      <c r="D310" s="9"/>
      <c r="E310" s="9"/>
      <c r="F310" s="13"/>
      <c r="G310" s="9"/>
      <c r="J310" s="121"/>
      <c r="K310" s="9"/>
      <c r="L310" s="9"/>
      <c r="M310" s="9"/>
      <c r="N310" s="9"/>
      <c r="O310" s="9"/>
      <c r="Q310" s="9"/>
    </row>
    <row r="311">
      <c r="D311" s="9"/>
      <c r="E311" s="9"/>
      <c r="F311" s="13"/>
      <c r="G311" s="9"/>
      <c r="J311" s="121"/>
      <c r="K311" s="9"/>
      <c r="L311" s="9"/>
      <c r="M311" s="9"/>
      <c r="N311" s="9"/>
      <c r="O311" s="9"/>
      <c r="Q311" s="9"/>
    </row>
    <row r="312">
      <c r="D312" s="9"/>
      <c r="E312" s="9"/>
      <c r="F312" s="13"/>
      <c r="G312" s="9"/>
      <c r="J312" s="121"/>
      <c r="K312" s="9"/>
      <c r="L312" s="9"/>
      <c r="M312" s="9"/>
      <c r="N312" s="9"/>
      <c r="O312" s="9"/>
      <c r="Q312" s="9"/>
    </row>
    <row r="313">
      <c r="D313" s="9"/>
      <c r="E313" s="9"/>
      <c r="F313" s="13"/>
      <c r="G313" s="9"/>
      <c r="J313" s="121"/>
      <c r="K313" s="9"/>
      <c r="L313" s="9"/>
      <c r="M313" s="9"/>
      <c r="N313" s="9"/>
      <c r="O313" s="9"/>
      <c r="Q313" s="9"/>
    </row>
    <row r="314">
      <c r="D314" s="9"/>
      <c r="E314" s="9"/>
      <c r="F314" s="13"/>
      <c r="G314" s="9"/>
      <c r="J314" s="121"/>
      <c r="K314" s="9"/>
      <c r="L314" s="9"/>
      <c r="M314" s="9"/>
      <c r="N314" s="9"/>
      <c r="O314" s="9"/>
      <c r="Q314" s="9"/>
    </row>
    <row r="315">
      <c r="D315" s="9"/>
      <c r="E315" s="9"/>
      <c r="F315" s="13"/>
      <c r="G315" s="9"/>
      <c r="J315" s="121"/>
      <c r="K315" s="9"/>
      <c r="L315" s="9"/>
      <c r="M315" s="9"/>
      <c r="N315" s="9"/>
      <c r="O315" s="9"/>
      <c r="Q315" s="9"/>
    </row>
    <row r="316">
      <c r="D316" s="9"/>
      <c r="E316" s="9"/>
      <c r="F316" s="13"/>
      <c r="G316" s="9"/>
      <c r="J316" s="121"/>
      <c r="K316" s="9"/>
      <c r="L316" s="9"/>
      <c r="M316" s="9"/>
      <c r="N316" s="9"/>
      <c r="O316" s="9"/>
      <c r="Q316" s="9"/>
    </row>
    <row r="317">
      <c r="D317" s="9"/>
      <c r="E317" s="9"/>
      <c r="F317" s="13"/>
      <c r="G317" s="9"/>
      <c r="J317" s="121"/>
      <c r="K317" s="9"/>
      <c r="L317" s="9"/>
      <c r="M317" s="9"/>
      <c r="N317" s="9"/>
      <c r="O317" s="9"/>
      <c r="Q317" s="9"/>
    </row>
    <row r="318">
      <c r="D318" s="9"/>
      <c r="E318" s="9"/>
      <c r="F318" s="13"/>
      <c r="G318" s="9"/>
      <c r="J318" s="121"/>
      <c r="K318" s="9"/>
      <c r="L318" s="9"/>
      <c r="M318" s="9"/>
      <c r="N318" s="9"/>
      <c r="O318" s="9"/>
      <c r="Q318" s="9"/>
    </row>
    <row r="319">
      <c r="D319" s="9"/>
      <c r="E319" s="9"/>
      <c r="F319" s="13"/>
      <c r="G319" s="9"/>
      <c r="J319" s="121"/>
      <c r="K319" s="9"/>
      <c r="L319" s="9"/>
      <c r="M319" s="9"/>
      <c r="N319" s="9"/>
      <c r="O319" s="9"/>
      <c r="Q319" s="9"/>
    </row>
    <row r="320">
      <c r="D320" s="9"/>
      <c r="E320" s="9"/>
      <c r="F320" s="13"/>
      <c r="G320" s="9"/>
      <c r="J320" s="121"/>
      <c r="K320" s="9"/>
      <c r="L320" s="9"/>
      <c r="M320" s="9"/>
      <c r="N320" s="9"/>
      <c r="O320" s="9"/>
      <c r="Q320" s="9"/>
    </row>
    <row r="321">
      <c r="D321" s="9"/>
      <c r="E321" s="9"/>
      <c r="F321" s="13"/>
      <c r="G321" s="9"/>
      <c r="J321" s="121"/>
      <c r="K321" s="9"/>
      <c r="L321" s="9"/>
      <c r="M321" s="9"/>
      <c r="N321" s="9"/>
      <c r="O321" s="9"/>
      <c r="Q321" s="9"/>
    </row>
    <row r="322">
      <c r="D322" s="9"/>
      <c r="E322" s="9"/>
      <c r="F322" s="13"/>
      <c r="G322" s="9"/>
      <c r="J322" s="121"/>
      <c r="K322" s="9"/>
      <c r="L322" s="9"/>
      <c r="M322" s="9"/>
      <c r="N322" s="9"/>
      <c r="O322" s="9"/>
      <c r="Q322" s="9"/>
    </row>
    <row r="323">
      <c r="D323" s="9"/>
      <c r="E323" s="9"/>
      <c r="F323" s="13"/>
      <c r="G323" s="9"/>
      <c r="J323" s="121"/>
      <c r="K323" s="9"/>
      <c r="L323" s="9"/>
      <c r="M323" s="9"/>
      <c r="N323" s="9"/>
      <c r="O323" s="9"/>
      <c r="Q323" s="9"/>
    </row>
    <row r="324">
      <c r="D324" s="9"/>
      <c r="E324" s="9"/>
      <c r="F324" s="13"/>
      <c r="G324" s="9"/>
      <c r="J324" s="121"/>
      <c r="K324" s="9"/>
      <c r="L324" s="9"/>
      <c r="M324" s="9"/>
      <c r="N324" s="9"/>
      <c r="O324" s="9"/>
      <c r="Q324" s="9"/>
    </row>
    <row r="325">
      <c r="D325" s="9"/>
      <c r="E325" s="9"/>
      <c r="F325" s="13"/>
      <c r="G325" s="9"/>
      <c r="J325" s="121"/>
      <c r="K325" s="9"/>
      <c r="L325" s="9"/>
      <c r="M325" s="9"/>
      <c r="N325" s="9"/>
      <c r="O325" s="9"/>
      <c r="Q325" s="9"/>
    </row>
    <row r="326">
      <c r="D326" s="9"/>
      <c r="E326" s="9"/>
      <c r="F326" s="13"/>
      <c r="G326" s="9"/>
      <c r="J326" s="121"/>
      <c r="K326" s="9"/>
      <c r="L326" s="9"/>
      <c r="M326" s="9"/>
      <c r="N326" s="9"/>
      <c r="O326" s="9"/>
      <c r="Q326" s="9"/>
    </row>
    <row r="327">
      <c r="D327" s="9"/>
      <c r="E327" s="9"/>
      <c r="F327" s="13"/>
      <c r="G327" s="9"/>
      <c r="J327" s="121"/>
      <c r="K327" s="9"/>
      <c r="L327" s="9"/>
      <c r="M327" s="9"/>
      <c r="N327" s="9"/>
      <c r="O327" s="9"/>
      <c r="Q327" s="9"/>
    </row>
    <row r="328">
      <c r="D328" s="9"/>
      <c r="E328" s="9"/>
      <c r="F328" s="13"/>
      <c r="G328" s="9"/>
      <c r="J328" s="121"/>
      <c r="K328" s="9"/>
      <c r="L328" s="9"/>
      <c r="M328" s="9"/>
      <c r="N328" s="9"/>
      <c r="O328" s="9"/>
      <c r="Q328" s="9"/>
    </row>
    <row r="329">
      <c r="D329" s="9"/>
      <c r="E329" s="9"/>
      <c r="F329" s="13"/>
      <c r="G329" s="9"/>
      <c r="J329" s="121"/>
      <c r="K329" s="9"/>
      <c r="L329" s="9"/>
      <c r="M329" s="9"/>
      <c r="N329" s="9"/>
      <c r="O329" s="9"/>
      <c r="Q329" s="9"/>
    </row>
    <row r="330">
      <c r="D330" s="9"/>
      <c r="E330" s="9"/>
      <c r="F330" s="13"/>
      <c r="G330" s="9"/>
      <c r="J330" s="121"/>
      <c r="K330" s="9"/>
      <c r="L330" s="9"/>
      <c r="M330" s="9"/>
      <c r="N330" s="9"/>
      <c r="O330" s="9"/>
      <c r="Q330" s="9"/>
    </row>
    <row r="331">
      <c r="D331" s="9"/>
      <c r="E331" s="9"/>
      <c r="F331" s="13"/>
      <c r="G331" s="9"/>
      <c r="J331" s="121"/>
      <c r="K331" s="9"/>
      <c r="L331" s="9"/>
      <c r="M331" s="9"/>
      <c r="N331" s="9"/>
      <c r="O331" s="9"/>
      <c r="Q331" s="9"/>
    </row>
    <row r="332">
      <c r="D332" s="9"/>
      <c r="E332" s="9"/>
      <c r="F332" s="13"/>
      <c r="G332" s="9"/>
      <c r="J332" s="121"/>
      <c r="K332" s="9"/>
      <c r="L332" s="9"/>
      <c r="M332" s="9"/>
      <c r="N332" s="9"/>
      <c r="O332" s="9"/>
      <c r="Q332" s="9"/>
    </row>
    <row r="333">
      <c r="D333" s="9"/>
      <c r="E333" s="9"/>
      <c r="F333" s="13"/>
      <c r="G333" s="9"/>
      <c r="J333" s="121"/>
      <c r="K333" s="9"/>
      <c r="L333" s="9"/>
      <c r="M333" s="9"/>
      <c r="N333" s="9"/>
      <c r="O333" s="9"/>
      <c r="Q333" s="9"/>
    </row>
    <row r="334">
      <c r="D334" s="9"/>
      <c r="E334" s="9"/>
      <c r="F334" s="13"/>
      <c r="G334" s="9"/>
      <c r="J334" s="121"/>
      <c r="K334" s="9"/>
      <c r="L334" s="9"/>
      <c r="M334" s="9"/>
      <c r="N334" s="9"/>
      <c r="O334" s="9"/>
      <c r="Q334" s="9"/>
    </row>
    <row r="335">
      <c r="D335" s="9"/>
      <c r="E335" s="9"/>
      <c r="F335" s="13"/>
      <c r="G335" s="9"/>
      <c r="J335" s="121"/>
      <c r="K335" s="9"/>
      <c r="L335" s="9"/>
      <c r="M335" s="9"/>
      <c r="N335" s="9"/>
      <c r="O335" s="9"/>
      <c r="Q335" s="9"/>
    </row>
    <row r="336">
      <c r="D336" s="9"/>
      <c r="E336" s="9"/>
      <c r="F336" s="13"/>
      <c r="G336" s="9"/>
      <c r="J336" s="121"/>
      <c r="K336" s="9"/>
      <c r="L336" s="9"/>
      <c r="M336" s="9"/>
      <c r="N336" s="9"/>
      <c r="O336" s="9"/>
      <c r="Q336" s="9"/>
    </row>
    <row r="337">
      <c r="D337" s="9"/>
      <c r="E337" s="9"/>
      <c r="F337" s="13"/>
      <c r="G337" s="9"/>
      <c r="J337" s="121"/>
      <c r="K337" s="9"/>
      <c r="L337" s="9"/>
      <c r="M337" s="9"/>
      <c r="N337" s="9"/>
      <c r="O337" s="9"/>
      <c r="Q337" s="9"/>
    </row>
    <row r="338">
      <c r="D338" s="9"/>
      <c r="E338" s="9"/>
      <c r="F338" s="13"/>
      <c r="G338" s="9"/>
      <c r="J338" s="121"/>
      <c r="K338" s="9"/>
      <c r="L338" s="9"/>
      <c r="M338" s="9"/>
      <c r="N338" s="9"/>
      <c r="O338" s="9"/>
      <c r="Q338" s="9"/>
    </row>
    <row r="339">
      <c r="D339" s="9"/>
      <c r="E339" s="9"/>
      <c r="F339" s="13"/>
      <c r="G339" s="9"/>
      <c r="J339" s="121"/>
      <c r="K339" s="9"/>
      <c r="L339" s="9"/>
      <c r="M339" s="9"/>
      <c r="N339" s="9"/>
      <c r="O339" s="9"/>
      <c r="Q339" s="9"/>
    </row>
    <row r="340">
      <c r="D340" s="9"/>
      <c r="E340" s="9"/>
      <c r="F340" s="13"/>
      <c r="G340" s="9"/>
      <c r="J340" s="121"/>
      <c r="K340" s="9"/>
      <c r="L340" s="9"/>
      <c r="M340" s="9"/>
      <c r="N340" s="9"/>
      <c r="O340" s="9"/>
      <c r="Q340" s="9"/>
    </row>
    <row r="341">
      <c r="D341" s="9"/>
      <c r="E341" s="9"/>
      <c r="F341" s="13"/>
      <c r="G341" s="9"/>
      <c r="J341" s="121"/>
      <c r="K341" s="9"/>
      <c r="L341" s="9"/>
      <c r="M341" s="9"/>
      <c r="N341" s="9"/>
      <c r="O341" s="9"/>
      <c r="Q341" s="9"/>
    </row>
    <row r="342">
      <c r="D342" s="9"/>
      <c r="E342" s="9"/>
      <c r="F342" s="13"/>
      <c r="G342" s="9"/>
      <c r="J342" s="121"/>
      <c r="K342" s="9"/>
      <c r="L342" s="9"/>
      <c r="M342" s="9"/>
      <c r="N342" s="9"/>
      <c r="O342" s="9"/>
      <c r="Q342" s="9"/>
    </row>
    <row r="343">
      <c r="D343" s="9"/>
      <c r="E343" s="9"/>
      <c r="F343" s="13"/>
      <c r="G343" s="9"/>
      <c r="J343" s="121"/>
      <c r="K343" s="9"/>
      <c r="L343" s="9"/>
      <c r="M343" s="9"/>
      <c r="N343" s="9"/>
      <c r="O343" s="9"/>
      <c r="Q343" s="9"/>
    </row>
    <row r="344">
      <c r="D344" s="9"/>
      <c r="E344" s="9"/>
      <c r="F344" s="13"/>
      <c r="G344" s="9"/>
      <c r="J344" s="121"/>
      <c r="K344" s="9"/>
      <c r="L344" s="9"/>
      <c r="M344" s="9"/>
      <c r="N344" s="9"/>
      <c r="O344" s="9"/>
      <c r="Q344" s="9"/>
    </row>
    <row r="345">
      <c r="D345" s="9"/>
      <c r="E345" s="9"/>
      <c r="F345" s="13"/>
      <c r="G345" s="9"/>
      <c r="J345" s="121"/>
      <c r="K345" s="9"/>
      <c r="L345" s="9"/>
      <c r="M345" s="9"/>
      <c r="N345" s="9"/>
      <c r="O345" s="9"/>
      <c r="Q345" s="9"/>
    </row>
    <row r="346">
      <c r="D346" s="9"/>
      <c r="E346" s="9"/>
      <c r="F346" s="13"/>
      <c r="G346" s="9"/>
      <c r="J346" s="121"/>
      <c r="K346" s="9"/>
      <c r="L346" s="9"/>
      <c r="M346" s="9"/>
      <c r="N346" s="9"/>
      <c r="O346" s="9"/>
      <c r="Q346" s="9"/>
    </row>
    <row r="347">
      <c r="D347" s="9"/>
      <c r="E347" s="9"/>
      <c r="F347" s="13"/>
      <c r="G347" s="9"/>
      <c r="J347" s="121"/>
      <c r="K347" s="9"/>
      <c r="L347" s="9"/>
      <c r="M347" s="9"/>
      <c r="N347" s="9"/>
      <c r="O347" s="9"/>
      <c r="Q347" s="9"/>
    </row>
    <row r="348">
      <c r="D348" s="9"/>
      <c r="E348" s="9"/>
      <c r="F348" s="13"/>
      <c r="G348" s="9"/>
      <c r="J348" s="121"/>
      <c r="K348" s="9"/>
      <c r="L348" s="9"/>
      <c r="M348" s="9"/>
      <c r="N348" s="9"/>
      <c r="O348" s="9"/>
      <c r="Q348" s="9"/>
    </row>
    <row r="349">
      <c r="D349" s="9"/>
      <c r="E349" s="9"/>
      <c r="F349" s="13"/>
      <c r="G349" s="9"/>
      <c r="J349" s="121"/>
      <c r="K349" s="9"/>
      <c r="L349" s="9"/>
      <c r="M349" s="9"/>
      <c r="N349" s="9"/>
      <c r="O349" s="9"/>
      <c r="Q349" s="9"/>
    </row>
    <row r="350">
      <c r="D350" s="9"/>
      <c r="E350" s="9"/>
      <c r="F350" s="13"/>
      <c r="G350" s="9"/>
      <c r="J350" s="121"/>
      <c r="K350" s="9"/>
      <c r="L350" s="9"/>
      <c r="M350" s="9"/>
      <c r="N350" s="9"/>
      <c r="O350" s="9"/>
      <c r="Q350" s="9"/>
    </row>
    <row r="351">
      <c r="D351" s="9"/>
      <c r="E351" s="9"/>
      <c r="F351" s="13"/>
      <c r="G351" s="9"/>
      <c r="J351" s="121"/>
      <c r="K351" s="9"/>
      <c r="L351" s="9"/>
      <c r="M351" s="9"/>
      <c r="N351" s="9"/>
      <c r="O351" s="9"/>
      <c r="Q351" s="9"/>
    </row>
    <row r="352">
      <c r="D352" s="9"/>
      <c r="E352" s="9"/>
      <c r="F352" s="13"/>
      <c r="G352" s="9"/>
      <c r="J352" s="121"/>
      <c r="K352" s="9"/>
      <c r="L352" s="9"/>
      <c r="M352" s="9"/>
      <c r="N352" s="9"/>
      <c r="O352" s="9"/>
      <c r="Q352" s="9"/>
    </row>
    <row r="353">
      <c r="D353" s="9"/>
      <c r="E353" s="9"/>
      <c r="F353" s="13"/>
      <c r="G353" s="9"/>
      <c r="J353" s="121"/>
      <c r="K353" s="9"/>
      <c r="L353" s="9"/>
      <c r="M353" s="9"/>
      <c r="N353" s="9"/>
      <c r="O353" s="9"/>
      <c r="Q353" s="9"/>
    </row>
    <row r="354">
      <c r="D354" s="9"/>
      <c r="E354" s="9"/>
      <c r="F354" s="13"/>
      <c r="G354" s="9"/>
      <c r="J354" s="121"/>
      <c r="K354" s="9"/>
      <c r="L354" s="9"/>
      <c r="M354" s="9"/>
      <c r="N354" s="9"/>
      <c r="O354" s="9"/>
      <c r="Q354" s="9"/>
    </row>
    <row r="355">
      <c r="D355" s="9"/>
      <c r="E355" s="9"/>
      <c r="F355" s="13"/>
      <c r="G355" s="9"/>
      <c r="J355" s="121"/>
      <c r="K355" s="9"/>
      <c r="L355" s="9"/>
      <c r="M355" s="9"/>
      <c r="N355" s="9"/>
      <c r="O355" s="9"/>
      <c r="Q355" s="9"/>
    </row>
    <row r="356">
      <c r="D356" s="9"/>
      <c r="E356" s="9"/>
      <c r="F356" s="13"/>
      <c r="G356" s="9"/>
      <c r="J356" s="121"/>
      <c r="K356" s="9"/>
      <c r="L356" s="9"/>
      <c r="M356" s="9"/>
      <c r="N356" s="9"/>
      <c r="O356" s="9"/>
      <c r="Q356" s="9"/>
    </row>
    <row r="357">
      <c r="D357" s="9"/>
      <c r="E357" s="9"/>
      <c r="F357" s="13"/>
      <c r="G357" s="9"/>
      <c r="J357" s="121"/>
      <c r="K357" s="9"/>
      <c r="L357" s="9"/>
      <c r="M357" s="9"/>
      <c r="N357" s="9"/>
      <c r="O357" s="9"/>
      <c r="Q357" s="9"/>
    </row>
    <row r="358">
      <c r="D358" s="9"/>
      <c r="E358" s="9"/>
      <c r="F358" s="13"/>
      <c r="G358" s="9"/>
      <c r="J358" s="121"/>
      <c r="K358" s="9"/>
      <c r="L358" s="9"/>
      <c r="M358" s="9"/>
      <c r="N358" s="9"/>
      <c r="O358" s="9"/>
      <c r="Q358" s="9"/>
    </row>
    <row r="359">
      <c r="D359" s="9"/>
      <c r="E359" s="9"/>
      <c r="F359" s="13"/>
      <c r="G359" s="9"/>
      <c r="J359" s="121"/>
      <c r="K359" s="9"/>
      <c r="L359" s="9"/>
      <c r="M359" s="9"/>
      <c r="N359" s="9"/>
      <c r="O359" s="9"/>
      <c r="Q359" s="9"/>
    </row>
    <row r="360">
      <c r="D360" s="9"/>
      <c r="E360" s="9"/>
      <c r="F360" s="13"/>
      <c r="G360" s="9"/>
      <c r="J360" s="121"/>
      <c r="K360" s="9"/>
      <c r="L360" s="9"/>
      <c r="M360" s="9"/>
      <c r="N360" s="9"/>
      <c r="O360" s="9"/>
      <c r="Q360" s="9"/>
    </row>
    <row r="361">
      <c r="D361" s="9"/>
      <c r="E361" s="9"/>
      <c r="F361" s="13"/>
      <c r="G361" s="9"/>
      <c r="J361" s="121"/>
      <c r="K361" s="9"/>
      <c r="L361" s="9"/>
      <c r="M361" s="9"/>
      <c r="N361" s="9"/>
      <c r="O361" s="9"/>
      <c r="Q361" s="9"/>
    </row>
    <row r="362">
      <c r="D362" s="9"/>
      <c r="E362" s="9"/>
      <c r="F362" s="13"/>
      <c r="G362" s="9"/>
      <c r="J362" s="121"/>
      <c r="K362" s="9"/>
      <c r="L362" s="9"/>
      <c r="M362" s="9"/>
      <c r="N362" s="9"/>
      <c r="O362" s="9"/>
      <c r="Q362" s="9"/>
    </row>
    <row r="363">
      <c r="D363" s="9"/>
      <c r="E363" s="9"/>
      <c r="F363" s="13"/>
      <c r="G363" s="9"/>
      <c r="J363" s="121"/>
      <c r="K363" s="9"/>
      <c r="L363" s="9"/>
      <c r="M363" s="9"/>
      <c r="N363" s="9"/>
      <c r="O363" s="9"/>
      <c r="Q363" s="9"/>
    </row>
    <row r="364">
      <c r="D364" s="9"/>
      <c r="E364" s="9"/>
      <c r="F364" s="13"/>
      <c r="G364" s="9"/>
      <c r="J364" s="121"/>
      <c r="K364" s="9"/>
      <c r="L364" s="9"/>
      <c r="M364" s="9"/>
      <c r="N364" s="9"/>
      <c r="O364" s="9"/>
      <c r="Q364" s="9"/>
    </row>
    <row r="365">
      <c r="D365" s="9"/>
      <c r="E365" s="9"/>
      <c r="F365" s="13"/>
      <c r="G365" s="9"/>
      <c r="J365" s="121"/>
      <c r="K365" s="9"/>
      <c r="L365" s="9"/>
      <c r="M365" s="9"/>
      <c r="N365" s="9"/>
      <c r="O365" s="9"/>
      <c r="Q365" s="9"/>
    </row>
    <row r="366">
      <c r="D366" s="9"/>
      <c r="E366" s="9"/>
      <c r="F366" s="13"/>
      <c r="G366" s="9"/>
      <c r="J366" s="121"/>
      <c r="K366" s="9"/>
      <c r="L366" s="9"/>
      <c r="M366" s="9"/>
      <c r="N366" s="9"/>
      <c r="O366" s="9"/>
      <c r="Q366" s="9"/>
    </row>
    <row r="367">
      <c r="D367" s="9"/>
      <c r="E367" s="9"/>
      <c r="F367" s="13"/>
      <c r="G367" s="9"/>
      <c r="J367" s="121"/>
      <c r="K367" s="9"/>
      <c r="L367" s="9"/>
      <c r="M367" s="9"/>
      <c r="N367" s="9"/>
      <c r="O367" s="9"/>
      <c r="Q367" s="9"/>
    </row>
    <row r="368">
      <c r="D368" s="9"/>
      <c r="E368" s="9"/>
      <c r="F368" s="13"/>
      <c r="G368" s="9"/>
      <c r="J368" s="121"/>
      <c r="K368" s="9"/>
      <c r="L368" s="9"/>
      <c r="M368" s="9"/>
      <c r="N368" s="9"/>
      <c r="O368" s="9"/>
      <c r="Q368" s="9"/>
    </row>
    <row r="369">
      <c r="D369" s="9"/>
      <c r="E369" s="9"/>
      <c r="F369" s="13"/>
      <c r="G369" s="9"/>
      <c r="J369" s="121"/>
      <c r="K369" s="9"/>
      <c r="L369" s="9"/>
      <c r="M369" s="9"/>
      <c r="N369" s="9"/>
      <c r="O369" s="9"/>
      <c r="Q369" s="9"/>
    </row>
    <row r="370">
      <c r="D370" s="9"/>
      <c r="E370" s="9"/>
      <c r="F370" s="13"/>
      <c r="G370" s="9"/>
      <c r="J370" s="121"/>
      <c r="K370" s="9"/>
      <c r="L370" s="9"/>
      <c r="M370" s="9"/>
      <c r="N370" s="9"/>
      <c r="O370" s="9"/>
      <c r="Q370" s="9"/>
    </row>
    <row r="371">
      <c r="D371" s="9"/>
      <c r="E371" s="9"/>
      <c r="F371" s="13"/>
      <c r="G371" s="9"/>
      <c r="J371" s="121"/>
      <c r="K371" s="9"/>
      <c r="L371" s="9"/>
      <c r="M371" s="9"/>
      <c r="N371" s="9"/>
      <c r="O371" s="9"/>
      <c r="Q371" s="9"/>
    </row>
    <row r="372">
      <c r="D372" s="9"/>
      <c r="E372" s="9"/>
      <c r="F372" s="13"/>
      <c r="G372" s="9"/>
      <c r="J372" s="121"/>
      <c r="K372" s="9"/>
      <c r="L372" s="9"/>
      <c r="M372" s="9"/>
      <c r="N372" s="9"/>
      <c r="O372" s="9"/>
      <c r="Q372" s="9"/>
    </row>
    <row r="373">
      <c r="D373" s="9"/>
      <c r="E373" s="9"/>
      <c r="F373" s="13"/>
      <c r="G373" s="9"/>
      <c r="J373" s="121"/>
      <c r="K373" s="9"/>
      <c r="L373" s="9"/>
      <c r="M373" s="9"/>
      <c r="N373" s="9"/>
      <c r="O373" s="9"/>
      <c r="Q373" s="9"/>
    </row>
    <row r="374">
      <c r="D374" s="9"/>
      <c r="E374" s="9"/>
      <c r="F374" s="13"/>
      <c r="G374" s="9"/>
      <c r="J374" s="121"/>
      <c r="K374" s="9"/>
      <c r="L374" s="9"/>
      <c r="M374" s="9"/>
      <c r="N374" s="9"/>
      <c r="O374" s="9"/>
      <c r="Q374" s="9"/>
    </row>
    <row r="375">
      <c r="D375" s="9"/>
      <c r="E375" s="9"/>
      <c r="F375" s="13"/>
      <c r="G375" s="9"/>
      <c r="J375" s="121"/>
      <c r="K375" s="9"/>
      <c r="L375" s="9"/>
      <c r="M375" s="9"/>
      <c r="N375" s="9"/>
      <c r="O375" s="9"/>
      <c r="Q375" s="9"/>
    </row>
    <row r="376">
      <c r="D376" s="9"/>
      <c r="E376" s="9"/>
      <c r="F376" s="13"/>
      <c r="G376" s="9"/>
      <c r="J376" s="121"/>
      <c r="K376" s="9"/>
      <c r="L376" s="9"/>
      <c r="M376" s="9"/>
      <c r="N376" s="9"/>
      <c r="O376" s="9"/>
      <c r="Q376" s="9"/>
    </row>
    <row r="377">
      <c r="D377" s="9"/>
      <c r="E377" s="9"/>
      <c r="F377" s="13"/>
      <c r="G377" s="9"/>
      <c r="J377" s="121"/>
      <c r="K377" s="9"/>
      <c r="L377" s="9"/>
      <c r="M377" s="9"/>
      <c r="N377" s="9"/>
      <c r="O377" s="9"/>
      <c r="Q377" s="9"/>
    </row>
    <row r="378">
      <c r="D378" s="9"/>
      <c r="E378" s="9"/>
      <c r="F378" s="13"/>
      <c r="G378" s="9"/>
      <c r="J378" s="121"/>
      <c r="K378" s="9"/>
      <c r="L378" s="9"/>
      <c r="M378" s="9"/>
      <c r="N378" s="9"/>
      <c r="O378" s="9"/>
      <c r="Q378" s="9"/>
    </row>
    <row r="379">
      <c r="D379" s="9"/>
      <c r="E379" s="9"/>
      <c r="F379" s="13"/>
      <c r="G379" s="9"/>
      <c r="J379" s="121"/>
      <c r="K379" s="9"/>
      <c r="L379" s="9"/>
      <c r="M379" s="9"/>
      <c r="N379" s="9"/>
      <c r="O379" s="9"/>
      <c r="Q379" s="9"/>
    </row>
    <row r="380">
      <c r="D380" s="9"/>
      <c r="E380" s="9"/>
      <c r="F380" s="13"/>
      <c r="G380" s="9"/>
      <c r="J380" s="121"/>
      <c r="K380" s="9"/>
      <c r="L380" s="9"/>
      <c r="M380" s="9"/>
      <c r="N380" s="9"/>
      <c r="O380" s="9"/>
      <c r="Q380" s="9"/>
    </row>
    <row r="381">
      <c r="D381" s="9"/>
      <c r="E381" s="9"/>
      <c r="F381" s="13"/>
      <c r="G381" s="9"/>
      <c r="J381" s="121"/>
      <c r="K381" s="9"/>
      <c r="L381" s="9"/>
      <c r="M381" s="9"/>
      <c r="N381" s="9"/>
      <c r="O381" s="9"/>
      <c r="Q381" s="9"/>
    </row>
    <row r="382">
      <c r="D382" s="9"/>
      <c r="E382" s="9"/>
      <c r="F382" s="13"/>
      <c r="G382" s="9"/>
      <c r="J382" s="121"/>
      <c r="K382" s="9"/>
      <c r="L382" s="9"/>
      <c r="M382" s="9"/>
      <c r="N382" s="9"/>
      <c r="O382" s="9"/>
      <c r="Q382" s="9"/>
    </row>
    <row r="383">
      <c r="D383" s="9"/>
      <c r="E383" s="9"/>
      <c r="F383" s="13"/>
      <c r="G383" s="9"/>
      <c r="J383" s="121"/>
      <c r="K383" s="9"/>
      <c r="L383" s="9"/>
      <c r="M383" s="9"/>
      <c r="N383" s="9"/>
      <c r="O383" s="9"/>
      <c r="Q383" s="9"/>
    </row>
    <row r="384">
      <c r="D384" s="9"/>
      <c r="E384" s="9"/>
      <c r="F384" s="13"/>
      <c r="G384" s="9"/>
      <c r="J384" s="121"/>
      <c r="K384" s="9"/>
      <c r="L384" s="9"/>
      <c r="M384" s="9"/>
      <c r="N384" s="9"/>
      <c r="O384" s="9"/>
      <c r="Q384" s="9"/>
    </row>
    <row r="385">
      <c r="D385" s="9"/>
      <c r="E385" s="9"/>
      <c r="F385" s="13"/>
      <c r="G385" s="9"/>
      <c r="J385" s="121"/>
      <c r="K385" s="9"/>
      <c r="L385" s="9"/>
      <c r="M385" s="9"/>
      <c r="N385" s="9"/>
      <c r="O385" s="9"/>
      <c r="Q385" s="9"/>
    </row>
    <row r="386">
      <c r="D386" s="9"/>
      <c r="E386" s="9"/>
      <c r="F386" s="13"/>
      <c r="G386" s="9"/>
      <c r="J386" s="121"/>
      <c r="K386" s="9"/>
      <c r="L386" s="9"/>
      <c r="M386" s="9"/>
      <c r="N386" s="9"/>
      <c r="O386" s="9"/>
      <c r="Q386" s="9"/>
    </row>
    <row r="387">
      <c r="D387" s="9"/>
      <c r="E387" s="9"/>
      <c r="F387" s="13"/>
      <c r="G387" s="9"/>
      <c r="J387" s="121"/>
      <c r="K387" s="9"/>
      <c r="L387" s="9"/>
      <c r="M387" s="9"/>
      <c r="N387" s="9"/>
      <c r="O387" s="9"/>
      <c r="Q387" s="9"/>
    </row>
    <row r="388">
      <c r="D388" s="9"/>
      <c r="E388" s="9"/>
      <c r="F388" s="13"/>
      <c r="G388" s="9"/>
      <c r="J388" s="121"/>
      <c r="K388" s="9"/>
      <c r="L388" s="9"/>
      <c r="M388" s="9"/>
      <c r="N388" s="9"/>
      <c r="O388" s="9"/>
      <c r="Q388" s="9"/>
    </row>
    <row r="389">
      <c r="D389" s="9"/>
      <c r="E389" s="9"/>
      <c r="F389" s="13"/>
      <c r="G389" s="9"/>
      <c r="J389" s="121"/>
      <c r="K389" s="9"/>
      <c r="L389" s="9"/>
      <c r="M389" s="9"/>
      <c r="N389" s="9"/>
      <c r="O389" s="9"/>
      <c r="Q389" s="9"/>
    </row>
    <row r="390">
      <c r="D390" s="9"/>
      <c r="E390" s="9"/>
      <c r="F390" s="13"/>
      <c r="G390" s="9"/>
      <c r="J390" s="121"/>
      <c r="K390" s="9"/>
      <c r="L390" s="9"/>
      <c r="M390" s="9"/>
      <c r="N390" s="9"/>
      <c r="O390" s="9"/>
      <c r="Q390" s="9"/>
    </row>
    <row r="391">
      <c r="D391" s="9"/>
      <c r="E391" s="9"/>
      <c r="F391" s="13"/>
      <c r="G391" s="9"/>
      <c r="J391" s="121"/>
      <c r="K391" s="9"/>
      <c r="L391" s="9"/>
      <c r="M391" s="9"/>
      <c r="N391" s="9"/>
      <c r="O391" s="9"/>
      <c r="Q391" s="9"/>
    </row>
    <row r="392">
      <c r="D392" s="9"/>
      <c r="E392" s="9"/>
      <c r="F392" s="13"/>
      <c r="G392" s="9"/>
      <c r="J392" s="121"/>
      <c r="K392" s="9"/>
      <c r="L392" s="9"/>
      <c r="M392" s="9"/>
      <c r="N392" s="9"/>
      <c r="O392" s="9"/>
      <c r="Q392" s="9"/>
    </row>
    <row r="393">
      <c r="D393" s="9"/>
      <c r="E393" s="9"/>
      <c r="F393" s="13"/>
      <c r="G393" s="9"/>
      <c r="J393" s="121"/>
      <c r="K393" s="9"/>
      <c r="L393" s="9"/>
      <c r="M393" s="9"/>
      <c r="N393" s="9"/>
      <c r="O393" s="9"/>
      <c r="Q393" s="9"/>
    </row>
    <row r="394">
      <c r="D394" s="9"/>
      <c r="E394" s="9"/>
      <c r="F394" s="13"/>
      <c r="G394" s="9"/>
      <c r="J394" s="121"/>
      <c r="K394" s="9"/>
      <c r="L394" s="9"/>
      <c r="M394" s="9"/>
      <c r="N394" s="9"/>
      <c r="O394" s="9"/>
      <c r="Q394" s="9"/>
    </row>
    <row r="395">
      <c r="D395" s="9"/>
      <c r="E395" s="9"/>
      <c r="F395" s="13"/>
      <c r="G395" s="9"/>
      <c r="J395" s="121"/>
      <c r="K395" s="9"/>
      <c r="L395" s="9"/>
      <c r="M395" s="9"/>
      <c r="N395" s="9"/>
      <c r="O395" s="9"/>
      <c r="Q395" s="9"/>
    </row>
    <row r="396">
      <c r="D396" s="9"/>
      <c r="E396" s="9"/>
      <c r="F396" s="13"/>
      <c r="G396" s="9"/>
      <c r="J396" s="121"/>
      <c r="K396" s="9"/>
      <c r="L396" s="9"/>
      <c r="M396" s="9"/>
      <c r="N396" s="9"/>
      <c r="O396" s="9"/>
      <c r="Q396" s="9"/>
    </row>
    <row r="397">
      <c r="D397" s="9"/>
      <c r="E397" s="9"/>
      <c r="F397" s="13"/>
      <c r="G397" s="9"/>
      <c r="J397" s="121"/>
      <c r="K397" s="9"/>
      <c r="L397" s="9"/>
      <c r="M397" s="9"/>
      <c r="N397" s="9"/>
      <c r="O397" s="9"/>
      <c r="Q397" s="9"/>
    </row>
    <row r="398">
      <c r="D398" s="9"/>
      <c r="E398" s="9"/>
      <c r="F398" s="13"/>
      <c r="G398" s="9"/>
      <c r="J398" s="121"/>
      <c r="K398" s="9"/>
      <c r="L398" s="9"/>
      <c r="M398" s="9"/>
      <c r="N398" s="9"/>
      <c r="O398" s="9"/>
      <c r="Q398" s="9"/>
    </row>
    <row r="399">
      <c r="D399" s="9"/>
      <c r="E399" s="9"/>
      <c r="F399" s="13"/>
      <c r="G399" s="9"/>
      <c r="J399" s="121"/>
      <c r="K399" s="9"/>
      <c r="L399" s="9"/>
      <c r="M399" s="9"/>
      <c r="N399" s="9"/>
      <c r="O399" s="9"/>
      <c r="Q399" s="9"/>
    </row>
    <row r="400">
      <c r="D400" s="9"/>
      <c r="E400" s="9"/>
      <c r="F400" s="13"/>
      <c r="G400" s="9"/>
      <c r="J400" s="121"/>
      <c r="K400" s="9"/>
      <c r="L400" s="9"/>
      <c r="M400" s="9"/>
      <c r="N400" s="9"/>
      <c r="O400" s="9"/>
      <c r="Q400" s="9"/>
    </row>
    <row r="401">
      <c r="D401" s="9"/>
      <c r="E401" s="9"/>
      <c r="F401" s="13"/>
      <c r="G401" s="9"/>
      <c r="J401" s="121"/>
      <c r="K401" s="9"/>
      <c r="L401" s="9"/>
      <c r="M401" s="9"/>
      <c r="N401" s="9"/>
      <c r="O401" s="9"/>
      <c r="Q401" s="9"/>
    </row>
    <row r="402">
      <c r="D402" s="9"/>
      <c r="E402" s="9"/>
      <c r="F402" s="13"/>
      <c r="G402" s="9"/>
      <c r="J402" s="121"/>
      <c r="K402" s="9"/>
      <c r="L402" s="9"/>
      <c r="M402" s="9"/>
      <c r="N402" s="9"/>
      <c r="O402" s="9"/>
      <c r="Q402" s="9"/>
    </row>
    <row r="403">
      <c r="D403" s="9"/>
      <c r="E403" s="9"/>
      <c r="F403" s="13"/>
      <c r="G403" s="9"/>
      <c r="J403" s="121"/>
      <c r="K403" s="9"/>
      <c r="L403" s="9"/>
      <c r="M403" s="9"/>
      <c r="N403" s="9"/>
      <c r="O403" s="9"/>
      <c r="Q403" s="9"/>
    </row>
    <row r="404">
      <c r="D404" s="9"/>
      <c r="E404" s="9"/>
      <c r="F404" s="13"/>
      <c r="G404" s="9"/>
      <c r="J404" s="121"/>
      <c r="K404" s="9"/>
      <c r="L404" s="9"/>
      <c r="M404" s="9"/>
      <c r="N404" s="9"/>
      <c r="O404" s="9"/>
      <c r="Q404" s="9"/>
    </row>
    <row r="405">
      <c r="D405" s="9"/>
      <c r="E405" s="9"/>
      <c r="F405" s="13"/>
      <c r="G405" s="9"/>
      <c r="J405" s="121"/>
      <c r="K405" s="9"/>
      <c r="L405" s="9"/>
      <c r="M405" s="9"/>
      <c r="N405" s="9"/>
      <c r="O405" s="9"/>
      <c r="Q405" s="9"/>
    </row>
    <row r="406">
      <c r="D406" s="9"/>
      <c r="E406" s="9"/>
      <c r="F406" s="13"/>
      <c r="G406" s="9"/>
      <c r="J406" s="121"/>
      <c r="K406" s="9"/>
      <c r="L406" s="9"/>
      <c r="M406" s="9"/>
      <c r="N406" s="9"/>
      <c r="O406" s="9"/>
      <c r="Q406" s="9"/>
    </row>
    <row r="407">
      <c r="D407" s="9"/>
      <c r="E407" s="9"/>
      <c r="F407" s="13"/>
      <c r="G407" s="9"/>
      <c r="J407" s="121"/>
      <c r="K407" s="9"/>
      <c r="L407" s="9"/>
      <c r="M407" s="9"/>
      <c r="N407" s="9"/>
      <c r="O407" s="9"/>
      <c r="Q407" s="9"/>
    </row>
    <row r="408">
      <c r="D408" s="9"/>
      <c r="E408" s="9"/>
      <c r="F408" s="13"/>
      <c r="G408" s="9"/>
      <c r="J408" s="121"/>
      <c r="K408" s="9"/>
      <c r="L408" s="9"/>
      <c r="M408" s="9"/>
      <c r="N408" s="9"/>
      <c r="O408" s="9"/>
      <c r="Q408" s="9"/>
    </row>
    <row r="409">
      <c r="D409" s="9"/>
      <c r="E409" s="9"/>
      <c r="F409" s="13"/>
      <c r="G409" s="9"/>
      <c r="J409" s="121"/>
      <c r="K409" s="9"/>
      <c r="L409" s="9"/>
      <c r="M409" s="9"/>
      <c r="N409" s="9"/>
      <c r="O409" s="9"/>
      <c r="Q409" s="9"/>
    </row>
    <row r="410">
      <c r="D410" s="9"/>
      <c r="E410" s="9"/>
      <c r="F410" s="13"/>
      <c r="G410" s="9"/>
      <c r="J410" s="121"/>
      <c r="K410" s="9"/>
      <c r="L410" s="9"/>
      <c r="M410" s="9"/>
      <c r="N410" s="9"/>
      <c r="O410" s="9"/>
      <c r="Q410" s="9"/>
    </row>
    <row r="411">
      <c r="D411" s="9"/>
      <c r="E411" s="9"/>
      <c r="F411" s="13"/>
      <c r="G411" s="9"/>
      <c r="J411" s="121"/>
      <c r="K411" s="9"/>
      <c r="L411" s="9"/>
      <c r="M411" s="9"/>
      <c r="N411" s="9"/>
      <c r="O411" s="9"/>
      <c r="Q411" s="9"/>
    </row>
    <row r="412">
      <c r="D412" s="9"/>
      <c r="E412" s="9"/>
      <c r="F412" s="13"/>
      <c r="G412" s="9"/>
      <c r="J412" s="121"/>
      <c r="K412" s="9"/>
      <c r="L412" s="9"/>
      <c r="M412" s="9"/>
      <c r="N412" s="9"/>
      <c r="O412" s="9"/>
      <c r="Q412" s="9"/>
    </row>
    <row r="413">
      <c r="D413" s="9"/>
      <c r="E413" s="9"/>
      <c r="F413" s="13"/>
      <c r="G413" s="9"/>
      <c r="J413" s="121"/>
      <c r="K413" s="9"/>
      <c r="L413" s="9"/>
      <c r="M413" s="9"/>
      <c r="N413" s="9"/>
      <c r="O413" s="9"/>
      <c r="Q413" s="9"/>
    </row>
    <row r="414">
      <c r="D414" s="9"/>
      <c r="E414" s="9"/>
      <c r="F414" s="13"/>
      <c r="G414" s="9"/>
      <c r="J414" s="121"/>
      <c r="K414" s="9"/>
      <c r="L414" s="9"/>
      <c r="M414" s="9"/>
      <c r="N414" s="9"/>
      <c r="O414" s="9"/>
      <c r="Q414" s="9"/>
    </row>
    <row r="415">
      <c r="D415" s="9"/>
      <c r="E415" s="9"/>
      <c r="F415" s="13"/>
      <c r="G415" s="9"/>
      <c r="J415" s="121"/>
      <c r="K415" s="9"/>
      <c r="L415" s="9"/>
      <c r="M415" s="9"/>
      <c r="N415" s="9"/>
      <c r="O415" s="9"/>
      <c r="Q415" s="9"/>
    </row>
    <row r="416">
      <c r="D416" s="9"/>
      <c r="E416" s="9"/>
      <c r="F416" s="13"/>
      <c r="G416" s="9"/>
      <c r="J416" s="121"/>
      <c r="K416" s="9"/>
      <c r="L416" s="9"/>
      <c r="M416" s="9"/>
      <c r="N416" s="9"/>
      <c r="O416" s="9"/>
      <c r="Q416" s="9"/>
    </row>
    <row r="417">
      <c r="D417" s="9"/>
      <c r="E417" s="9"/>
      <c r="F417" s="13"/>
      <c r="G417" s="9"/>
      <c r="J417" s="121"/>
      <c r="K417" s="9"/>
      <c r="L417" s="9"/>
      <c r="M417" s="9"/>
      <c r="N417" s="9"/>
      <c r="O417" s="9"/>
      <c r="Q417" s="9"/>
    </row>
    <row r="418">
      <c r="D418" s="9"/>
      <c r="E418" s="9"/>
      <c r="F418" s="13"/>
      <c r="G418" s="9"/>
      <c r="J418" s="121"/>
      <c r="K418" s="9"/>
      <c r="L418" s="9"/>
      <c r="M418" s="9"/>
      <c r="N418" s="9"/>
      <c r="O418" s="9"/>
      <c r="Q418" s="9"/>
    </row>
    <row r="419">
      <c r="D419" s="9"/>
      <c r="E419" s="9"/>
      <c r="F419" s="13"/>
      <c r="G419" s="9"/>
      <c r="J419" s="121"/>
      <c r="K419" s="9"/>
      <c r="L419" s="9"/>
      <c r="M419" s="9"/>
      <c r="N419" s="9"/>
      <c r="O419" s="9"/>
      <c r="Q419" s="9"/>
    </row>
    <row r="420">
      <c r="D420" s="9"/>
      <c r="E420" s="9"/>
      <c r="F420" s="13"/>
      <c r="G420" s="9"/>
      <c r="J420" s="121"/>
      <c r="K420" s="9"/>
      <c r="L420" s="9"/>
      <c r="M420" s="9"/>
      <c r="N420" s="9"/>
      <c r="O420" s="9"/>
      <c r="Q420" s="9"/>
    </row>
    <row r="421">
      <c r="D421" s="9"/>
      <c r="E421" s="9"/>
      <c r="F421" s="13"/>
      <c r="G421" s="9"/>
      <c r="J421" s="121"/>
      <c r="K421" s="9"/>
      <c r="L421" s="9"/>
      <c r="M421" s="9"/>
      <c r="N421" s="9"/>
      <c r="O421" s="9"/>
      <c r="Q421" s="9"/>
    </row>
    <row r="422">
      <c r="D422" s="9"/>
      <c r="E422" s="9"/>
      <c r="F422" s="13"/>
      <c r="G422" s="9"/>
      <c r="J422" s="121"/>
      <c r="K422" s="9"/>
      <c r="L422" s="9"/>
      <c r="M422" s="9"/>
      <c r="N422" s="9"/>
      <c r="O422" s="9"/>
      <c r="Q422" s="9"/>
    </row>
    <row r="423">
      <c r="D423" s="9"/>
      <c r="E423" s="9"/>
      <c r="F423" s="13"/>
      <c r="G423" s="9"/>
      <c r="J423" s="121"/>
      <c r="K423" s="9"/>
      <c r="L423" s="9"/>
      <c r="M423" s="9"/>
      <c r="N423" s="9"/>
      <c r="O423" s="9"/>
      <c r="Q423" s="9"/>
    </row>
    <row r="424">
      <c r="D424" s="9"/>
      <c r="E424" s="9"/>
      <c r="F424" s="13"/>
      <c r="G424" s="9"/>
      <c r="J424" s="121"/>
      <c r="K424" s="9"/>
      <c r="L424" s="9"/>
      <c r="M424" s="9"/>
      <c r="N424" s="9"/>
      <c r="O424" s="9"/>
      <c r="Q424" s="9"/>
    </row>
    <row r="425">
      <c r="D425" s="9"/>
      <c r="E425" s="9"/>
      <c r="F425" s="13"/>
      <c r="G425" s="9"/>
      <c r="J425" s="121"/>
      <c r="K425" s="9"/>
      <c r="L425" s="9"/>
      <c r="M425" s="9"/>
      <c r="N425" s="9"/>
      <c r="O425" s="9"/>
      <c r="Q425" s="9"/>
    </row>
    <row r="426">
      <c r="D426" s="9"/>
      <c r="E426" s="9"/>
      <c r="F426" s="13"/>
      <c r="G426" s="9"/>
      <c r="J426" s="121"/>
      <c r="K426" s="9"/>
      <c r="L426" s="9"/>
      <c r="M426" s="9"/>
      <c r="N426" s="9"/>
      <c r="O426" s="9"/>
      <c r="Q426" s="9"/>
    </row>
    <row r="427">
      <c r="D427" s="9"/>
      <c r="E427" s="9"/>
      <c r="F427" s="13"/>
      <c r="G427" s="9"/>
      <c r="J427" s="121"/>
      <c r="K427" s="9"/>
      <c r="L427" s="9"/>
      <c r="M427" s="9"/>
      <c r="N427" s="9"/>
      <c r="O427" s="9"/>
      <c r="Q427" s="9"/>
    </row>
    <row r="428">
      <c r="D428" s="9"/>
      <c r="E428" s="9"/>
      <c r="F428" s="13"/>
      <c r="G428" s="9"/>
      <c r="J428" s="121"/>
      <c r="K428" s="9"/>
      <c r="L428" s="9"/>
      <c r="M428" s="9"/>
      <c r="N428" s="9"/>
      <c r="O428" s="9"/>
      <c r="Q428" s="9"/>
    </row>
    <row r="429">
      <c r="D429" s="9"/>
      <c r="E429" s="9"/>
      <c r="F429" s="13"/>
      <c r="G429" s="9"/>
      <c r="J429" s="121"/>
      <c r="K429" s="9"/>
      <c r="L429" s="9"/>
      <c r="M429" s="9"/>
      <c r="N429" s="9"/>
      <c r="O429" s="9"/>
      <c r="Q429" s="9"/>
    </row>
    <row r="430">
      <c r="D430" s="9"/>
      <c r="E430" s="9"/>
      <c r="F430" s="13"/>
      <c r="G430" s="9"/>
      <c r="J430" s="121"/>
      <c r="K430" s="9"/>
      <c r="L430" s="9"/>
      <c r="M430" s="9"/>
      <c r="N430" s="9"/>
      <c r="O430" s="9"/>
      <c r="Q430" s="9"/>
    </row>
    <row r="431">
      <c r="D431" s="9"/>
      <c r="E431" s="9"/>
      <c r="F431" s="13"/>
      <c r="G431" s="9"/>
      <c r="J431" s="121"/>
      <c r="K431" s="9"/>
      <c r="L431" s="9"/>
      <c r="M431" s="9"/>
      <c r="N431" s="9"/>
      <c r="O431" s="9"/>
      <c r="Q431" s="9"/>
    </row>
    <row r="432">
      <c r="D432" s="9"/>
      <c r="E432" s="9"/>
      <c r="F432" s="13"/>
      <c r="G432" s="9"/>
      <c r="J432" s="121"/>
      <c r="K432" s="9"/>
      <c r="L432" s="9"/>
      <c r="M432" s="9"/>
      <c r="N432" s="9"/>
      <c r="O432" s="9"/>
      <c r="Q432" s="9"/>
    </row>
    <row r="433">
      <c r="D433" s="9"/>
      <c r="E433" s="9"/>
      <c r="F433" s="13"/>
      <c r="G433" s="9"/>
      <c r="J433" s="121"/>
      <c r="K433" s="9"/>
      <c r="L433" s="9"/>
      <c r="M433" s="9"/>
      <c r="N433" s="9"/>
      <c r="O433" s="9"/>
      <c r="Q433" s="9"/>
    </row>
    <row r="434">
      <c r="D434" s="9"/>
      <c r="E434" s="9"/>
      <c r="F434" s="13"/>
      <c r="G434" s="9"/>
      <c r="J434" s="121"/>
      <c r="K434" s="9"/>
      <c r="L434" s="9"/>
      <c r="M434" s="9"/>
      <c r="N434" s="9"/>
      <c r="O434" s="9"/>
      <c r="Q434" s="9"/>
    </row>
    <row r="435">
      <c r="D435" s="9"/>
      <c r="E435" s="9"/>
      <c r="F435" s="13"/>
      <c r="G435" s="9"/>
      <c r="J435" s="121"/>
      <c r="K435" s="9"/>
      <c r="L435" s="9"/>
      <c r="M435" s="9"/>
      <c r="N435" s="9"/>
      <c r="O435" s="9"/>
      <c r="Q435" s="9"/>
    </row>
    <row r="436">
      <c r="D436" s="9"/>
      <c r="E436" s="9"/>
      <c r="F436" s="13"/>
      <c r="G436" s="9"/>
      <c r="J436" s="121"/>
      <c r="K436" s="9"/>
      <c r="L436" s="9"/>
      <c r="M436" s="9"/>
      <c r="N436" s="9"/>
      <c r="O436" s="9"/>
      <c r="Q436" s="9"/>
    </row>
    <row r="437">
      <c r="D437" s="9"/>
      <c r="E437" s="9"/>
      <c r="F437" s="13"/>
      <c r="G437" s="9"/>
      <c r="J437" s="121"/>
      <c r="K437" s="9"/>
      <c r="L437" s="9"/>
      <c r="M437" s="9"/>
      <c r="N437" s="9"/>
      <c r="O437" s="9"/>
      <c r="Q437" s="9"/>
    </row>
    <row r="438">
      <c r="D438" s="9"/>
      <c r="E438" s="9"/>
      <c r="F438" s="13"/>
      <c r="G438" s="9"/>
      <c r="J438" s="121"/>
      <c r="K438" s="9"/>
      <c r="L438" s="9"/>
      <c r="M438" s="9"/>
      <c r="N438" s="9"/>
      <c r="O438" s="9"/>
      <c r="Q438" s="9"/>
    </row>
    <row r="439">
      <c r="D439" s="9"/>
      <c r="E439" s="9"/>
      <c r="F439" s="13"/>
      <c r="G439" s="9"/>
      <c r="J439" s="121"/>
      <c r="K439" s="9"/>
      <c r="L439" s="9"/>
      <c r="M439" s="9"/>
      <c r="N439" s="9"/>
      <c r="O439" s="9"/>
      <c r="Q439" s="9"/>
    </row>
    <row r="440">
      <c r="D440" s="9"/>
      <c r="E440" s="9"/>
      <c r="F440" s="13"/>
      <c r="G440" s="9"/>
      <c r="J440" s="121"/>
      <c r="K440" s="9"/>
      <c r="L440" s="9"/>
      <c r="M440" s="9"/>
      <c r="N440" s="9"/>
      <c r="O440" s="9"/>
      <c r="Q440" s="9"/>
    </row>
    <row r="441">
      <c r="D441" s="9"/>
      <c r="E441" s="9"/>
      <c r="F441" s="13"/>
      <c r="G441" s="9"/>
      <c r="J441" s="121"/>
      <c r="K441" s="9"/>
      <c r="L441" s="9"/>
      <c r="M441" s="9"/>
      <c r="N441" s="9"/>
      <c r="O441" s="9"/>
      <c r="Q441" s="9"/>
    </row>
    <row r="442">
      <c r="D442" s="9"/>
      <c r="E442" s="9"/>
      <c r="F442" s="13"/>
      <c r="G442" s="9"/>
      <c r="J442" s="121"/>
      <c r="K442" s="9"/>
      <c r="L442" s="9"/>
      <c r="M442" s="9"/>
      <c r="N442" s="9"/>
      <c r="O442" s="9"/>
      <c r="Q442" s="9"/>
    </row>
    <row r="443">
      <c r="D443" s="9"/>
      <c r="E443" s="9"/>
      <c r="F443" s="13"/>
      <c r="G443" s="9"/>
      <c r="J443" s="121"/>
      <c r="K443" s="9"/>
      <c r="L443" s="9"/>
      <c r="M443" s="9"/>
      <c r="N443" s="9"/>
      <c r="O443" s="9"/>
      <c r="Q443" s="9"/>
    </row>
    <row r="444">
      <c r="D444" s="9"/>
      <c r="E444" s="9"/>
      <c r="F444" s="13"/>
      <c r="G444" s="9"/>
      <c r="J444" s="121"/>
      <c r="K444" s="9"/>
      <c r="L444" s="9"/>
      <c r="M444" s="9"/>
      <c r="N444" s="9"/>
      <c r="O444" s="9"/>
      <c r="Q444" s="9"/>
    </row>
    <row r="445">
      <c r="D445" s="9"/>
      <c r="E445" s="9"/>
      <c r="F445" s="13"/>
      <c r="G445" s="9"/>
      <c r="J445" s="121"/>
      <c r="K445" s="9"/>
      <c r="L445" s="9"/>
      <c r="M445" s="9"/>
      <c r="N445" s="9"/>
      <c r="O445" s="9"/>
      <c r="Q445" s="9"/>
    </row>
    <row r="446">
      <c r="D446" s="9"/>
      <c r="E446" s="9"/>
      <c r="F446" s="13"/>
      <c r="G446" s="9"/>
      <c r="J446" s="121"/>
      <c r="K446" s="9"/>
      <c r="L446" s="9"/>
      <c r="M446" s="9"/>
      <c r="N446" s="9"/>
      <c r="O446" s="9"/>
      <c r="Q446" s="9"/>
    </row>
    <row r="447">
      <c r="D447" s="9"/>
      <c r="E447" s="9"/>
      <c r="F447" s="13"/>
      <c r="G447" s="9"/>
      <c r="J447" s="121"/>
      <c r="K447" s="9"/>
      <c r="L447" s="9"/>
      <c r="M447" s="9"/>
      <c r="N447" s="9"/>
      <c r="O447" s="9"/>
      <c r="Q447" s="9"/>
    </row>
    <row r="448">
      <c r="D448" s="9"/>
      <c r="E448" s="9"/>
      <c r="F448" s="13"/>
      <c r="G448" s="9"/>
      <c r="J448" s="121"/>
      <c r="K448" s="9"/>
      <c r="L448" s="9"/>
      <c r="M448" s="9"/>
      <c r="N448" s="9"/>
      <c r="O448" s="9"/>
      <c r="Q448" s="9"/>
    </row>
    <row r="449">
      <c r="D449" s="9"/>
      <c r="E449" s="9"/>
      <c r="F449" s="13"/>
      <c r="G449" s="9"/>
      <c r="J449" s="121"/>
      <c r="K449" s="9"/>
      <c r="L449" s="9"/>
      <c r="M449" s="9"/>
      <c r="N449" s="9"/>
      <c r="O449" s="9"/>
      <c r="Q449" s="9"/>
    </row>
    <row r="450">
      <c r="D450" s="9"/>
      <c r="E450" s="9"/>
      <c r="F450" s="13"/>
      <c r="G450" s="9"/>
      <c r="J450" s="121"/>
      <c r="K450" s="9"/>
      <c r="L450" s="9"/>
      <c r="M450" s="9"/>
      <c r="N450" s="9"/>
      <c r="O450" s="9"/>
      <c r="Q450" s="9"/>
    </row>
    <row r="451">
      <c r="D451" s="9"/>
      <c r="E451" s="9"/>
      <c r="F451" s="13"/>
      <c r="G451" s="9"/>
      <c r="J451" s="121"/>
      <c r="K451" s="9"/>
      <c r="L451" s="9"/>
      <c r="M451" s="9"/>
      <c r="N451" s="9"/>
      <c r="O451" s="9"/>
      <c r="Q451" s="9"/>
    </row>
    <row r="452">
      <c r="D452" s="9"/>
      <c r="E452" s="9"/>
      <c r="F452" s="13"/>
      <c r="G452" s="9"/>
      <c r="J452" s="121"/>
      <c r="K452" s="9"/>
      <c r="L452" s="9"/>
      <c r="M452" s="9"/>
      <c r="N452" s="9"/>
      <c r="O452" s="9"/>
      <c r="Q452" s="9"/>
    </row>
    <row r="453">
      <c r="D453" s="9"/>
      <c r="E453" s="9"/>
      <c r="F453" s="13"/>
      <c r="G453" s="9"/>
      <c r="J453" s="121"/>
      <c r="K453" s="9"/>
      <c r="L453" s="9"/>
      <c r="M453" s="9"/>
      <c r="N453" s="9"/>
      <c r="O453" s="9"/>
      <c r="Q453" s="9"/>
    </row>
    <row r="454">
      <c r="D454" s="9"/>
      <c r="E454" s="9"/>
      <c r="F454" s="13"/>
      <c r="G454" s="9"/>
      <c r="J454" s="121"/>
      <c r="K454" s="9"/>
      <c r="L454" s="9"/>
      <c r="M454" s="9"/>
      <c r="N454" s="9"/>
      <c r="O454" s="9"/>
      <c r="Q454" s="9"/>
    </row>
    <row r="455">
      <c r="D455" s="9"/>
      <c r="E455" s="9"/>
      <c r="F455" s="13"/>
      <c r="G455" s="9"/>
      <c r="J455" s="121"/>
      <c r="K455" s="9"/>
      <c r="L455" s="9"/>
      <c r="M455" s="9"/>
      <c r="N455" s="9"/>
      <c r="O455" s="9"/>
      <c r="Q455" s="9"/>
    </row>
    <row r="456">
      <c r="D456" s="9"/>
      <c r="E456" s="9"/>
      <c r="F456" s="13"/>
      <c r="G456" s="9"/>
      <c r="J456" s="121"/>
      <c r="K456" s="9"/>
      <c r="L456" s="9"/>
      <c r="M456" s="9"/>
      <c r="N456" s="9"/>
      <c r="O456" s="9"/>
      <c r="Q456" s="9"/>
    </row>
    <row r="457">
      <c r="D457" s="9"/>
      <c r="E457" s="9"/>
      <c r="F457" s="13"/>
      <c r="G457" s="9"/>
      <c r="J457" s="121"/>
      <c r="K457" s="9"/>
      <c r="L457" s="9"/>
      <c r="M457" s="9"/>
      <c r="N457" s="9"/>
      <c r="O457" s="9"/>
      <c r="Q457" s="9"/>
    </row>
    <row r="458">
      <c r="D458" s="9"/>
      <c r="E458" s="9"/>
      <c r="F458" s="13"/>
      <c r="G458" s="9"/>
      <c r="J458" s="121"/>
      <c r="K458" s="9"/>
      <c r="L458" s="9"/>
      <c r="M458" s="9"/>
      <c r="N458" s="9"/>
      <c r="O458" s="9"/>
      <c r="Q458" s="9"/>
    </row>
    <row r="459">
      <c r="D459" s="9"/>
      <c r="E459" s="9"/>
      <c r="F459" s="13"/>
      <c r="G459" s="9"/>
      <c r="J459" s="121"/>
      <c r="K459" s="9"/>
      <c r="L459" s="9"/>
      <c r="M459" s="9"/>
      <c r="N459" s="9"/>
      <c r="O459" s="9"/>
      <c r="Q459" s="9"/>
    </row>
    <row r="460">
      <c r="D460" s="9"/>
      <c r="E460" s="9"/>
      <c r="F460" s="13"/>
      <c r="G460" s="9"/>
      <c r="J460" s="121"/>
      <c r="K460" s="9"/>
      <c r="L460" s="9"/>
      <c r="M460" s="9"/>
      <c r="N460" s="9"/>
      <c r="O460" s="9"/>
      <c r="Q460" s="9"/>
    </row>
    <row r="461">
      <c r="D461" s="9"/>
      <c r="E461" s="9"/>
      <c r="F461" s="13"/>
      <c r="G461" s="9"/>
      <c r="J461" s="121"/>
      <c r="K461" s="9"/>
      <c r="L461" s="9"/>
      <c r="M461" s="9"/>
      <c r="N461" s="9"/>
      <c r="O461" s="9"/>
      <c r="Q461" s="9"/>
    </row>
    <row r="462">
      <c r="D462" s="9"/>
      <c r="E462" s="9"/>
      <c r="F462" s="13"/>
      <c r="G462" s="9"/>
      <c r="J462" s="121"/>
      <c r="K462" s="9"/>
      <c r="L462" s="9"/>
      <c r="M462" s="9"/>
      <c r="N462" s="9"/>
      <c r="O462" s="9"/>
      <c r="Q462" s="9"/>
    </row>
    <row r="463">
      <c r="D463" s="9"/>
      <c r="E463" s="9"/>
      <c r="F463" s="13"/>
      <c r="G463" s="9"/>
      <c r="J463" s="121"/>
      <c r="K463" s="9"/>
      <c r="L463" s="9"/>
      <c r="M463" s="9"/>
      <c r="N463" s="9"/>
      <c r="O463" s="9"/>
      <c r="Q463" s="9"/>
    </row>
    <row r="464">
      <c r="D464" s="9"/>
      <c r="E464" s="9"/>
      <c r="F464" s="13"/>
      <c r="G464" s="9"/>
      <c r="J464" s="121"/>
      <c r="K464" s="9"/>
      <c r="L464" s="9"/>
      <c r="M464" s="9"/>
      <c r="N464" s="9"/>
      <c r="O464" s="9"/>
      <c r="Q464" s="9"/>
    </row>
    <row r="465">
      <c r="D465" s="9"/>
      <c r="E465" s="9"/>
      <c r="F465" s="13"/>
      <c r="G465" s="9"/>
      <c r="J465" s="121"/>
      <c r="K465" s="9"/>
      <c r="L465" s="9"/>
      <c r="M465" s="9"/>
      <c r="N465" s="9"/>
      <c r="O465" s="9"/>
      <c r="Q465" s="9"/>
    </row>
    <row r="466">
      <c r="D466" s="9"/>
      <c r="E466" s="9"/>
      <c r="F466" s="13"/>
      <c r="G466" s="9"/>
      <c r="J466" s="121"/>
      <c r="K466" s="9"/>
      <c r="L466" s="9"/>
      <c r="M466" s="9"/>
      <c r="N466" s="9"/>
      <c r="O466" s="9"/>
      <c r="Q466" s="9"/>
    </row>
    <row r="467">
      <c r="D467" s="9"/>
      <c r="E467" s="9"/>
      <c r="F467" s="13"/>
      <c r="G467" s="9"/>
      <c r="J467" s="121"/>
      <c r="K467" s="9"/>
      <c r="L467" s="9"/>
      <c r="M467" s="9"/>
      <c r="N467" s="9"/>
      <c r="O467" s="9"/>
      <c r="Q467" s="9"/>
    </row>
    <row r="468">
      <c r="D468" s="9"/>
      <c r="E468" s="9"/>
      <c r="F468" s="13"/>
      <c r="G468" s="9"/>
      <c r="J468" s="121"/>
      <c r="K468" s="9"/>
      <c r="L468" s="9"/>
      <c r="M468" s="9"/>
      <c r="N468" s="9"/>
      <c r="O468" s="9"/>
      <c r="Q468" s="9"/>
    </row>
    <row r="469">
      <c r="D469" s="9"/>
      <c r="E469" s="9"/>
      <c r="F469" s="13"/>
      <c r="G469" s="9"/>
      <c r="J469" s="121"/>
      <c r="K469" s="9"/>
      <c r="L469" s="9"/>
      <c r="M469" s="9"/>
      <c r="N469" s="9"/>
      <c r="O469" s="9"/>
      <c r="Q469" s="9"/>
    </row>
    <row r="470">
      <c r="D470" s="9"/>
      <c r="E470" s="9"/>
      <c r="F470" s="13"/>
      <c r="G470" s="9"/>
      <c r="J470" s="121"/>
      <c r="K470" s="9"/>
      <c r="L470" s="9"/>
      <c r="M470" s="9"/>
      <c r="N470" s="9"/>
      <c r="O470" s="9"/>
      <c r="Q470" s="9"/>
    </row>
    <row r="471">
      <c r="D471" s="9"/>
      <c r="E471" s="9"/>
      <c r="F471" s="13"/>
      <c r="G471" s="9"/>
      <c r="J471" s="121"/>
      <c r="K471" s="9"/>
      <c r="L471" s="9"/>
      <c r="M471" s="9"/>
      <c r="N471" s="9"/>
      <c r="O471" s="9"/>
      <c r="Q471" s="9"/>
    </row>
    <row r="472">
      <c r="D472" s="9"/>
      <c r="E472" s="9"/>
      <c r="F472" s="13"/>
      <c r="G472" s="9"/>
      <c r="J472" s="121"/>
      <c r="K472" s="9"/>
      <c r="L472" s="9"/>
      <c r="M472" s="9"/>
      <c r="N472" s="9"/>
      <c r="O472" s="9"/>
      <c r="Q472" s="9"/>
    </row>
    <row r="473">
      <c r="D473" s="9"/>
      <c r="E473" s="9"/>
      <c r="F473" s="13"/>
      <c r="G473" s="9"/>
      <c r="J473" s="121"/>
      <c r="K473" s="9"/>
      <c r="L473" s="9"/>
      <c r="M473" s="9"/>
      <c r="N473" s="9"/>
      <c r="O473" s="9"/>
      <c r="Q473" s="9"/>
    </row>
    <row r="474">
      <c r="D474" s="9"/>
      <c r="E474" s="9"/>
      <c r="F474" s="13"/>
      <c r="G474" s="9"/>
      <c r="J474" s="121"/>
      <c r="K474" s="9"/>
      <c r="L474" s="9"/>
      <c r="M474" s="9"/>
      <c r="N474" s="9"/>
      <c r="O474" s="9"/>
      <c r="Q474" s="9"/>
    </row>
    <row r="475">
      <c r="D475" s="9"/>
      <c r="E475" s="9"/>
      <c r="F475" s="13"/>
      <c r="G475" s="9"/>
      <c r="J475" s="121"/>
      <c r="K475" s="9"/>
      <c r="L475" s="9"/>
      <c r="M475" s="9"/>
      <c r="N475" s="9"/>
      <c r="O475" s="9"/>
      <c r="Q475" s="9"/>
    </row>
    <row r="476">
      <c r="D476" s="9"/>
      <c r="E476" s="9"/>
      <c r="F476" s="13"/>
      <c r="G476" s="9"/>
      <c r="J476" s="121"/>
      <c r="K476" s="9"/>
      <c r="L476" s="9"/>
      <c r="M476" s="9"/>
      <c r="N476" s="9"/>
      <c r="O476" s="9"/>
      <c r="Q476" s="9"/>
    </row>
    <row r="477">
      <c r="D477" s="9"/>
      <c r="E477" s="9"/>
      <c r="F477" s="13"/>
      <c r="G477" s="9"/>
      <c r="J477" s="121"/>
      <c r="K477" s="9"/>
      <c r="L477" s="9"/>
      <c r="M477" s="9"/>
      <c r="N477" s="9"/>
      <c r="O477" s="9"/>
      <c r="Q477" s="9"/>
    </row>
    <row r="478">
      <c r="D478" s="9"/>
      <c r="E478" s="9"/>
      <c r="F478" s="13"/>
      <c r="G478" s="9"/>
      <c r="J478" s="121"/>
      <c r="K478" s="9"/>
      <c r="L478" s="9"/>
      <c r="M478" s="9"/>
      <c r="N478" s="9"/>
      <c r="O478" s="9"/>
      <c r="Q478" s="9"/>
    </row>
    <row r="479">
      <c r="D479" s="9"/>
      <c r="E479" s="9"/>
      <c r="F479" s="13"/>
      <c r="G479" s="9"/>
      <c r="J479" s="121"/>
      <c r="K479" s="9"/>
      <c r="L479" s="9"/>
      <c r="M479" s="9"/>
      <c r="N479" s="9"/>
      <c r="O479" s="9"/>
      <c r="Q479" s="9"/>
    </row>
    <row r="480">
      <c r="D480" s="9"/>
      <c r="E480" s="9"/>
      <c r="F480" s="13"/>
      <c r="G480" s="9"/>
      <c r="J480" s="121"/>
      <c r="K480" s="9"/>
      <c r="L480" s="9"/>
      <c r="M480" s="9"/>
      <c r="N480" s="9"/>
      <c r="O480" s="9"/>
      <c r="Q480" s="9"/>
    </row>
    <row r="481">
      <c r="D481" s="9"/>
      <c r="E481" s="9"/>
      <c r="F481" s="13"/>
      <c r="G481" s="9"/>
      <c r="J481" s="121"/>
      <c r="K481" s="9"/>
      <c r="L481" s="9"/>
      <c r="M481" s="9"/>
      <c r="N481" s="9"/>
      <c r="O481" s="9"/>
      <c r="Q481" s="9"/>
    </row>
    <row r="482">
      <c r="D482" s="9"/>
      <c r="E482" s="9"/>
      <c r="F482" s="13"/>
      <c r="G482" s="9"/>
      <c r="J482" s="121"/>
      <c r="K482" s="9"/>
      <c r="L482" s="9"/>
      <c r="M482" s="9"/>
      <c r="N482" s="9"/>
      <c r="O482" s="9"/>
      <c r="Q482" s="9"/>
    </row>
    <row r="483">
      <c r="D483" s="9"/>
      <c r="E483" s="9"/>
      <c r="F483" s="13"/>
      <c r="G483" s="9"/>
      <c r="J483" s="121"/>
      <c r="K483" s="9"/>
      <c r="L483" s="9"/>
      <c r="M483" s="9"/>
      <c r="N483" s="9"/>
      <c r="O483" s="9"/>
      <c r="Q483" s="9"/>
    </row>
    <row r="484">
      <c r="D484" s="9"/>
      <c r="E484" s="9"/>
      <c r="F484" s="13"/>
      <c r="G484" s="9"/>
      <c r="J484" s="121"/>
      <c r="K484" s="9"/>
      <c r="L484" s="9"/>
      <c r="M484" s="9"/>
      <c r="N484" s="9"/>
      <c r="O484" s="9"/>
      <c r="Q484" s="9"/>
    </row>
    <row r="485">
      <c r="D485" s="9"/>
      <c r="E485" s="9"/>
      <c r="F485" s="13"/>
      <c r="G485" s="9"/>
      <c r="J485" s="121"/>
      <c r="K485" s="9"/>
      <c r="L485" s="9"/>
      <c r="M485" s="9"/>
      <c r="N485" s="9"/>
      <c r="O485" s="9"/>
      <c r="Q485" s="9"/>
    </row>
    <row r="486">
      <c r="D486" s="9"/>
      <c r="E486" s="9"/>
      <c r="F486" s="13"/>
      <c r="G486" s="9"/>
      <c r="J486" s="121"/>
      <c r="K486" s="9"/>
      <c r="L486" s="9"/>
      <c r="M486" s="9"/>
      <c r="N486" s="9"/>
      <c r="O486" s="9"/>
      <c r="Q486" s="9"/>
    </row>
    <row r="487">
      <c r="D487" s="9"/>
      <c r="E487" s="9"/>
      <c r="F487" s="13"/>
      <c r="G487" s="9"/>
      <c r="J487" s="121"/>
      <c r="K487" s="9"/>
      <c r="L487" s="9"/>
      <c r="M487" s="9"/>
      <c r="N487" s="9"/>
      <c r="O487" s="9"/>
      <c r="Q487" s="9"/>
    </row>
    <row r="488">
      <c r="D488" s="9"/>
      <c r="E488" s="9"/>
      <c r="F488" s="13"/>
      <c r="G488" s="9"/>
      <c r="J488" s="121"/>
      <c r="K488" s="9"/>
      <c r="L488" s="9"/>
      <c r="M488" s="9"/>
      <c r="N488" s="9"/>
      <c r="O488" s="9"/>
      <c r="Q488" s="9"/>
    </row>
    <row r="489">
      <c r="D489" s="9"/>
      <c r="E489" s="9"/>
      <c r="F489" s="13"/>
      <c r="G489" s="9"/>
      <c r="J489" s="121"/>
      <c r="K489" s="9"/>
      <c r="L489" s="9"/>
      <c r="M489" s="9"/>
      <c r="N489" s="9"/>
      <c r="O489" s="9"/>
      <c r="Q489" s="9"/>
    </row>
    <row r="490">
      <c r="D490" s="9"/>
      <c r="E490" s="9"/>
      <c r="F490" s="13"/>
      <c r="G490" s="9"/>
      <c r="J490" s="121"/>
      <c r="K490" s="9"/>
      <c r="L490" s="9"/>
      <c r="M490" s="9"/>
      <c r="N490" s="9"/>
      <c r="O490" s="9"/>
      <c r="Q490" s="9"/>
    </row>
    <row r="491">
      <c r="D491" s="9"/>
      <c r="E491" s="9"/>
      <c r="F491" s="13"/>
      <c r="G491" s="9"/>
      <c r="J491" s="121"/>
      <c r="K491" s="9"/>
      <c r="L491" s="9"/>
      <c r="M491" s="9"/>
      <c r="N491" s="9"/>
      <c r="O491" s="9"/>
      <c r="Q491" s="9"/>
    </row>
    <row r="492">
      <c r="D492" s="9"/>
      <c r="E492" s="9"/>
      <c r="F492" s="13"/>
      <c r="G492" s="9"/>
      <c r="J492" s="121"/>
      <c r="K492" s="9"/>
      <c r="L492" s="9"/>
      <c r="M492" s="9"/>
      <c r="N492" s="9"/>
      <c r="O492" s="9"/>
      <c r="Q492" s="9"/>
    </row>
    <row r="493">
      <c r="D493" s="9"/>
      <c r="E493" s="9"/>
      <c r="F493" s="13"/>
      <c r="G493" s="9"/>
      <c r="J493" s="121"/>
      <c r="K493" s="9"/>
      <c r="L493" s="9"/>
      <c r="M493" s="9"/>
      <c r="N493" s="9"/>
      <c r="O493" s="9"/>
      <c r="Q493" s="9"/>
    </row>
    <row r="494">
      <c r="D494" s="9"/>
      <c r="E494" s="9"/>
      <c r="F494" s="13"/>
      <c r="G494" s="9"/>
      <c r="J494" s="121"/>
      <c r="K494" s="9"/>
      <c r="L494" s="9"/>
      <c r="M494" s="9"/>
      <c r="N494" s="9"/>
      <c r="O494" s="9"/>
      <c r="Q494" s="9"/>
    </row>
    <row r="495">
      <c r="D495" s="9"/>
      <c r="E495" s="9"/>
      <c r="F495" s="13"/>
      <c r="G495" s="9"/>
      <c r="J495" s="121"/>
      <c r="K495" s="9"/>
      <c r="L495" s="9"/>
      <c r="M495" s="9"/>
      <c r="N495" s="9"/>
      <c r="O495" s="9"/>
      <c r="Q495" s="9"/>
    </row>
    <row r="496">
      <c r="D496" s="9"/>
      <c r="E496" s="9"/>
      <c r="F496" s="13"/>
      <c r="G496" s="9"/>
      <c r="J496" s="121"/>
      <c r="K496" s="9"/>
      <c r="L496" s="9"/>
      <c r="M496" s="9"/>
      <c r="N496" s="9"/>
      <c r="O496" s="9"/>
      <c r="Q496" s="9"/>
    </row>
    <row r="497">
      <c r="D497" s="9"/>
      <c r="E497" s="9"/>
      <c r="F497" s="13"/>
      <c r="G497" s="9"/>
      <c r="J497" s="121"/>
      <c r="K497" s="9"/>
      <c r="L497" s="9"/>
      <c r="M497" s="9"/>
      <c r="N497" s="9"/>
      <c r="O497" s="9"/>
      <c r="Q497" s="9"/>
    </row>
    <row r="498">
      <c r="D498" s="9"/>
      <c r="E498" s="9"/>
      <c r="F498" s="13"/>
      <c r="G498" s="9"/>
      <c r="J498" s="121"/>
      <c r="K498" s="9"/>
      <c r="L498" s="9"/>
      <c r="M498" s="9"/>
      <c r="N498" s="9"/>
      <c r="O498" s="9"/>
      <c r="Q498" s="9"/>
    </row>
    <row r="499">
      <c r="D499" s="9"/>
      <c r="E499" s="9"/>
      <c r="F499" s="13"/>
      <c r="G499" s="9"/>
      <c r="J499" s="121"/>
      <c r="K499" s="9"/>
      <c r="L499" s="9"/>
      <c r="M499" s="9"/>
      <c r="N499" s="9"/>
      <c r="O499" s="9"/>
      <c r="Q499" s="9"/>
    </row>
    <row r="500">
      <c r="D500" s="9"/>
      <c r="E500" s="9"/>
      <c r="F500" s="13"/>
      <c r="G500" s="9"/>
      <c r="J500" s="121"/>
      <c r="K500" s="9"/>
      <c r="L500" s="9"/>
      <c r="M500" s="9"/>
      <c r="N500" s="9"/>
      <c r="O500" s="9"/>
      <c r="Q500" s="9"/>
    </row>
    <row r="501">
      <c r="D501" s="9"/>
      <c r="E501" s="9"/>
      <c r="F501" s="13"/>
      <c r="G501" s="9"/>
      <c r="J501" s="121"/>
      <c r="K501" s="9"/>
      <c r="L501" s="9"/>
      <c r="M501" s="9"/>
      <c r="N501" s="9"/>
      <c r="O501" s="9"/>
      <c r="Q501" s="9"/>
    </row>
    <row r="502">
      <c r="D502" s="9"/>
      <c r="E502" s="9"/>
      <c r="F502" s="13"/>
      <c r="G502" s="9"/>
      <c r="J502" s="121"/>
      <c r="K502" s="9"/>
      <c r="L502" s="9"/>
      <c r="M502" s="9"/>
      <c r="N502" s="9"/>
      <c r="O502" s="9"/>
      <c r="Q502" s="9"/>
    </row>
    <row r="503">
      <c r="D503" s="9"/>
      <c r="E503" s="9"/>
      <c r="F503" s="13"/>
      <c r="G503" s="9"/>
      <c r="J503" s="121"/>
      <c r="K503" s="9"/>
      <c r="L503" s="9"/>
      <c r="M503" s="9"/>
      <c r="N503" s="9"/>
      <c r="O503" s="9"/>
      <c r="Q503" s="9"/>
    </row>
    <row r="504">
      <c r="D504" s="9"/>
      <c r="E504" s="9"/>
      <c r="F504" s="13"/>
      <c r="G504" s="9"/>
      <c r="J504" s="121"/>
      <c r="K504" s="9"/>
      <c r="L504" s="9"/>
      <c r="M504" s="9"/>
      <c r="N504" s="9"/>
      <c r="O504" s="9"/>
      <c r="Q504" s="9"/>
    </row>
    <row r="505">
      <c r="D505" s="9"/>
      <c r="E505" s="9"/>
      <c r="F505" s="13"/>
      <c r="G505" s="9"/>
      <c r="J505" s="121"/>
      <c r="K505" s="9"/>
      <c r="L505" s="9"/>
      <c r="M505" s="9"/>
      <c r="N505" s="9"/>
      <c r="O505" s="9"/>
      <c r="Q505" s="9"/>
    </row>
    <row r="506">
      <c r="D506" s="9"/>
      <c r="E506" s="9"/>
      <c r="F506" s="13"/>
      <c r="G506" s="9"/>
      <c r="J506" s="121"/>
      <c r="K506" s="9"/>
      <c r="L506" s="9"/>
      <c r="M506" s="9"/>
      <c r="N506" s="9"/>
      <c r="O506" s="9"/>
      <c r="Q506" s="9"/>
    </row>
    <row r="507">
      <c r="D507" s="9"/>
      <c r="E507" s="9"/>
      <c r="F507" s="13"/>
      <c r="G507" s="9"/>
      <c r="J507" s="121"/>
      <c r="K507" s="9"/>
      <c r="L507" s="9"/>
      <c r="M507" s="9"/>
      <c r="N507" s="9"/>
      <c r="O507" s="9"/>
      <c r="Q507" s="9"/>
    </row>
    <row r="508">
      <c r="D508" s="9"/>
      <c r="E508" s="9"/>
      <c r="F508" s="13"/>
      <c r="G508" s="9"/>
      <c r="J508" s="121"/>
      <c r="K508" s="9"/>
      <c r="L508" s="9"/>
      <c r="M508" s="9"/>
      <c r="N508" s="9"/>
      <c r="O508" s="9"/>
      <c r="Q508" s="9"/>
    </row>
    <row r="509">
      <c r="D509" s="9"/>
      <c r="E509" s="9"/>
      <c r="F509" s="13"/>
      <c r="G509" s="9"/>
      <c r="J509" s="121"/>
      <c r="K509" s="9"/>
      <c r="L509" s="9"/>
      <c r="M509" s="9"/>
      <c r="N509" s="9"/>
      <c r="O509" s="9"/>
      <c r="Q509" s="9"/>
    </row>
    <row r="510">
      <c r="D510" s="9"/>
      <c r="E510" s="9"/>
      <c r="F510" s="13"/>
      <c r="G510" s="9"/>
      <c r="J510" s="121"/>
      <c r="K510" s="9"/>
      <c r="L510" s="9"/>
      <c r="M510" s="9"/>
      <c r="N510" s="9"/>
      <c r="O510" s="9"/>
      <c r="Q510" s="9"/>
    </row>
    <row r="511">
      <c r="D511" s="9"/>
      <c r="E511" s="9"/>
      <c r="F511" s="13"/>
      <c r="G511" s="9"/>
      <c r="J511" s="121"/>
      <c r="K511" s="9"/>
      <c r="L511" s="9"/>
      <c r="M511" s="9"/>
      <c r="N511" s="9"/>
      <c r="O511" s="9"/>
      <c r="Q511" s="9"/>
    </row>
    <row r="512">
      <c r="D512" s="9"/>
      <c r="E512" s="9"/>
      <c r="F512" s="13"/>
      <c r="G512" s="9"/>
      <c r="J512" s="121"/>
      <c r="K512" s="9"/>
      <c r="L512" s="9"/>
      <c r="M512" s="9"/>
      <c r="N512" s="9"/>
      <c r="O512" s="9"/>
      <c r="Q512" s="9"/>
    </row>
    <row r="513">
      <c r="D513" s="9"/>
      <c r="E513" s="9"/>
      <c r="F513" s="13"/>
      <c r="G513" s="9"/>
      <c r="J513" s="121"/>
      <c r="K513" s="9"/>
      <c r="L513" s="9"/>
      <c r="M513" s="9"/>
      <c r="N513" s="9"/>
      <c r="O513" s="9"/>
      <c r="Q513" s="9"/>
    </row>
    <row r="514">
      <c r="D514" s="9"/>
      <c r="E514" s="9"/>
      <c r="F514" s="13"/>
      <c r="G514" s="9"/>
      <c r="J514" s="121"/>
      <c r="K514" s="9"/>
      <c r="L514" s="9"/>
      <c r="M514" s="9"/>
      <c r="N514" s="9"/>
      <c r="O514" s="9"/>
      <c r="Q514" s="9"/>
    </row>
    <row r="515">
      <c r="D515" s="9"/>
      <c r="E515" s="9"/>
      <c r="F515" s="13"/>
      <c r="G515" s="9"/>
      <c r="J515" s="121"/>
      <c r="K515" s="9"/>
      <c r="L515" s="9"/>
      <c r="M515" s="9"/>
      <c r="N515" s="9"/>
      <c r="O515" s="9"/>
      <c r="Q515" s="9"/>
    </row>
    <row r="516">
      <c r="D516" s="9"/>
      <c r="E516" s="9"/>
      <c r="F516" s="13"/>
      <c r="G516" s="9"/>
      <c r="J516" s="121"/>
      <c r="K516" s="9"/>
      <c r="L516" s="9"/>
      <c r="M516" s="9"/>
      <c r="N516" s="9"/>
      <c r="O516" s="9"/>
      <c r="Q516" s="9"/>
    </row>
    <row r="517">
      <c r="D517" s="9"/>
      <c r="E517" s="9"/>
      <c r="F517" s="13"/>
      <c r="G517" s="9"/>
      <c r="J517" s="121"/>
      <c r="K517" s="9"/>
      <c r="L517" s="9"/>
      <c r="M517" s="9"/>
      <c r="N517" s="9"/>
      <c r="O517" s="9"/>
      <c r="Q517" s="9"/>
    </row>
    <row r="518">
      <c r="D518" s="9"/>
      <c r="E518" s="9"/>
      <c r="F518" s="13"/>
      <c r="G518" s="9"/>
      <c r="J518" s="121"/>
      <c r="K518" s="9"/>
      <c r="L518" s="9"/>
      <c r="M518" s="9"/>
      <c r="N518" s="9"/>
      <c r="O518" s="9"/>
      <c r="Q518" s="9"/>
    </row>
    <row r="519">
      <c r="D519" s="9"/>
      <c r="E519" s="9"/>
      <c r="F519" s="13"/>
      <c r="G519" s="9"/>
      <c r="J519" s="121"/>
      <c r="K519" s="9"/>
      <c r="L519" s="9"/>
      <c r="M519" s="9"/>
      <c r="N519" s="9"/>
      <c r="O519" s="9"/>
      <c r="Q519" s="9"/>
    </row>
    <row r="520">
      <c r="D520" s="9"/>
      <c r="E520" s="9"/>
      <c r="F520" s="13"/>
      <c r="G520" s="9"/>
      <c r="J520" s="121"/>
      <c r="K520" s="9"/>
      <c r="L520" s="9"/>
      <c r="M520" s="9"/>
      <c r="N520" s="9"/>
      <c r="O520" s="9"/>
      <c r="Q520" s="9"/>
    </row>
    <row r="521">
      <c r="D521" s="9"/>
      <c r="E521" s="9"/>
      <c r="F521" s="13"/>
      <c r="G521" s="9"/>
      <c r="J521" s="121"/>
      <c r="K521" s="9"/>
      <c r="L521" s="9"/>
      <c r="M521" s="9"/>
      <c r="N521" s="9"/>
      <c r="O521" s="9"/>
      <c r="Q521" s="9"/>
    </row>
    <row r="522">
      <c r="D522" s="9"/>
      <c r="E522" s="9"/>
      <c r="F522" s="13"/>
      <c r="G522" s="9"/>
      <c r="J522" s="121"/>
      <c r="K522" s="9"/>
      <c r="L522" s="9"/>
      <c r="M522" s="9"/>
      <c r="N522" s="9"/>
      <c r="O522" s="9"/>
      <c r="Q522" s="9"/>
    </row>
    <row r="523">
      <c r="D523" s="9"/>
      <c r="E523" s="9"/>
      <c r="F523" s="13"/>
      <c r="G523" s="9"/>
      <c r="J523" s="121"/>
      <c r="K523" s="9"/>
      <c r="L523" s="9"/>
      <c r="M523" s="9"/>
      <c r="N523" s="9"/>
      <c r="O523" s="9"/>
      <c r="Q523" s="9"/>
    </row>
    <row r="524">
      <c r="D524" s="9"/>
      <c r="E524" s="9"/>
      <c r="F524" s="13"/>
      <c r="G524" s="9"/>
      <c r="J524" s="121"/>
      <c r="K524" s="9"/>
      <c r="L524" s="9"/>
      <c r="M524" s="9"/>
      <c r="N524" s="9"/>
      <c r="O524" s="9"/>
      <c r="Q524" s="9"/>
    </row>
    <row r="525">
      <c r="D525" s="9"/>
      <c r="E525" s="9"/>
      <c r="F525" s="13"/>
      <c r="G525" s="9"/>
      <c r="J525" s="121"/>
      <c r="K525" s="9"/>
      <c r="L525" s="9"/>
      <c r="M525" s="9"/>
      <c r="N525" s="9"/>
      <c r="O525" s="9"/>
      <c r="Q525" s="9"/>
    </row>
    <row r="526">
      <c r="D526" s="9"/>
      <c r="E526" s="9"/>
      <c r="F526" s="13"/>
      <c r="G526" s="9"/>
      <c r="J526" s="121"/>
      <c r="K526" s="9"/>
      <c r="L526" s="9"/>
      <c r="M526" s="9"/>
      <c r="N526" s="9"/>
      <c r="O526" s="9"/>
      <c r="Q526" s="9"/>
    </row>
    <row r="527">
      <c r="D527" s="9"/>
      <c r="E527" s="9"/>
      <c r="F527" s="13"/>
      <c r="G527" s="9"/>
      <c r="J527" s="121"/>
      <c r="K527" s="9"/>
      <c r="L527" s="9"/>
      <c r="M527" s="9"/>
      <c r="N527" s="9"/>
      <c r="O527" s="9"/>
      <c r="Q527" s="9"/>
    </row>
    <row r="528">
      <c r="D528" s="9"/>
      <c r="E528" s="9"/>
      <c r="F528" s="13"/>
      <c r="G528" s="9"/>
      <c r="J528" s="121"/>
      <c r="K528" s="9"/>
      <c r="L528" s="9"/>
      <c r="M528" s="9"/>
      <c r="N528" s="9"/>
      <c r="O528" s="9"/>
      <c r="Q528" s="9"/>
    </row>
    <row r="529">
      <c r="D529" s="9"/>
      <c r="E529" s="9"/>
      <c r="F529" s="13"/>
      <c r="G529" s="9"/>
      <c r="J529" s="121"/>
      <c r="K529" s="9"/>
      <c r="L529" s="9"/>
      <c r="M529" s="9"/>
      <c r="N529" s="9"/>
      <c r="O529" s="9"/>
      <c r="Q529" s="9"/>
    </row>
    <row r="530">
      <c r="D530" s="9"/>
      <c r="E530" s="9"/>
      <c r="F530" s="13"/>
      <c r="G530" s="9"/>
      <c r="J530" s="121"/>
      <c r="K530" s="9"/>
      <c r="L530" s="9"/>
      <c r="M530" s="9"/>
      <c r="N530" s="9"/>
      <c r="O530" s="9"/>
      <c r="Q530" s="9"/>
    </row>
    <row r="531">
      <c r="D531" s="9"/>
      <c r="E531" s="9"/>
      <c r="F531" s="13"/>
      <c r="G531" s="9"/>
      <c r="J531" s="121"/>
      <c r="K531" s="9"/>
      <c r="L531" s="9"/>
      <c r="M531" s="9"/>
      <c r="N531" s="9"/>
      <c r="O531" s="9"/>
      <c r="Q531" s="9"/>
    </row>
    <row r="532">
      <c r="D532" s="9"/>
      <c r="E532" s="9"/>
      <c r="F532" s="13"/>
      <c r="G532" s="9"/>
      <c r="J532" s="121"/>
      <c r="K532" s="9"/>
      <c r="L532" s="9"/>
      <c r="M532" s="9"/>
      <c r="N532" s="9"/>
      <c r="O532" s="9"/>
      <c r="Q532" s="9"/>
    </row>
    <row r="533">
      <c r="D533" s="9"/>
      <c r="E533" s="9"/>
      <c r="F533" s="13"/>
      <c r="G533" s="9"/>
      <c r="J533" s="121"/>
      <c r="K533" s="9"/>
      <c r="L533" s="9"/>
      <c r="M533" s="9"/>
      <c r="N533" s="9"/>
      <c r="O533" s="9"/>
      <c r="Q533" s="9"/>
    </row>
    <row r="534">
      <c r="D534" s="9"/>
      <c r="E534" s="9"/>
      <c r="F534" s="13"/>
      <c r="G534" s="9"/>
      <c r="J534" s="121"/>
      <c r="K534" s="9"/>
      <c r="L534" s="9"/>
      <c r="M534" s="9"/>
      <c r="N534" s="9"/>
      <c r="O534" s="9"/>
      <c r="Q534" s="9"/>
    </row>
    <row r="535">
      <c r="D535" s="9"/>
      <c r="E535" s="9"/>
      <c r="F535" s="13"/>
      <c r="G535" s="9"/>
      <c r="J535" s="121"/>
      <c r="K535" s="9"/>
      <c r="L535" s="9"/>
      <c r="M535" s="9"/>
      <c r="N535" s="9"/>
      <c r="O535" s="9"/>
      <c r="Q535" s="9"/>
    </row>
    <row r="536">
      <c r="D536" s="9"/>
      <c r="E536" s="9"/>
      <c r="F536" s="13"/>
      <c r="G536" s="9"/>
      <c r="J536" s="121"/>
      <c r="K536" s="9"/>
      <c r="L536" s="9"/>
      <c r="M536" s="9"/>
      <c r="N536" s="9"/>
      <c r="O536" s="9"/>
      <c r="Q536" s="9"/>
    </row>
    <row r="537">
      <c r="D537" s="9"/>
      <c r="E537" s="9"/>
      <c r="F537" s="13"/>
      <c r="G537" s="9"/>
      <c r="J537" s="121"/>
      <c r="K537" s="9"/>
      <c r="L537" s="9"/>
      <c r="M537" s="9"/>
      <c r="N537" s="9"/>
      <c r="O537" s="9"/>
      <c r="Q537" s="9"/>
    </row>
    <row r="538">
      <c r="D538" s="9"/>
      <c r="E538" s="9"/>
      <c r="F538" s="13"/>
      <c r="G538" s="9"/>
      <c r="J538" s="121"/>
      <c r="K538" s="9"/>
      <c r="L538" s="9"/>
      <c r="M538" s="9"/>
      <c r="N538" s="9"/>
      <c r="O538" s="9"/>
      <c r="Q538" s="9"/>
    </row>
    <row r="539">
      <c r="D539" s="9"/>
      <c r="E539" s="9"/>
      <c r="F539" s="13"/>
      <c r="G539" s="9"/>
      <c r="J539" s="121"/>
      <c r="K539" s="9"/>
      <c r="L539" s="9"/>
      <c r="M539" s="9"/>
      <c r="N539" s="9"/>
      <c r="O539" s="9"/>
      <c r="Q539" s="9"/>
    </row>
    <row r="540">
      <c r="D540" s="9"/>
      <c r="E540" s="9"/>
      <c r="F540" s="13"/>
      <c r="G540" s="9"/>
      <c r="J540" s="121"/>
      <c r="K540" s="9"/>
      <c r="L540" s="9"/>
      <c r="M540" s="9"/>
      <c r="N540" s="9"/>
      <c r="O540" s="9"/>
      <c r="Q540" s="9"/>
    </row>
    <row r="541">
      <c r="D541" s="9"/>
      <c r="E541" s="9"/>
      <c r="F541" s="13"/>
      <c r="G541" s="9"/>
      <c r="J541" s="121"/>
      <c r="K541" s="9"/>
      <c r="L541" s="9"/>
      <c r="M541" s="9"/>
      <c r="N541" s="9"/>
      <c r="O541" s="9"/>
      <c r="Q541" s="9"/>
    </row>
    <row r="542">
      <c r="D542" s="9"/>
      <c r="E542" s="9"/>
      <c r="F542" s="13"/>
      <c r="G542" s="9"/>
      <c r="J542" s="121"/>
      <c r="K542" s="9"/>
      <c r="L542" s="9"/>
      <c r="M542" s="9"/>
      <c r="N542" s="9"/>
      <c r="O542" s="9"/>
      <c r="Q542" s="9"/>
    </row>
    <row r="543">
      <c r="D543" s="9"/>
      <c r="E543" s="9"/>
      <c r="F543" s="13"/>
      <c r="G543" s="9"/>
      <c r="J543" s="121"/>
      <c r="K543" s="9"/>
      <c r="L543" s="9"/>
      <c r="M543" s="9"/>
      <c r="N543" s="9"/>
      <c r="O543" s="9"/>
      <c r="Q543" s="9"/>
    </row>
    <row r="544">
      <c r="D544" s="9"/>
      <c r="E544" s="9"/>
      <c r="F544" s="13"/>
      <c r="G544" s="9"/>
      <c r="J544" s="121"/>
      <c r="K544" s="9"/>
      <c r="L544" s="9"/>
      <c r="M544" s="9"/>
      <c r="N544" s="9"/>
      <c r="O544" s="9"/>
      <c r="Q544" s="9"/>
    </row>
    <row r="545">
      <c r="D545" s="9"/>
      <c r="E545" s="9"/>
      <c r="F545" s="13"/>
      <c r="G545" s="9"/>
      <c r="J545" s="121"/>
      <c r="K545" s="9"/>
      <c r="L545" s="9"/>
      <c r="M545" s="9"/>
      <c r="N545" s="9"/>
      <c r="O545" s="9"/>
      <c r="Q545" s="9"/>
    </row>
    <row r="546">
      <c r="D546" s="9"/>
      <c r="E546" s="9"/>
      <c r="F546" s="13"/>
      <c r="G546" s="9"/>
      <c r="J546" s="121"/>
      <c r="K546" s="9"/>
      <c r="L546" s="9"/>
      <c r="M546" s="9"/>
      <c r="N546" s="9"/>
      <c r="O546" s="9"/>
      <c r="Q546" s="9"/>
    </row>
    <row r="547">
      <c r="D547" s="9"/>
      <c r="E547" s="9"/>
      <c r="F547" s="13"/>
      <c r="G547" s="9"/>
      <c r="J547" s="121"/>
      <c r="K547" s="9"/>
      <c r="L547" s="9"/>
      <c r="M547" s="9"/>
      <c r="N547" s="9"/>
      <c r="O547" s="9"/>
      <c r="Q547" s="9"/>
    </row>
    <row r="548">
      <c r="D548" s="9"/>
      <c r="E548" s="9"/>
      <c r="F548" s="13"/>
      <c r="G548" s="9"/>
      <c r="J548" s="121"/>
      <c r="K548" s="9"/>
      <c r="L548" s="9"/>
      <c r="M548" s="9"/>
      <c r="N548" s="9"/>
      <c r="O548" s="9"/>
      <c r="Q548" s="9"/>
    </row>
    <row r="549">
      <c r="D549" s="9"/>
      <c r="E549" s="9"/>
      <c r="F549" s="13"/>
      <c r="G549" s="9"/>
      <c r="J549" s="121"/>
      <c r="K549" s="9"/>
      <c r="L549" s="9"/>
      <c r="M549" s="9"/>
      <c r="N549" s="9"/>
      <c r="O549" s="9"/>
      <c r="Q549" s="9"/>
    </row>
    <row r="550">
      <c r="D550" s="9"/>
      <c r="E550" s="9"/>
      <c r="F550" s="13"/>
      <c r="G550" s="9"/>
      <c r="J550" s="121"/>
      <c r="K550" s="9"/>
      <c r="L550" s="9"/>
      <c r="M550" s="9"/>
      <c r="N550" s="9"/>
      <c r="O550" s="9"/>
      <c r="Q550" s="9"/>
    </row>
    <row r="551">
      <c r="D551" s="9"/>
      <c r="E551" s="9"/>
      <c r="F551" s="13"/>
      <c r="G551" s="9"/>
      <c r="J551" s="121"/>
      <c r="K551" s="9"/>
      <c r="L551" s="9"/>
      <c r="M551" s="9"/>
      <c r="N551" s="9"/>
      <c r="O551" s="9"/>
      <c r="Q551" s="9"/>
    </row>
    <row r="552">
      <c r="D552" s="9"/>
      <c r="E552" s="9"/>
      <c r="F552" s="13"/>
      <c r="G552" s="9"/>
      <c r="J552" s="121"/>
      <c r="K552" s="9"/>
      <c r="L552" s="9"/>
      <c r="M552" s="9"/>
      <c r="N552" s="9"/>
      <c r="O552" s="9"/>
      <c r="Q552" s="9"/>
    </row>
    <row r="553">
      <c r="D553" s="9"/>
      <c r="E553" s="9"/>
      <c r="F553" s="13"/>
      <c r="G553" s="9"/>
      <c r="J553" s="121"/>
      <c r="K553" s="9"/>
      <c r="L553" s="9"/>
      <c r="M553" s="9"/>
      <c r="N553" s="9"/>
      <c r="O553" s="9"/>
      <c r="Q553" s="9"/>
    </row>
    <row r="554">
      <c r="D554" s="9"/>
      <c r="E554" s="9"/>
      <c r="F554" s="13"/>
      <c r="G554" s="9"/>
      <c r="J554" s="121"/>
      <c r="K554" s="9"/>
      <c r="L554" s="9"/>
      <c r="M554" s="9"/>
      <c r="N554" s="9"/>
      <c r="O554" s="9"/>
      <c r="Q554" s="9"/>
    </row>
    <row r="555">
      <c r="D555" s="9"/>
      <c r="E555" s="9"/>
      <c r="F555" s="13"/>
      <c r="G555" s="9"/>
      <c r="J555" s="121"/>
      <c r="K555" s="9"/>
      <c r="L555" s="9"/>
      <c r="M555" s="9"/>
      <c r="N555" s="9"/>
      <c r="O555" s="9"/>
      <c r="Q555" s="9"/>
    </row>
    <row r="556">
      <c r="D556" s="9"/>
      <c r="E556" s="9"/>
      <c r="F556" s="13"/>
      <c r="G556" s="9"/>
      <c r="J556" s="121"/>
      <c r="K556" s="9"/>
      <c r="L556" s="9"/>
      <c r="M556" s="9"/>
      <c r="N556" s="9"/>
      <c r="O556" s="9"/>
      <c r="Q556" s="9"/>
    </row>
    <row r="557">
      <c r="D557" s="9"/>
      <c r="E557" s="9"/>
      <c r="F557" s="13"/>
      <c r="G557" s="9"/>
      <c r="J557" s="121"/>
      <c r="K557" s="9"/>
      <c r="L557" s="9"/>
      <c r="M557" s="9"/>
      <c r="N557" s="9"/>
      <c r="O557" s="9"/>
      <c r="Q557" s="9"/>
    </row>
    <row r="558">
      <c r="D558" s="9"/>
      <c r="E558" s="9"/>
      <c r="F558" s="13"/>
      <c r="G558" s="9"/>
      <c r="J558" s="121"/>
      <c r="K558" s="9"/>
      <c r="L558" s="9"/>
      <c r="M558" s="9"/>
      <c r="N558" s="9"/>
      <c r="O558" s="9"/>
      <c r="Q558" s="9"/>
    </row>
    <row r="559">
      <c r="D559" s="9"/>
      <c r="E559" s="9"/>
      <c r="F559" s="13"/>
      <c r="G559" s="9"/>
      <c r="J559" s="121"/>
      <c r="K559" s="9"/>
      <c r="L559" s="9"/>
      <c r="M559" s="9"/>
      <c r="N559" s="9"/>
      <c r="O559" s="9"/>
      <c r="Q559" s="9"/>
    </row>
    <row r="560">
      <c r="D560" s="9"/>
      <c r="E560" s="9"/>
      <c r="F560" s="13"/>
      <c r="G560" s="9"/>
      <c r="J560" s="121"/>
      <c r="K560" s="9"/>
      <c r="L560" s="9"/>
      <c r="M560" s="9"/>
      <c r="N560" s="9"/>
      <c r="O560" s="9"/>
      <c r="Q560" s="9"/>
    </row>
    <row r="561">
      <c r="D561" s="9"/>
      <c r="E561" s="9"/>
      <c r="F561" s="13"/>
      <c r="G561" s="9"/>
      <c r="J561" s="121"/>
      <c r="K561" s="9"/>
      <c r="L561" s="9"/>
      <c r="M561" s="9"/>
      <c r="N561" s="9"/>
      <c r="O561" s="9"/>
      <c r="Q561" s="9"/>
    </row>
    <row r="562">
      <c r="D562" s="9"/>
      <c r="E562" s="9"/>
      <c r="F562" s="13"/>
      <c r="G562" s="9"/>
      <c r="J562" s="121"/>
      <c r="K562" s="9"/>
      <c r="L562" s="9"/>
      <c r="M562" s="9"/>
      <c r="N562" s="9"/>
      <c r="O562" s="9"/>
      <c r="Q562" s="9"/>
    </row>
    <row r="563">
      <c r="D563" s="9"/>
      <c r="E563" s="9"/>
      <c r="F563" s="13"/>
      <c r="G563" s="9"/>
      <c r="J563" s="121"/>
      <c r="K563" s="9"/>
      <c r="L563" s="9"/>
      <c r="M563" s="9"/>
      <c r="N563" s="9"/>
      <c r="O563" s="9"/>
      <c r="Q563" s="9"/>
    </row>
    <row r="564">
      <c r="D564" s="9"/>
      <c r="E564" s="9"/>
      <c r="F564" s="13"/>
      <c r="G564" s="9"/>
      <c r="J564" s="121"/>
      <c r="K564" s="9"/>
      <c r="L564" s="9"/>
      <c r="M564" s="9"/>
      <c r="N564" s="9"/>
      <c r="O564" s="9"/>
      <c r="Q564" s="9"/>
    </row>
    <row r="565">
      <c r="D565" s="9"/>
      <c r="E565" s="9"/>
      <c r="F565" s="13"/>
      <c r="G565" s="9"/>
      <c r="J565" s="121"/>
      <c r="K565" s="9"/>
      <c r="L565" s="9"/>
      <c r="M565" s="9"/>
      <c r="N565" s="9"/>
      <c r="O565" s="9"/>
      <c r="Q565" s="9"/>
    </row>
    <row r="566">
      <c r="D566" s="9"/>
      <c r="E566" s="9"/>
      <c r="F566" s="13"/>
      <c r="G566" s="9"/>
      <c r="J566" s="121"/>
      <c r="K566" s="9"/>
      <c r="L566" s="9"/>
      <c r="M566" s="9"/>
      <c r="N566" s="9"/>
      <c r="O566" s="9"/>
      <c r="Q566" s="9"/>
    </row>
    <row r="567">
      <c r="D567" s="9"/>
      <c r="E567" s="9"/>
      <c r="F567" s="13"/>
      <c r="G567" s="9"/>
      <c r="J567" s="121"/>
      <c r="K567" s="9"/>
      <c r="L567" s="9"/>
      <c r="M567" s="9"/>
      <c r="N567" s="9"/>
      <c r="O567" s="9"/>
      <c r="Q567" s="9"/>
    </row>
    <row r="568">
      <c r="D568" s="9"/>
      <c r="E568" s="9"/>
      <c r="F568" s="13"/>
      <c r="G568" s="9"/>
      <c r="J568" s="121"/>
      <c r="K568" s="9"/>
      <c r="L568" s="9"/>
      <c r="M568" s="9"/>
      <c r="N568" s="9"/>
      <c r="O568" s="9"/>
      <c r="Q568" s="9"/>
    </row>
    <row r="569">
      <c r="D569" s="9"/>
      <c r="E569" s="9"/>
      <c r="F569" s="13"/>
      <c r="G569" s="9"/>
      <c r="J569" s="121"/>
      <c r="K569" s="9"/>
      <c r="L569" s="9"/>
      <c r="M569" s="9"/>
      <c r="N569" s="9"/>
      <c r="O569" s="9"/>
      <c r="Q569" s="9"/>
    </row>
    <row r="570">
      <c r="D570" s="9"/>
      <c r="E570" s="9"/>
      <c r="F570" s="13"/>
      <c r="G570" s="9"/>
      <c r="J570" s="121"/>
      <c r="K570" s="9"/>
      <c r="L570" s="9"/>
      <c r="M570" s="9"/>
      <c r="N570" s="9"/>
      <c r="O570" s="9"/>
      <c r="Q570" s="9"/>
    </row>
    <row r="571">
      <c r="D571" s="9"/>
      <c r="E571" s="9"/>
      <c r="F571" s="13"/>
      <c r="G571" s="9"/>
      <c r="J571" s="121"/>
      <c r="K571" s="9"/>
      <c r="L571" s="9"/>
      <c r="M571" s="9"/>
      <c r="N571" s="9"/>
      <c r="O571" s="9"/>
      <c r="Q571" s="9"/>
    </row>
    <row r="572">
      <c r="D572" s="9"/>
      <c r="E572" s="9"/>
      <c r="F572" s="13"/>
      <c r="G572" s="9"/>
      <c r="J572" s="121"/>
      <c r="K572" s="9"/>
      <c r="L572" s="9"/>
      <c r="M572" s="9"/>
      <c r="N572" s="9"/>
      <c r="O572" s="9"/>
      <c r="Q572" s="9"/>
    </row>
    <row r="573">
      <c r="D573" s="9"/>
      <c r="E573" s="9"/>
      <c r="F573" s="13"/>
      <c r="G573" s="9"/>
      <c r="J573" s="121"/>
      <c r="K573" s="9"/>
      <c r="L573" s="9"/>
      <c r="M573" s="9"/>
      <c r="N573" s="9"/>
      <c r="O573" s="9"/>
      <c r="Q573" s="9"/>
    </row>
    <row r="574">
      <c r="D574" s="9"/>
      <c r="E574" s="9"/>
      <c r="F574" s="13"/>
      <c r="G574" s="9"/>
      <c r="J574" s="121"/>
      <c r="K574" s="9"/>
      <c r="L574" s="9"/>
      <c r="M574" s="9"/>
      <c r="N574" s="9"/>
      <c r="O574" s="9"/>
      <c r="Q574" s="9"/>
    </row>
    <row r="575">
      <c r="D575" s="9"/>
      <c r="E575" s="9"/>
      <c r="F575" s="13"/>
      <c r="G575" s="9"/>
      <c r="J575" s="121"/>
      <c r="K575" s="9"/>
      <c r="L575" s="9"/>
      <c r="M575" s="9"/>
      <c r="N575" s="9"/>
      <c r="O575" s="9"/>
      <c r="Q575" s="9"/>
    </row>
    <row r="576">
      <c r="D576" s="9"/>
      <c r="E576" s="9"/>
      <c r="F576" s="13"/>
      <c r="G576" s="9"/>
      <c r="J576" s="121"/>
      <c r="K576" s="9"/>
      <c r="L576" s="9"/>
      <c r="M576" s="9"/>
      <c r="N576" s="9"/>
      <c r="O576" s="9"/>
      <c r="Q576" s="9"/>
    </row>
    <row r="577">
      <c r="D577" s="9"/>
      <c r="E577" s="9"/>
      <c r="F577" s="13"/>
      <c r="G577" s="9"/>
      <c r="J577" s="121"/>
      <c r="K577" s="9"/>
      <c r="L577" s="9"/>
      <c r="M577" s="9"/>
      <c r="N577" s="9"/>
      <c r="O577" s="9"/>
      <c r="Q577" s="9"/>
    </row>
    <row r="578">
      <c r="D578" s="9"/>
      <c r="E578" s="9"/>
      <c r="F578" s="13"/>
      <c r="G578" s="9"/>
      <c r="J578" s="121"/>
      <c r="K578" s="9"/>
      <c r="L578" s="9"/>
      <c r="M578" s="9"/>
      <c r="N578" s="9"/>
      <c r="O578" s="9"/>
      <c r="Q578" s="9"/>
    </row>
    <row r="579">
      <c r="D579" s="9"/>
      <c r="E579" s="9"/>
      <c r="F579" s="13"/>
      <c r="G579" s="9"/>
      <c r="J579" s="121"/>
      <c r="K579" s="9"/>
      <c r="L579" s="9"/>
      <c r="M579" s="9"/>
      <c r="N579" s="9"/>
      <c r="O579" s="9"/>
      <c r="Q579" s="9"/>
    </row>
    <row r="580">
      <c r="D580" s="9"/>
      <c r="E580" s="9"/>
      <c r="F580" s="13"/>
      <c r="G580" s="9"/>
      <c r="J580" s="121"/>
      <c r="K580" s="9"/>
      <c r="L580" s="9"/>
      <c r="M580" s="9"/>
      <c r="N580" s="9"/>
      <c r="O580" s="9"/>
      <c r="Q580" s="9"/>
    </row>
    <row r="581">
      <c r="D581" s="9"/>
      <c r="E581" s="9"/>
      <c r="F581" s="13"/>
      <c r="G581" s="9"/>
      <c r="J581" s="121"/>
      <c r="K581" s="9"/>
      <c r="L581" s="9"/>
      <c r="M581" s="9"/>
      <c r="N581" s="9"/>
      <c r="O581" s="9"/>
      <c r="Q581" s="9"/>
    </row>
    <row r="582">
      <c r="D582" s="9"/>
      <c r="E582" s="9"/>
      <c r="F582" s="13"/>
      <c r="G582" s="9"/>
      <c r="J582" s="121"/>
      <c r="K582" s="9"/>
      <c r="L582" s="9"/>
      <c r="M582" s="9"/>
      <c r="N582" s="9"/>
      <c r="O582" s="9"/>
      <c r="Q582" s="9"/>
    </row>
    <row r="583">
      <c r="D583" s="9"/>
      <c r="E583" s="9"/>
      <c r="F583" s="13"/>
      <c r="G583" s="9"/>
      <c r="J583" s="121"/>
      <c r="K583" s="9"/>
      <c r="L583" s="9"/>
      <c r="M583" s="9"/>
      <c r="N583" s="9"/>
      <c r="O583" s="9"/>
      <c r="Q583" s="9"/>
    </row>
    <row r="584">
      <c r="D584" s="9"/>
      <c r="E584" s="9"/>
      <c r="F584" s="13"/>
      <c r="G584" s="9"/>
      <c r="J584" s="121"/>
      <c r="K584" s="9"/>
      <c r="L584" s="9"/>
      <c r="M584" s="9"/>
      <c r="N584" s="9"/>
      <c r="O584" s="9"/>
      <c r="Q584" s="9"/>
    </row>
    <row r="585">
      <c r="D585" s="9"/>
      <c r="E585" s="9"/>
      <c r="F585" s="13"/>
      <c r="G585" s="9"/>
      <c r="J585" s="121"/>
      <c r="K585" s="9"/>
      <c r="L585" s="9"/>
      <c r="M585" s="9"/>
      <c r="N585" s="9"/>
      <c r="O585" s="9"/>
      <c r="Q585" s="9"/>
    </row>
    <row r="586">
      <c r="D586" s="9"/>
      <c r="E586" s="9"/>
      <c r="F586" s="13"/>
      <c r="G586" s="9"/>
      <c r="J586" s="121"/>
      <c r="K586" s="9"/>
      <c r="L586" s="9"/>
      <c r="M586" s="9"/>
      <c r="N586" s="9"/>
      <c r="O586" s="9"/>
      <c r="Q586" s="9"/>
    </row>
    <row r="587">
      <c r="D587" s="9"/>
      <c r="E587" s="9"/>
      <c r="F587" s="13"/>
      <c r="G587" s="9"/>
      <c r="J587" s="121"/>
      <c r="K587" s="9"/>
      <c r="L587" s="9"/>
      <c r="M587" s="9"/>
      <c r="N587" s="9"/>
      <c r="O587" s="9"/>
      <c r="Q587" s="9"/>
    </row>
    <row r="588">
      <c r="D588" s="9"/>
      <c r="E588" s="9"/>
      <c r="F588" s="13"/>
      <c r="G588" s="9"/>
      <c r="J588" s="121"/>
      <c r="K588" s="9"/>
      <c r="L588" s="9"/>
      <c r="M588" s="9"/>
      <c r="N588" s="9"/>
      <c r="O588" s="9"/>
      <c r="Q588" s="9"/>
    </row>
    <row r="589">
      <c r="D589" s="9"/>
      <c r="E589" s="9"/>
      <c r="F589" s="13"/>
      <c r="G589" s="9"/>
      <c r="J589" s="121"/>
      <c r="K589" s="9"/>
      <c r="L589" s="9"/>
      <c r="M589" s="9"/>
      <c r="N589" s="9"/>
      <c r="O589" s="9"/>
      <c r="Q589" s="9"/>
    </row>
    <row r="590">
      <c r="D590" s="9"/>
      <c r="E590" s="9"/>
      <c r="F590" s="13"/>
      <c r="G590" s="9"/>
      <c r="J590" s="121"/>
      <c r="K590" s="9"/>
      <c r="L590" s="9"/>
      <c r="M590" s="9"/>
      <c r="N590" s="9"/>
      <c r="O590" s="9"/>
      <c r="Q590" s="9"/>
    </row>
    <row r="591">
      <c r="D591" s="9"/>
      <c r="E591" s="9"/>
      <c r="F591" s="13"/>
      <c r="G591" s="9"/>
      <c r="J591" s="121"/>
      <c r="K591" s="9"/>
      <c r="L591" s="9"/>
      <c r="M591" s="9"/>
      <c r="N591" s="9"/>
      <c r="O591" s="9"/>
      <c r="Q591" s="9"/>
    </row>
    <row r="592">
      <c r="D592" s="9"/>
      <c r="E592" s="9"/>
      <c r="F592" s="13"/>
      <c r="G592" s="9"/>
      <c r="J592" s="121"/>
      <c r="K592" s="9"/>
      <c r="L592" s="9"/>
      <c r="M592" s="9"/>
      <c r="N592" s="9"/>
      <c r="O592" s="9"/>
      <c r="Q592" s="9"/>
    </row>
    <row r="593">
      <c r="D593" s="9"/>
      <c r="E593" s="9"/>
      <c r="F593" s="13"/>
      <c r="G593" s="9"/>
      <c r="J593" s="121"/>
      <c r="K593" s="9"/>
      <c r="L593" s="9"/>
      <c r="M593" s="9"/>
      <c r="N593" s="9"/>
      <c r="O593" s="9"/>
      <c r="Q593" s="9"/>
    </row>
    <row r="594">
      <c r="D594" s="9"/>
      <c r="E594" s="9"/>
      <c r="F594" s="13"/>
      <c r="G594" s="9"/>
      <c r="J594" s="121"/>
      <c r="K594" s="9"/>
      <c r="L594" s="9"/>
      <c r="M594" s="9"/>
      <c r="N594" s="9"/>
      <c r="O594" s="9"/>
      <c r="Q594" s="9"/>
    </row>
    <row r="595">
      <c r="D595" s="9"/>
      <c r="E595" s="9"/>
      <c r="F595" s="13"/>
      <c r="G595" s="9"/>
      <c r="J595" s="121"/>
      <c r="K595" s="9"/>
      <c r="L595" s="9"/>
      <c r="M595" s="9"/>
      <c r="N595" s="9"/>
      <c r="O595" s="9"/>
      <c r="Q595" s="9"/>
    </row>
    <row r="596">
      <c r="D596" s="9"/>
      <c r="E596" s="9"/>
      <c r="F596" s="13"/>
      <c r="G596" s="9"/>
      <c r="J596" s="121"/>
      <c r="K596" s="9"/>
      <c r="L596" s="9"/>
      <c r="M596" s="9"/>
      <c r="N596" s="9"/>
      <c r="O596" s="9"/>
      <c r="Q596" s="9"/>
    </row>
    <row r="597">
      <c r="D597" s="9"/>
      <c r="E597" s="9"/>
      <c r="F597" s="13"/>
      <c r="G597" s="9"/>
      <c r="J597" s="121"/>
      <c r="K597" s="9"/>
      <c r="L597" s="9"/>
      <c r="M597" s="9"/>
      <c r="N597" s="9"/>
      <c r="O597" s="9"/>
      <c r="Q597" s="9"/>
    </row>
    <row r="598">
      <c r="D598" s="9"/>
      <c r="E598" s="9"/>
      <c r="F598" s="13"/>
      <c r="G598" s="9"/>
      <c r="J598" s="121"/>
      <c r="K598" s="9"/>
      <c r="L598" s="9"/>
      <c r="M598" s="9"/>
      <c r="N598" s="9"/>
      <c r="O598" s="9"/>
      <c r="Q598" s="9"/>
    </row>
    <row r="599">
      <c r="D599" s="9"/>
      <c r="E599" s="9"/>
      <c r="F599" s="13"/>
      <c r="G599" s="9"/>
      <c r="J599" s="121"/>
      <c r="K599" s="9"/>
      <c r="L599" s="9"/>
      <c r="M599" s="9"/>
      <c r="N599" s="9"/>
      <c r="O599" s="9"/>
      <c r="Q599" s="9"/>
    </row>
    <row r="600">
      <c r="D600" s="9"/>
      <c r="E600" s="9"/>
      <c r="F600" s="13"/>
      <c r="G600" s="9"/>
      <c r="J600" s="121"/>
      <c r="K600" s="9"/>
      <c r="L600" s="9"/>
      <c r="M600" s="9"/>
      <c r="N600" s="9"/>
      <c r="O600" s="9"/>
      <c r="Q600" s="9"/>
    </row>
    <row r="601">
      <c r="D601" s="9"/>
      <c r="E601" s="9"/>
      <c r="F601" s="13"/>
      <c r="G601" s="9"/>
      <c r="J601" s="121"/>
      <c r="K601" s="9"/>
      <c r="L601" s="9"/>
      <c r="M601" s="9"/>
      <c r="N601" s="9"/>
      <c r="O601" s="9"/>
      <c r="Q601" s="9"/>
    </row>
    <row r="602">
      <c r="D602" s="9"/>
      <c r="E602" s="9"/>
      <c r="F602" s="13"/>
      <c r="G602" s="9"/>
      <c r="J602" s="121"/>
      <c r="K602" s="9"/>
      <c r="L602" s="9"/>
      <c r="M602" s="9"/>
      <c r="N602" s="9"/>
      <c r="O602" s="9"/>
      <c r="Q602" s="9"/>
    </row>
    <row r="603">
      <c r="D603" s="9"/>
      <c r="E603" s="9"/>
      <c r="F603" s="13"/>
      <c r="G603" s="9"/>
      <c r="J603" s="121"/>
      <c r="K603" s="9"/>
      <c r="L603" s="9"/>
      <c r="M603" s="9"/>
      <c r="N603" s="9"/>
      <c r="O603" s="9"/>
      <c r="Q603" s="9"/>
    </row>
    <row r="604">
      <c r="D604" s="9"/>
      <c r="E604" s="9"/>
      <c r="F604" s="13"/>
      <c r="G604" s="9"/>
      <c r="J604" s="121"/>
      <c r="K604" s="9"/>
      <c r="L604" s="9"/>
      <c r="M604" s="9"/>
      <c r="N604" s="9"/>
      <c r="O604" s="9"/>
      <c r="Q604" s="9"/>
    </row>
    <row r="605">
      <c r="D605" s="9"/>
      <c r="E605" s="9"/>
      <c r="F605" s="13"/>
      <c r="G605" s="9"/>
      <c r="J605" s="121"/>
      <c r="K605" s="9"/>
      <c r="L605" s="9"/>
      <c r="M605" s="9"/>
      <c r="N605" s="9"/>
      <c r="O605" s="9"/>
      <c r="Q605" s="9"/>
    </row>
    <row r="606">
      <c r="D606" s="9"/>
      <c r="E606" s="9"/>
      <c r="F606" s="13"/>
      <c r="G606" s="9"/>
      <c r="J606" s="121"/>
      <c r="K606" s="9"/>
      <c r="L606" s="9"/>
      <c r="M606" s="9"/>
      <c r="N606" s="9"/>
      <c r="O606" s="9"/>
      <c r="Q606" s="9"/>
    </row>
    <row r="607">
      <c r="D607" s="9"/>
      <c r="E607" s="9"/>
      <c r="F607" s="13"/>
      <c r="G607" s="9"/>
      <c r="J607" s="121"/>
      <c r="K607" s="9"/>
      <c r="L607" s="9"/>
      <c r="M607" s="9"/>
      <c r="N607" s="9"/>
      <c r="O607" s="9"/>
      <c r="Q607" s="9"/>
    </row>
    <row r="608">
      <c r="D608" s="9"/>
      <c r="E608" s="9"/>
      <c r="F608" s="13"/>
      <c r="G608" s="9"/>
      <c r="J608" s="121"/>
      <c r="K608" s="9"/>
      <c r="L608" s="9"/>
      <c r="M608" s="9"/>
      <c r="N608" s="9"/>
      <c r="O608" s="9"/>
      <c r="Q608" s="9"/>
    </row>
    <row r="609">
      <c r="D609" s="9"/>
      <c r="E609" s="9"/>
      <c r="F609" s="13"/>
      <c r="G609" s="9"/>
      <c r="J609" s="121"/>
      <c r="K609" s="9"/>
      <c r="L609" s="9"/>
      <c r="M609" s="9"/>
      <c r="N609" s="9"/>
      <c r="O609" s="9"/>
      <c r="Q609" s="9"/>
    </row>
    <row r="610">
      <c r="D610" s="9"/>
      <c r="E610" s="9"/>
      <c r="F610" s="13"/>
      <c r="G610" s="9"/>
      <c r="J610" s="121"/>
      <c r="K610" s="9"/>
      <c r="L610" s="9"/>
      <c r="M610" s="9"/>
      <c r="N610" s="9"/>
      <c r="O610" s="9"/>
      <c r="Q610" s="9"/>
    </row>
    <row r="611">
      <c r="D611" s="9"/>
      <c r="E611" s="9"/>
      <c r="F611" s="13"/>
      <c r="G611" s="9"/>
      <c r="J611" s="121"/>
      <c r="K611" s="9"/>
      <c r="L611" s="9"/>
      <c r="M611" s="9"/>
      <c r="N611" s="9"/>
      <c r="O611" s="9"/>
      <c r="Q611" s="9"/>
    </row>
    <row r="612">
      <c r="D612" s="9"/>
      <c r="E612" s="9"/>
      <c r="F612" s="13"/>
      <c r="G612" s="9"/>
      <c r="J612" s="121"/>
      <c r="K612" s="9"/>
      <c r="L612" s="9"/>
      <c r="M612" s="9"/>
      <c r="N612" s="9"/>
      <c r="O612" s="9"/>
      <c r="Q612" s="9"/>
    </row>
    <row r="613">
      <c r="D613" s="9"/>
      <c r="E613" s="9"/>
      <c r="F613" s="13"/>
      <c r="G613" s="9"/>
      <c r="J613" s="121"/>
      <c r="K613" s="9"/>
      <c r="L613" s="9"/>
      <c r="M613" s="9"/>
      <c r="N613" s="9"/>
      <c r="O613" s="9"/>
      <c r="Q613" s="9"/>
    </row>
    <row r="614">
      <c r="D614" s="9"/>
      <c r="E614" s="9"/>
      <c r="F614" s="13"/>
      <c r="G614" s="9"/>
      <c r="J614" s="121"/>
      <c r="K614" s="9"/>
      <c r="L614" s="9"/>
      <c r="M614" s="9"/>
      <c r="N614" s="9"/>
      <c r="O614" s="9"/>
      <c r="Q614" s="9"/>
    </row>
    <row r="615">
      <c r="D615" s="9"/>
      <c r="E615" s="9"/>
      <c r="F615" s="13"/>
      <c r="G615" s="9"/>
      <c r="J615" s="121"/>
      <c r="K615" s="9"/>
      <c r="L615" s="9"/>
      <c r="M615" s="9"/>
      <c r="N615" s="9"/>
      <c r="O615" s="9"/>
      <c r="Q615" s="9"/>
    </row>
    <row r="616">
      <c r="D616" s="9"/>
      <c r="E616" s="9"/>
      <c r="F616" s="13"/>
      <c r="G616" s="9"/>
      <c r="J616" s="121"/>
      <c r="K616" s="9"/>
      <c r="L616" s="9"/>
      <c r="M616" s="9"/>
      <c r="N616" s="9"/>
      <c r="O616" s="9"/>
      <c r="Q616" s="9"/>
    </row>
    <row r="617">
      <c r="D617" s="9"/>
      <c r="E617" s="9"/>
      <c r="F617" s="13"/>
      <c r="G617" s="9"/>
      <c r="J617" s="121"/>
      <c r="K617" s="9"/>
      <c r="L617" s="9"/>
      <c r="M617" s="9"/>
      <c r="N617" s="9"/>
      <c r="O617" s="9"/>
      <c r="Q617" s="9"/>
    </row>
    <row r="618">
      <c r="D618" s="9"/>
      <c r="E618" s="9"/>
      <c r="F618" s="13"/>
      <c r="G618" s="9"/>
      <c r="J618" s="121"/>
      <c r="K618" s="9"/>
      <c r="L618" s="9"/>
      <c r="M618" s="9"/>
      <c r="N618" s="9"/>
      <c r="O618" s="9"/>
      <c r="Q618" s="9"/>
    </row>
    <row r="619">
      <c r="D619" s="9"/>
      <c r="E619" s="9"/>
      <c r="F619" s="13"/>
      <c r="G619" s="9"/>
      <c r="J619" s="121"/>
      <c r="K619" s="9"/>
      <c r="L619" s="9"/>
      <c r="M619" s="9"/>
      <c r="N619" s="9"/>
      <c r="O619" s="9"/>
      <c r="Q619" s="9"/>
    </row>
    <row r="620">
      <c r="D620" s="9"/>
      <c r="E620" s="9"/>
      <c r="F620" s="13"/>
      <c r="G620" s="9"/>
      <c r="J620" s="121"/>
      <c r="K620" s="9"/>
      <c r="L620" s="9"/>
      <c r="M620" s="9"/>
      <c r="N620" s="9"/>
      <c r="O620" s="9"/>
      <c r="Q620" s="9"/>
    </row>
    <row r="621">
      <c r="D621" s="9"/>
      <c r="E621" s="9"/>
      <c r="F621" s="13"/>
      <c r="G621" s="9"/>
      <c r="J621" s="121"/>
      <c r="K621" s="9"/>
      <c r="L621" s="9"/>
      <c r="M621" s="9"/>
      <c r="N621" s="9"/>
      <c r="O621" s="9"/>
      <c r="Q621" s="9"/>
    </row>
    <row r="622">
      <c r="D622" s="9"/>
      <c r="E622" s="9"/>
      <c r="F622" s="13"/>
      <c r="G622" s="9"/>
      <c r="J622" s="121"/>
      <c r="K622" s="9"/>
      <c r="L622" s="9"/>
      <c r="M622" s="9"/>
      <c r="N622" s="9"/>
      <c r="O622" s="9"/>
      <c r="Q622" s="9"/>
    </row>
    <row r="623">
      <c r="D623" s="9"/>
      <c r="E623" s="9"/>
      <c r="F623" s="13"/>
      <c r="G623" s="9"/>
      <c r="J623" s="121"/>
      <c r="K623" s="9"/>
      <c r="L623" s="9"/>
      <c r="M623" s="9"/>
      <c r="N623" s="9"/>
      <c r="O623" s="9"/>
      <c r="Q623" s="9"/>
    </row>
    <row r="624">
      <c r="D624" s="9"/>
      <c r="E624" s="9"/>
      <c r="F624" s="13"/>
      <c r="G624" s="9"/>
      <c r="J624" s="121"/>
      <c r="K624" s="9"/>
      <c r="L624" s="9"/>
      <c r="M624" s="9"/>
      <c r="N624" s="9"/>
      <c r="O624" s="9"/>
      <c r="Q624" s="9"/>
    </row>
    <row r="625">
      <c r="D625" s="9"/>
      <c r="E625" s="9"/>
      <c r="F625" s="13"/>
      <c r="G625" s="9"/>
      <c r="J625" s="121"/>
      <c r="K625" s="9"/>
      <c r="L625" s="9"/>
      <c r="M625" s="9"/>
      <c r="N625" s="9"/>
      <c r="O625" s="9"/>
      <c r="Q625" s="9"/>
    </row>
    <row r="626">
      <c r="D626" s="9"/>
      <c r="E626" s="9"/>
      <c r="F626" s="13"/>
      <c r="G626" s="9"/>
      <c r="J626" s="121"/>
      <c r="K626" s="9"/>
      <c r="L626" s="9"/>
      <c r="M626" s="9"/>
      <c r="N626" s="9"/>
      <c r="O626" s="9"/>
      <c r="Q626" s="9"/>
    </row>
    <row r="627">
      <c r="D627" s="9"/>
      <c r="E627" s="9"/>
      <c r="F627" s="13"/>
      <c r="G627" s="9"/>
      <c r="J627" s="121"/>
      <c r="K627" s="9"/>
      <c r="L627" s="9"/>
      <c r="M627" s="9"/>
      <c r="N627" s="9"/>
      <c r="O627" s="9"/>
      <c r="Q627" s="9"/>
    </row>
    <row r="628">
      <c r="D628" s="9"/>
      <c r="E628" s="9"/>
      <c r="F628" s="13"/>
      <c r="G628" s="9"/>
      <c r="J628" s="121"/>
      <c r="K628" s="9"/>
      <c r="L628" s="9"/>
      <c r="M628" s="9"/>
      <c r="N628" s="9"/>
      <c r="O628" s="9"/>
      <c r="Q628" s="9"/>
    </row>
    <row r="629">
      <c r="D629" s="9"/>
      <c r="E629" s="9"/>
      <c r="F629" s="13"/>
      <c r="G629" s="9"/>
      <c r="J629" s="121"/>
      <c r="K629" s="9"/>
      <c r="L629" s="9"/>
      <c r="M629" s="9"/>
      <c r="N629" s="9"/>
      <c r="O629" s="9"/>
      <c r="Q629" s="9"/>
    </row>
    <row r="630">
      <c r="D630" s="9"/>
      <c r="E630" s="9"/>
      <c r="F630" s="13"/>
      <c r="G630" s="9"/>
      <c r="J630" s="121"/>
      <c r="K630" s="9"/>
      <c r="L630" s="9"/>
      <c r="M630" s="9"/>
      <c r="N630" s="9"/>
      <c r="O630" s="9"/>
      <c r="Q630" s="9"/>
    </row>
    <row r="631">
      <c r="D631" s="9"/>
      <c r="E631" s="9"/>
      <c r="F631" s="13"/>
      <c r="G631" s="9"/>
      <c r="J631" s="121"/>
      <c r="K631" s="9"/>
      <c r="L631" s="9"/>
      <c r="M631" s="9"/>
      <c r="N631" s="9"/>
      <c r="O631" s="9"/>
      <c r="Q631" s="9"/>
    </row>
    <row r="632">
      <c r="D632" s="9"/>
      <c r="E632" s="9"/>
      <c r="F632" s="13"/>
      <c r="G632" s="9"/>
      <c r="J632" s="121"/>
      <c r="K632" s="9"/>
      <c r="L632" s="9"/>
      <c r="M632" s="9"/>
      <c r="N632" s="9"/>
      <c r="O632" s="9"/>
      <c r="Q632" s="9"/>
    </row>
    <row r="633">
      <c r="D633" s="9"/>
      <c r="E633" s="9"/>
      <c r="F633" s="13"/>
      <c r="G633" s="9"/>
      <c r="J633" s="121"/>
      <c r="K633" s="9"/>
      <c r="L633" s="9"/>
      <c r="M633" s="9"/>
      <c r="N633" s="9"/>
      <c r="O633" s="9"/>
      <c r="Q633" s="9"/>
    </row>
    <row r="634">
      <c r="D634" s="9"/>
      <c r="E634" s="9"/>
      <c r="F634" s="13"/>
      <c r="G634" s="9"/>
      <c r="J634" s="121"/>
      <c r="K634" s="9"/>
      <c r="L634" s="9"/>
      <c r="M634" s="9"/>
      <c r="N634" s="9"/>
      <c r="O634" s="9"/>
      <c r="Q634" s="9"/>
    </row>
    <row r="635">
      <c r="D635" s="9"/>
      <c r="E635" s="9"/>
      <c r="F635" s="13"/>
      <c r="G635" s="9"/>
      <c r="J635" s="121"/>
      <c r="K635" s="9"/>
      <c r="L635" s="9"/>
      <c r="M635" s="9"/>
      <c r="N635" s="9"/>
      <c r="O635" s="9"/>
      <c r="Q635" s="9"/>
    </row>
    <row r="636">
      <c r="D636" s="9"/>
      <c r="E636" s="9"/>
      <c r="F636" s="13"/>
      <c r="G636" s="9"/>
      <c r="J636" s="121"/>
      <c r="K636" s="9"/>
      <c r="L636" s="9"/>
      <c r="M636" s="9"/>
      <c r="N636" s="9"/>
      <c r="O636" s="9"/>
      <c r="Q636" s="9"/>
    </row>
    <row r="637">
      <c r="D637" s="9"/>
      <c r="E637" s="9"/>
      <c r="F637" s="13"/>
      <c r="G637" s="9"/>
      <c r="J637" s="121"/>
      <c r="K637" s="9"/>
      <c r="L637" s="9"/>
      <c r="M637" s="9"/>
      <c r="N637" s="9"/>
      <c r="O637" s="9"/>
      <c r="Q637" s="9"/>
    </row>
    <row r="638">
      <c r="D638" s="9"/>
      <c r="E638" s="9"/>
      <c r="F638" s="13"/>
      <c r="G638" s="9"/>
      <c r="J638" s="121"/>
      <c r="K638" s="9"/>
      <c r="L638" s="9"/>
      <c r="M638" s="9"/>
      <c r="N638" s="9"/>
      <c r="O638" s="9"/>
      <c r="Q638" s="9"/>
    </row>
    <row r="639">
      <c r="D639" s="9"/>
      <c r="E639" s="9"/>
      <c r="F639" s="13"/>
      <c r="G639" s="9"/>
      <c r="J639" s="121"/>
      <c r="K639" s="9"/>
      <c r="L639" s="9"/>
      <c r="M639" s="9"/>
      <c r="N639" s="9"/>
      <c r="O639" s="9"/>
      <c r="Q639" s="9"/>
    </row>
    <row r="640">
      <c r="D640" s="9"/>
      <c r="E640" s="9"/>
      <c r="F640" s="13"/>
      <c r="G640" s="9"/>
      <c r="J640" s="121"/>
      <c r="K640" s="9"/>
      <c r="L640" s="9"/>
      <c r="M640" s="9"/>
      <c r="N640" s="9"/>
      <c r="O640" s="9"/>
      <c r="Q640" s="9"/>
    </row>
    <row r="641">
      <c r="D641" s="9"/>
      <c r="E641" s="9"/>
      <c r="F641" s="13"/>
      <c r="G641" s="9"/>
      <c r="J641" s="121"/>
      <c r="K641" s="9"/>
      <c r="L641" s="9"/>
      <c r="M641" s="9"/>
      <c r="N641" s="9"/>
      <c r="O641" s="9"/>
      <c r="Q641" s="9"/>
    </row>
    <row r="642">
      <c r="D642" s="9"/>
      <c r="E642" s="9"/>
      <c r="F642" s="13"/>
      <c r="G642" s="9"/>
      <c r="J642" s="121"/>
      <c r="K642" s="9"/>
      <c r="L642" s="9"/>
      <c r="M642" s="9"/>
      <c r="N642" s="9"/>
      <c r="O642" s="9"/>
      <c r="Q642" s="9"/>
    </row>
    <row r="643">
      <c r="D643" s="9"/>
      <c r="E643" s="9"/>
      <c r="F643" s="13"/>
      <c r="G643" s="9"/>
      <c r="J643" s="121"/>
      <c r="K643" s="9"/>
      <c r="L643" s="9"/>
      <c r="M643" s="9"/>
      <c r="N643" s="9"/>
      <c r="O643" s="9"/>
      <c r="Q643" s="9"/>
    </row>
    <row r="644">
      <c r="D644" s="9"/>
      <c r="E644" s="9"/>
      <c r="F644" s="13"/>
      <c r="G644" s="9"/>
      <c r="J644" s="121"/>
      <c r="K644" s="9"/>
      <c r="L644" s="9"/>
      <c r="M644" s="9"/>
      <c r="N644" s="9"/>
      <c r="O644" s="9"/>
      <c r="Q644" s="9"/>
    </row>
    <row r="645">
      <c r="D645" s="9"/>
      <c r="E645" s="9"/>
      <c r="F645" s="13"/>
      <c r="G645" s="9"/>
      <c r="J645" s="121"/>
      <c r="K645" s="9"/>
      <c r="L645" s="9"/>
      <c r="M645" s="9"/>
      <c r="N645" s="9"/>
      <c r="O645" s="9"/>
      <c r="Q645" s="9"/>
    </row>
    <row r="646">
      <c r="D646" s="9"/>
      <c r="E646" s="9"/>
      <c r="F646" s="13"/>
      <c r="G646" s="9"/>
      <c r="J646" s="121"/>
      <c r="K646" s="9"/>
      <c r="L646" s="9"/>
      <c r="M646" s="9"/>
      <c r="N646" s="9"/>
      <c r="O646" s="9"/>
      <c r="Q646" s="9"/>
    </row>
    <row r="647">
      <c r="D647" s="9"/>
      <c r="E647" s="9"/>
      <c r="F647" s="13"/>
      <c r="G647" s="9"/>
      <c r="J647" s="121"/>
      <c r="K647" s="9"/>
      <c r="L647" s="9"/>
      <c r="M647" s="9"/>
      <c r="N647" s="9"/>
      <c r="O647" s="9"/>
      <c r="Q647" s="9"/>
    </row>
    <row r="648">
      <c r="D648" s="9"/>
      <c r="E648" s="9"/>
      <c r="F648" s="13"/>
      <c r="G648" s="9"/>
      <c r="J648" s="121"/>
      <c r="K648" s="9"/>
      <c r="L648" s="9"/>
      <c r="M648" s="9"/>
      <c r="N648" s="9"/>
      <c r="O648" s="9"/>
      <c r="Q648" s="9"/>
    </row>
    <row r="649">
      <c r="D649" s="9"/>
      <c r="E649" s="9"/>
      <c r="F649" s="13"/>
      <c r="G649" s="9"/>
      <c r="J649" s="121"/>
      <c r="K649" s="9"/>
      <c r="L649" s="9"/>
      <c r="M649" s="9"/>
      <c r="N649" s="9"/>
      <c r="O649" s="9"/>
      <c r="Q649" s="9"/>
    </row>
    <row r="650">
      <c r="D650" s="9"/>
      <c r="E650" s="9"/>
      <c r="F650" s="13"/>
      <c r="G650" s="9"/>
      <c r="J650" s="121"/>
      <c r="K650" s="9"/>
      <c r="L650" s="9"/>
      <c r="M650" s="9"/>
      <c r="N650" s="9"/>
      <c r="O650" s="9"/>
      <c r="Q650" s="9"/>
    </row>
    <row r="651">
      <c r="D651" s="9"/>
      <c r="E651" s="9"/>
      <c r="F651" s="13"/>
      <c r="G651" s="9"/>
      <c r="J651" s="121"/>
      <c r="K651" s="9"/>
      <c r="L651" s="9"/>
      <c r="M651" s="9"/>
      <c r="N651" s="9"/>
      <c r="O651" s="9"/>
      <c r="Q651" s="9"/>
    </row>
    <row r="652">
      <c r="D652" s="9"/>
      <c r="E652" s="9"/>
      <c r="F652" s="13"/>
      <c r="G652" s="9"/>
      <c r="J652" s="121"/>
      <c r="K652" s="9"/>
      <c r="L652" s="9"/>
      <c r="M652" s="9"/>
      <c r="N652" s="9"/>
      <c r="O652" s="9"/>
      <c r="Q652" s="9"/>
    </row>
    <row r="653">
      <c r="D653" s="9"/>
      <c r="E653" s="9"/>
      <c r="F653" s="13"/>
      <c r="G653" s="9"/>
      <c r="J653" s="121"/>
      <c r="K653" s="9"/>
      <c r="L653" s="9"/>
      <c r="M653" s="9"/>
      <c r="N653" s="9"/>
      <c r="O653" s="9"/>
      <c r="Q653" s="9"/>
    </row>
    <row r="654">
      <c r="D654" s="9"/>
      <c r="E654" s="9"/>
      <c r="F654" s="13"/>
      <c r="G654" s="9"/>
      <c r="J654" s="121"/>
      <c r="K654" s="9"/>
      <c r="L654" s="9"/>
      <c r="M654" s="9"/>
      <c r="N654" s="9"/>
      <c r="O654" s="9"/>
      <c r="Q654" s="9"/>
    </row>
    <row r="655">
      <c r="D655" s="9"/>
      <c r="E655" s="9"/>
      <c r="F655" s="13"/>
      <c r="G655" s="9"/>
      <c r="J655" s="121"/>
      <c r="K655" s="9"/>
      <c r="L655" s="9"/>
      <c r="M655" s="9"/>
      <c r="N655" s="9"/>
      <c r="O655" s="9"/>
      <c r="Q655" s="9"/>
    </row>
    <row r="656">
      <c r="D656" s="9"/>
      <c r="E656" s="9"/>
      <c r="F656" s="13"/>
      <c r="G656" s="9"/>
      <c r="J656" s="121"/>
      <c r="K656" s="9"/>
      <c r="L656" s="9"/>
      <c r="M656" s="9"/>
      <c r="N656" s="9"/>
      <c r="O656" s="9"/>
      <c r="Q656" s="9"/>
    </row>
    <row r="657">
      <c r="D657" s="9"/>
      <c r="E657" s="9"/>
      <c r="F657" s="13"/>
      <c r="G657" s="9"/>
      <c r="J657" s="121"/>
      <c r="K657" s="9"/>
      <c r="L657" s="9"/>
      <c r="M657" s="9"/>
      <c r="N657" s="9"/>
      <c r="O657" s="9"/>
      <c r="Q657" s="9"/>
    </row>
    <row r="658">
      <c r="D658" s="9"/>
      <c r="E658" s="9"/>
      <c r="F658" s="13"/>
      <c r="G658" s="9"/>
      <c r="J658" s="121"/>
      <c r="K658" s="9"/>
      <c r="L658" s="9"/>
      <c r="M658" s="9"/>
      <c r="N658" s="9"/>
      <c r="O658" s="9"/>
      <c r="Q658" s="9"/>
    </row>
    <row r="659">
      <c r="D659" s="9"/>
      <c r="E659" s="9"/>
      <c r="F659" s="13"/>
      <c r="G659" s="9"/>
      <c r="J659" s="121"/>
      <c r="K659" s="9"/>
      <c r="L659" s="9"/>
      <c r="M659" s="9"/>
      <c r="N659" s="9"/>
      <c r="O659" s="9"/>
      <c r="Q659" s="9"/>
    </row>
    <row r="660">
      <c r="D660" s="9"/>
      <c r="E660" s="9"/>
      <c r="F660" s="13"/>
      <c r="G660" s="9"/>
      <c r="J660" s="121"/>
      <c r="K660" s="9"/>
      <c r="L660" s="9"/>
      <c r="M660" s="9"/>
      <c r="N660" s="9"/>
      <c r="O660" s="9"/>
      <c r="Q660" s="9"/>
    </row>
    <row r="661">
      <c r="D661" s="9"/>
      <c r="E661" s="9"/>
      <c r="F661" s="13"/>
      <c r="G661" s="9"/>
      <c r="J661" s="121"/>
      <c r="K661" s="9"/>
      <c r="L661" s="9"/>
      <c r="M661" s="9"/>
      <c r="N661" s="9"/>
      <c r="O661" s="9"/>
      <c r="Q661" s="9"/>
    </row>
    <row r="662">
      <c r="D662" s="9"/>
      <c r="E662" s="9"/>
      <c r="F662" s="13"/>
      <c r="G662" s="9"/>
      <c r="J662" s="121"/>
      <c r="K662" s="9"/>
      <c r="L662" s="9"/>
      <c r="M662" s="9"/>
      <c r="N662" s="9"/>
      <c r="O662" s="9"/>
      <c r="Q662" s="9"/>
    </row>
    <row r="663">
      <c r="D663" s="9"/>
      <c r="E663" s="9"/>
      <c r="F663" s="13"/>
      <c r="G663" s="9"/>
      <c r="J663" s="121"/>
      <c r="K663" s="9"/>
      <c r="L663" s="9"/>
      <c r="M663" s="9"/>
      <c r="N663" s="9"/>
      <c r="O663" s="9"/>
      <c r="Q663" s="9"/>
    </row>
    <row r="664">
      <c r="D664" s="9"/>
      <c r="E664" s="9"/>
      <c r="F664" s="13"/>
      <c r="G664" s="9"/>
      <c r="J664" s="121"/>
      <c r="K664" s="9"/>
      <c r="L664" s="9"/>
      <c r="M664" s="9"/>
      <c r="N664" s="9"/>
      <c r="O664" s="9"/>
      <c r="Q664" s="9"/>
    </row>
    <row r="665">
      <c r="D665" s="9"/>
      <c r="E665" s="9"/>
      <c r="F665" s="13"/>
      <c r="G665" s="9"/>
      <c r="J665" s="121"/>
      <c r="K665" s="9"/>
      <c r="L665" s="9"/>
      <c r="M665" s="9"/>
      <c r="N665" s="9"/>
      <c r="O665" s="9"/>
      <c r="Q665" s="9"/>
    </row>
    <row r="666">
      <c r="D666" s="9"/>
      <c r="E666" s="9"/>
      <c r="F666" s="13"/>
      <c r="G666" s="9"/>
      <c r="J666" s="121"/>
      <c r="K666" s="9"/>
      <c r="L666" s="9"/>
      <c r="M666" s="9"/>
      <c r="N666" s="9"/>
      <c r="O666" s="9"/>
      <c r="Q666" s="9"/>
    </row>
    <row r="667">
      <c r="D667" s="9"/>
      <c r="E667" s="9"/>
      <c r="F667" s="13"/>
      <c r="G667" s="9"/>
      <c r="J667" s="121"/>
      <c r="K667" s="9"/>
      <c r="L667" s="9"/>
      <c r="M667" s="9"/>
      <c r="N667" s="9"/>
      <c r="O667" s="9"/>
      <c r="Q667" s="9"/>
    </row>
    <row r="668">
      <c r="D668" s="9"/>
      <c r="E668" s="9"/>
      <c r="F668" s="13"/>
      <c r="G668" s="9"/>
      <c r="J668" s="121"/>
      <c r="K668" s="9"/>
      <c r="L668" s="9"/>
      <c r="M668" s="9"/>
      <c r="N668" s="9"/>
      <c r="O668" s="9"/>
      <c r="Q668" s="9"/>
    </row>
    <row r="669">
      <c r="D669" s="9"/>
      <c r="E669" s="9"/>
      <c r="F669" s="13"/>
      <c r="G669" s="9"/>
      <c r="J669" s="121"/>
      <c r="K669" s="9"/>
      <c r="L669" s="9"/>
      <c r="M669" s="9"/>
      <c r="N669" s="9"/>
      <c r="O669" s="9"/>
      <c r="Q669" s="9"/>
    </row>
    <row r="670">
      <c r="D670" s="9"/>
      <c r="E670" s="9"/>
      <c r="F670" s="13"/>
      <c r="G670" s="9"/>
      <c r="J670" s="121"/>
      <c r="K670" s="9"/>
      <c r="L670" s="9"/>
      <c r="M670" s="9"/>
      <c r="N670" s="9"/>
      <c r="O670" s="9"/>
      <c r="Q670" s="9"/>
    </row>
    <row r="671">
      <c r="D671" s="9"/>
      <c r="E671" s="9"/>
      <c r="F671" s="13"/>
      <c r="G671" s="9"/>
      <c r="J671" s="121"/>
      <c r="K671" s="9"/>
      <c r="L671" s="9"/>
      <c r="M671" s="9"/>
      <c r="N671" s="9"/>
      <c r="O671" s="9"/>
      <c r="Q671" s="9"/>
    </row>
    <row r="672">
      <c r="D672" s="9"/>
      <c r="E672" s="9"/>
      <c r="F672" s="13"/>
      <c r="G672" s="9"/>
      <c r="J672" s="121"/>
      <c r="K672" s="9"/>
      <c r="L672" s="9"/>
      <c r="M672" s="9"/>
      <c r="N672" s="9"/>
      <c r="O672" s="9"/>
      <c r="Q672" s="9"/>
    </row>
    <row r="673">
      <c r="D673" s="9"/>
      <c r="E673" s="9"/>
      <c r="F673" s="13"/>
      <c r="G673" s="9"/>
      <c r="J673" s="121"/>
      <c r="K673" s="9"/>
      <c r="L673" s="9"/>
      <c r="M673" s="9"/>
      <c r="N673" s="9"/>
      <c r="O673" s="9"/>
      <c r="Q673" s="9"/>
    </row>
    <row r="674">
      <c r="D674" s="9"/>
      <c r="E674" s="9"/>
      <c r="F674" s="13"/>
      <c r="G674" s="9"/>
      <c r="J674" s="121"/>
      <c r="K674" s="9"/>
      <c r="L674" s="9"/>
      <c r="M674" s="9"/>
      <c r="N674" s="9"/>
      <c r="O674" s="9"/>
      <c r="Q674" s="9"/>
    </row>
    <row r="675">
      <c r="D675" s="9"/>
      <c r="E675" s="9"/>
      <c r="F675" s="13"/>
      <c r="G675" s="9"/>
      <c r="J675" s="121"/>
      <c r="K675" s="9"/>
      <c r="L675" s="9"/>
      <c r="M675" s="9"/>
      <c r="N675" s="9"/>
      <c r="O675" s="9"/>
      <c r="Q675" s="9"/>
    </row>
    <row r="676">
      <c r="D676" s="9"/>
      <c r="E676" s="9"/>
      <c r="F676" s="13"/>
      <c r="G676" s="9"/>
      <c r="J676" s="121"/>
      <c r="K676" s="9"/>
      <c r="L676" s="9"/>
      <c r="M676" s="9"/>
      <c r="N676" s="9"/>
      <c r="O676" s="9"/>
      <c r="Q676" s="9"/>
    </row>
    <row r="677">
      <c r="D677" s="9"/>
      <c r="E677" s="9"/>
      <c r="F677" s="13"/>
      <c r="G677" s="9"/>
      <c r="J677" s="121"/>
      <c r="K677" s="9"/>
      <c r="L677" s="9"/>
      <c r="M677" s="9"/>
      <c r="N677" s="9"/>
      <c r="O677" s="9"/>
      <c r="Q677" s="9"/>
    </row>
    <row r="678">
      <c r="D678" s="9"/>
      <c r="E678" s="9"/>
      <c r="F678" s="13"/>
      <c r="G678" s="9"/>
      <c r="J678" s="121"/>
      <c r="K678" s="9"/>
      <c r="L678" s="9"/>
      <c r="M678" s="9"/>
      <c r="N678" s="9"/>
      <c r="O678" s="9"/>
      <c r="Q678" s="9"/>
    </row>
    <row r="679">
      <c r="D679" s="9"/>
      <c r="E679" s="9"/>
      <c r="F679" s="13"/>
      <c r="G679" s="9"/>
      <c r="J679" s="121"/>
      <c r="K679" s="9"/>
      <c r="L679" s="9"/>
      <c r="M679" s="9"/>
      <c r="N679" s="9"/>
      <c r="O679" s="9"/>
      <c r="Q679" s="9"/>
    </row>
    <row r="680">
      <c r="D680" s="9"/>
      <c r="E680" s="9"/>
      <c r="F680" s="13"/>
      <c r="G680" s="9"/>
      <c r="J680" s="121"/>
      <c r="K680" s="9"/>
      <c r="L680" s="9"/>
      <c r="M680" s="9"/>
      <c r="N680" s="9"/>
      <c r="O680" s="9"/>
      <c r="Q680" s="9"/>
    </row>
    <row r="681">
      <c r="D681" s="9"/>
      <c r="E681" s="9"/>
      <c r="F681" s="13"/>
      <c r="G681" s="9"/>
      <c r="J681" s="121"/>
      <c r="K681" s="9"/>
      <c r="L681" s="9"/>
      <c r="M681" s="9"/>
      <c r="N681" s="9"/>
      <c r="O681" s="9"/>
      <c r="Q681" s="9"/>
    </row>
    <row r="682">
      <c r="D682" s="9"/>
      <c r="E682" s="9"/>
      <c r="F682" s="13"/>
      <c r="G682" s="9"/>
      <c r="J682" s="121"/>
      <c r="K682" s="9"/>
      <c r="L682" s="9"/>
      <c r="M682" s="9"/>
      <c r="N682" s="9"/>
      <c r="O682" s="9"/>
      <c r="Q682" s="9"/>
    </row>
    <row r="683">
      <c r="D683" s="9"/>
      <c r="E683" s="9"/>
      <c r="F683" s="13"/>
      <c r="G683" s="9"/>
      <c r="J683" s="121"/>
      <c r="K683" s="9"/>
      <c r="L683" s="9"/>
      <c r="M683" s="9"/>
      <c r="N683" s="9"/>
      <c r="O683" s="9"/>
      <c r="Q683" s="9"/>
    </row>
    <row r="684">
      <c r="D684" s="9"/>
      <c r="E684" s="9"/>
      <c r="F684" s="13"/>
      <c r="G684" s="9"/>
      <c r="J684" s="121"/>
      <c r="K684" s="9"/>
      <c r="L684" s="9"/>
      <c r="M684" s="9"/>
      <c r="N684" s="9"/>
      <c r="O684" s="9"/>
      <c r="Q684" s="9"/>
    </row>
    <row r="685">
      <c r="D685" s="9"/>
      <c r="E685" s="9"/>
      <c r="F685" s="13"/>
      <c r="G685" s="9"/>
      <c r="J685" s="121"/>
      <c r="K685" s="9"/>
      <c r="L685" s="9"/>
      <c r="M685" s="9"/>
      <c r="N685" s="9"/>
      <c r="O685" s="9"/>
      <c r="Q685" s="9"/>
    </row>
    <row r="686">
      <c r="D686" s="9"/>
      <c r="E686" s="9"/>
      <c r="F686" s="13"/>
      <c r="G686" s="9"/>
      <c r="J686" s="121"/>
      <c r="K686" s="9"/>
      <c r="L686" s="9"/>
      <c r="M686" s="9"/>
      <c r="N686" s="9"/>
      <c r="O686" s="9"/>
      <c r="Q686" s="9"/>
    </row>
    <row r="687">
      <c r="D687" s="9"/>
      <c r="E687" s="9"/>
      <c r="F687" s="13"/>
      <c r="G687" s="9"/>
      <c r="J687" s="121"/>
      <c r="K687" s="9"/>
      <c r="L687" s="9"/>
      <c r="M687" s="9"/>
      <c r="N687" s="9"/>
      <c r="O687" s="9"/>
      <c r="Q687" s="9"/>
    </row>
    <row r="688">
      <c r="D688" s="9"/>
      <c r="E688" s="9"/>
      <c r="F688" s="13"/>
      <c r="G688" s="9"/>
      <c r="J688" s="121"/>
      <c r="K688" s="9"/>
      <c r="L688" s="9"/>
      <c r="M688" s="9"/>
      <c r="N688" s="9"/>
      <c r="O688" s="9"/>
      <c r="Q688" s="9"/>
    </row>
    <row r="689">
      <c r="D689" s="9"/>
      <c r="E689" s="9"/>
      <c r="F689" s="13"/>
      <c r="G689" s="9"/>
      <c r="J689" s="121"/>
      <c r="K689" s="9"/>
      <c r="L689" s="9"/>
      <c r="M689" s="9"/>
      <c r="N689" s="9"/>
      <c r="O689" s="9"/>
      <c r="Q689" s="9"/>
    </row>
    <row r="690">
      <c r="D690" s="9"/>
      <c r="E690" s="9"/>
      <c r="F690" s="13"/>
      <c r="G690" s="9"/>
      <c r="J690" s="121"/>
      <c r="K690" s="9"/>
      <c r="L690" s="9"/>
      <c r="M690" s="9"/>
      <c r="N690" s="9"/>
      <c r="O690" s="9"/>
      <c r="Q690" s="9"/>
    </row>
    <row r="691">
      <c r="D691" s="9"/>
      <c r="E691" s="9"/>
      <c r="F691" s="13"/>
      <c r="G691" s="9"/>
      <c r="J691" s="121"/>
      <c r="K691" s="9"/>
      <c r="L691" s="9"/>
      <c r="M691" s="9"/>
      <c r="N691" s="9"/>
      <c r="O691" s="9"/>
      <c r="Q691" s="9"/>
    </row>
    <row r="692">
      <c r="D692" s="9"/>
      <c r="E692" s="9"/>
      <c r="F692" s="13"/>
      <c r="G692" s="9"/>
      <c r="J692" s="121"/>
      <c r="K692" s="9"/>
      <c r="L692" s="9"/>
      <c r="M692" s="9"/>
      <c r="N692" s="9"/>
      <c r="O692" s="9"/>
      <c r="Q692" s="9"/>
    </row>
    <row r="693">
      <c r="D693" s="9"/>
      <c r="E693" s="9"/>
      <c r="F693" s="13"/>
      <c r="G693" s="9"/>
      <c r="J693" s="121"/>
      <c r="K693" s="9"/>
      <c r="L693" s="9"/>
      <c r="M693" s="9"/>
      <c r="N693" s="9"/>
      <c r="O693" s="9"/>
      <c r="Q693" s="9"/>
    </row>
    <row r="694">
      <c r="D694" s="9"/>
      <c r="E694" s="9"/>
      <c r="F694" s="13"/>
      <c r="G694" s="9"/>
      <c r="J694" s="121"/>
      <c r="K694" s="9"/>
      <c r="L694" s="9"/>
      <c r="M694" s="9"/>
      <c r="N694" s="9"/>
      <c r="O694" s="9"/>
      <c r="Q694" s="9"/>
    </row>
    <row r="695">
      <c r="D695" s="9"/>
      <c r="E695" s="9"/>
      <c r="F695" s="13"/>
      <c r="G695" s="9"/>
      <c r="J695" s="121"/>
      <c r="K695" s="9"/>
      <c r="L695" s="9"/>
      <c r="M695" s="9"/>
      <c r="N695" s="9"/>
      <c r="O695" s="9"/>
      <c r="Q695" s="9"/>
    </row>
    <row r="696">
      <c r="D696" s="9"/>
      <c r="E696" s="9"/>
      <c r="F696" s="13"/>
      <c r="G696" s="9"/>
      <c r="J696" s="121"/>
      <c r="K696" s="9"/>
      <c r="L696" s="9"/>
      <c r="M696" s="9"/>
      <c r="N696" s="9"/>
      <c r="O696" s="9"/>
      <c r="Q696" s="9"/>
    </row>
    <row r="697">
      <c r="D697" s="9"/>
      <c r="E697" s="9"/>
      <c r="F697" s="13"/>
      <c r="G697" s="9"/>
      <c r="J697" s="121"/>
      <c r="K697" s="9"/>
      <c r="L697" s="9"/>
      <c r="M697" s="9"/>
      <c r="N697" s="9"/>
      <c r="O697" s="9"/>
      <c r="Q697" s="9"/>
    </row>
    <row r="698">
      <c r="D698" s="9"/>
      <c r="E698" s="9"/>
      <c r="F698" s="13"/>
      <c r="G698" s="9"/>
      <c r="J698" s="121"/>
      <c r="K698" s="9"/>
      <c r="L698" s="9"/>
      <c r="M698" s="9"/>
      <c r="N698" s="9"/>
      <c r="O698" s="9"/>
      <c r="Q698" s="9"/>
    </row>
    <row r="699">
      <c r="D699" s="9"/>
      <c r="E699" s="9"/>
      <c r="F699" s="13"/>
      <c r="G699" s="9"/>
      <c r="J699" s="121"/>
      <c r="K699" s="9"/>
      <c r="L699" s="9"/>
      <c r="M699" s="9"/>
      <c r="N699" s="9"/>
      <c r="O699" s="9"/>
      <c r="Q699" s="9"/>
    </row>
    <row r="700">
      <c r="D700" s="9"/>
      <c r="E700" s="9"/>
      <c r="F700" s="13"/>
      <c r="G700" s="9"/>
      <c r="J700" s="121"/>
      <c r="K700" s="9"/>
      <c r="L700" s="9"/>
      <c r="M700" s="9"/>
      <c r="N700" s="9"/>
      <c r="O700" s="9"/>
      <c r="Q700" s="9"/>
    </row>
    <row r="701">
      <c r="D701" s="9"/>
      <c r="E701" s="9"/>
      <c r="F701" s="13"/>
      <c r="G701" s="9"/>
      <c r="J701" s="121"/>
      <c r="K701" s="9"/>
      <c r="L701" s="9"/>
      <c r="M701" s="9"/>
      <c r="N701" s="9"/>
      <c r="O701" s="9"/>
      <c r="Q701" s="9"/>
    </row>
    <row r="702">
      <c r="D702" s="9"/>
      <c r="E702" s="9"/>
      <c r="F702" s="13"/>
      <c r="G702" s="9"/>
      <c r="J702" s="121"/>
      <c r="K702" s="9"/>
      <c r="L702" s="9"/>
      <c r="M702" s="9"/>
      <c r="N702" s="9"/>
      <c r="O702" s="9"/>
      <c r="Q702" s="9"/>
    </row>
    <row r="703">
      <c r="D703" s="9"/>
      <c r="E703" s="9"/>
      <c r="F703" s="13"/>
      <c r="G703" s="9"/>
      <c r="J703" s="121"/>
      <c r="K703" s="9"/>
      <c r="L703" s="9"/>
      <c r="M703" s="9"/>
      <c r="N703" s="9"/>
      <c r="O703" s="9"/>
      <c r="Q703" s="9"/>
    </row>
    <row r="704">
      <c r="D704" s="9"/>
      <c r="E704" s="9"/>
      <c r="F704" s="13"/>
      <c r="G704" s="9"/>
      <c r="J704" s="121"/>
      <c r="K704" s="9"/>
      <c r="L704" s="9"/>
      <c r="M704" s="9"/>
      <c r="N704" s="9"/>
      <c r="O704" s="9"/>
      <c r="Q704" s="9"/>
    </row>
    <row r="705">
      <c r="D705" s="9"/>
      <c r="E705" s="9"/>
      <c r="F705" s="13"/>
      <c r="G705" s="9"/>
      <c r="J705" s="121"/>
      <c r="K705" s="9"/>
      <c r="L705" s="9"/>
      <c r="M705" s="9"/>
      <c r="N705" s="9"/>
      <c r="O705" s="9"/>
      <c r="Q705" s="9"/>
    </row>
    <row r="706">
      <c r="D706" s="9"/>
      <c r="E706" s="9"/>
      <c r="F706" s="13"/>
      <c r="G706" s="9"/>
      <c r="J706" s="121"/>
      <c r="K706" s="9"/>
      <c r="L706" s="9"/>
      <c r="M706" s="9"/>
      <c r="N706" s="9"/>
      <c r="O706" s="9"/>
      <c r="Q706" s="9"/>
    </row>
    <row r="707">
      <c r="D707" s="9"/>
      <c r="E707" s="9"/>
      <c r="F707" s="13"/>
      <c r="G707" s="9"/>
      <c r="J707" s="121"/>
      <c r="K707" s="9"/>
      <c r="L707" s="9"/>
      <c r="M707" s="9"/>
      <c r="N707" s="9"/>
      <c r="O707" s="9"/>
      <c r="Q707" s="9"/>
    </row>
    <row r="708">
      <c r="D708" s="9"/>
      <c r="E708" s="9"/>
      <c r="F708" s="13"/>
      <c r="G708" s="9"/>
      <c r="J708" s="121"/>
      <c r="K708" s="9"/>
      <c r="L708" s="9"/>
      <c r="M708" s="9"/>
      <c r="N708" s="9"/>
      <c r="O708" s="9"/>
      <c r="Q708" s="9"/>
    </row>
    <row r="709">
      <c r="D709" s="9"/>
      <c r="E709" s="9"/>
      <c r="F709" s="13"/>
      <c r="G709" s="9"/>
      <c r="J709" s="121"/>
      <c r="K709" s="9"/>
      <c r="L709" s="9"/>
      <c r="M709" s="9"/>
      <c r="N709" s="9"/>
      <c r="O709" s="9"/>
      <c r="Q709" s="9"/>
    </row>
    <row r="710">
      <c r="D710" s="9"/>
      <c r="E710" s="9"/>
      <c r="F710" s="13"/>
      <c r="G710" s="9"/>
      <c r="J710" s="121"/>
      <c r="K710" s="9"/>
      <c r="L710" s="9"/>
      <c r="M710" s="9"/>
      <c r="N710" s="9"/>
      <c r="O710" s="9"/>
      <c r="Q710" s="9"/>
    </row>
    <row r="711">
      <c r="D711" s="9"/>
      <c r="E711" s="9"/>
      <c r="F711" s="13"/>
      <c r="G711" s="9"/>
      <c r="J711" s="121"/>
      <c r="K711" s="9"/>
      <c r="L711" s="9"/>
      <c r="M711" s="9"/>
      <c r="N711" s="9"/>
      <c r="O711" s="9"/>
      <c r="Q711" s="9"/>
    </row>
    <row r="712">
      <c r="D712" s="9"/>
      <c r="E712" s="9"/>
      <c r="F712" s="13"/>
      <c r="G712" s="9"/>
      <c r="J712" s="121"/>
      <c r="K712" s="9"/>
      <c r="L712" s="9"/>
      <c r="M712" s="9"/>
      <c r="N712" s="9"/>
      <c r="O712" s="9"/>
      <c r="Q712" s="9"/>
    </row>
    <row r="713">
      <c r="D713" s="9"/>
      <c r="E713" s="9"/>
      <c r="F713" s="13"/>
      <c r="G713" s="9"/>
      <c r="J713" s="121"/>
      <c r="K713" s="9"/>
      <c r="L713" s="9"/>
      <c r="M713" s="9"/>
      <c r="N713" s="9"/>
      <c r="O713" s="9"/>
      <c r="Q713" s="9"/>
    </row>
    <row r="714">
      <c r="D714" s="9"/>
      <c r="E714" s="9"/>
      <c r="F714" s="13"/>
      <c r="G714" s="9"/>
      <c r="J714" s="121"/>
      <c r="K714" s="9"/>
      <c r="L714" s="9"/>
      <c r="M714" s="9"/>
      <c r="N714" s="9"/>
      <c r="O714" s="9"/>
      <c r="Q714" s="9"/>
    </row>
    <row r="715">
      <c r="D715" s="9"/>
      <c r="E715" s="9"/>
      <c r="F715" s="13"/>
      <c r="G715" s="9"/>
      <c r="J715" s="121"/>
      <c r="K715" s="9"/>
      <c r="L715" s="9"/>
      <c r="M715" s="9"/>
      <c r="N715" s="9"/>
      <c r="O715" s="9"/>
      <c r="Q715" s="9"/>
    </row>
    <row r="716">
      <c r="D716" s="9"/>
      <c r="E716" s="9"/>
      <c r="F716" s="13"/>
      <c r="G716" s="9"/>
      <c r="J716" s="121"/>
      <c r="K716" s="9"/>
      <c r="L716" s="9"/>
      <c r="M716" s="9"/>
      <c r="N716" s="9"/>
      <c r="O716" s="9"/>
      <c r="Q716" s="9"/>
    </row>
    <row r="717">
      <c r="D717" s="9"/>
      <c r="E717" s="9"/>
      <c r="F717" s="13"/>
      <c r="G717" s="9"/>
      <c r="J717" s="121"/>
      <c r="K717" s="9"/>
      <c r="L717" s="9"/>
      <c r="M717" s="9"/>
      <c r="N717" s="9"/>
      <c r="O717" s="9"/>
      <c r="Q717" s="9"/>
    </row>
    <row r="718">
      <c r="D718" s="9"/>
      <c r="E718" s="9"/>
      <c r="F718" s="13"/>
      <c r="G718" s="9"/>
      <c r="J718" s="121"/>
      <c r="K718" s="9"/>
      <c r="L718" s="9"/>
      <c r="M718" s="9"/>
      <c r="N718" s="9"/>
      <c r="O718" s="9"/>
      <c r="Q718" s="9"/>
    </row>
    <row r="719">
      <c r="D719" s="9"/>
      <c r="E719" s="9"/>
      <c r="F719" s="13"/>
      <c r="G719" s="9"/>
      <c r="J719" s="121"/>
      <c r="K719" s="9"/>
      <c r="L719" s="9"/>
      <c r="M719" s="9"/>
      <c r="N719" s="9"/>
      <c r="O719" s="9"/>
      <c r="Q719" s="9"/>
    </row>
    <row r="720">
      <c r="D720" s="9"/>
      <c r="E720" s="9"/>
      <c r="F720" s="13"/>
      <c r="G720" s="9"/>
      <c r="J720" s="121"/>
      <c r="K720" s="9"/>
      <c r="L720" s="9"/>
      <c r="M720" s="9"/>
      <c r="N720" s="9"/>
      <c r="O720" s="9"/>
      <c r="Q720" s="9"/>
    </row>
    <row r="721">
      <c r="D721" s="9"/>
      <c r="E721" s="9"/>
      <c r="F721" s="13"/>
      <c r="G721" s="9"/>
      <c r="J721" s="121"/>
      <c r="K721" s="9"/>
      <c r="L721" s="9"/>
      <c r="M721" s="9"/>
      <c r="N721" s="9"/>
      <c r="O721" s="9"/>
      <c r="Q721" s="9"/>
    </row>
    <row r="722">
      <c r="D722" s="9"/>
      <c r="E722" s="9"/>
      <c r="F722" s="13"/>
      <c r="G722" s="9"/>
      <c r="J722" s="121"/>
      <c r="K722" s="9"/>
      <c r="L722" s="9"/>
      <c r="M722" s="9"/>
      <c r="N722" s="9"/>
      <c r="O722" s="9"/>
      <c r="Q722" s="9"/>
    </row>
    <row r="723">
      <c r="D723" s="9"/>
      <c r="E723" s="9"/>
      <c r="F723" s="13"/>
      <c r="G723" s="9"/>
      <c r="J723" s="121"/>
      <c r="K723" s="9"/>
      <c r="L723" s="9"/>
      <c r="M723" s="9"/>
      <c r="N723" s="9"/>
      <c r="O723" s="9"/>
      <c r="Q723" s="9"/>
    </row>
    <row r="724">
      <c r="D724" s="9"/>
      <c r="E724" s="9"/>
      <c r="F724" s="13"/>
      <c r="G724" s="9"/>
      <c r="J724" s="121"/>
      <c r="K724" s="9"/>
      <c r="L724" s="9"/>
      <c r="M724" s="9"/>
      <c r="N724" s="9"/>
      <c r="O724" s="9"/>
      <c r="Q724" s="9"/>
    </row>
    <row r="725">
      <c r="D725" s="9"/>
      <c r="E725" s="9"/>
      <c r="F725" s="13"/>
      <c r="G725" s="9"/>
      <c r="J725" s="121"/>
      <c r="K725" s="9"/>
      <c r="L725" s="9"/>
      <c r="M725" s="9"/>
      <c r="N725" s="9"/>
      <c r="O725" s="9"/>
      <c r="Q725" s="9"/>
    </row>
    <row r="726">
      <c r="D726" s="9"/>
      <c r="E726" s="9"/>
      <c r="F726" s="13"/>
      <c r="G726" s="9"/>
      <c r="J726" s="121"/>
      <c r="K726" s="9"/>
      <c r="L726" s="9"/>
      <c r="M726" s="9"/>
      <c r="N726" s="9"/>
      <c r="O726" s="9"/>
      <c r="Q726" s="9"/>
    </row>
    <row r="727">
      <c r="D727" s="9"/>
      <c r="E727" s="9"/>
      <c r="F727" s="13"/>
      <c r="G727" s="9"/>
      <c r="J727" s="121"/>
      <c r="K727" s="9"/>
      <c r="L727" s="9"/>
      <c r="M727" s="9"/>
      <c r="N727" s="9"/>
      <c r="O727" s="9"/>
      <c r="Q727" s="9"/>
    </row>
    <row r="728">
      <c r="D728" s="9"/>
      <c r="E728" s="9"/>
      <c r="F728" s="13"/>
      <c r="G728" s="9"/>
      <c r="J728" s="121"/>
      <c r="K728" s="9"/>
      <c r="L728" s="9"/>
      <c r="M728" s="9"/>
      <c r="N728" s="9"/>
      <c r="O728" s="9"/>
      <c r="Q728" s="9"/>
    </row>
    <row r="729">
      <c r="D729" s="9"/>
      <c r="E729" s="9"/>
      <c r="F729" s="13"/>
      <c r="G729" s="9"/>
      <c r="J729" s="121"/>
      <c r="K729" s="9"/>
      <c r="L729" s="9"/>
      <c r="M729" s="9"/>
      <c r="N729" s="9"/>
      <c r="O729" s="9"/>
      <c r="Q729" s="9"/>
    </row>
    <row r="730">
      <c r="D730" s="9"/>
      <c r="E730" s="9"/>
      <c r="F730" s="13"/>
      <c r="G730" s="9"/>
      <c r="J730" s="121"/>
      <c r="K730" s="9"/>
      <c r="L730" s="9"/>
      <c r="M730" s="9"/>
      <c r="N730" s="9"/>
      <c r="O730" s="9"/>
      <c r="Q730" s="9"/>
    </row>
    <row r="731">
      <c r="D731" s="9"/>
      <c r="E731" s="9"/>
      <c r="F731" s="13"/>
      <c r="G731" s="9"/>
      <c r="J731" s="121"/>
      <c r="K731" s="9"/>
      <c r="L731" s="9"/>
      <c r="M731" s="9"/>
      <c r="N731" s="9"/>
      <c r="O731" s="9"/>
      <c r="Q731" s="9"/>
    </row>
    <row r="732">
      <c r="D732" s="9"/>
      <c r="E732" s="9"/>
      <c r="F732" s="13"/>
      <c r="G732" s="9"/>
      <c r="J732" s="121"/>
      <c r="K732" s="9"/>
      <c r="L732" s="9"/>
      <c r="M732" s="9"/>
      <c r="N732" s="9"/>
      <c r="O732" s="9"/>
      <c r="Q732" s="9"/>
    </row>
    <row r="733">
      <c r="D733" s="9"/>
      <c r="E733" s="9"/>
      <c r="F733" s="13"/>
      <c r="G733" s="9"/>
      <c r="J733" s="121"/>
      <c r="K733" s="9"/>
      <c r="L733" s="9"/>
      <c r="M733" s="9"/>
      <c r="N733" s="9"/>
      <c r="O733" s="9"/>
      <c r="Q733" s="9"/>
    </row>
    <row r="734">
      <c r="D734" s="9"/>
      <c r="E734" s="9"/>
      <c r="F734" s="13"/>
      <c r="G734" s="9"/>
      <c r="J734" s="121"/>
      <c r="K734" s="9"/>
      <c r="L734" s="9"/>
      <c r="M734" s="9"/>
      <c r="N734" s="9"/>
      <c r="O734" s="9"/>
      <c r="Q734" s="9"/>
    </row>
    <row r="735">
      <c r="D735" s="9"/>
      <c r="E735" s="9"/>
      <c r="F735" s="13"/>
      <c r="G735" s="9"/>
      <c r="J735" s="121"/>
      <c r="K735" s="9"/>
      <c r="L735" s="9"/>
      <c r="M735" s="9"/>
      <c r="N735" s="9"/>
      <c r="O735" s="9"/>
      <c r="Q735" s="9"/>
    </row>
    <row r="736">
      <c r="D736" s="9"/>
      <c r="E736" s="9"/>
      <c r="F736" s="13"/>
      <c r="G736" s="9"/>
      <c r="J736" s="121"/>
      <c r="K736" s="9"/>
      <c r="L736" s="9"/>
      <c r="M736" s="9"/>
      <c r="N736" s="9"/>
      <c r="O736" s="9"/>
      <c r="Q736" s="9"/>
    </row>
    <row r="737">
      <c r="D737" s="9"/>
      <c r="E737" s="9"/>
      <c r="F737" s="13"/>
      <c r="G737" s="9"/>
      <c r="J737" s="121"/>
      <c r="K737" s="9"/>
      <c r="L737" s="9"/>
      <c r="M737" s="9"/>
      <c r="N737" s="9"/>
      <c r="O737" s="9"/>
      <c r="Q737" s="9"/>
    </row>
    <row r="738">
      <c r="D738" s="9"/>
      <c r="E738" s="9"/>
      <c r="F738" s="13"/>
      <c r="G738" s="9"/>
      <c r="J738" s="121"/>
      <c r="K738" s="9"/>
      <c r="L738" s="9"/>
      <c r="M738" s="9"/>
      <c r="N738" s="9"/>
      <c r="O738" s="9"/>
      <c r="Q738" s="9"/>
    </row>
    <row r="739">
      <c r="D739" s="9"/>
      <c r="E739" s="9"/>
      <c r="F739" s="13"/>
      <c r="G739" s="9"/>
      <c r="J739" s="121"/>
      <c r="K739" s="9"/>
      <c r="L739" s="9"/>
      <c r="M739" s="9"/>
      <c r="N739" s="9"/>
      <c r="O739" s="9"/>
      <c r="Q739" s="9"/>
    </row>
    <row r="740">
      <c r="D740" s="9"/>
      <c r="E740" s="9"/>
      <c r="F740" s="13"/>
      <c r="G740" s="9"/>
      <c r="J740" s="121"/>
      <c r="K740" s="9"/>
      <c r="L740" s="9"/>
      <c r="M740" s="9"/>
      <c r="N740" s="9"/>
      <c r="O740" s="9"/>
      <c r="Q740" s="9"/>
    </row>
    <row r="741">
      <c r="D741" s="9"/>
      <c r="E741" s="9"/>
      <c r="F741" s="13"/>
      <c r="G741" s="9"/>
      <c r="J741" s="121"/>
      <c r="K741" s="9"/>
      <c r="L741" s="9"/>
      <c r="M741" s="9"/>
      <c r="N741" s="9"/>
      <c r="O741" s="9"/>
      <c r="Q741" s="9"/>
    </row>
    <row r="742">
      <c r="D742" s="9"/>
      <c r="E742" s="9"/>
      <c r="F742" s="13"/>
      <c r="G742" s="9"/>
      <c r="J742" s="121"/>
      <c r="K742" s="9"/>
      <c r="L742" s="9"/>
      <c r="M742" s="9"/>
      <c r="N742" s="9"/>
      <c r="O742" s="9"/>
      <c r="Q742" s="9"/>
    </row>
    <row r="743">
      <c r="D743" s="9"/>
      <c r="E743" s="9"/>
      <c r="F743" s="13"/>
      <c r="G743" s="9"/>
      <c r="J743" s="121"/>
      <c r="K743" s="9"/>
      <c r="L743" s="9"/>
      <c r="M743" s="9"/>
      <c r="N743" s="9"/>
      <c r="O743" s="9"/>
      <c r="Q743" s="9"/>
    </row>
    <row r="744">
      <c r="D744" s="9"/>
      <c r="E744" s="9"/>
      <c r="F744" s="13"/>
      <c r="G744" s="9"/>
      <c r="J744" s="121"/>
      <c r="K744" s="9"/>
      <c r="L744" s="9"/>
      <c r="M744" s="9"/>
      <c r="N744" s="9"/>
      <c r="O744" s="9"/>
      <c r="Q744" s="9"/>
    </row>
    <row r="745">
      <c r="D745" s="9"/>
      <c r="E745" s="9"/>
      <c r="F745" s="13"/>
      <c r="G745" s="9"/>
      <c r="J745" s="121"/>
      <c r="K745" s="9"/>
      <c r="L745" s="9"/>
      <c r="M745" s="9"/>
      <c r="N745" s="9"/>
      <c r="O745" s="9"/>
      <c r="Q745" s="9"/>
    </row>
    <row r="746">
      <c r="D746" s="9"/>
      <c r="E746" s="9"/>
      <c r="F746" s="13"/>
      <c r="G746" s="9"/>
      <c r="J746" s="121"/>
      <c r="K746" s="9"/>
      <c r="L746" s="9"/>
      <c r="M746" s="9"/>
      <c r="N746" s="9"/>
      <c r="O746" s="9"/>
      <c r="Q746" s="9"/>
    </row>
    <row r="747">
      <c r="D747" s="9"/>
      <c r="E747" s="9"/>
      <c r="F747" s="13"/>
      <c r="G747" s="9"/>
      <c r="J747" s="121"/>
      <c r="K747" s="9"/>
      <c r="L747" s="9"/>
      <c r="M747" s="9"/>
      <c r="N747" s="9"/>
      <c r="O747" s="9"/>
      <c r="Q747" s="9"/>
    </row>
    <row r="748">
      <c r="D748" s="9"/>
      <c r="E748" s="9"/>
      <c r="F748" s="13"/>
      <c r="G748" s="9"/>
      <c r="J748" s="121"/>
      <c r="K748" s="9"/>
      <c r="L748" s="9"/>
      <c r="M748" s="9"/>
      <c r="N748" s="9"/>
      <c r="O748" s="9"/>
      <c r="Q748" s="9"/>
    </row>
    <row r="749">
      <c r="D749" s="9"/>
      <c r="E749" s="9"/>
      <c r="F749" s="13"/>
      <c r="G749" s="9"/>
      <c r="J749" s="121"/>
      <c r="K749" s="9"/>
      <c r="L749" s="9"/>
      <c r="M749" s="9"/>
      <c r="N749" s="9"/>
      <c r="O749" s="9"/>
      <c r="Q749" s="9"/>
    </row>
    <row r="750">
      <c r="D750" s="9"/>
      <c r="E750" s="9"/>
      <c r="F750" s="13"/>
      <c r="G750" s="9"/>
      <c r="J750" s="121"/>
      <c r="K750" s="9"/>
      <c r="L750" s="9"/>
      <c r="M750" s="9"/>
      <c r="N750" s="9"/>
      <c r="O750" s="9"/>
      <c r="Q750" s="9"/>
    </row>
    <row r="751">
      <c r="D751" s="9"/>
      <c r="E751" s="9"/>
      <c r="F751" s="13"/>
      <c r="G751" s="9"/>
      <c r="J751" s="121"/>
      <c r="K751" s="9"/>
      <c r="L751" s="9"/>
      <c r="M751" s="9"/>
      <c r="N751" s="9"/>
      <c r="O751" s="9"/>
      <c r="Q751" s="9"/>
    </row>
    <row r="752">
      <c r="D752" s="9"/>
      <c r="E752" s="9"/>
      <c r="F752" s="13"/>
      <c r="G752" s="9"/>
      <c r="J752" s="121"/>
      <c r="K752" s="9"/>
      <c r="L752" s="9"/>
      <c r="M752" s="9"/>
      <c r="N752" s="9"/>
      <c r="O752" s="9"/>
      <c r="Q752" s="9"/>
    </row>
    <row r="753">
      <c r="D753" s="9"/>
      <c r="E753" s="9"/>
      <c r="F753" s="13"/>
      <c r="G753" s="9"/>
      <c r="J753" s="121"/>
      <c r="K753" s="9"/>
      <c r="L753" s="9"/>
      <c r="M753" s="9"/>
      <c r="N753" s="9"/>
      <c r="O753" s="9"/>
      <c r="Q753" s="9"/>
    </row>
    <row r="754">
      <c r="D754" s="9"/>
      <c r="E754" s="9"/>
      <c r="F754" s="13"/>
      <c r="G754" s="9"/>
      <c r="J754" s="121"/>
      <c r="K754" s="9"/>
      <c r="L754" s="9"/>
      <c r="M754" s="9"/>
      <c r="N754" s="9"/>
      <c r="O754" s="9"/>
      <c r="Q754" s="9"/>
    </row>
    <row r="755">
      <c r="D755" s="9"/>
      <c r="E755" s="9"/>
      <c r="F755" s="13"/>
      <c r="G755" s="9"/>
      <c r="J755" s="121"/>
      <c r="K755" s="9"/>
      <c r="L755" s="9"/>
      <c r="M755" s="9"/>
      <c r="N755" s="9"/>
      <c r="O755" s="9"/>
      <c r="Q755" s="9"/>
    </row>
    <row r="756">
      <c r="D756" s="9"/>
      <c r="E756" s="9"/>
      <c r="F756" s="13"/>
      <c r="G756" s="9"/>
      <c r="J756" s="121"/>
      <c r="K756" s="9"/>
      <c r="L756" s="9"/>
      <c r="M756" s="9"/>
      <c r="N756" s="9"/>
      <c r="O756" s="9"/>
      <c r="Q756" s="9"/>
    </row>
    <row r="757">
      <c r="D757" s="9"/>
      <c r="E757" s="9"/>
      <c r="F757" s="13"/>
      <c r="G757" s="9"/>
      <c r="J757" s="121"/>
      <c r="K757" s="9"/>
      <c r="L757" s="9"/>
      <c r="M757" s="9"/>
      <c r="N757" s="9"/>
      <c r="O757" s="9"/>
      <c r="Q757" s="9"/>
    </row>
    <row r="758">
      <c r="D758" s="9"/>
      <c r="E758" s="9"/>
      <c r="F758" s="13"/>
      <c r="G758" s="9"/>
      <c r="J758" s="121"/>
      <c r="K758" s="9"/>
      <c r="L758" s="9"/>
      <c r="M758" s="9"/>
      <c r="N758" s="9"/>
      <c r="O758" s="9"/>
      <c r="Q758" s="9"/>
    </row>
    <row r="759">
      <c r="D759" s="9"/>
      <c r="E759" s="9"/>
      <c r="F759" s="13"/>
      <c r="G759" s="9"/>
      <c r="J759" s="121"/>
      <c r="K759" s="9"/>
      <c r="L759" s="9"/>
      <c r="M759" s="9"/>
      <c r="N759" s="9"/>
      <c r="O759" s="9"/>
      <c r="Q759" s="9"/>
    </row>
    <row r="760">
      <c r="D760" s="9"/>
      <c r="E760" s="9"/>
      <c r="F760" s="13"/>
      <c r="G760" s="9"/>
      <c r="J760" s="121"/>
      <c r="K760" s="9"/>
      <c r="L760" s="9"/>
      <c r="M760" s="9"/>
      <c r="N760" s="9"/>
      <c r="O760" s="9"/>
      <c r="Q760" s="9"/>
    </row>
    <row r="761">
      <c r="D761" s="9"/>
      <c r="E761" s="9"/>
      <c r="F761" s="13"/>
      <c r="G761" s="9"/>
      <c r="J761" s="121"/>
      <c r="K761" s="9"/>
      <c r="L761" s="9"/>
      <c r="M761" s="9"/>
      <c r="N761" s="9"/>
      <c r="O761" s="9"/>
      <c r="Q761" s="9"/>
    </row>
    <row r="762">
      <c r="D762" s="9"/>
      <c r="E762" s="9"/>
      <c r="F762" s="13"/>
      <c r="G762" s="9"/>
      <c r="J762" s="121"/>
      <c r="K762" s="9"/>
      <c r="L762" s="9"/>
      <c r="M762" s="9"/>
      <c r="N762" s="9"/>
      <c r="O762" s="9"/>
      <c r="Q762" s="9"/>
    </row>
    <row r="763">
      <c r="D763" s="9"/>
      <c r="E763" s="9"/>
      <c r="F763" s="13"/>
      <c r="G763" s="9"/>
      <c r="J763" s="121"/>
      <c r="K763" s="9"/>
      <c r="L763" s="9"/>
      <c r="M763" s="9"/>
      <c r="N763" s="9"/>
      <c r="O763" s="9"/>
      <c r="Q763" s="9"/>
    </row>
    <row r="764">
      <c r="D764" s="9"/>
      <c r="E764" s="9"/>
      <c r="F764" s="13"/>
      <c r="G764" s="9"/>
      <c r="J764" s="121"/>
      <c r="K764" s="9"/>
      <c r="L764" s="9"/>
      <c r="M764" s="9"/>
      <c r="N764" s="9"/>
      <c r="O764" s="9"/>
      <c r="Q764" s="9"/>
    </row>
    <row r="765">
      <c r="D765" s="9"/>
      <c r="E765" s="9"/>
      <c r="F765" s="13"/>
      <c r="G765" s="9"/>
      <c r="J765" s="121"/>
      <c r="K765" s="9"/>
      <c r="L765" s="9"/>
      <c r="M765" s="9"/>
      <c r="N765" s="9"/>
      <c r="O765" s="9"/>
      <c r="Q765" s="9"/>
    </row>
    <row r="766">
      <c r="D766" s="9"/>
      <c r="E766" s="9"/>
      <c r="F766" s="13"/>
      <c r="G766" s="9"/>
      <c r="J766" s="121"/>
      <c r="K766" s="9"/>
      <c r="L766" s="9"/>
      <c r="M766" s="9"/>
      <c r="N766" s="9"/>
      <c r="O766" s="9"/>
      <c r="Q766" s="9"/>
    </row>
    <row r="767">
      <c r="D767" s="9"/>
      <c r="E767" s="9"/>
      <c r="F767" s="13"/>
      <c r="G767" s="9"/>
      <c r="J767" s="121"/>
      <c r="K767" s="9"/>
      <c r="L767" s="9"/>
      <c r="M767" s="9"/>
      <c r="N767" s="9"/>
      <c r="O767" s="9"/>
      <c r="Q767" s="9"/>
    </row>
    <row r="768">
      <c r="D768" s="9"/>
      <c r="E768" s="9"/>
      <c r="F768" s="13"/>
      <c r="G768" s="9"/>
      <c r="J768" s="121"/>
      <c r="K768" s="9"/>
      <c r="L768" s="9"/>
      <c r="M768" s="9"/>
      <c r="N768" s="9"/>
      <c r="O768" s="9"/>
      <c r="Q768" s="9"/>
    </row>
    <row r="769">
      <c r="D769" s="9"/>
      <c r="E769" s="9"/>
      <c r="F769" s="13"/>
      <c r="G769" s="9"/>
      <c r="J769" s="121"/>
      <c r="K769" s="9"/>
      <c r="L769" s="9"/>
      <c r="M769" s="9"/>
      <c r="N769" s="9"/>
      <c r="O769" s="9"/>
      <c r="Q769" s="9"/>
    </row>
    <row r="770">
      <c r="D770" s="9"/>
      <c r="E770" s="9"/>
      <c r="F770" s="13"/>
      <c r="G770" s="9"/>
      <c r="J770" s="121"/>
      <c r="K770" s="9"/>
      <c r="L770" s="9"/>
      <c r="M770" s="9"/>
      <c r="N770" s="9"/>
      <c r="O770" s="9"/>
      <c r="Q770" s="9"/>
    </row>
    <row r="771">
      <c r="D771" s="9"/>
      <c r="E771" s="9"/>
      <c r="F771" s="13"/>
      <c r="G771" s="9"/>
      <c r="J771" s="121"/>
      <c r="K771" s="9"/>
      <c r="L771" s="9"/>
      <c r="M771" s="9"/>
      <c r="N771" s="9"/>
      <c r="O771" s="9"/>
      <c r="Q771" s="9"/>
    </row>
    <row r="772">
      <c r="D772" s="9"/>
      <c r="E772" s="9"/>
      <c r="F772" s="13"/>
      <c r="G772" s="9"/>
      <c r="J772" s="121"/>
      <c r="K772" s="9"/>
      <c r="L772" s="9"/>
      <c r="M772" s="9"/>
      <c r="N772" s="9"/>
      <c r="O772" s="9"/>
      <c r="Q772" s="9"/>
    </row>
    <row r="773">
      <c r="D773" s="9"/>
      <c r="E773" s="9"/>
      <c r="F773" s="13"/>
      <c r="G773" s="9"/>
      <c r="J773" s="121"/>
      <c r="K773" s="9"/>
      <c r="L773" s="9"/>
      <c r="M773" s="9"/>
      <c r="N773" s="9"/>
      <c r="O773" s="9"/>
      <c r="Q773" s="9"/>
    </row>
    <row r="774">
      <c r="D774" s="9"/>
      <c r="E774" s="9"/>
      <c r="F774" s="13"/>
      <c r="G774" s="9"/>
      <c r="J774" s="121"/>
      <c r="K774" s="9"/>
      <c r="L774" s="9"/>
      <c r="M774" s="9"/>
      <c r="N774" s="9"/>
      <c r="O774" s="9"/>
      <c r="Q774" s="9"/>
    </row>
    <row r="775">
      <c r="D775" s="9"/>
      <c r="E775" s="9"/>
      <c r="F775" s="13"/>
      <c r="G775" s="9"/>
      <c r="J775" s="121"/>
      <c r="K775" s="9"/>
      <c r="L775" s="9"/>
      <c r="M775" s="9"/>
      <c r="N775" s="9"/>
      <c r="O775" s="9"/>
      <c r="Q775" s="9"/>
    </row>
    <row r="776">
      <c r="D776" s="9"/>
      <c r="E776" s="9"/>
      <c r="F776" s="13"/>
      <c r="G776" s="9"/>
      <c r="J776" s="121"/>
      <c r="K776" s="9"/>
      <c r="L776" s="9"/>
      <c r="M776" s="9"/>
      <c r="N776" s="9"/>
      <c r="O776" s="9"/>
      <c r="Q776" s="9"/>
    </row>
    <row r="777">
      <c r="D777" s="9"/>
      <c r="E777" s="9"/>
      <c r="F777" s="13"/>
      <c r="G777" s="9"/>
      <c r="J777" s="121"/>
      <c r="K777" s="9"/>
      <c r="L777" s="9"/>
      <c r="M777" s="9"/>
      <c r="N777" s="9"/>
      <c r="O777" s="9"/>
      <c r="Q777" s="9"/>
    </row>
    <row r="778">
      <c r="D778" s="9"/>
      <c r="E778" s="9"/>
      <c r="F778" s="13"/>
      <c r="G778" s="9"/>
      <c r="J778" s="121"/>
      <c r="K778" s="9"/>
      <c r="L778" s="9"/>
      <c r="M778" s="9"/>
      <c r="N778" s="9"/>
      <c r="O778" s="9"/>
      <c r="Q778" s="9"/>
    </row>
    <row r="779">
      <c r="D779" s="9"/>
      <c r="E779" s="9"/>
      <c r="F779" s="13"/>
      <c r="G779" s="9"/>
      <c r="J779" s="121"/>
      <c r="K779" s="9"/>
      <c r="L779" s="9"/>
      <c r="M779" s="9"/>
      <c r="N779" s="9"/>
      <c r="O779" s="9"/>
      <c r="Q779" s="9"/>
    </row>
    <row r="780">
      <c r="D780" s="9"/>
      <c r="E780" s="9"/>
      <c r="F780" s="13"/>
      <c r="G780" s="9"/>
      <c r="J780" s="121"/>
      <c r="K780" s="9"/>
      <c r="L780" s="9"/>
      <c r="M780" s="9"/>
      <c r="N780" s="9"/>
      <c r="O780" s="9"/>
      <c r="Q780" s="9"/>
    </row>
    <row r="781">
      <c r="D781" s="9"/>
      <c r="E781" s="9"/>
      <c r="F781" s="13"/>
      <c r="G781" s="9"/>
      <c r="J781" s="121"/>
      <c r="K781" s="9"/>
      <c r="L781" s="9"/>
      <c r="M781" s="9"/>
      <c r="N781" s="9"/>
      <c r="O781" s="9"/>
      <c r="Q781" s="9"/>
    </row>
    <row r="782">
      <c r="D782" s="9"/>
      <c r="E782" s="9"/>
      <c r="F782" s="13"/>
      <c r="G782" s="9"/>
      <c r="J782" s="121"/>
      <c r="K782" s="9"/>
      <c r="L782" s="9"/>
      <c r="M782" s="9"/>
      <c r="N782" s="9"/>
      <c r="O782" s="9"/>
      <c r="Q782" s="9"/>
    </row>
    <row r="783">
      <c r="D783" s="9"/>
      <c r="E783" s="9"/>
      <c r="F783" s="13"/>
      <c r="G783" s="9"/>
      <c r="J783" s="121"/>
      <c r="K783" s="9"/>
      <c r="L783" s="9"/>
      <c r="M783" s="9"/>
      <c r="N783" s="9"/>
      <c r="O783" s="9"/>
      <c r="Q783" s="9"/>
    </row>
    <row r="784">
      <c r="D784" s="9"/>
      <c r="E784" s="9"/>
      <c r="F784" s="13"/>
      <c r="G784" s="9"/>
      <c r="J784" s="121"/>
      <c r="K784" s="9"/>
      <c r="L784" s="9"/>
      <c r="M784" s="9"/>
      <c r="N784" s="9"/>
      <c r="O784" s="9"/>
      <c r="Q784" s="9"/>
    </row>
    <row r="785">
      <c r="D785" s="9"/>
      <c r="E785" s="9"/>
      <c r="F785" s="13"/>
      <c r="G785" s="9"/>
      <c r="J785" s="121"/>
      <c r="K785" s="9"/>
      <c r="L785" s="9"/>
      <c r="M785" s="9"/>
      <c r="N785" s="9"/>
      <c r="O785" s="9"/>
      <c r="Q785" s="9"/>
    </row>
    <row r="786">
      <c r="D786" s="9"/>
      <c r="E786" s="9"/>
      <c r="F786" s="13"/>
      <c r="G786" s="9"/>
      <c r="J786" s="121"/>
      <c r="K786" s="9"/>
      <c r="L786" s="9"/>
      <c r="M786" s="9"/>
      <c r="N786" s="9"/>
      <c r="O786" s="9"/>
      <c r="Q786" s="9"/>
    </row>
    <row r="787">
      <c r="D787" s="9"/>
      <c r="E787" s="9"/>
      <c r="F787" s="13"/>
      <c r="G787" s="9"/>
      <c r="J787" s="121"/>
      <c r="K787" s="9"/>
      <c r="L787" s="9"/>
      <c r="M787" s="9"/>
      <c r="N787" s="9"/>
      <c r="O787" s="9"/>
      <c r="Q787" s="9"/>
    </row>
    <row r="788">
      <c r="D788" s="9"/>
      <c r="E788" s="9"/>
      <c r="F788" s="13"/>
      <c r="G788" s="9"/>
      <c r="J788" s="121"/>
      <c r="K788" s="9"/>
      <c r="L788" s="9"/>
      <c r="M788" s="9"/>
      <c r="N788" s="9"/>
      <c r="O788" s="9"/>
      <c r="Q788" s="9"/>
    </row>
    <row r="789">
      <c r="D789" s="9"/>
      <c r="E789" s="9"/>
      <c r="F789" s="13"/>
      <c r="G789" s="9"/>
      <c r="J789" s="121"/>
      <c r="K789" s="9"/>
      <c r="L789" s="9"/>
      <c r="M789" s="9"/>
      <c r="N789" s="9"/>
      <c r="O789" s="9"/>
      <c r="Q789" s="9"/>
    </row>
    <row r="790">
      <c r="D790" s="9"/>
      <c r="E790" s="9"/>
      <c r="F790" s="13"/>
      <c r="G790" s="9"/>
      <c r="J790" s="121"/>
      <c r="K790" s="9"/>
      <c r="L790" s="9"/>
      <c r="M790" s="9"/>
      <c r="N790" s="9"/>
      <c r="O790" s="9"/>
      <c r="Q790" s="9"/>
    </row>
    <row r="791">
      <c r="D791" s="9"/>
      <c r="E791" s="9"/>
      <c r="F791" s="13"/>
      <c r="G791" s="9"/>
      <c r="J791" s="121"/>
      <c r="K791" s="9"/>
      <c r="L791" s="9"/>
      <c r="M791" s="9"/>
      <c r="N791" s="9"/>
      <c r="O791" s="9"/>
      <c r="Q791" s="9"/>
    </row>
    <row r="792">
      <c r="D792" s="9"/>
      <c r="E792" s="9"/>
      <c r="F792" s="13"/>
      <c r="G792" s="9"/>
      <c r="J792" s="121"/>
      <c r="K792" s="9"/>
      <c r="L792" s="9"/>
      <c r="M792" s="9"/>
      <c r="N792" s="9"/>
      <c r="O792" s="9"/>
      <c r="Q792" s="9"/>
    </row>
    <row r="793">
      <c r="D793" s="9"/>
      <c r="E793" s="9"/>
      <c r="F793" s="13"/>
      <c r="G793" s="9"/>
      <c r="J793" s="121"/>
      <c r="K793" s="9"/>
      <c r="L793" s="9"/>
      <c r="M793" s="9"/>
      <c r="N793" s="9"/>
      <c r="O793" s="9"/>
      <c r="Q793" s="9"/>
    </row>
    <row r="794">
      <c r="D794" s="9"/>
      <c r="E794" s="9"/>
      <c r="F794" s="13"/>
      <c r="G794" s="9"/>
      <c r="J794" s="121"/>
      <c r="K794" s="9"/>
      <c r="L794" s="9"/>
      <c r="M794" s="9"/>
      <c r="N794" s="9"/>
      <c r="O794" s="9"/>
      <c r="Q794" s="9"/>
    </row>
    <row r="795">
      <c r="D795" s="9"/>
      <c r="E795" s="9"/>
      <c r="F795" s="13"/>
      <c r="G795" s="9"/>
      <c r="J795" s="121"/>
      <c r="K795" s="9"/>
      <c r="L795" s="9"/>
      <c r="M795" s="9"/>
      <c r="N795" s="9"/>
      <c r="O795" s="9"/>
      <c r="Q795" s="9"/>
    </row>
    <row r="796">
      <c r="D796" s="9"/>
      <c r="E796" s="9"/>
      <c r="F796" s="13"/>
      <c r="G796" s="9"/>
      <c r="J796" s="121"/>
      <c r="K796" s="9"/>
      <c r="L796" s="9"/>
      <c r="M796" s="9"/>
      <c r="N796" s="9"/>
      <c r="O796" s="9"/>
      <c r="Q796" s="9"/>
    </row>
    <row r="797">
      <c r="D797" s="9"/>
      <c r="E797" s="9"/>
      <c r="F797" s="13"/>
      <c r="G797" s="9"/>
      <c r="J797" s="121"/>
      <c r="K797" s="9"/>
      <c r="L797" s="9"/>
      <c r="M797" s="9"/>
      <c r="N797" s="9"/>
      <c r="O797" s="9"/>
      <c r="Q797" s="9"/>
    </row>
    <row r="798">
      <c r="D798" s="9"/>
      <c r="E798" s="9"/>
      <c r="F798" s="13"/>
      <c r="G798" s="9"/>
      <c r="J798" s="121"/>
      <c r="K798" s="9"/>
      <c r="L798" s="9"/>
      <c r="M798" s="9"/>
      <c r="N798" s="9"/>
      <c r="O798" s="9"/>
      <c r="Q798" s="9"/>
    </row>
    <row r="799">
      <c r="D799" s="9"/>
      <c r="E799" s="9"/>
      <c r="F799" s="13"/>
      <c r="G799" s="9"/>
      <c r="J799" s="121"/>
      <c r="K799" s="9"/>
      <c r="L799" s="9"/>
      <c r="M799" s="9"/>
      <c r="N799" s="9"/>
      <c r="O799" s="9"/>
      <c r="Q799" s="9"/>
    </row>
    <row r="800">
      <c r="D800" s="9"/>
      <c r="E800" s="9"/>
      <c r="F800" s="13"/>
      <c r="G800" s="9"/>
      <c r="J800" s="121"/>
      <c r="K800" s="9"/>
      <c r="L800" s="9"/>
      <c r="M800" s="9"/>
      <c r="N800" s="9"/>
      <c r="O800" s="9"/>
      <c r="Q800" s="9"/>
    </row>
    <row r="801">
      <c r="D801" s="9"/>
      <c r="E801" s="9"/>
      <c r="F801" s="13"/>
      <c r="G801" s="9"/>
      <c r="J801" s="121"/>
      <c r="K801" s="9"/>
      <c r="L801" s="9"/>
      <c r="M801" s="9"/>
      <c r="N801" s="9"/>
      <c r="O801" s="9"/>
      <c r="Q801" s="9"/>
    </row>
    <row r="802">
      <c r="D802" s="9"/>
      <c r="E802" s="9"/>
      <c r="F802" s="13"/>
      <c r="G802" s="9"/>
      <c r="J802" s="121"/>
      <c r="K802" s="9"/>
      <c r="L802" s="9"/>
      <c r="M802" s="9"/>
      <c r="N802" s="9"/>
      <c r="O802" s="9"/>
      <c r="Q802" s="9"/>
    </row>
    <row r="803">
      <c r="D803" s="9"/>
      <c r="E803" s="9"/>
      <c r="F803" s="13"/>
      <c r="G803" s="9"/>
      <c r="J803" s="121"/>
      <c r="K803" s="9"/>
      <c r="L803" s="9"/>
      <c r="M803" s="9"/>
      <c r="N803" s="9"/>
      <c r="O803" s="9"/>
      <c r="Q803" s="9"/>
    </row>
    <row r="804">
      <c r="D804" s="9"/>
      <c r="E804" s="9"/>
      <c r="F804" s="13"/>
      <c r="G804" s="9"/>
      <c r="J804" s="121"/>
      <c r="K804" s="9"/>
      <c r="L804" s="9"/>
      <c r="M804" s="9"/>
      <c r="N804" s="9"/>
      <c r="O804" s="9"/>
      <c r="Q804" s="9"/>
    </row>
    <row r="805">
      <c r="D805" s="9"/>
      <c r="E805" s="9"/>
      <c r="F805" s="13"/>
      <c r="G805" s="9"/>
      <c r="J805" s="121"/>
      <c r="K805" s="9"/>
      <c r="L805" s="9"/>
      <c r="M805" s="9"/>
      <c r="N805" s="9"/>
      <c r="O805" s="9"/>
      <c r="Q805" s="9"/>
    </row>
    <row r="806">
      <c r="D806" s="9"/>
      <c r="E806" s="9"/>
      <c r="F806" s="13"/>
      <c r="G806" s="9"/>
      <c r="J806" s="121"/>
      <c r="K806" s="9"/>
      <c r="L806" s="9"/>
      <c r="M806" s="9"/>
      <c r="N806" s="9"/>
      <c r="O806" s="9"/>
      <c r="Q806" s="9"/>
    </row>
    <row r="807">
      <c r="D807" s="9"/>
      <c r="E807" s="9"/>
      <c r="F807" s="13"/>
      <c r="G807" s="9"/>
      <c r="J807" s="121"/>
      <c r="K807" s="9"/>
      <c r="L807" s="9"/>
      <c r="M807" s="9"/>
      <c r="N807" s="9"/>
      <c r="O807" s="9"/>
      <c r="Q807" s="9"/>
    </row>
    <row r="808">
      <c r="D808" s="9"/>
      <c r="E808" s="9"/>
      <c r="F808" s="13"/>
      <c r="G808" s="9"/>
      <c r="J808" s="121"/>
      <c r="K808" s="9"/>
      <c r="L808" s="9"/>
      <c r="M808" s="9"/>
      <c r="N808" s="9"/>
      <c r="O808" s="9"/>
      <c r="Q808" s="9"/>
    </row>
    <row r="809">
      <c r="D809" s="9"/>
      <c r="E809" s="9"/>
      <c r="F809" s="13"/>
      <c r="G809" s="9"/>
      <c r="J809" s="121"/>
      <c r="K809" s="9"/>
      <c r="L809" s="9"/>
      <c r="M809" s="9"/>
      <c r="N809" s="9"/>
      <c r="O809" s="9"/>
      <c r="Q809" s="9"/>
    </row>
    <row r="810">
      <c r="D810" s="9"/>
      <c r="E810" s="9"/>
      <c r="F810" s="13"/>
      <c r="G810" s="9"/>
      <c r="J810" s="121"/>
      <c r="K810" s="9"/>
      <c r="L810" s="9"/>
      <c r="M810" s="9"/>
      <c r="N810" s="9"/>
      <c r="O810" s="9"/>
      <c r="Q810" s="9"/>
    </row>
    <row r="811">
      <c r="D811" s="9"/>
      <c r="E811" s="9"/>
      <c r="F811" s="13"/>
      <c r="G811" s="9"/>
      <c r="J811" s="121"/>
      <c r="K811" s="9"/>
      <c r="L811" s="9"/>
      <c r="M811" s="9"/>
      <c r="N811" s="9"/>
      <c r="O811" s="9"/>
      <c r="Q811" s="9"/>
    </row>
    <row r="812">
      <c r="D812" s="9"/>
      <c r="E812" s="9"/>
      <c r="F812" s="13"/>
      <c r="G812" s="9"/>
      <c r="J812" s="121"/>
      <c r="K812" s="9"/>
      <c r="L812" s="9"/>
      <c r="M812" s="9"/>
      <c r="N812" s="9"/>
      <c r="O812" s="9"/>
      <c r="Q812" s="9"/>
    </row>
    <row r="813">
      <c r="D813" s="9"/>
      <c r="E813" s="9"/>
      <c r="F813" s="13"/>
      <c r="G813" s="9"/>
      <c r="J813" s="121"/>
      <c r="K813" s="9"/>
      <c r="L813" s="9"/>
      <c r="M813" s="9"/>
      <c r="N813" s="9"/>
      <c r="O813" s="9"/>
      <c r="Q813" s="9"/>
    </row>
    <row r="814">
      <c r="D814" s="9"/>
      <c r="E814" s="9"/>
      <c r="F814" s="13"/>
      <c r="G814" s="9"/>
      <c r="J814" s="121"/>
      <c r="K814" s="9"/>
      <c r="L814" s="9"/>
      <c r="M814" s="9"/>
      <c r="N814" s="9"/>
      <c r="O814" s="9"/>
      <c r="Q814" s="9"/>
    </row>
    <row r="815">
      <c r="D815" s="9"/>
      <c r="E815" s="9"/>
      <c r="F815" s="13"/>
      <c r="G815" s="9"/>
      <c r="J815" s="121"/>
      <c r="K815" s="9"/>
      <c r="L815" s="9"/>
      <c r="M815" s="9"/>
      <c r="N815" s="9"/>
      <c r="O815" s="9"/>
      <c r="Q815" s="9"/>
    </row>
    <row r="816">
      <c r="D816" s="9"/>
      <c r="E816" s="9"/>
      <c r="F816" s="13"/>
      <c r="G816" s="9"/>
      <c r="J816" s="121"/>
      <c r="K816" s="9"/>
      <c r="L816" s="9"/>
      <c r="M816" s="9"/>
      <c r="N816" s="9"/>
      <c r="O816" s="9"/>
      <c r="Q816" s="9"/>
    </row>
    <row r="817">
      <c r="D817" s="9"/>
      <c r="E817" s="9"/>
      <c r="F817" s="13"/>
      <c r="G817" s="9"/>
      <c r="J817" s="121"/>
      <c r="K817" s="9"/>
      <c r="L817" s="9"/>
      <c r="M817" s="9"/>
      <c r="N817" s="9"/>
      <c r="O817" s="9"/>
      <c r="Q817" s="9"/>
    </row>
    <row r="818">
      <c r="D818" s="9"/>
      <c r="E818" s="9"/>
      <c r="F818" s="13"/>
      <c r="G818" s="9"/>
      <c r="J818" s="121"/>
      <c r="K818" s="9"/>
      <c r="L818" s="9"/>
      <c r="M818" s="9"/>
      <c r="N818" s="9"/>
      <c r="O818" s="9"/>
      <c r="Q818" s="9"/>
    </row>
    <row r="819">
      <c r="D819" s="9"/>
      <c r="E819" s="9"/>
      <c r="F819" s="13"/>
      <c r="G819" s="9"/>
      <c r="J819" s="121"/>
      <c r="K819" s="9"/>
      <c r="L819" s="9"/>
      <c r="M819" s="9"/>
      <c r="N819" s="9"/>
      <c r="O819" s="9"/>
      <c r="Q819" s="9"/>
    </row>
    <row r="820">
      <c r="D820" s="9"/>
      <c r="E820" s="9"/>
      <c r="F820" s="13"/>
      <c r="G820" s="9"/>
      <c r="J820" s="121"/>
      <c r="K820" s="9"/>
      <c r="L820" s="9"/>
      <c r="M820" s="9"/>
      <c r="N820" s="9"/>
      <c r="O820" s="9"/>
      <c r="Q820" s="9"/>
    </row>
    <row r="821">
      <c r="D821" s="9"/>
      <c r="E821" s="9"/>
      <c r="F821" s="13"/>
      <c r="G821" s="9"/>
      <c r="J821" s="121"/>
      <c r="K821" s="9"/>
      <c r="L821" s="9"/>
      <c r="M821" s="9"/>
      <c r="N821" s="9"/>
      <c r="O821" s="9"/>
      <c r="Q821" s="9"/>
    </row>
    <row r="822">
      <c r="D822" s="9"/>
      <c r="E822" s="9"/>
      <c r="F822" s="13"/>
      <c r="G822" s="9"/>
      <c r="J822" s="121"/>
      <c r="K822" s="9"/>
      <c r="L822" s="9"/>
      <c r="M822" s="9"/>
      <c r="N822" s="9"/>
      <c r="O822" s="9"/>
      <c r="Q822" s="9"/>
    </row>
    <row r="823">
      <c r="D823" s="9"/>
      <c r="E823" s="9"/>
      <c r="F823" s="13"/>
      <c r="G823" s="9"/>
      <c r="J823" s="121"/>
      <c r="K823" s="9"/>
      <c r="L823" s="9"/>
      <c r="M823" s="9"/>
      <c r="N823" s="9"/>
      <c r="O823" s="9"/>
      <c r="Q823" s="9"/>
    </row>
    <row r="824">
      <c r="D824" s="9"/>
      <c r="E824" s="9"/>
      <c r="F824" s="13"/>
      <c r="G824" s="9"/>
      <c r="J824" s="121"/>
      <c r="K824" s="9"/>
      <c r="L824" s="9"/>
      <c r="M824" s="9"/>
      <c r="N824" s="9"/>
      <c r="O824" s="9"/>
      <c r="Q824" s="9"/>
    </row>
    <row r="825">
      <c r="D825" s="9"/>
      <c r="E825" s="9"/>
      <c r="F825" s="13"/>
      <c r="G825" s="9"/>
      <c r="J825" s="121"/>
      <c r="K825" s="9"/>
      <c r="L825" s="9"/>
      <c r="M825" s="9"/>
      <c r="N825" s="9"/>
      <c r="O825" s="9"/>
      <c r="Q825" s="9"/>
    </row>
    <row r="826">
      <c r="D826" s="9"/>
      <c r="E826" s="9"/>
      <c r="F826" s="13"/>
      <c r="G826" s="9"/>
      <c r="J826" s="121"/>
      <c r="K826" s="9"/>
      <c r="L826" s="9"/>
      <c r="M826" s="9"/>
      <c r="N826" s="9"/>
      <c r="O826" s="9"/>
      <c r="Q826" s="9"/>
    </row>
    <row r="827">
      <c r="D827" s="9"/>
      <c r="E827" s="9"/>
      <c r="F827" s="13"/>
      <c r="G827" s="9"/>
      <c r="J827" s="121"/>
      <c r="K827" s="9"/>
      <c r="L827" s="9"/>
      <c r="M827" s="9"/>
      <c r="N827" s="9"/>
      <c r="O827" s="9"/>
      <c r="Q827" s="9"/>
    </row>
    <row r="828">
      <c r="D828" s="9"/>
      <c r="E828" s="9"/>
      <c r="F828" s="13"/>
      <c r="G828" s="9"/>
      <c r="J828" s="121"/>
      <c r="K828" s="9"/>
      <c r="L828" s="9"/>
      <c r="M828" s="9"/>
      <c r="N828" s="9"/>
      <c r="O828" s="9"/>
      <c r="Q828" s="9"/>
    </row>
    <row r="829">
      <c r="D829" s="9"/>
      <c r="E829" s="9"/>
      <c r="F829" s="13"/>
      <c r="G829" s="9"/>
      <c r="J829" s="121"/>
      <c r="K829" s="9"/>
      <c r="L829" s="9"/>
      <c r="M829" s="9"/>
      <c r="N829" s="9"/>
      <c r="O829" s="9"/>
      <c r="Q829" s="9"/>
    </row>
    <row r="830">
      <c r="D830" s="9"/>
      <c r="E830" s="9"/>
      <c r="F830" s="13"/>
      <c r="G830" s="9"/>
      <c r="J830" s="121"/>
      <c r="K830" s="9"/>
      <c r="L830" s="9"/>
      <c r="M830" s="9"/>
      <c r="N830" s="9"/>
      <c r="O830" s="9"/>
      <c r="Q830" s="9"/>
    </row>
    <row r="831">
      <c r="D831" s="9"/>
      <c r="E831" s="9"/>
      <c r="F831" s="13"/>
      <c r="G831" s="9"/>
      <c r="J831" s="121"/>
      <c r="K831" s="9"/>
      <c r="L831" s="9"/>
      <c r="M831" s="9"/>
      <c r="N831" s="9"/>
      <c r="O831" s="9"/>
      <c r="Q831" s="9"/>
    </row>
    <row r="832">
      <c r="D832" s="9"/>
      <c r="E832" s="9"/>
      <c r="F832" s="13"/>
      <c r="G832" s="9"/>
      <c r="J832" s="121"/>
      <c r="K832" s="9"/>
      <c r="L832" s="9"/>
      <c r="M832" s="9"/>
      <c r="N832" s="9"/>
      <c r="O832" s="9"/>
      <c r="Q832" s="9"/>
    </row>
    <row r="833">
      <c r="D833" s="9"/>
      <c r="E833" s="9"/>
      <c r="F833" s="13"/>
      <c r="G833" s="9"/>
      <c r="J833" s="121"/>
      <c r="K833" s="9"/>
      <c r="L833" s="9"/>
      <c r="M833" s="9"/>
      <c r="N833" s="9"/>
      <c r="O833" s="9"/>
      <c r="Q833" s="9"/>
    </row>
    <row r="834">
      <c r="D834" s="9"/>
      <c r="E834" s="9"/>
      <c r="F834" s="13"/>
      <c r="G834" s="9"/>
      <c r="J834" s="121"/>
      <c r="K834" s="9"/>
      <c r="L834" s="9"/>
      <c r="M834" s="9"/>
      <c r="N834" s="9"/>
      <c r="O834" s="9"/>
      <c r="Q834" s="9"/>
    </row>
    <row r="835">
      <c r="D835" s="9"/>
      <c r="E835" s="9"/>
      <c r="F835" s="13"/>
      <c r="G835" s="9"/>
      <c r="J835" s="121"/>
      <c r="K835" s="9"/>
      <c r="L835" s="9"/>
      <c r="M835" s="9"/>
      <c r="N835" s="9"/>
      <c r="O835" s="9"/>
      <c r="Q835" s="9"/>
    </row>
    <row r="836">
      <c r="D836" s="9"/>
      <c r="E836" s="9"/>
      <c r="F836" s="13"/>
      <c r="G836" s="9"/>
      <c r="J836" s="121"/>
      <c r="K836" s="9"/>
      <c r="L836" s="9"/>
      <c r="M836" s="9"/>
      <c r="N836" s="9"/>
      <c r="O836" s="9"/>
      <c r="Q836" s="9"/>
    </row>
    <row r="837">
      <c r="D837" s="9"/>
      <c r="E837" s="9"/>
      <c r="F837" s="13"/>
      <c r="G837" s="9"/>
      <c r="J837" s="121"/>
      <c r="K837" s="9"/>
      <c r="L837" s="9"/>
      <c r="M837" s="9"/>
      <c r="N837" s="9"/>
      <c r="O837" s="9"/>
      <c r="Q837" s="9"/>
    </row>
    <row r="838">
      <c r="D838" s="9"/>
      <c r="E838" s="9"/>
      <c r="F838" s="13"/>
      <c r="G838" s="9"/>
      <c r="J838" s="121"/>
      <c r="K838" s="9"/>
      <c r="L838" s="9"/>
      <c r="M838" s="9"/>
      <c r="N838" s="9"/>
      <c r="O838" s="9"/>
      <c r="Q838" s="9"/>
    </row>
    <row r="839">
      <c r="D839" s="9"/>
      <c r="E839" s="9"/>
      <c r="F839" s="13"/>
      <c r="G839" s="9"/>
      <c r="J839" s="121"/>
      <c r="K839" s="9"/>
      <c r="L839" s="9"/>
      <c r="M839" s="9"/>
      <c r="N839" s="9"/>
      <c r="O839" s="9"/>
      <c r="Q839" s="9"/>
    </row>
    <row r="840">
      <c r="D840" s="9"/>
      <c r="E840" s="9"/>
      <c r="F840" s="13"/>
      <c r="G840" s="9"/>
      <c r="J840" s="121"/>
      <c r="K840" s="9"/>
      <c r="L840" s="9"/>
      <c r="M840" s="9"/>
      <c r="N840" s="9"/>
      <c r="O840" s="9"/>
      <c r="Q840" s="9"/>
    </row>
    <row r="841">
      <c r="D841" s="9"/>
      <c r="E841" s="9"/>
      <c r="F841" s="13"/>
      <c r="G841" s="9"/>
      <c r="J841" s="121"/>
      <c r="K841" s="9"/>
      <c r="L841" s="9"/>
      <c r="M841" s="9"/>
      <c r="N841" s="9"/>
      <c r="O841" s="9"/>
      <c r="Q841" s="9"/>
    </row>
    <row r="842">
      <c r="D842" s="9"/>
      <c r="E842" s="9"/>
      <c r="F842" s="13"/>
      <c r="G842" s="9"/>
      <c r="J842" s="121"/>
      <c r="K842" s="9"/>
      <c r="L842" s="9"/>
      <c r="M842" s="9"/>
      <c r="N842" s="9"/>
      <c r="O842" s="9"/>
      <c r="Q842" s="9"/>
    </row>
    <row r="843">
      <c r="D843" s="9"/>
      <c r="E843" s="9"/>
      <c r="F843" s="13"/>
      <c r="G843" s="9"/>
      <c r="J843" s="121"/>
      <c r="K843" s="9"/>
      <c r="L843" s="9"/>
      <c r="M843" s="9"/>
      <c r="N843" s="9"/>
      <c r="O843" s="9"/>
      <c r="Q843" s="9"/>
    </row>
    <row r="844">
      <c r="D844" s="9"/>
      <c r="E844" s="9"/>
      <c r="F844" s="13"/>
      <c r="G844" s="9"/>
      <c r="J844" s="121"/>
      <c r="K844" s="9"/>
      <c r="L844" s="9"/>
      <c r="M844" s="9"/>
      <c r="N844" s="9"/>
      <c r="O844" s="9"/>
      <c r="Q844" s="9"/>
    </row>
    <row r="845">
      <c r="D845" s="9"/>
      <c r="E845" s="9"/>
      <c r="F845" s="13"/>
      <c r="G845" s="9"/>
      <c r="J845" s="121"/>
      <c r="K845" s="9"/>
      <c r="L845" s="9"/>
      <c r="M845" s="9"/>
      <c r="N845" s="9"/>
      <c r="O845" s="9"/>
      <c r="Q845" s="9"/>
    </row>
    <row r="846">
      <c r="D846" s="9"/>
      <c r="E846" s="9"/>
      <c r="F846" s="13"/>
      <c r="G846" s="9"/>
      <c r="J846" s="121"/>
      <c r="K846" s="9"/>
      <c r="L846" s="9"/>
      <c r="M846" s="9"/>
      <c r="N846" s="9"/>
      <c r="O846" s="9"/>
      <c r="Q846" s="9"/>
    </row>
    <row r="847">
      <c r="D847" s="9"/>
      <c r="E847" s="9"/>
      <c r="F847" s="13"/>
      <c r="G847" s="9"/>
      <c r="J847" s="121"/>
      <c r="K847" s="9"/>
      <c r="L847" s="9"/>
      <c r="M847" s="9"/>
      <c r="N847" s="9"/>
      <c r="O847" s="9"/>
      <c r="Q847" s="9"/>
    </row>
    <row r="848">
      <c r="D848" s="9"/>
      <c r="E848" s="9"/>
      <c r="F848" s="13"/>
      <c r="G848" s="9"/>
      <c r="J848" s="121"/>
      <c r="K848" s="9"/>
      <c r="L848" s="9"/>
      <c r="M848" s="9"/>
      <c r="N848" s="9"/>
      <c r="O848" s="9"/>
      <c r="Q848" s="9"/>
    </row>
    <row r="849">
      <c r="D849" s="9"/>
      <c r="E849" s="9"/>
      <c r="F849" s="13"/>
      <c r="G849" s="9"/>
      <c r="J849" s="121"/>
      <c r="K849" s="9"/>
      <c r="L849" s="9"/>
      <c r="M849" s="9"/>
      <c r="N849" s="9"/>
      <c r="O849" s="9"/>
      <c r="Q849" s="9"/>
    </row>
    <row r="850">
      <c r="D850" s="9"/>
      <c r="E850" s="9"/>
      <c r="F850" s="13"/>
      <c r="G850" s="9"/>
      <c r="J850" s="121"/>
      <c r="K850" s="9"/>
      <c r="L850" s="9"/>
      <c r="M850" s="9"/>
      <c r="N850" s="9"/>
      <c r="O850" s="9"/>
      <c r="Q850" s="9"/>
    </row>
    <row r="851">
      <c r="D851" s="9"/>
      <c r="E851" s="9"/>
      <c r="F851" s="13"/>
      <c r="G851" s="9"/>
      <c r="J851" s="121"/>
      <c r="K851" s="9"/>
      <c r="L851" s="9"/>
      <c r="M851" s="9"/>
      <c r="N851" s="9"/>
      <c r="O851" s="9"/>
      <c r="Q851" s="9"/>
    </row>
    <row r="852">
      <c r="D852" s="9"/>
      <c r="E852" s="9"/>
      <c r="F852" s="13"/>
      <c r="G852" s="9"/>
      <c r="J852" s="121"/>
      <c r="K852" s="9"/>
      <c r="L852" s="9"/>
      <c r="M852" s="9"/>
      <c r="N852" s="9"/>
      <c r="O852" s="9"/>
      <c r="Q852" s="9"/>
    </row>
    <row r="853">
      <c r="D853" s="9"/>
      <c r="E853" s="9"/>
      <c r="F853" s="13"/>
      <c r="G853" s="9"/>
      <c r="J853" s="121"/>
      <c r="K853" s="9"/>
      <c r="L853" s="9"/>
      <c r="M853" s="9"/>
      <c r="N853" s="9"/>
      <c r="O853" s="9"/>
      <c r="Q853" s="9"/>
    </row>
    <row r="854">
      <c r="D854" s="9"/>
      <c r="E854" s="9"/>
      <c r="F854" s="13"/>
      <c r="G854" s="9"/>
      <c r="J854" s="121"/>
      <c r="K854" s="9"/>
      <c r="L854" s="9"/>
      <c r="M854" s="9"/>
      <c r="N854" s="9"/>
      <c r="O854" s="9"/>
      <c r="Q854" s="9"/>
    </row>
    <row r="855">
      <c r="D855" s="9"/>
      <c r="E855" s="9"/>
      <c r="F855" s="13"/>
      <c r="G855" s="9"/>
      <c r="J855" s="121"/>
      <c r="K855" s="9"/>
      <c r="L855" s="9"/>
      <c r="M855" s="9"/>
      <c r="N855" s="9"/>
      <c r="O855" s="9"/>
      <c r="Q855" s="9"/>
    </row>
    <row r="856">
      <c r="D856" s="9"/>
      <c r="E856" s="9"/>
      <c r="F856" s="13"/>
      <c r="G856" s="9"/>
      <c r="J856" s="121"/>
      <c r="K856" s="9"/>
      <c r="L856" s="9"/>
      <c r="M856" s="9"/>
      <c r="N856" s="9"/>
      <c r="O856" s="9"/>
      <c r="Q856" s="9"/>
    </row>
    <row r="857">
      <c r="D857" s="9"/>
      <c r="E857" s="9"/>
      <c r="F857" s="13"/>
      <c r="G857" s="9"/>
      <c r="J857" s="121"/>
      <c r="K857" s="9"/>
      <c r="L857" s="9"/>
      <c r="M857" s="9"/>
      <c r="N857" s="9"/>
      <c r="O857" s="9"/>
      <c r="Q857" s="9"/>
    </row>
    <row r="858">
      <c r="D858" s="9"/>
      <c r="E858" s="9"/>
      <c r="F858" s="13"/>
      <c r="G858" s="9"/>
      <c r="J858" s="121"/>
      <c r="K858" s="9"/>
      <c r="L858" s="9"/>
      <c r="M858" s="9"/>
      <c r="N858" s="9"/>
      <c r="O858" s="9"/>
      <c r="Q858" s="9"/>
    </row>
    <row r="859">
      <c r="D859" s="9"/>
      <c r="E859" s="9"/>
      <c r="F859" s="13"/>
      <c r="G859" s="9"/>
      <c r="J859" s="121"/>
      <c r="K859" s="9"/>
      <c r="L859" s="9"/>
      <c r="M859" s="9"/>
      <c r="N859" s="9"/>
      <c r="O859" s="9"/>
      <c r="Q859" s="9"/>
    </row>
    <row r="860">
      <c r="D860" s="9"/>
      <c r="E860" s="9"/>
      <c r="F860" s="13"/>
      <c r="G860" s="9"/>
      <c r="J860" s="121"/>
      <c r="K860" s="9"/>
      <c r="L860" s="9"/>
      <c r="M860" s="9"/>
      <c r="N860" s="9"/>
      <c r="O860" s="9"/>
      <c r="Q860" s="9"/>
    </row>
    <row r="861">
      <c r="D861" s="9"/>
      <c r="E861" s="9"/>
      <c r="F861" s="13"/>
      <c r="G861" s="9"/>
      <c r="J861" s="121"/>
      <c r="K861" s="9"/>
      <c r="L861" s="9"/>
      <c r="M861" s="9"/>
      <c r="N861" s="9"/>
      <c r="O861" s="9"/>
      <c r="Q861" s="9"/>
    </row>
    <row r="862">
      <c r="D862" s="9"/>
      <c r="E862" s="9"/>
      <c r="F862" s="13"/>
      <c r="G862" s="9"/>
      <c r="J862" s="121"/>
      <c r="K862" s="9"/>
      <c r="L862" s="9"/>
      <c r="M862" s="9"/>
      <c r="N862" s="9"/>
      <c r="O862" s="9"/>
      <c r="Q862" s="9"/>
    </row>
    <row r="863">
      <c r="D863" s="9"/>
      <c r="E863" s="9"/>
      <c r="F863" s="13"/>
      <c r="G863" s="9"/>
      <c r="J863" s="121"/>
      <c r="K863" s="9"/>
      <c r="L863" s="9"/>
      <c r="M863" s="9"/>
      <c r="N863" s="9"/>
      <c r="O863" s="9"/>
      <c r="Q863" s="9"/>
    </row>
    <row r="864">
      <c r="D864" s="9"/>
      <c r="E864" s="9"/>
      <c r="F864" s="13"/>
      <c r="G864" s="9"/>
      <c r="J864" s="121"/>
      <c r="K864" s="9"/>
      <c r="L864" s="9"/>
      <c r="M864" s="9"/>
      <c r="N864" s="9"/>
      <c r="O864" s="9"/>
      <c r="Q864" s="9"/>
    </row>
    <row r="865">
      <c r="D865" s="9"/>
      <c r="E865" s="9"/>
      <c r="F865" s="13"/>
      <c r="G865" s="9"/>
      <c r="J865" s="121"/>
      <c r="K865" s="9"/>
      <c r="L865" s="9"/>
      <c r="M865" s="9"/>
      <c r="N865" s="9"/>
      <c r="O865" s="9"/>
      <c r="Q865" s="9"/>
    </row>
    <row r="866">
      <c r="D866" s="9"/>
      <c r="E866" s="9"/>
      <c r="F866" s="13"/>
      <c r="G866" s="9"/>
      <c r="J866" s="121"/>
      <c r="K866" s="9"/>
      <c r="L866" s="9"/>
      <c r="M866" s="9"/>
      <c r="N866" s="9"/>
      <c r="O866" s="9"/>
      <c r="Q866" s="9"/>
    </row>
    <row r="867">
      <c r="D867" s="9"/>
      <c r="E867" s="9"/>
      <c r="F867" s="13"/>
      <c r="G867" s="9"/>
      <c r="J867" s="121"/>
      <c r="K867" s="9"/>
      <c r="L867" s="9"/>
      <c r="M867" s="9"/>
      <c r="N867" s="9"/>
      <c r="O867" s="9"/>
      <c r="Q867" s="9"/>
    </row>
    <row r="868">
      <c r="D868" s="9"/>
      <c r="E868" s="9"/>
      <c r="F868" s="13"/>
      <c r="G868" s="9"/>
      <c r="J868" s="121"/>
      <c r="K868" s="9"/>
      <c r="L868" s="9"/>
      <c r="M868" s="9"/>
      <c r="N868" s="9"/>
      <c r="O868" s="9"/>
      <c r="Q868" s="9"/>
    </row>
    <row r="869">
      <c r="D869" s="9"/>
      <c r="E869" s="9"/>
      <c r="F869" s="13"/>
      <c r="G869" s="9"/>
      <c r="J869" s="121"/>
      <c r="K869" s="9"/>
      <c r="L869" s="9"/>
      <c r="M869" s="9"/>
      <c r="N869" s="9"/>
      <c r="O869" s="9"/>
      <c r="Q869" s="9"/>
    </row>
    <row r="870">
      <c r="D870" s="9"/>
      <c r="E870" s="9"/>
      <c r="F870" s="13"/>
      <c r="G870" s="9"/>
      <c r="J870" s="121"/>
      <c r="K870" s="9"/>
      <c r="L870" s="9"/>
      <c r="M870" s="9"/>
      <c r="N870" s="9"/>
      <c r="O870" s="9"/>
      <c r="Q870" s="9"/>
    </row>
    <row r="871">
      <c r="D871" s="9"/>
      <c r="E871" s="9"/>
      <c r="F871" s="13"/>
      <c r="G871" s="9"/>
      <c r="J871" s="121"/>
      <c r="K871" s="9"/>
      <c r="L871" s="9"/>
      <c r="M871" s="9"/>
      <c r="N871" s="9"/>
      <c r="O871" s="9"/>
      <c r="Q871" s="9"/>
    </row>
    <row r="872">
      <c r="D872" s="9"/>
      <c r="E872" s="9"/>
      <c r="F872" s="13"/>
      <c r="G872" s="9"/>
      <c r="J872" s="121"/>
      <c r="K872" s="9"/>
      <c r="L872" s="9"/>
      <c r="M872" s="9"/>
      <c r="N872" s="9"/>
      <c r="O872" s="9"/>
      <c r="Q872" s="9"/>
    </row>
    <row r="873">
      <c r="D873" s="9"/>
      <c r="E873" s="9"/>
      <c r="F873" s="13"/>
      <c r="G873" s="9"/>
      <c r="J873" s="121"/>
      <c r="K873" s="9"/>
      <c r="L873" s="9"/>
      <c r="M873" s="9"/>
      <c r="N873" s="9"/>
      <c r="O873" s="9"/>
      <c r="Q873" s="9"/>
    </row>
    <row r="874">
      <c r="D874" s="9"/>
      <c r="E874" s="9"/>
      <c r="F874" s="13"/>
      <c r="G874" s="9"/>
      <c r="J874" s="121"/>
      <c r="K874" s="9"/>
      <c r="L874" s="9"/>
      <c r="M874" s="9"/>
      <c r="N874" s="9"/>
      <c r="O874" s="9"/>
      <c r="Q874" s="9"/>
    </row>
    <row r="875">
      <c r="D875" s="9"/>
      <c r="E875" s="9"/>
      <c r="F875" s="13"/>
      <c r="G875" s="9"/>
      <c r="J875" s="121"/>
      <c r="K875" s="9"/>
      <c r="L875" s="9"/>
      <c r="M875" s="9"/>
      <c r="N875" s="9"/>
      <c r="O875" s="9"/>
      <c r="Q875" s="9"/>
    </row>
    <row r="876">
      <c r="D876" s="9"/>
      <c r="E876" s="9"/>
      <c r="F876" s="13"/>
      <c r="G876" s="9"/>
      <c r="J876" s="121"/>
      <c r="K876" s="9"/>
      <c r="L876" s="9"/>
      <c r="M876" s="9"/>
      <c r="N876" s="9"/>
      <c r="O876" s="9"/>
      <c r="Q876" s="9"/>
    </row>
    <row r="877">
      <c r="D877" s="9"/>
      <c r="E877" s="9"/>
      <c r="F877" s="13"/>
      <c r="G877" s="9"/>
      <c r="J877" s="121"/>
      <c r="K877" s="9"/>
      <c r="L877" s="9"/>
      <c r="M877" s="9"/>
      <c r="N877" s="9"/>
      <c r="O877" s="9"/>
      <c r="Q877" s="9"/>
    </row>
    <row r="878">
      <c r="D878" s="9"/>
      <c r="E878" s="9"/>
      <c r="F878" s="13"/>
      <c r="G878" s="9"/>
      <c r="J878" s="121"/>
      <c r="K878" s="9"/>
      <c r="L878" s="9"/>
      <c r="M878" s="9"/>
      <c r="N878" s="9"/>
      <c r="O878" s="9"/>
      <c r="Q878" s="9"/>
    </row>
    <row r="879">
      <c r="D879" s="9"/>
      <c r="E879" s="9"/>
      <c r="F879" s="13"/>
      <c r="G879" s="9"/>
      <c r="J879" s="121"/>
      <c r="K879" s="9"/>
      <c r="L879" s="9"/>
      <c r="M879" s="9"/>
      <c r="N879" s="9"/>
      <c r="O879" s="9"/>
      <c r="Q879" s="9"/>
    </row>
    <row r="880">
      <c r="D880" s="9"/>
      <c r="E880" s="9"/>
      <c r="F880" s="13"/>
      <c r="G880" s="9"/>
      <c r="J880" s="121"/>
      <c r="K880" s="9"/>
      <c r="L880" s="9"/>
      <c r="M880" s="9"/>
      <c r="N880" s="9"/>
      <c r="O880" s="9"/>
      <c r="Q880" s="9"/>
    </row>
    <row r="881">
      <c r="D881" s="9"/>
      <c r="E881" s="9"/>
      <c r="F881" s="13"/>
      <c r="G881" s="9"/>
      <c r="J881" s="121"/>
      <c r="K881" s="9"/>
      <c r="L881" s="9"/>
      <c r="M881" s="9"/>
      <c r="N881" s="9"/>
      <c r="O881" s="9"/>
      <c r="Q881" s="9"/>
    </row>
    <row r="882">
      <c r="D882" s="9"/>
      <c r="E882" s="9"/>
      <c r="F882" s="13"/>
      <c r="G882" s="9"/>
      <c r="J882" s="121"/>
      <c r="K882" s="9"/>
      <c r="L882" s="9"/>
      <c r="M882" s="9"/>
      <c r="N882" s="9"/>
      <c r="O882" s="9"/>
      <c r="Q882" s="9"/>
    </row>
    <row r="883">
      <c r="D883" s="9"/>
      <c r="E883" s="9"/>
      <c r="F883" s="13"/>
      <c r="G883" s="9"/>
      <c r="J883" s="121"/>
      <c r="K883" s="9"/>
      <c r="L883" s="9"/>
      <c r="M883" s="9"/>
      <c r="N883" s="9"/>
      <c r="O883" s="9"/>
      <c r="Q883" s="9"/>
    </row>
    <row r="884">
      <c r="D884" s="9"/>
      <c r="E884" s="9"/>
      <c r="F884" s="13"/>
      <c r="G884" s="9"/>
      <c r="J884" s="121"/>
      <c r="K884" s="9"/>
      <c r="L884" s="9"/>
      <c r="M884" s="9"/>
      <c r="N884" s="9"/>
      <c r="O884" s="9"/>
      <c r="Q884" s="9"/>
    </row>
    <row r="885">
      <c r="D885" s="9"/>
      <c r="E885" s="9"/>
      <c r="F885" s="13"/>
      <c r="G885" s="9"/>
      <c r="J885" s="121"/>
      <c r="K885" s="9"/>
      <c r="L885" s="9"/>
      <c r="M885" s="9"/>
      <c r="N885" s="9"/>
      <c r="O885" s="9"/>
      <c r="Q885" s="9"/>
    </row>
    <row r="886">
      <c r="D886" s="9"/>
      <c r="E886" s="9"/>
      <c r="F886" s="13"/>
      <c r="G886" s="9"/>
      <c r="J886" s="121"/>
      <c r="K886" s="9"/>
      <c r="L886" s="9"/>
      <c r="M886" s="9"/>
      <c r="N886" s="9"/>
      <c r="O886" s="9"/>
      <c r="Q886" s="9"/>
    </row>
    <row r="887">
      <c r="D887" s="9"/>
      <c r="E887" s="9"/>
      <c r="F887" s="13"/>
      <c r="G887" s="9"/>
      <c r="J887" s="121"/>
      <c r="K887" s="9"/>
      <c r="L887" s="9"/>
      <c r="M887" s="9"/>
      <c r="N887" s="9"/>
      <c r="O887" s="9"/>
      <c r="Q887" s="9"/>
    </row>
    <row r="888">
      <c r="D888" s="9"/>
      <c r="E888" s="9"/>
      <c r="F888" s="13"/>
      <c r="G888" s="9"/>
      <c r="J888" s="121"/>
      <c r="K888" s="9"/>
      <c r="L888" s="9"/>
      <c r="M888" s="9"/>
      <c r="N888" s="9"/>
      <c r="O888" s="9"/>
      <c r="Q888" s="9"/>
    </row>
    <row r="889">
      <c r="D889" s="9"/>
      <c r="E889" s="9"/>
      <c r="F889" s="13"/>
      <c r="G889" s="9"/>
      <c r="J889" s="121"/>
      <c r="K889" s="9"/>
      <c r="L889" s="9"/>
      <c r="M889" s="9"/>
      <c r="N889" s="9"/>
      <c r="O889" s="9"/>
      <c r="Q889" s="9"/>
    </row>
    <row r="890">
      <c r="D890" s="9"/>
      <c r="E890" s="9"/>
      <c r="F890" s="13"/>
      <c r="G890" s="9"/>
      <c r="J890" s="121"/>
      <c r="K890" s="9"/>
      <c r="L890" s="9"/>
      <c r="M890" s="9"/>
      <c r="N890" s="9"/>
      <c r="O890" s="9"/>
      <c r="Q890" s="9"/>
    </row>
    <row r="891">
      <c r="D891" s="9"/>
      <c r="E891" s="9"/>
      <c r="F891" s="13"/>
      <c r="G891" s="9"/>
      <c r="J891" s="121"/>
      <c r="K891" s="9"/>
      <c r="L891" s="9"/>
      <c r="M891" s="9"/>
      <c r="N891" s="9"/>
      <c r="O891" s="9"/>
      <c r="Q891" s="9"/>
    </row>
    <row r="892">
      <c r="D892" s="9"/>
      <c r="E892" s="9"/>
      <c r="F892" s="13"/>
      <c r="G892" s="9"/>
      <c r="J892" s="121"/>
      <c r="K892" s="9"/>
      <c r="L892" s="9"/>
      <c r="M892" s="9"/>
      <c r="N892" s="9"/>
      <c r="O892" s="9"/>
      <c r="Q892" s="9"/>
    </row>
    <row r="893">
      <c r="D893" s="9"/>
      <c r="E893" s="9"/>
      <c r="F893" s="13"/>
      <c r="G893" s="9"/>
      <c r="J893" s="121"/>
      <c r="K893" s="9"/>
      <c r="L893" s="9"/>
      <c r="M893" s="9"/>
      <c r="N893" s="9"/>
      <c r="O893" s="9"/>
      <c r="Q893" s="9"/>
    </row>
    <row r="894">
      <c r="D894" s="9"/>
      <c r="E894" s="9"/>
      <c r="F894" s="13"/>
      <c r="G894" s="9"/>
      <c r="J894" s="121"/>
      <c r="K894" s="9"/>
      <c r="L894" s="9"/>
      <c r="M894" s="9"/>
      <c r="N894" s="9"/>
      <c r="O894" s="9"/>
      <c r="Q894" s="9"/>
    </row>
    <row r="895">
      <c r="D895" s="9"/>
      <c r="E895" s="9"/>
      <c r="F895" s="13"/>
      <c r="G895" s="9"/>
      <c r="J895" s="121"/>
      <c r="K895" s="9"/>
      <c r="L895" s="9"/>
      <c r="M895" s="9"/>
      <c r="N895" s="9"/>
      <c r="O895" s="9"/>
      <c r="Q895" s="9"/>
    </row>
    <row r="896">
      <c r="D896" s="9"/>
      <c r="E896" s="9"/>
      <c r="F896" s="13"/>
      <c r="G896" s="9"/>
      <c r="J896" s="121"/>
      <c r="K896" s="9"/>
      <c r="L896" s="9"/>
      <c r="M896" s="9"/>
      <c r="N896" s="9"/>
      <c r="O896" s="9"/>
      <c r="Q896" s="9"/>
    </row>
    <row r="897">
      <c r="D897" s="9"/>
      <c r="E897" s="9"/>
      <c r="F897" s="13"/>
      <c r="G897" s="9"/>
      <c r="J897" s="121"/>
      <c r="K897" s="9"/>
      <c r="L897" s="9"/>
      <c r="M897" s="9"/>
      <c r="N897" s="9"/>
      <c r="O897" s="9"/>
      <c r="Q897" s="9"/>
    </row>
    <row r="898">
      <c r="D898" s="9"/>
      <c r="E898" s="9"/>
      <c r="F898" s="13"/>
      <c r="G898" s="9"/>
      <c r="J898" s="121"/>
      <c r="K898" s="9"/>
      <c r="L898" s="9"/>
      <c r="M898" s="9"/>
      <c r="N898" s="9"/>
      <c r="O898" s="9"/>
      <c r="Q898" s="9"/>
    </row>
    <row r="899">
      <c r="D899" s="9"/>
      <c r="E899" s="9"/>
      <c r="F899" s="13"/>
      <c r="G899" s="9"/>
      <c r="J899" s="121"/>
      <c r="K899" s="9"/>
      <c r="L899" s="9"/>
      <c r="M899" s="9"/>
      <c r="N899" s="9"/>
      <c r="O899" s="9"/>
      <c r="Q899" s="9"/>
    </row>
    <row r="900">
      <c r="D900" s="9"/>
      <c r="E900" s="9"/>
      <c r="F900" s="13"/>
      <c r="G900" s="9"/>
      <c r="J900" s="121"/>
      <c r="K900" s="9"/>
      <c r="L900" s="9"/>
      <c r="M900" s="9"/>
      <c r="N900" s="9"/>
      <c r="O900" s="9"/>
      <c r="Q900" s="9"/>
    </row>
    <row r="901">
      <c r="D901" s="9"/>
      <c r="E901" s="9"/>
      <c r="F901" s="13"/>
      <c r="G901" s="9"/>
      <c r="J901" s="121"/>
      <c r="K901" s="9"/>
      <c r="L901" s="9"/>
      <c r="M901" s="9"/>
      <c r="N901" s="9"/>
      <c r="O901" s="9"/>
      <c r="Q901" s="9"/>
    </row>
    <row r="902">
      <c r="D902" s="9"/>
      <c r="E902" s="9"/>
      <c r="F902" s="13"/>
      <c r="G902" s="9"/>
      <c r="J902" s="121"/>
      <c r="K902" s="9"/>
      <c r="L902" s="9"/>
      <c r="M902" s="9"/>
      <c r="N902" s="9"/>
      <c r="O902" s="9"/>
      <c r="Q902" s="9"/>
    </row>
    <row r="903">
      <c r="D903" s="9"/>
      <c r="E903" s="9"/>
      <c r="F903" s="13"/>
      <c r="G903" s="9"/>
      <c r="J903" s="121"/>
      <c r="K903" s="9"/>
      <c r="L903" s="9"/>
      <c r="M903" s="9"/>
      <c r="N903" s="9"/>
      <c r="O903" s="9"/>
      <c r="Q903" s="9"/>
    </row>
    <row r="904">
      <c r="D904" s="9"/>
      <c r="E904" s="9"/>
      <c r="F904" s="13"/>
      <c r="G904" s="9"/>
      <c r="J904" s="121"/>
      <c r="K904" s="9"/>
      <c r="L904" s="9"/>
      <c r="M904" s="9"/>
      <c r="N904" s="9"/>
      <c r="O904" s="9"/>
      <c r="Q904" s="9"/>
    </row>
    <row r="905">
      <c r="D905" s="9"/>
      <c r="E905" s="9"/>
      <c r="F905" s="13"/>
      <c r="G905" s="9"/>
      <c r="J905" s="121"/>
      <c r="K905" s="9"/>
      <c r="L905" s="9"/>
      <c r="M905" s="9"/>
      <c r="N905" s="9"/>
      <c r="O905" s="9"/>
      <c r="Q905" s="9"/>
    </row>
    <row r="906">
      <c r="D906" s="9"/>
      <c r="E906" s="9"/>
      <c r="F906" s="13"/>
      <c r="G906" s="9"/>
      <c r="J906" s="121"/>
      <c r="K906" s="9"/>
      <c r="L906" s="9"/>
      <c r="M906" s="9"/>
      <c r="N906" s="9"/>
      <c r="O906" s="9"/>
      <c r="Q906" s="9"/>
    </row>
    <row r="907">
      <c r="D907" s="9"/>
      <c r="E907" s="9"/>
      <c r="F907" s="13"/>
      <c r="G907" s="9"/>
      <c r="J907" s="121"/>
      <c r="K907" s="9"/>
      <c r="L907" s="9"/>
      <c r="M907" s="9"/>
      <c r="N907" s="9"/>
      <c r="O907" s="9"/>
      <c r="Q907" s="9"/>
    </row>
    <row r="908">
      <c r="D908" s="9"/>
      <c r="E908" s="9"/>
      <c r="F908" s="13"/>
      <c r="G908" s="9"/>
      <c r="J908" s="121"/>
      <c r="K908" s="9"/>
      <c r="L908" s="9"/>
      <c r="M908" s="9"/>
      <c r="N908" s="9"/>
      <c r="O908" s="9"/>
      <c r="Q908" s="9"/>
    </row>
    <row r="909">
      <c r="D909" s="9"/>
      <c r="E909" s="9"/>
      <c r="F909" s="13"/>
      <c r="G909" s="9"/>
      <c r="J909" s="121"/>
      <c r="K909" s="9"/>
      <c r="L909" s="9"/>
      <c r="M909" s="9"/>
      <c r="N909" s="9"/>
      <c r="O909" s="9"/>
      <c r="Q909" s="9"/>
    </row>
    <row r="910">
      <c r="D910" s="9"/>
      <c r="E910" s="9"/>
      <c r="F910" s="13"/>
      <c r="G910" s="9"/>
      <c r="J910" s="121"/>
      <c r="K910" s="9"/>
      <c r="L910" s="9"/>
      <c r="M910" s="9"/>
      <c r="N910" s="9"/>
      <c r="O910" s="9"/>
      <c r="Q910" s="9"/>
    </row>
    <row r="911">
      <c r="D911" s="9"/>
      <c r="E911" s="9"/>
      <c r="F911" s="13"/>
      <c r="G911" s="9"/>
      <c r="J911" s="121"/>
      <c r="K911" s="9"/>
      <c r="L911" s="9"/>
      <c r="M911" s="9"/>
      <c r="N911" s="9"/>
      <c r="O911" s="9"/>
      <c r="Q911" s="9"/>
    </row>
    <row r="912">
      <c r="D912" s="9"/>
      <c r="E912" s="9"/>
      <c r="F912" s="13"/>
      <c r="G912" s="9"/>
      <c r="J912" s="121"/>
      <c r="K912" s="9"/>
      <c r="L912" s="9"/>
      <c r="M912" s="9"/>
      <c r="N912" s="9"/>
      <c r="O912" s="9"/>
      <c r="Q912" s="9"/>
    </row>
    <row r="913">
      <c r="D913" s="9"/>
      <c r="E913" s="9"/>
      <c r="F913" s="13"/>
      <c r="G913" s="9"/>
      <c r="J913" s="121"/>
      <c r="K913" s="9"/>
      <c r="L913" s="9"/>
      <c r="M913" s="9"/>
      <c r="N913" s="9"/>
      <c r="O913" s="9"/>
      <c r="Q913" s="9"/>
    </row>
    <row r="914">
      <c r="D914" s="9"/>
      <c r="E914" s="9"/>
      <c r="F914" s="13"/>
      <c r="G914" s="9"/>
      <c r="J914" s="121"/>
      <c r="K914" s="9"/>
      <c r="L914" s="9"/>
      <c r="M914" s="9"/>
      <c r="N914" s="9"/>
      <c r="O914" s="9"/>
      <c r="Q914" s="9"/>
    </row>
    <row r="915">
      <c r="D915" s="9"/>
      <c r="E915" s="9"/>
      <c r="F915" s="13"/>
      <c r="G915" s="9"/>
      <c r="J915" s="121"/>
      <c r="K915" s="9"/>
      <c r="L915" s="9"/>
      <c r="M915" s="9"/>
      <c r="N915" s="9"/>
      <c r="O915" s="9"/>
      <c r="Q915" s="9"/>
    </row>
    <row r="916">
      <c r="D916" s="9"/>
      <c r="E916" s="9"/>
      <c r="F916" s="13"/>
      <c r="G916" s="9"/>
      <c r="J916" s="121"/>
      <c r="K916" s="9"/>
      <c r="L916" s="9"/>
      <c r="M916" s="9"/>
      <c r="N916" s="9"/>
      <c r="O916" s="9"/>
      <c r="Q916" s="9"/>
    </row>
    <row r="917">
      <c r="D917" s="9"/>
      <c r="E917" s="9"/>
      <c r="F917" s="13"/>
      <c r="G917" s="9"/>
      <c r="J917" s="121"/>
      <c r="K917" s="9"/>
      <c r="L917" s="9"/>
      <c r="M917" s="9"/>
      <c r="N917" s="9"/>
      <c r="O917" s="9"/>
      <c r="Q917" s="9"/>
    </row>
    <row r="918">
      <c r="D918" s="9"/>
      <c r="E918" s="9"/>
      <c r="F918" s="13"/>
      <c r="G918" s="9"/>
      <c r="J918" s="121"/>
      <c r="K918" s="9"/>
      <c r="L918" s="9"/>
      <c r="M918" s="9"/>
      <c r="N918" s="9"/>
      <c r="O918" s="9"/>
      <c r="Q918" s="9"/>
    </row>
    <row r="919">
      <c r="D919" s="9"/>
      <c r="E919" s="9"/>
      <c r="F919" s="13"/>
      <c r="G919" s="9"/>
      <c r="J919" s="121"/>
      <c r="K919" s="9"/>
      <c r="L919" s="9"/>
      <c r="M919" s="9"/>
      <c r="N919" s="9"/>
      <c r="O919" s="9"/>
      <c r="Q919" s="9"/>
    </row>
    <row r="920">
      <c r="D920" s="9"/>
      <c r="E920" s="9"/>
      <c r="F920" s="13"/>
      <c r="G920" s="9"/>
      <c r="J920" s="121"/>
      <c r="K920" s="9"/>
      <c r="L920" s="9"/>
      <c r="M920" s="9"/>
      <c r="N920" s="9"/>
      <c r="O920" s="9"/>
      <c r="Q920" s="9"/>
    </row>
    <row r="921">
      <c r="D921" s="9"/>
      <c r="E921" s="9"/>
      <c r="F921" s="13"/>
      <c r="G921" s="9"/>
      <c r="J921" s="121"/>
      <c r="K921" s="9"/>
      <c r="L921" s="9"/>
      <c r="M921" s="9"/>
      <c r="N921" s="9"/>
      <c r="O921" s="9"/>
      <c r="Q921" s="9"/>
    </row>
    <row r="922">
      <c r="D922" s="9"/>
      <c r="E922" s="9"/>
      <c r="F922" s="13"/>
      <c r="G922" s="9"/>
      <c r="J922" s="121"/>
      <c r="K922" s="9"/>
      <c r="L922" s="9"/>
      <c r="M922" s="9"/>
      <c r="N922" s="9"/>
      <c r="O922" s="9"/>
      <c r="Q922" s="9"/>
    </row>
    <row r="923">
      <c r="D923" s="9"/>
      <c r="E923" s="9"/>
      <c r="F923" s="13"/>
      <c r="G923" s="9"/>
      <c r="J923" s="121"/>
      <c r="K923" s="9"/>
      <c r="L923" s="9"/>
      <c r="M923" s="9"/>
      <c r="N923" s="9"/>
      <c r="O923" s="9"/>
      <c r="Q923" s="9"/>
    </row>
    <row r="924">
      <c r="D924" s="9"/>
      <c r="E924" s="9"/>
      <c r="F924" s="13"/>
      <c r="G924" s="9"/>
      <c r="J924" s="121"/>
      <c r="K924" s="9"/>
      <c r="L924" s="9"/>
      <c r="M924" s="9"/>
      <c r="N924" s="9"/>
      <c r="O924" s="9"/>
      <c r="Q924" s="9"/>
    </row>
    <row r="925">
      <c r="D925" s="9"/>
      <c r="E925" s="9"/>
      <c r="F925" s="13"/>
      <c r="G925" s="9"/>
      <c r="J925" s="121"/>
      <c r="K925" s="9"/>
      <c r="L925" s="9"/>
      <c r="M925" s="9"/>
      <c r="N925" s="9"/>
      <c r="O925" s="9"/>
      <c r="Q925" s="9"/>
    </row>
    <row r="926">
      <c r="D926" s="9"/>
      <c r="E926" s="9"/>
      <c r="F926" s="13"/>
      <c r="G926" s="9"/>
      <c r="J926" s="121"/>
      <c r="K926" s="9"/>
      <c r="L926" s="9"/>
      <c r="M926" s="9"/>
      <c r="N926" s="9"/>
      <c r="O926" s="9"/>
      <c r="Q926" s="9"/>
    </row>
    <row r="927">
      <c r="D927" s="9"/>
      <c r="E927" s="9"/>
      <c r="F927" s="13"/>
      <c r="G927" s="9"/>
      <c r="J927" s="121"/>
      <c r="K927" s="9"/>
      <c r="L927" s="9"/>
      <c r="M927" s="9"/>
      <c r="N927" s="9"/>
      <c r="O927" s="9"/>
      <c r="Q927" s="9"/>
    </row>
    <row r="928">
      <c r="D928" s="9"/>
      <c r="E928" s="9"/>
      <c r="F928" s="13"/>
      <c r="G928" s="9"/>
      <c r="J928" s="121"/>
      <c r="K928" s="9"/>
      <c r="L928" s="9"/>
      <c r="M928" s="9"/>
      <c r="N928" s="9"/>
      <c r="O928" s="9"/>
      <c r="Q928" s="9"/>
    </row>
    <row r="929">
      <c r="D929" s="9"/>
      <c r="E929" s="9"/>
      <c r="F929" s="13"/>
      <c r="G929" s="9"/>
      <c r="J929" s="121"/>
      <c r="K929" s="9"/>
      <c r="L929" s="9"/>
      <c r="M929" s="9"/>
      <c r="N929" s="9"/>
      <c r="O929" s="9"/>
      <c r="Q929" s="9"/>
    </row>
    <row r="930">
      <c r="D930" s="9"/>
      <c r="E930" s="9"/>
      <c r="F930" s="13"/>
      <c r="G930" s="9"/>
      <c r="J930" s="121"/>
      <c r="K930" s="9"/>
      <c r="L930" s="9"/>
      <c r="M930" s="9"/>
      <c r="N930" s="9"/>
      <c r="O930" s="9"/>
      <c r="Q930" s="9"/>
    </row>
    <row r="931">
      <c r="D931" s="9"/>
      <c r="E931" s="9"/>
      <c r="F931" s="13"/>
      <c r="G931" s="9"/>
      <c r="J931" s="121"/>
      <c r="K931" s="9"/>
      <c r="L931" s="9"/>
      <c r="M931" s="9"/>
      <c r="N931" s="9"/>
      <c r="O931" s="9"/>
      <c r="Q931" s="9"/>
    </row>
    <row r="932">
      <c r="D932" s="9"/>
      <c r="E932" s="9"/>
      <c r="F932" s="13"/>
      <c r="G932" s="9"/>
      <c r="J932" s="121"/>
      <c r="K932" s="9"/>
      <c r="L932" s="9"/>
      <c r="M932" s="9"/>
      <c r="N932" s="9"/>
      <c r="O932" s="9"/>
      <c r="Q932" s="9"/>
    </row>
    <row r="933">
      <c r="D933" s="9"/>
      <c r="E933" s="9"/>
      <c r="F933" s="13"/>
      <c r="G933" s="9"/>
      <c r="J933" s="121"/>
      <c r="K933" s="9"/>
      <c r="L933" s="9"/>
      <c r="M933" s="9"/>
      <c r="N933" s="9"/>
      <c r="O933" s="9"/>
      <c r="Q933" s="9"/>
    </row>
    <row r="934">
      <c r="D934" s="9"/>
      <c r="E934" s="9"/>
      <c r="F934" s="13"/>
      <c r="G934" s="9"/>
      <c r="J934" s="121"/>
      <c r="K934" s="9"/>
      <c r="L934" s="9"/>
      <c r="M934" s="9"/>
      <c r="N934" s="9"/>
      <c r="O934" s="9"/>
      <c r="Q934" s="9"/>
    </row>
    <row r="935">
      <c r="D935" s="9"/>
      <c r="E935" s="9"/>
      <c r="F935" s="13"/>
      <c r="G935" s="9"/>
      <c r="J935" s="121"/>
      <c r="K935" s="9"/>
      <c r="L935" s="9"/>
      <c r="M935" s="9"/>
      <c r="N935" s="9"/>
      <c r="O935" s="9"/>
      <c r="Q935" s="9"/>
    </row>
    <row r="936">
      <c r="D936" s="9"/>
      <c r="E936" s="9"/>
      <c r="F936" s="13"/>
      <c r="G936" s="9"/>
      <c r="J936" s="121"/>
      <c r="K936" s="9"/>
      <c r="L936" s="9"/>
      <c r="M936" s="9"/>
      <c r="N936" s="9"/>
      <c r="O936" s="9"/>
      <c r="Q936" s="9"/>
    </row>
    <row r="937">
      <c r="D937" s="9"/>
      <c r="E937" s="9"/>
      <c r="F937" s="13"/>
      <c r="G937" s="9"/>
      <c r="J937" s="121"/>
      <c r="K937" s="9"/>
      <c r="L937" s="9"/>
      <c r="M937" s="9"/>
      <c r="N937" s="9"/>
      <c r="O937" s="9"/>
      <c r="Q937" s="9"/>
    </row>
    <row r="938">
      <c r="D938" s="9"/>
      <c r="E938" s="9"/>
      <c r="F938" s="13"/>
      <c r="G938" s="9"/>
      <c r="J938" s="121"/>
      <c r="K938" s="9"/>
      <c r="L938" s="9"/>
      <c r="M938" s="9"/>
      <c r="N938" s="9"/>
      <c r="O938" s="9"/>
      <c r="Q938" s="9"/>
    </row>
    <row r="939">
      <c r="D939" s="9"/>
      <c r="E939" s="9"/>
      <c r="F939" s="13"/>
      <c r="G939" s="9"/>
      <c r="J939" s="121"/>
      <c r="K939" s="9"/>
      <c r="L939" s="9"/>
      <c r="M939" s="9"/>
      <c r="N939" s="9"/>
      <c r="O939" s="9"/>
      <c r="Q939" s="9"/>
    </row>
    <row r="940">
      <c r="D940" s="9"/>
      <c r="E940" s="9"/>
      <c r="F940" s="13"/>
      <c r="G940" s="9"/>
      <c r="J940" s="121"/>
      <c r="K940" s="9"/>
      <c r="L940" s="9"/>
      <c r="M940" s="9"/>
      <c r="N940" s="9"/>
      <c r="O940" s="9"/>
      <c r="Q940" s="9"/>
    </row>
    <row r="941">
      <c r="D941" s="9"/>
      <c r="E941" s="9"/>
      <c r="F941" s="13"/>
      <c r="G941" s="9"/>
      <c r="J941" s="121"/>
      <c r="K941" s="9"/>
      <c r="L941" s="9"/>
      <c r="M941" s="9"/>
      <c r="N941" s="9"/>
      <c r="O941" s="9"/>
      <c r="Q941" s="9"/>
    </row>
    <row r="942">
      <c r="D942" s="9"/>
      <c r="E942" s="9"/>
      <c r="F942" s="13"/>
      <c r="G942" s="9"/>
      <c r="J942" s="121"/>
      <c r="K942" s="9"/>
      <c r="L942" s="9"/>
      <c r="M942" s="9"/>
      <c r="N942" s="9"/>
      <c r="O942" s="9"/>
      <c r="Q942" s="9"/>
    </row>
    <row r="943">
      <c r="D943" s="9"/>
      <c r="E943" s="9"/>
      <c r="F943" s="13"/>
      <c r="G943" s="9"/>
      <c r="J943" s="121"/>
      <c r="K943" s="9"/>
      <c r="L943" s="9"/>
      <c r="M943" s="9"/>
      <c r="N943" s="9"/>
      <c r="O943" s="9"/>
      <c r="Q943" s="9"/>
    </row>
    <row r="944">
      <c r="D944" s="9"/>
      <c r="E944" s="9"/>
      <c r="F944" s="13"/>
      <c r="G944" s="9"/>
      <c r="J944" s="121"/>
      <c r="K944" s="9"/>
      <c r="L944" s="9"/>
      <c r="M944" s="9"/>
      <c r="N944" s="9"/>
      <c r="O944" s="9"/>
      <c r="Q944" s="9"/>
    </row>
    <row r="945">
      <c r="D945" s="9"/>
      <c r="E945" s="9"/>
      <c r="F945" s="13"/>
      <c r="G945" s="9"/>
      <c r="J945" s="121"/>
      <c r="K945" s="9"/>
      <c r="L945" s="9"/>
      <c r="M945" s="9"/>
      <c r="N945" s="9"/>
      <c r="O945" s="9"/>
      <c r="Q945" s="9"/>
    </row>
    <row r="946">
      <c r="D946" s="9"/>
      <c r="E946" s="9"/>
      <c r="F946" s="13"/>
      <c r="G946" s="9"/>
      <c r="J946" s="121"/>
      <c r="K946" s="9"/>
      <c r="L946" s="9"/>
      <c r="M946" s="9"/>
      <c r="N946" s="9"/>
      <c r="O946" s="9"/>
      <c r="Q946" s="9"/>
    </row>
    <row r="947">
      <c r="D947" s="9"/>
      <c r="E947" s="9"/>
      <c r="F947" s="13"/>
      <c r="G947" s="9"/>
      <c r="J947" s="121"/>
      <c r="K947" s="9"/>
      <c r="L947" s="9"/>
      <c r="M947" s="9"/>
      <c r="N947" s="9"/>
      <c r="O947" s="9"/>
      <c r="Q947" s="9"/>
    </row>
    <row r="948">
      <c r="D948" s="9"/>
      <c r="E948" s="9"/>
      <c r="F948" s="13"/>
      <c r="G948" s="9"/>
      <c r="J948" s="121"/>
      <c r="K948" s="9"/>
      <c r="L948" s="9"/>
      <c r="M948" s="9"/>
      <c r="N948" s="9"/>
      <c r="O948" s="9"/>
      <c r="Q948" s="9"/>
    </row>
    <row r="949">
      <c r="D949" s="9"/>
      <c r="E949" s="9"/>
      <c r="F949" s="13"/>
      <c r="G949" s="9"/>
      <c r="J949" s="121"/>
      <c r="K949" s="9"/>
      <c r="L949" s="9"/>
      <c r="M949" s="9"/>
      <c r="N949" s="9"/>
      <c r="O949" s="9"/>
      <c r="Q949" s="9"/>
    </row>
    <row r="950">
      <c r="D950" s="9"/>
      <c r="E950" s="9"/>
      <c r="F950" s="13"/>
      <c r="G950" s="9"/>
      <c r="J950" s="121"/>
      <c r="K950" s="9"/>
      <c r="L950" s="9"/>
      <c r="M950" s="9"/>
      <c r="N950" s="9"/>
      <c r="O950" s="9"/>
      <c r="Q950" s="9"/>
    </row>
    <row r="951">
      <c r="D951" s="9"/>
      <c r="E951" s="9"/>
      <c r="F951" s="13"/>
      <c r="G951" s="9"/>
      <c r="J951" s="121"/>
      <c r="K951" s="9"/>
      <c r="L951" s="9"/>
      <c r="M951" s="9"/>
      <c r="N951" s="9"/>
      <c r="O951" s="9"/>
      <c r="Q951" s="9"/>
    </row>
    <row r="952">
      <c r="D952" s="9"/>
      <c r="E952" s="9"/>
      <c r="F952" s="13"/>
      <c r="G952" s="9"/>
      <c r="J952" s="121"/>
      <c r="K952" s="9"/>
      <c r="L952" s="9"/>
      <c r="M952" s="9"/>
      <c r="N952" s="9"/>
      <c r="O952" s="9"/>
      <c r="Q952" s="9"/>
    </row>
    <row r="953">
      <c r="D953" s="9"/>
      <c r="E953" s="9"/>
      <c r="F953" s="13"/>
      <c r="G953" s="9"/>
      <c r="J953" s="121"/>
      <c r="K953" s="9"/>
      <c r="L953" s="9"/>
      <c r="M953" s="9"/>
      <c r="N953" s="9"/>
      <c r="O953" s="9"/>
      <c r="Q953" s="9"/>
    </row>
    <row r="954">
      <c r="D954" s="9"/>
      <c r="E954" s="9"/>
      <c r="F954" s="13"/>
      <c r="G954" s="9"/>
      <c r="J954" s="121"/>
      <c r="K954" s="9"/>
      <c r="L954" s="9"/>
      <c r="M954" s="9"/>
      <c r="N954" s="9"/>
      <c r="O954" s="9"/>
      <c r="Q954" s="9"/>
    </row>
    <row r="955">
      <c r="D955" s="9"/>
      <c r="E955" s="9"/>
      <c r="F955" s="13"/>
      <c r="G955" s="9"/>
      <c r="J955" s="121"/>
      <c r="K955" s="9"/>
      <c r="L955" s="9"/>
      <c r="M955" s="9"/>
      <c r="N955" s="9"/>
      <c r="O955" s="9"/>
      <c r="Q955" s="9"/>
    </row>
    <row r="956">
      <c r="D956" s="9"/>
      <c r="E956" s="9"/>
      <c r="F956" s="13"/>
      <c r="G956" s="9"/>
      <c r="J956" s="121"/>
      <c r="K956" s="9"/>
      <c r="L956" s="9"/>
      <c r="M956" s="9"/>
      <c r="N956" s="9"/>
      <c r="O956" s="9"/>
      <c r="Q956" s="9"/>
    </row>
    <row r="957">
      <c r="D957" s="9"/>
      <c r="E957" s="9"/>
      <c r="F957" s="13"/>
      <c r="G957" s="9"/>
      <c r="J957" s="121"/>
      <c r="K957" s="9"/>
      <c r="L957" s="9"/>
      <c r="M957" s="9"/>
      <c r="N957" s="9"/>
      <c r="O957" s="9"/>
      <c r="Q957" s="9"/>
    </row>
    <row r="958">
      <c r="D958" s="9"/>
      <c r="E958" s="9"/>
      <c r="F958" s="13"/>
      <c r="G958" s="9"/>
      <c r="J958" s="121"/>
      <c r="K958" s="9"/>
      <c r="L958" s="9"/>
      <c r="M958" s="9"/>
      <c r="N958" s="9"/>
      <c r="O958" s="9"/>
      <c r="Q958" s="9"/>
    </row>
    <row r="959">
      <c r="D959" s="9"/>
      <c r="E959" s="9"/>
      <c r="F959" s="13"/>
      <c r="G959" s="9"/>
      <c r="J959" s="121"/>
      <c r="K959" s="9"/>
      <c r="L959" s="9"/>
      <c r="M959" s="9"/>
      <c r="N959" s="9"/>
      <c r="O959" s="9"/>
      <c r="Q959" s="9"/>
    </row>
    <row r="960">
      <c r="D960" s="9"/>
      <c r="E960" s="9"/>
      <c r="F960" s="13"/>
      <c r="G960" s="9"/>
      <c r="J960" s="121"/>
      <c r="K960" s="9"/>
      <c r="L960" s="9"/>
      <c r="M960" s="9"/>
      <c r="N960" s="9"/>
      <c r="O960" s="9"/>
      <c r="Q960" s="9"/>
    </row>
    <row r="961">
      <c r="D961" s="9"/>
      <c r="E961" s="9"/>
      <c r="F961" s="13"/>
      <c r="G961" s="9"/>
      <c r="J961" s="121"/>
      <c r="K961" s="9"/>
      <c r="L961" s="9"/>
      <c r="M961" s="9"/>
      <c r="N961" s="9"/>
      <c r="O961" s="9"/>
      <c r="Q961" s="9"/>
    </row>
    <row r="962">
      <c r="D962" s="9"/>
      <c r="E962" s="9"/>
      <c r="F962" s="13"/>
      <c r="G962" s="9"/>
      <c r="J962" s="121"/>
      <c r="K962" s="9"/>
      <c r="L962" s="9"/>
      <c r="M962" s="9"/>
      <c r="N962" s="9"/>
      <c r="O962" s="9"/>
      <c r="Q962" s="9"/>
    </row>
    <row r="963">
      <c r="D963" s="9"/>
      <c r="E963" s="9"/>
      <c r="F963" s="13"/>
      <c r="G963" s="9"/>
      <c r="J963" s="121"/>
      <c r="K963" s="9"/>
      <c r="L963" s="9"/>
      <c r="M963" s="9"/>
      <c r="N963" s="9"/>
      <c r="O963" s="9"/>
      <c r="Q963" s="9"/>
    </row>
    <row r="964">
      <c r="D964" s="9"/>
      <c r="E964" s="9"/>
      <c r="F964" s="13"/>
      <c r="G964" s="9"/>
      <c r="J964" s="121"/>
      <c r="K964" s="9"/>
      <c r="L964" s="9"/>
      <c r="M964" s="9"/>
      <c r="N964" s="9"/>
      <c r="O964" s="9"/>
      <c r="Q964" s="9"/>
    </row>
    <row r="965">
      <c r="D965" s="9"/>
      <c r="E965" s="9"/>
      <c r="F965" s="13"/>
      <c r="G965" s="9"/>
      <c r="J965" s="121"/>
      <c r="K965" s="9"/>
      <c r="L965" s="9"/>
      <c r="M965" s="9"/>
      <c r="N965" s="9"/>
      <c r="O965" s="9"/>
      <c r="Q965" s="9"/>
    </row>
    <row r="966">
      <c r="D966" s="9"/>
      <c r="E966" s="9"/>
      <c r="F966" s="13"/>
      <c r="G966" s="9"/>
      <c r="J966" s="121"/>
      <c r="K966" s="9"/>
      <c r="L966" s="9"/>
      <c r="M966" s="9"/>
      <c r="N966" s="9"/>
      <c r="O966" s="9"/>
      <c r="Q966" s="9"/>
    </row>
    <row r="967">
      <c r="D967" s="9"/>
      <c r="E967" s="9"/>
      <c r="F967" s="13"/>
      <c r="G967" s="9"/>
      <c r="J967" s="121"/>
      <c r="K967" s="9"/>
      <c r="L967" s="9"/>
      <c r="M967" s="9"/>
      <c r="N967" s="9"/>
      <c r="O967" s="9"/>
      <c r="Q967" s="9"/>
    </row>
    <row r="968">
      <c r="D968" s="9"/>
      <c r="E968" s="9"/>
      <c r="F968" s="13"/>
      <c r="G968" s="9"/>
      <c r="J968" s="121"/>
      <c r="K968" s="9"/>
      <c r="L968" s="9"/>
      <c r="M968" s="9"/>
      <c r="N968" s="9"/>
      <c r="O968" s="9"/>
      <c r="Q968" s="9"/>
    </row>
    <row r="969">
      <c r="D969" s="9"/>
      <c r="E969" s="9"/>
      <c r="F969" s="13"/>
      <c r="G969" s="9"/>
      <c r="J969" s="121"/>
      <c r="K969" s="9"/>
      <c r="L969" s="9"/>
      <c r="M969" s="9"/>
      <c r="N969" s="9"/>
      <c r="O969" s="9"/>
      <c r="Q969" s="9"/>
    </row>
    <row r="970">
      <c r="D970" s="9"/>
      <c r="E970" s="9"/>
      <c r="F970" s="13"/>
      <c r="G970" s="9"/>
      <c r="J970" s="121"/>
      <c r="K970" s="9"/>
      <c r="L970" s="9"/>
      <c r="M970" s="9"/>
      <c r="N970" s="9"/>
      <c r="O970" s="9"/>
      <c r="Q970" s="9"/>
    </row>
    <row r="971">
      <c r="D971" s="9"/>
      <c r="E971" s="9"/>
      <c r="F971" s="13"/>
      <c r="G971" s="9"/>
      <c r="J971" s="121"/>
      <c r="K971" s="9"/>
      <c r="L971" s="9"/>
      <c r="M971" s="9"/>
      <c r="N971" s="9"/>
      <c r="O971" s="9"/>
      <c r="Q971" s="9"/>
    </row>
    <row r="972">
      <c r="D972" s="9"/>
      <c r="E972" s="9"/>
      <c r="F972" s="13"/>
      <c r="G972" s="9"/>
      <c r="J972" s="121"/>
      <c r="K972" s="9"/>
      <c r="L972" s="9"/>
      <c r="M972" s="9"/>
      <c r="N972" s="9"/>
      <c r="O972" s="9"/>
      <c r="Q972" s="9"/>
    </row>
    <row r="973">
      <c r="D973" s="9"/>
      <c r="E973" s="9"/>
      <c r="F973" s="13"/>
      <c r="G973" s="9"/>
      <c r="J973" s="121"/>
      <c r="K973" s="9"/>
      <c r="L973" s="9"/>
      <c r="M973" s="9"/>
      <c r="N973" s="9"/>
      <c r="O973" s="9"/>
      <c r="Q973" s="9"/>
    </row>
    <row r="974">
      <c r="D974" s="9"/>
      <c r="E974" s="9"/>
      <c r="F974" s="13"/>
      <c r="G974" s="9"/>
      <c r="J974" s="121"/>
      <c r="K974" s="9"/>
      <c r="L974" s="9"/>
      <c r="M974" s="9"/>
      <c r="N974" s="9"/>
      <c r="O974" s="9"/>
      <c r="Q974" s="9"/>
    </row>
    <row r="975">
      <c r="D975" s="9"/>
      <c r="E975" s="9"/>
      <c r="F975" s="13"/>
      <c r="G975" s="9"/>
      <c r="J975" s="121"/>
      <c r="K975" s="9"/>
      <c r="L975" s="9"/>
      <c r="M975" s="9"/>
      <c r="N975" s="9"/>
      <c r="O975" s="9"/>
      <c r="Q975" s="9"/>
    </row>
  </sheetData>
  <mergeCells count="1">
    <mergeCell ref="A1:P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2.5"/>
    <col customWidth="1" min="3" max="3" width="18.63"/>
    <col customWidth="1" min="4" max="4" width="8.13"/>
    <col customWidth="1" min="5" max="5" width="6.5"/>
    <col customWidth="1" min="6" max="6" width="12.38"/>
    <col customWidth="1" min="7" max="7" width="10.25"/>
    <col customWidth="1" min="8" max="8" width="4.75"/>
    <col customWidth="1" min="9" max="9" width="5.63"/>
    <col customWidth="1" min="10" max="10" width="4.75"/>
    <col customWidth="1" min="11" max="11" width="8.25"/>
    <col customWidth="1" min="12" max="12" width="6.88"/>
    <col customWidth="1" min="13" max="13" width="5.63"/>
    <col customWidth="1" min="14" max="14" width="6.88"/>
    <col customWidth="1" min="15" max="15" width="6.5"/>
    <col customWidth="1" min="16" max="16" width="6.25"/>
    <col customWidth="1" min="17" max="17" width="11.38"/>
    <col customWidth="1" min="18" max="18" width="5.63"/>
    <col customWidth="1" min="19" max="19" width="4.75"/>
    <col customWidth="1" min="20" max="20" width="7.5"/>
    <col customWidth="1" min="21" max="21" width="5.63"/>
    <col customWidth="1" min="22" max="22" width="4.75"/>
    <col customWidth="1" min="23" max="23" width="7.5"/>
    <col customWidth="1" min="24" max="24" width="5.63"/>
    <col customWidth="1" min="25" max="25" width="4.75"/>
    <col customWidth="1" min="26" max="26" width="9.5"/>
    <col customWidth="1" min="27" max="27" width="5.63"/>
    <col customWidth="1" min="28" max="28" width="4.75"/>
    <col customWidth="1" min="29" max="29" width="9.5"/>
  </cols>
  <sheetData>
    <row r="1">
      <c r="A1" s="394" t="s">
        <v>2001</v>
      </c>
      <c r="B1" s="395"/>
      <c r="C1" s="395"/>
      <c r="D1" s="395"/>
      <c r="E1" s="395"/>
      <c r="F1" s="395"/>
      <c r="G1" s="395"/>
      <c r="H1" s="395"/>
      <c r="I1" s="395"/>
      <c r="J1" s="395"/>
      <c r="K1" s="395"/>
      <c r="L1" s="395"/>
      <c r="M1" s="395"/>
      <c r="N1" s="395"/>
      <c r="O1" s="395"/>
      <c r="P1" s="395"/>
      <c r="Q1" s="395"/>
      <c r="R1" s="395"/>
      <c r="S1" s="395"/>
      <c r="T1" s="395"/>
      <c r="U1" s="395"/>
      <c r="V1" s="395"/>
      <c r="W1" s="395"/>
      <c r="X1" s="395"/>
      <c r="Y1" s="395"/>
      <c r="Z1" s="395"/>
    </row>
    <row r="2">
      <c r="A2" s="396" t="s">
        <v>8</v>
      </c>
      <c r="B2" s="396" t="s">
        <v>9</v>
      </c>
      <c r="C2" s="396" t="s">
        <v>10</v>
      </c>
      <c r="D2" s="396" t="s">
        <v>582</v>
      </c>
      <c r="E2" s="396" t="s">
        <v>12</v>
      </c>
      <c r="F2" s="396" t="s">
        <v>13</v>
      </c>
      <c r="G2" s="396" t="s">
        <v>14</v>
      </c>
      <c r="H2" s="396" t="s">
        <v>248</v>
      </c>
      <c r="I2" s="396" t="s">
        <v>16</v>
      </c>
      <c r="J2" s="396" t="s">
        <v>17</v>
      </c>
      <c r="K2" s="396" t="s">
        <v>18</v>
      </c>
      <c r="L2" s="396" t="s">
        <v>2002</v>
      </c>
      <c r="M2" s="396" t="s">
        <v>19</v>
      </c>
      <c r="N2" s="396" t="s">
        <v>20</v>
      </c>
      <c r="O2" s="396" t="s">
        <v>249</v>
      </c>
      <c r="P2" s="396" t="s">
        <v>250</v>
      </c>
      <c r="Q2" s="396" t="s">
        <v>23</v>
      </c>
      <c r="R2" s="397" t="s">
        <v>24</v>
      </c>
      <c r="S2" s="397" t="s">
        <v>252</v>
      </c>
      <c r="T2" s="397" t="s">
        <v>253</v>
      </c>
      <c r="U2" s="397" t="s">
        <v>24</v>
      </c>
      <c r="V2" s="397" t="s">
        <v>252</v>
      </c>
      <c r="W2" s="397" t="s">
        <v>253</v>
      </c>
      <c r="X2" s="397" t="s">
        <v>24</v>
      </c>
      <c r="Y2" s="397" t="s">
        <v>252</v>
      </c>
      <c r="Z2" s="397" t="s">
        <v>253</v>
      </c>
      <c r="AA2" s="397" t="s">
        <v>24</v>
      </c>
      <c r="AB2" s="397" t="s">
        <v>252</v>
      </c>
      <c r="AC2" s="397" t="s">
        <v>253</v>
      </c>
    </row>
    <row r="3">
      <c r="A3" s="373">
        <v>1.0</v>
      </c>
      <c r="B3" s="373" t="s">
        <v>2003</v>
      </c>
      <c r="C3" s="373" t="s">
        <v>2004</v>
      </c>
      <c r="D3" s="373" t="s">
        <v>899</v>
      </c>
      <c r="E3" s="373">
        <v>1460.0</v>
      </c>
      <c r="F3" s="373" t="s">
        <v>1546</v>
      </c>
      <c r="G3" s="373">
        <v>6.376897764E9</v>
      </c>
      <c r="H3" s="317"/>
      <c r="I3" s="373">
        <v>17500.0</v>
      </c>
      <c r="J3" s="373"/>
      <c r="K3" s="373">
        <f t="shared" ref="K3:K11" si="1">(5000*L3)</f>
        <v>60000</v>
      </c>
      <c r="L3" s="373">
        <v>12.0</v>
      </c>
      <c r="M3" s="373">
        <v>10000.0</v>
      </c>
      <c r="N3" s="317">
        <f t="shared" ref="N3:N11" si="2">(H3+I3+J3+K3-M3)</f>
        <v>67500</v>
      </c>
      <c r="O3" s="317">
        <f t="shared" ref="O3:O11" si="3">SUM(R3, U3, X3,AA3)</f>
        <v>32000</v>
      </c>
      <c r="P3" s="317">
        <f t="shared" ref="P3:P11" si="4">(N3-O3)</f>
        <v>35500</v>
      </c>
      <c r="Q3" s="317"/>
      <c r="R3" s="373">
        <v>15000.0</v>
      </c>
      <c r="S3" s="373">
        <v>3324.0</v>
      </c>
      <c r="T3" s="373" t="s">
        <v>321</v>
      </c>
      <c r="U3" s="373">
        <v>17000.0</v>
      </c>
      <c r="V3" s="373">
        <v>231.0</v>
      </c>
      <c r="W3" s="373" t="s">
        <v>2005</v>
      </c>
      <c r="X3" s="317"/>
      <c r="Y3" s="317"/>
      <c r="Z3" s="317"/>
    </row>
    <row r="4">
      <c r="A4" s="373">
        <v>2.0</v>
      </c>
      <c r="B4" s="373" t="s">
        <v>2006</v>
      </c>
      <c r="C4" s="373" t="s">
        <v>2007</v>
      </c>
      <c r="D4" s="373" t="s">
        <v>2008</v>
      </c>
      <c r="E4" s="373">
        <v>1903.0</v>
      </c>
      <c r="F4" s="398" t="s">
        <v>244</v>
      </c>
      <c r="G4" s="398">
        <v>7.742324876E9</v>
      </c>
      <c r="H4" s="398">
        <v>1000.0</v>
      </c>
      <c r="I4" s="373">
        <v>18000.0</v>
      </c>
      <c r="J4" s="398"/>
      <c r="K4" s="373">
        <f t="shared" si="1"/>
        <v>60000</v>
      </c>
      <c r="L4" s="373">
        <v>12.0</v>
      </c>
      <c r="M4" s="398">
        <v>19000.0</v>
      </c>
      <c r="N4" s="317">
        <f t="shared" si="2"/>
        <v>60000</v>
      </c>
      <c r="O4" s="317">
        <f t="shared" si="3"/>
        <v>45000</v>
      </c>
      <c r="P4" s="317">
        <f t="shared" si="4"/>
        <v>15000</v>
      </c>
      <c r="Q4" s="398" t="s">
        <v>131</v>
      </c>
      <c r="R4" s="337">
        <v>13000.0</v>
      </c>
      <c r="S4" s="337">
        <v>3190.0</v>
      </c>
      <c r="T4" s="337" t="s">
        <v>191</v>
      </c>
      <c r="U4" s="337">
        <v>2000.0</v>
      </c>
      <c r="V4" s="337">
        <v>3196.0</v>
      </c>
      <c r="W4" s="399">
        <v>45754.0</v>
      </c>
      <c r="X4" s="373">
        <v>20000.0</v>
      </c>
      <c r="Y4" s="373">
        <v>3759.0</v>
      </c>
      <c r="Z4" s="373" t="s">
        <v>600</v>
      </c>
      <c r="AA4" s="6">
        <v>10000.0</v>
      </c>
      <c r="AB4" s="6">
        <v>466.0</v>
      </c>
      <c r="AC4" s="6" t="s">
        <v>2009</v>
      </c>
    </row>
    <row r="5">
      <c r="A5" s="373">
        <v>3.0</v>
      </c>
      <c r="B5" s="337" t="s">
        <v>2010</v>
      </c>
      <c r="C5" s="337" t="s">
        <v>2011</v>
      </c>
      <c r="D5" s="398" t="s">
        <v>2008</v>
      </c>
      <c r="E5" s="317"/>
      <c r="F5" s="398" t="s">
        <v>2012</v>
      </c>
      <c r="G5" s="337">
        <v>9.669258686E9</v>
      </c>
      <c r="H5" s="337">
        <v>1000.0</v>
      </c>
      <c r="I5" s="337">
        <v>18000.0</v>
      </c>
      <c r="J5" s="337">
        <v>0.0</v>
      </c>
      <c r="K5" s="373">
        <f t="shared" si="1"/>
        <v>60000</v>
      </c>
      <c r="L5" s="373">
        <v>12.0</v>
      </c>
      <c r="M5" s="337">
        <v>9000.0</v>
      </c>
      <c r="N5" s="317">
        <f t="shared" si="2"/>
        <v>70000</v>
      </c>
      <c r="O5" s="317">
        <f t="shared" si="3"/>
        <v>55000</v>
      </c>
      <c r="P5" s="317">
        <f t="shared" si="4"/>
        <v>15000</v>
      </c>
      <c r="Q5" s="337" t="s">
        <v>159</v>
      </c>
      <c r="R5" s="337">
        <v>15000.0</v>
      </c>
      <c r="S5" s="337">
        <v>3194.0</v>
      </c>
      <c r="T5" s="399">
        <v>45754.0</v>
      </c>
      <c r="U5" s="373">
        <v>20000.0</v>
      </c>
      <c r="V5" s="398">
        <v>3449.0</v>
      </c>
      <c r="W5" s="398" t="s">
        <v>1279</v>
      </c>
      <c r="X5" s="398">
        <v>20000.0</v>
      </c>
      <c r="Y5" s="398">
        <v>4398.0</v>
      </c>
      <c r="Z5" s="400">
        <v>46266.0</v>
      </c>
    </row>
    <row r="6">
      <c r="A6" s="373">
        <v>4.0</v>
      </c>
      <c r="B6" s="337" t="s">
        <v>2013</v>
      </c>
      <c r="C6" s="337" t="s">
        <v>2014</v>
      </c>
      <c r="D6" s="398" t="s">
        <v>2008</v>
      </c>
      <c r="E6" s="317"/>
      <c r="F6" s="398" t="s">
        <v>2012</v>
      </c>
      <c r="G6" s="337">
        <v>8.827873212E9</v>
      </c>
      <c r="H6" s="337">
        <v>1000.0</v>
      </c>
      <c r="I6" s="373">
        <v>18000.0</v>
      </c>
      <c r="J6" s="337">
        <v>0.0</v>
      </c>
      <c r="K6" s="373">
        <f t="shared" si="1"/>
        <v>60000</v>
      </c>
      <c r="L6" s="373">
        <v>12.0</v>
      </c>
      <c r="M6" s="337">
        <v>9000.0</v>
      </c>
      <c r="N6" s="317">
        <f t="shared" si="2"/>
        <v>70000</v>
      </c>
      <c r="O6" s="317">
        <f t="shared" si="3"/>
        <v>55000</v>
      </c>
      <c r="P6" s="317">
        <f t="shared" si="4"/>
        <v>15000</v>
      </c>
      <c r="Q6" s="337" t="s">
        <v>44</v>
      </c>
      <c r="R6" s="337">
        <v>15000.0</v>
      </c>
      <c r="S6" s="337">
        <v>3195.0</v>
      </c>
      <c r="T6" s="399">
        <v>45754.0</v>
      </c>
      <c r="U6" s="398">
        <v>20000.0</v>
      </c>
      <c r="V6" s="398">
        <v>3598.0</v>
      </c>
      <c r="W6" s="401" t="s">
        <v>2015</v>
      </c>
      <c r="X6" s="6">
        <v>20000.0</v>
      </c>
      <c r="Y6" s="6">
        <v>4395.0</v>
      </c>
      <c r="Z6" s="6" t="s">
        <v>2016</v>
      </c>
    </row>
    <row r="7">
      <c r="A7" s="373">
        <v>5.0</v>
      </c>
      <c r="B7" s="373" t="s">
        <v>2017</v>
      </c>
      <c r="C7" s="373" t="s">
        <v>2018</v>
      </c>
      <c r="D7" s="373" t="s">
        <v>2019</v>
      </c>
      <c r="E7" s="373">
        <v>1161.0</v>
      </c>
      <c r="F7" s="317"/>
      <c r="G7" s="373">
        <v>9.521503727E9</v>
      </c>
      <c r="H7" s="317"/>
      <c r="I7" s="337">
        <v>20000.0</v>
      </c>
      <c r="J7" s="317"/>
      <c r="K7" s="373">
        <f t="shared" si="1"/>
        <v>60000</v>
      </c>
      <c r="L7" s="373">
        <v>12.0</v>
      </c>
      <c r="M7" s="317"/>
      <c r="N7" s="317">
        <f t="shared" si="2"/>
        <v>80000</v>
      </c>
      <c r="O7" s="317">
        <f t="shared" si="3"/>
        <v>40000</v>
      </c>
      <c r="P7" s="317">
        <f t="shared" si="4"/>
        <v>40000</v>
      </c>
      <c r="Q7" s="317"/>
      <c r="R7" s="373">
        <v>10000.0</v>
      </c>
      <c r="S7" s="373">
        <v>4042.0</v>
      </c>
      <c r="T7" s="373" t="s">
        <v>261</v>
      </c>
      <c r="U7" s="373">
        <v>20000.0</v>
      </c>
      <c r="V7" s="373">
        <v>4043.0</v>
      </c>
      <c r="W7" s="373" t="s">
        <v>261</v>
      </c>
      <c r="X7" s="373">
        <v>5000.0</v>
      </c>
      <c r="Y7" s="373">
        <v>4299.0</v>
      </c>
      <c r="Z7" s="402">
        <v>46175.0</v>
      </c>
      <c r="AA7" s="6">
        <v>5000.0</v>
      </c>
      <c r="AB7" s="6">
        <v>4394.0</v>
      </c>
      <c r="AC7" s="6" t="s">
        <v>2016</v>
      </c>
    </row>
    <row r="8">
      <c r="A8" s="373">
        <v>6.0</v>
      </c>
      <c r="B8" s="373" t="s">
        <v>2020</v>
      </c>
      <c r="C8" s="373" t="s">
        <v>2021</v>
      </c>
      <c r="D8" s="373" t="s">
        <v>2019</v>
      </c>
      <c r="E8" s="373">
        <v>1206.0</v>
      </c>
      <c r="F8" s="337" t="s">
        <v>130</v>
      </c>
      <c r="G8" s="337">
        <v>9.829722563E9</v>
      </c>
      <c r="H8" s="337"/>
      <c r="I8" s="337">
        <v>20000.0</v>
      </c>
      <c r="J8" s="398">
        <v>7000.0</v>
      </c>
      <c r="K8" s="373">
        <f t="shared" si="1"/>
        <v>60000</v>
      </c>
      <c r="L8" s="373">
        <v>12.0</v>
      </c>
      <c r="M8" s="337"/>
      <c r="N8" s="317">
        <f t="shared" si="2"/>
        <v>87000</v>
      </c>
      <c r="O8" s="317">
        <f t="shared" si="3"/>
        <v>50000</v>
      </c>
      <c r="P8" s="317">
        <f t="shared" si="4"/>
        <v>37000</v>
      </c>
      <c r="Q8" s="337"/>
      <c r="R8" s="337">
        <v>10000.0</v>
      </c>
      <c r="S8" s="337">
        <v>3108.0</v>
      </c>
      <c r="T8" s="337" t="s">
        <v>1881</v>
      </c>
      <c r="U8" s="373">
        <v>20000.0</v>
      </c>
      <c r="V8" s="373">
        <v>3597.0</v>
      </c>
      <c r="W8" s="402">
        <v>45757.0</v>
      </c>
      <c r="X8" s="373">
        <v>20000.0</v>
      </c>
      <c r="Y8" s="373">
        <v>3597.0</v>
      </c>
      <c r="Z8" s="402">
        <v>45848.0</v>
      </c>
    </row>
    <row r="9">
      <c r="A9" s="373">
        <v>7.0</v>
      </c>
      <c r="B9" s="373" t="s">
        <v>2022</v>
      </c>
      <c r="C9" s="373" t="s">
        <v>2023</v>
      </c>
      <c r="D9" s="373" t="s">
        <v>2024</v>
      </c>
      <c r="E9" s="373">
        <v>1853.0</v>
      </c>
      <c r="F9" s="337" t="s">
        <v>2025</v>
      </c>
      <c r="G9" s="337">
        <v>7.803006759E9</v>
      </c>
      <c r="H9" s="337">
        <v>1000.0</v>
      </c>
      <c r="I9" s="373">
        <v>20000.0</v>
      </c>
      <c r="J9" s="337">
        <v>0.0</v>
      </c>
      <c r="K9" s="373">
        <f t="shared" si="1"/>
        <v>60000</v>
      </c>
      <c r="L9" s="373">
        <v>12.0</v>
      </c>
      <c r="M9" s="337">
        <v>16000.0</v>
      </c>
      <c r="N9" s="317">
        <f t="shared" si="2"/>
        <v>65000</v>
      </c>
      <c r="O9" s="317">
        <f t="shared" si="3"/>
        <v>40000</v>
      </c>
      <c r="P9" s="317">
        <f t="shared" si="4"/>
        <v>25000</v>
      </c>
      <c r="Q9" s="337" t="s">
        <v>34</v>
      </c>
      <c r="R9" s="337">
        <v>10000.0</v>
      </c>
      <c r="S9" s="337">
        <v>2986.0</v>
      </c>
      <c r="T9" s="399">
        <v>45998.0</v>
      </c>
      <c r="U9" s="373">
        <v>10000.0</v>
      </c>
      <c r="V9" s="373">
        <v>3481.0</v>
      </c>
      <c r="W9" s="402">
        <v>45757.0</v>
      </c>
      <c r="X9" s="373">
        <v>10000.0</v>
      </c>
      <c r="Y9" s="373">
        <v>4024.0</v>
      </c>
      <c r="Z9" s="373" t="s">
        <v>2026</v>
      </c>
      <c r="AA9" s="6">
        <v>10000.0</v>
      </c>
      <c r="AB9" s="6">
        <v>4396.0</v>
      </c>
      <c r="AC9" s="403">
        <v>46297.0</v>
      </c>
    </row>
    <row r="10">
      <c r="A10" s="373">
        <v>8.0</v>
      </c>
      <c r="B10" s="373" t="s">
        <v>2027</v>
      </c>
      <c r="C10" s="373" t="s">
        <v>1715</v>
      </c>
      <c r="D10" s="373" t="s">
        <v>2028</v>
      </c>
      <c r="E10" s="373">
        <v>1898.0</v>
      </c>
      <c r="F10" s="337" t="s">
        <v>2029</v>
      </c>
      <c r="G10" s="337">
        <v>9.799420259E9</v>
      </c>
      <c r="H10" s="337">
        <v>1000.0</v>
      </c>
      <c r="I10" s="337">
        <v>21000.0</v>
      </c>
      <c r="J10" s="337">
        <v>0.0</v>
      </c>
      <c r="K10" s="373">
        <f t="shared" si="1"/>
        <v>60000</v>
      </c>
      <c r="L10" s="373">
        <v>12.0</v>
      </c>
      <c r="M10" s="337">
        <v>12000.0</v>
      </c>
      <c r="N10" s="317">
        <f t="shared" si="2"/>
        <v>70000</v>
      </c>
      <c r="O10" s="317">
        <f t="shared" si="3"/>
        <v>55000</v>
      </c>
      <c r="P10" s="317">
        <f t="shared" si="4"/>
        <v>15000</v>
      </c>
      <c r="Q10" s="337" t="s">
        <v>131</v>
      </c>
      <c r="R10" s="373">
        <v>10000.0</v>
      </c>
      <c r="S10" s="317"/>
      <c r="T10" s="402">
        <v>45695.0</v>
      </c>
      <c r="U10" s="373">
        <v>15000.0</v>
      </c>
      <c r="V10" s="373">
        <v>3954.0</v>
      </c>
      <c r="W10" s="373" t="s">
        <v>132</v>
      </c>
      <c r="X10" s="373">
        <v>30000.0</v>
      </c>
      <c r="Y10" s="373">
        <v>4390.0</v>
      </c>
      <c r="Z10" s="373" t="s">
        <v>2030</v>
      </c>
    </row>
    <row r="11">
      <c r="A11" s="373">
        <v>9.0</v>
      </c>
      <c r="B11" s="6" t="s">
        <v>1760</v>
      </c>
      <c r="C11" s="6" t="s">
        <v>1761</v>
      </c>
      <c r="D11" s="6" t="s">
        <v>1700</v>
      </c>
      <c r="E11" s="7">
        <v>1526.0</v>
      </c>
      <c r="F11" s="13"/>
      <c r="G11" s="6">
        <v>9.351433038E9</v>
      </c>
      <c r="K11" s="373">
        <f t="shared" si="1"/>
        <v>5000</v>
      </c>
      <c r="L11" s="6">
        <v>1.0</v>
      </c>
      <c r="N11" s="317">
        <f t="shared" si="2"/>
        <v>5000</v>
      </c>
      <c r="O11" s="317">
        <f t="shared" si="3"/>
        <v>25000</v>
      </c>
      <c r="P11" s="317">
        <f t="shared" si="4"/>
        <v>-20000</v>
      </c>
      <c r="R11" s="6">
        <v>5000.0</v>
      </c>
      <c r="S11" s="6">
        <v>4148.0</v>
      </c>
      <c r="T11" s="6" t="s">
        <v>2031</v>
      </c>
      <c r="U11" s="6">
        <v>10000.0</v>
      </c>
      <c r="V11" s="6">
        <v>4345.0</v>
      </c>
      <c r="W11" s="27">
        <v>46358.0</v>
      </c>
      <c r="X11" s="6">
        <v>5000.0</v>
      </c>
      <c r="Y11" s="6">
        <v>369.0</v>
      </c>
      <c r="Z11" s="404">
        <v>46176.0</v>
      </c>
      <c r="AA11" s="6">
        <v>5000.0</v>
      </c>
      <c r="AB11" s="6">
        <v>4393.0</v>
      </c>
      <c r="AC11" s="6" t="s">
        <v>2016</v>
      </c>
    </row>
    <row r="12">
      <c r="A12" s="6">
        <v>10.0</v>
      </c>
      <c r="B12" s="6" t="s">
        <v>1586</v>
      </c>
      <c r="C12" s="6" t="s">
        <v>1587</v>
      </c>
      <c r="D12" s="6" t="s">
        <v>2019</v>
      </c>
      <c r="F12" s="13"/>
      <c r="R12" s="6">
        <v>7000.0</v>
      </c>
      <c r="S12" s="6">
        <v>310.0</v>
      </c>
      <c r="T12" s="404">
        <v>46115.0</v>
      </c>
    </row>
    <row r="13">
      <c r="B13" s="6" t="s">
        <v>2032</v>
      </c>
      <c r="C13" s="6" t="s">
        <v>1765</v>
      </c>
      <c r="D13" s="6" t="s">
        <v>2033</v>
      </c>
      <c r="F13" s="13"/>
      <c r="R13" s="6">
        <v>5000.0</v>
      </c>
      <c r="S13" s="6">
        <v>4399.0</v>
      </c>
      <c r="T13" s="6" t="s">
        <v>2034</v>
      </c>
    </row>
    <row r="14">
      <c r="F14" s="13"/>
    </row>
    <row r="15">
      <c r="F15" s="13"/>
    </row>
    <row r="16">
      <c r="F16" s="13"/>
    </row>
    <row r="17">
      <c r="F17" s="13"/>
    </row>
    <row r="18">
      <c r="F18" s="13"/>
    </row>
    <row r="19">
      <c r="F19" s="13"/>
    </row>
    <row r="20">
      <c r="F20" s="13"/>
    </row>
    <row r="21">
      <c r="F21" s="13"/>
    </row>
    <row r="22">
      <c r="F22" s="13"/>
    </row>
    <row r="23">
      <c r="F23" s="13"/>
    </row>
    <row r="24">
      <c r="F24" s="13"/>
    </row>
    <row r="25">
      <c r="F25" s="13"/>
    </row>
    <row r="26">
      <c r="F26" s="13"/>
    </row>
    <row r="27">
      <c r="F27" s="13"/>
    </row>
    <row r="28">
      <c r="F28" s="13"/>
    </row>
    <row r="29">
      <c r="F29" s="13"/>
    </row>
    <row r="30">
      <c r="F30" s="13"/>
    </row>
    <row r="31">
      <c r="F31" s="13"/>
    </row>
    <row r="32">
      <c r="F32" s="13"/>
    </row>
    <row r="33">
      <c r="F33" s="13"/>
    </row>
    <row r="34">
      <c r="F34" s="13"/>
    </row>
    <row r="35">
      <c r="F35" s="13"/>
    </row>
    <row r="36">
      <c r="F36" s="13"/>
    </row>
    <row r="37">
      <c r="F37" s="13"/>
    </row>
    <row r="38">
      <c r="F38" s="13"/>
    </row>
    <row r="39">
      <c r="F39" s="13"/>
    </row>
    <row r="40">
      <c r="F40" s="13"/>
    </row>
    <row r="41">
      <c r="F41" s="13"/>
    </row>
    <row r="42">
      <c r="F42" s="13"/>
    </row>
    <row r="43">
      <c r="F43" s="13"/>
    </row>
    <row r="44">
      <c r="F44" s="13"/>
    </row>
    <row r="45">
      <c r="F45" s="13"/>
    </row>
    <row r="46">
      <c r="F46" s="13"/>
    </row>
    <row r="47">
      <c r="F47" s="13"/>
    </row>
    <row r="48">
      <c r="F48" s="13"/>
    </row>
    <row r="49">
      <c r="F49" s="13"/>
    </row>
    <row r="50">
      <c r="F50" s="13"/>
    </row>
    <row r="51">
      <c r="F51" s="13"/>
    </row>
    <row r="52">
      <c r="F52" s="13"/>
    </row>
    <row r="53">
      <c r="F53" s="13"/>
    </row>
    <row r="54">
      <c r="F54" s="13"/>
    </row>
    <row r="55">
      <c r="F55" s="13"/>
    </row>
    <row r="56">
      <c r="F56" s="13"/>
    </row>
    <row r="57">
      <c r="F57" s="13"/>
    </row>
    <row r="58">
      <c r="F58" s="13"/>
    </row>
    <row r="59">
      <c r="F59" s="13"/>
    </row>
    <row r="60">
      <c r="F60" s="13"/>
    </row>
    <row r="61">
      <c r="F61" s="13"/>
    </row>
    <row r="62">
      <c r="F62" s="13"/>
    </row>
    <row r="63">
      <c r="F63" s="13"/>
    </row>
    <row r="64">
      <c r="F64" s="13"/>
    </row>
    <row r="65">
      <c r="F65" s="13"/>
    </row>
    <row r="66">
      <c r="F66" s="13"/>
    </row>
    <row r="67">
      <c r="F67" s="13"/>
    </row>
    <row r="68">
      <c r="F68" s="13"/>
    </row>
    <row r="69">
      <c r="F69" s="13"/>
    </row>
    <row r="70">
      <c r="F70" s="13"/>
    </row>
    <row r="71">
      <c r="F71" s="13"/>
    </row>
    <row r="72">
      <c r="F72" s="13"/>
    </row>
    <row r="73">
      <c r="F73" s="13"/>
    </row>
    <row r="74">
      <c r="F74" s="13"/>
    </row>
    <row r="75">
      <c r="F75" s="13"/>
    </row>
    <row r="76">
      <c r="F76" s="13"/>
    </row>
    <row r="77">
      <c r="F77" s="13"/>
    </row>
    <row r="78">
      <c r="F78" s="13"/>
    </row>
    <row r="79">
      <c r="F79" s="13"/>
    </row>
    <row r="80">
      <c r="F80" s="13"/>
    </row>
    <row r="81">
      <c r="F81" s="13"/>
    </row>
    <row r="82">
      <c r="F82" s="13"/>
    </row>
    <row r="83">
      <c r="F83" s="13"/>
    </row>
    <row r="84">
      <c r="F84" s="13"/>
    </row>
    <row r="85">
      <c r="F85" s="13"/>
    </row>
    <row r="86">
      <c r="F86" s="13"/>
    </row>
    <row r="87">
      <c r="F87" s="13"/>
    </row>
    <row r="88">
      <c r="F88" s="13"/>
    </row>
    <row r="89">
      <c r="F89" s="13"/>
    </row>
    <row r="90">
      <c r="F90" s="13"/>
    </row>
    <row r="91">
      <c r="F91" s="13"/>
    </row>
    <row r="92">
      <c r="F92" s="13"/>
    </row>
    <row r="93">
      <c r="F93" s="13"/>
    </row>
    <row r="94">
      <c r="F94" s="13"/>
    </row>
    <row r="95">
      <c r="F95" s="13"/>
    </row>
    <row r="96">
      <c r="F96" s="13"/>
    </row>
    <row r="97">
      <c r="F97" s="13"/>
    </row>
    <row r="98">
      <c r="F98" s="13"/>
    </row>
    <row r="99">
      <c r="F99" s="13"/>
    </row>
    <row r="100">
      <c r="F100" s="13"/>
    </row>
    <row r="101">
      <c r="F101" s="13"/>
    </row>
    <row r="102">
      <c r="F102" s="13"/>
    </row>
    <row r="103">
      <c r="F103" s="13"/>
    </row>
    <row r="104">
      <c r="F104" s="13"/>
    </row>
    <row r="105">
      <c r="F105" s="13"/>
    </row>
    <row r="106">
      <c r="F106" s="13"/>
    </row>
    <row r="107">
      <c r="F107" s="13"/>
    </row>
    <row r="108">
      <c r="F108" s="13"/>
    </row>
    <row r="109">
      <c r="F109" s="13"/>
    </row>
    <row r="110">
      <c r="F110" s="13"/>
    </row>
    <row r="111">
      <c r="F111" s="13"/>
    </row>
    <row r="112">
      <c r="F112" s="13"/>
    </row>
    <row r="113">
      <c r="F113" s="13"/>
    </row>
    <row r="114">
      <c r="F114" s="13"/>
    </row>
    <row r="115">
      <c r="F115" s="13"/>
    </row>
    <row r="116">
      <c r="F116" s="13"/>
    </row>
    <row r="117">
      <c r="F117" s="13"/>
    </row>
    <row r="118">
      <c r="F118" s="13"/>
    </row>
    <row r="119">
      <c r="F119" s="13"/>
    </row>
    <row r="120">
      <c r="F120" s="13"/>
    </row>
    <row r="121">
      <c r="F121" s="13"/>
    </row>
    <row r="122">
      <c r="F122" s="13"/>
    </row>
    <row r="123">
      <c r="F123" s="13"/>
    </row>
    <row r="124">
      <c r="F124" s="13"/>
    </row>
    <row r="125">
      <c r="F125" s="13"/>
    </row>
    <row r="126">
      <c r="F126" s="13"/>
    </row>
    <row r="127">
      <c r="F127" s="13"/>
    </row>
    <row r="128">
      <c r="F128" s="13"/>
    </row>
    <row r="129">
      <c r="F129" s="13"/>
    </row>
    <row r="130">
      <c r="F130" s="13"/>
    </row>
    <row r="131">
      <c r="F131" s="13"/>
    </row>
    <row r="132">
      <c r="F132" s="13"/>
    </row>
    <row r="133">
      <c r="F133" s="13"/>
    </row>
    <row r="134">
      <c r="F134" s="13"/>
    </row>
    <row r="135">
      <c r="F135" s="13"/>
    </row>
    <row r="136">
      <c r="F136" s="13"/>
    </row>
    <row r="137">
      <c r="F137" s="13"/>
    </row>
    <row r="138">
      <c r="F138" s="13"/>
    </row>
    <row r="139">
      <c r="F139" s="13"/>
    </row>
    <row r="140">
      <c r="F140" s="13"/>
    </row>
    <row r="141">
      <c r="F141" s="13"/>
    </row>
    <row r="142">
      <c r="F142" s="13"/>
    </row>
    <row r="143">
      <c r="F143" s="13"/>
    </row>
    <row r="144">
      <c r="F144" s="13"/>
    </row>
    <row r="145">
      <c r="F145" s="13"/>
    </row>
    <row r="146">
      <c r="F146" s="13"/>
    </row>
    <row r="147">
      <c r="F147" s="13"/>
    </row>
    <row r="148">
      <c r="F148" s="13"/>
    </row>
    <row r="149">
      <c r="F149" s="13"/>
    </row>
    <row r="150">
      <c r="F150" s="13"/>
    </row>
    <row r="151">
      <c r="F151" s="13"/>
    </row>
    <row r="152">
      <c r="F152" s="13"/>
    </row>
    <row r="153">
      <c r="F153" s="13"/>
    </row>
    <row r="154">
      <c r="F154" s="13"/>
    </row>
    <row r="155">
      <c r="F155" s="13"/>
    </row>
    <row r="156">
      <c r="F156" s="13"/>
    </row>
    <row r="157">
      <c r="F157" s="13"/>
    </row>
    <row r="158">
      <c r="F158" s="13"/>
    </row>
    <row r="159">
      <c r="F159" s="13"/>
    </row>
    <row r="160">
      <c r="F160" s="13"/>
    </row>
    <row r="161">
      <c r="F161" s="13"/>
    </row>
    <row r="162">
      <c r="F162" s="13"/>
    </row>
    <row r="163">
      <c r="F163" s="13"/>
    </row>
    <row r="164">
      <c r="F164" s="13"/>
    </row>
    <row r="165">
      <c r="F165" s="13"/>
    </row>
    <row r="166">
      <c r="F166" s="13"/>
    </row>
    <row r="167">
      <c r="F167" s="13"/>
    </row>
    <row r="168">
      <c r="F168" s="13"/>
    </row>
    <row r="169">
      <c r="F169" s="13"/>
    </row>
    <row r="170">
      <c r="F170" s="13"/>
    </row>
    <row r="171">
      <c r="F171" s="13"/>
    </row>
    <row r="172">
      <c r="F172" s="13"/>
    </row>
    <row r="173">
      <c r="F173" s="13"/>
    </row>
    <row r="174">
      <c r="F174" s="13"/>
    </row>
    <row r="175">
      <c r="F175" s="13"/>
    </row>
    <row r="176">
      <c r="F176" s="13"/>
    </row>
    <row r="177">
      <c r="F177" s="13"/>
    </row>
    <row r="178">
      <c r="F178" s="13"/>
    </row>
    <row r="179">
      <c r="F179" s="13"/>
    </row>
    <row r="180">
      <c r="F180" s="13"/>
    </row>
    <row r="181">
      <c r="F181" s="13"/>
    </row>
    <row r="182">
      <c r="F182" s="13"/>
    </row>
    <row r="183">
      <c r="F183" s="13"/>
    </row>
    <row r="184">
      <c r="F184" s="13"/>
    </row>
    <row r="185">
      <c r="F185" s="13"/>
    </row>
    <row r="186">
      <c r="F186" s="13"/>
    </row>
    <row r="187">
      <c r="F187" s="13"/>
    </row>
    <row r="188">
      <c r="F188" s="13"/>
    </row>
    <row r="189">
      <c r="F189" s="13"/>
    </row>
    <row r="190">
      <c r="F190" s="13"/>
    </row>
    <row r="191">
      <c r="F191" s="13"/>
    </row>
    <row r="192">
      <c r="F192" s="13"/>
    </row>
    <row r="193">
      <c r="F193" s="13"/>
    </row>
    <row r="194">
      <c r="F194" s="13"/>
    </row>
    <row r="195">
      <c r="F195" s="13"/>
    </row>
    <row r="196">
      <c r="F196" s="13"/>
    </row>
    <row r="197">
      <c r="F197" s="13"/>
    </row>
    <row r="198">
      <c r="F198" s="13"/>
    </row>
    <row r="199">
      <c r="F199" s="13"/>
    </row>
    <row r="200">
      <c r="F200" s="13"/>
    </row>
    <row r="201">
      <c r="F201" s="13"/>
    </row>
    <row r="202">
      <c r="F202" s="13"/>
    </row>
    <row r="203">
      <c r="F203" s="13"/>
    </row>
    <row r="204">
      <c r="F204" s="13"/>
    </row>
    <row r="205">
      <c r="F205" s="13"/>
    </row>
    <row r="206">
      <c r="F206" s="13"/>
    </row>
    <row r="207">
      <c r="F207" s="13"/>
    </row>
    <row r="208">
      <c r="F208" s="13"/>
    </row>
    <row r="209">
      <c r="F209" s="13"/>
    </row>
    <row r="210">
      <c r="F210" s="13"/>
    </row>
    <row r="211">
      <c r="F211" s="13"/>
    </row>
    <row r="212">
      <c r="F212" s="13"/>
    </row>
    <row r="213">
      <c r="F213" s="13"/>
    </row>
    <row r="214">
      <c r="F214" s="13"/>
    </row>
    <row r="215">
      <c r="F215" s="13"/>
    </row>
    <row r="216">
      <c r="F216" s="13"/>
    </row>
    <row r="217">
      <c r="F217" s="13"/>
    </row>
    <row r="218">
      <c r="F218" s="13"/>
    </row>
    <row r="219">
      <c r="F219" s="13"/>
    </row>
    <row r="220">
      <c r="F220" s="13"/>
    </row>
    <row r="221">
      <c r="F221" s="13"/>
    </row>
    <row r="222">
      <c r="F222" s="13"/>
    </row>
    <row r="223">
      <c r="F223" s="13"/>
    </row>
    <row r="224">
      <c r="F224" s="13"/>
    </row>
    <row r="225">
      <c r="F225" s="13"/>
    </row>
    <row r="226">
      <c r="F226" s="13"/>
    </row>
    <row r="227">
      <c r="F227" s="13"/>
    </row>
    <row r="228">
      <c r="F228" s="13"/>
    </row>
    <row r="229">
      <c r="F229" s="13"/>
    </row>
    <row r="230">
      <c r="F230" s="13"/>
    </row>
    <row r="231">
      <c r="F231" s="13"/>
    </row>
    <row r="232">
      <c r="F232" s="13"/>
    </row>
    <row r="233">
      <c r="F233" s="13"/>
    </row>
    <row r="234">
      <c r="F234" s="13"/>
    </row>
    <row r="235">
      <c r="F235" s="13"/>
    </row>
    <row r="236">
      <c r="F236" s="13"/>
    </row>
    <row r="237">
      <c r="F237" s="13"/>
    </row>
    <row r="238">
      <c r="F238" s="13"/>
    </row>
    <row r="239">
      <c r="F239" s="13"/>
    </row>
    <row r="240">
      <c r="F240" s="13"/>
    </row>
    <row r="241">
      <c r="F241" s="13"/>
    </row>
    <row r="242">
      <c r="F242" s="13"/>
    </row>
    <row r="243">
      <c r="F243" s="13"/>
    </row>
    <row r="244">
      <c r="F244" s="13"/>
    </row>
    <row r="245">
      <c r="F245" s="13"/>
    </row>
    <row r="246">
      <c r="F246" s="13"/>
    </row>
    <row r="247">
      <c r="F247" s="13"/>
    </row>
    <row r="248">
      <c r="F248" s="13"/>
    </row>
    <row r="249">
      <c r="F249" s="13"/>
    </row>
    <row r="250">
      <c r="F250" s="13"/>
    </row>
    <row r="251">
      <c r="F251" s="13"/>
    </row>
    <row r="252">
      <c r="F252" s="13"/>
    </row>
    <row r="253">
      <c r="F253" s="13"/>
    </row>
    <row r="254">
      <c r="F254" s="13"/>
    </row>
    <row r="255">
      <c r="F255" s="13"/>
    </row>
    <row r="256">
      <c r="F256" s="13"/>
    </row>
    <row r="257">
      <c r="F257" s="13"/>
    </row>
    <row r="258">
      <c r="F258" s="13"/>
    </row>
    <row r="259">
      <c r="F259" s="13"/>
    </row>
    <row r="260">
      <c r="F260" s="13"/>
    </row>
    <row r="261">
      <c r="F261" s="13"/>
    </row>
    <row r="262">
      <c r="F262" s="13"/>
    </row>
    <row r="263">
      <c r="F263" s="13"/>
    </row>
    <row r="264">
      <c r="F264" s="13"/>
    </row>
    <row r="265">
      <c r="F265" s="13"/>
    </row>
    <row r="266">
      <c r="F266" s="13"/>
    </row>
    <row r="267">
      <c r="F267" s="13"/>
    </row>
    <row r="268">
      <c r="F268" s="13"/>
    </row>
    <row r="269">
      <c r="F269" s="13"/>
    </row>
    <row r="270">
      <c r="F270" s="13"/>
    </row>
    <row r="271">
      <c r="F271" s="13"/>
    </row>
    <row r="272">
      <c r="F272" s="13"/>
    </row>
    <row r="273">
      <c r="F273" s="13"/>
    </row>
    <row r="274">
      <c r="F274" s="13"/>
    </row>
    <row r="275">
      <c r="F275" s="13"/>
    </row>
    <row r="276">
      <c r="F276" s="13"/>
    </row>
    <row r="277">
      <c r="F277" s="13"/>
    </row>
    <row r="278">
      <c r="F278" s="13"/>
    </row>
    <row r="279">
      <c r="F279" s="13"/>
    </row>
    <row r="280">
      <c r="F280" s="13"/>
    </row>
    <row r="281">
      <c r="F281" s="13"/>
    </row>
    <row r="282">
      <c r="F282" s="13"/>
    </row>
    <row r="283">
      <c r="F283" s="13"/>
    </row>
    <row r="284">
      <c r="F284" s="13"/>
    </row>
    <row r="285">
      <c r="F285" s="13"/>
    </row>
    <row r="286">
      <c r="F286" s="13"/>
    </row>
    <row r="287">
      <c r="F287" s="13"/>
    </row>
    <row r="288">
      <c r="F288" s="13"/>
    </row>
    <row r="289">
      <c r="F289" s="13"/>
    </row>
    <row r="290">
      <c r="F290" s="13"/>
    </row>
    <row r="291">
      <c r="F291" s="13"/>
    </row>
    <row r="292">
      <c r="F292" s="13"/>
    </row>
    <row r="293">
      <c r="F293" s="13"/>
    </row>
    <row r="294">
      <c r="F294" s="13"/>
    </row>
    <row r="295">
      <c r="F295" s="13"/>
    </row>
    <row r="296">
      <c r="F296" s="13"/>
    </row>
    <row r="297">
      <c r="F297" s="13"/>
    </row>
    <row r="298">
      <c r="F298" s="13"/>
    </row>
    <row r="299">
      <c r="F299" s="13"/>
    </row>
    <row r="300">
      <c r="F300" s="13"/>
    </row>
    <row r="301">
      <c r="F301" s="13"/>
    </row>
    <row r="302">
      <c r="F302" s="13"/>
    </row>
    <row r="303">
      <c r="F303" s="13"/>
    </row>
    <row r="304">
      <c r="F304" s="13"/>
    </row>
    <row r="305">
      <c r="F305" s="13"/>
    </row>
    <row r="306">
      <c r="F306" s="13"/>
    </row>
    <row r="307">
      <c r="F307" s="13"/>
    </row>
    <row r="308">
      <c r="F308" s="13"/>
    </row>
    <row r="309">
      <c r="F309" s="13"/>
    </row>
    <row r="310">
      <c r="F310" s="13"/>
    </row>
    <row r="311">
      <c r="F311" s="13"/>
    </row>
    <row r="312">
      <c r="F312" s="13"/>
    </row>
    <row r="313">
      <c r="F313" s="13"/>
    </row>
    <row r="314">
      <c r="F314" s="13"/>
    </row>
    <row r="315">
      <c r="F315" s="13"/>
    </row>
    <row r="316">
      <c r="F316" s="13"/>
    </row>
    <row r="317">
      <c r="F317" s="13"/>
    </row>
    <row r="318">
      <c r="F318" s="13"/>
    </row>
    <row r="319">
      <c r="F319" s="13"/>
    </row>
    <row r="320">
      <c r="F320" s="13"/>
    </row>
    <row r="321">
      <c r="F321" s="13"/>
    </row>
    <row r="322">
      <c r="F322" s="13"/>
    </row>
    <row r="323">
      <c r="F323" s="13"/>
    </row>
    <row r="324">
      <c r="F324" s="13"/>
    </row>
    <row r="325">
      <c r="F325" s="13"/>
    </row>
    <row r="326">
      <c r="F326" s="13"/>
    </row>
    <row r="327">
      <c r="F327" s="13"/>
    </row>
    <row r="328">
      <c r="F328" s="13"/>
    </row>
    <row r="329">
      <c r="F329" s="13"/>
    </row>
    <row r="330">
      <c r="F330" s="13"/>
    </row>
    <row r="331">
      <c r="F331" s="13"/>
    </row>
    <row r="332">
      <c r="F332" s="13"/>
    </row>
    <row r="333">
      <c r="F333" s="13"/>
    </row>
    <row r="334">
      <c r="F334" s="13"/>
    </row>
    <row r="335">
      <c r="F335" s="13"/>
    </row>
    <row r="336">
      <c r="F336" s="13"/>
    </row>
    <row r="337">
      <c r="F337" s="13"/>
    </row>
    <row r="338">
      <c r="F338" s="13"/>
    </row>
    <row r="339">
      <c r="F339" s="13"/>
    </row>
    <row r="340">
      <c r="F340" s="13"/>
    </row>
    <row r="341">
      <c r="F341" s="13"/>
    </row>
    <row r="342">
      <c r="F342" s="13"/>
    </row>
    <row r="343">
      <c r="F343" s="13"/>
    </row>
    <row r="344">
      <c r="F344" s="13"/>
    </row>
    <row r="345">
      <c r="F345" s="13"/>
    </row>
    <row r="346">
      <c r="F346" s="13"/>
    </row>
    <row r="347">
      <c r="F347" s="13"/>
    </row>
    <row r="348">
      <c r="F348" s="13"/>
    </row>
    <row r="349">
      <c r="F349" s="13"/>
    </row>
    <row r="350">
      <c r="F350" s="13"/>
    </row>
    <row r="351">
      <c r="F351" s="13"/>
    </row>
    <row r="352">
      <c r="F352" s="13"/>
    </row>
    <row r="353">
      <c r="F353" s="13"/>
    </row>
    <row r="354">
      <c r="F354" s="13"/>
    </row>
    <row r="355">
      <c r="F355" s="13"/>
    </row>
    <row r="356">
      <c r="F356" s="13"/>
    </row>
    <row r="357">
      <c r="F357" s="13"/>
    </row>
    <row r="358">
      <c r="F358" s="13"/>
    </row>
    <row r="359">
      <c r="F359" s="13"/>
    </row>
    <row r="360">
      <c r="F360" s="13"/>
    </row>
    <row r="361">
      <c r="F361" s="13"/>
    </row>
    <row r="362">
      <c r="F362" s="13"/>
    </row>
    <row r="363">
      <c r="F363" s="13"/>
    </row>
    <row r="364">
      <c r="F364" s="13"/>
    </row>
    <row r="365">
      <c r="F365" s="13"/>
    </row>
    <row r="366">
      <c r="F366" s="13"/>
    </row>
    <row r="367">
      <c r="F367" s="13"/>
    </row>
    <row r="368">
      <c r="F368" s="13"/>
    </row>
    <row r="369">
      <c r="F369" s="13"/>
    </row>
    <row r="370">
      <c r="F370" s="13"/>
    </row>
    <row r="371">
      <c r="F371" s="13"/>
    </row>
    <row r="372">
      <c r="F372" s="13"/>
    </row>
    <row r="373">
      <c r="F373" s="13"/>
    </row>
    <row r="374">
      <c r="F374" s="13"/>
    </row>
    <row r="375">
      <c r="F375" s="13"/>
    </row>
    <row r="376">
      <c r="F376" s="13"/>
    </row>
    <row r="377">
      <c r="F377" s="13"/>
    </row>
    <row r="378">
      <c r="F378" s="13"/>
    </row>
    <row r="379">
      <c r="F379" s="13"/>
    </row>
    <row r="380">
      <c r="F380" s="13"/>
    </row>
    <row r="381">
      <c r="F381" s="13"/>
    </row>
    <row r="382">
      <c r="F382" s="13"/>
    </row>
    <row r="383">
      <c r="F383" s="13"/>
    </row>
    <row r="384">
      <c r="F384" s="13"/>
    </row>
    <row r="385">
      <c r="F385" s="13"/>
    </row>
    <row r="386">
      <c r="F386" s="13"/>
    </row>
    <row r="387">
      <c r="F387" s="13"/>
    </row>
    <row r="388">
      <c r="F388" s="13"/>
    </row>
    <row r="389">
      <c r="F389" s="13"/>
    </row>
    <row r="390">
      <c r="F390" s="13"/>
    </row>
    <row r="391">
      <c r="F391" s="13"/>
    </row>
    <row r="392">
      <c r="F392" s="13"/>
    </row>
    <row r="393">
      <c r="F393" s="13"/>
    </row>
    <row r="394">
      <c r="F394" s="13"/>
    </row>
    <row r="395">
      <c r="F395" s="13"/>
    </row>
    <row r="396">
      <c r="F396" s="13"/>
    </row>
    <row r="397">
      <c r="F397" s="13"/>
    </row>
    <row r="398">
      <c r="F398" s="13"/>
    </row>
    <row r="399">
      <c r="F399" s="13"/>
    </row>
    <row r="400">
      <c r="F400" s="13"/>
    </row>
    <row r="401">
      <c r="F401" s="13"/>
    </row>
    <row r="402">
      <c r="F402" s="13"/>
    </row>
    <row r="403">
      <c r="F403" s="13"/>
    </row>
    <row r="404">
      <c r="F404" s="13"/>
    </row>
    <row r="405">
      <c r="F405" s="13"/>
    </row>
    <row r="406">
      <c r="F406" s="13"/>
    </row>
    <row r="407">
      <c r="F407" s="13"/>
    </row>
    <row r="408">
      <c r="F408" s="13"/>
    </row>
    <row r="409">
      <c r="F409" s="13"/>
    </row>
    <row r="410">
      <c r="F410" s="13"/>
    </row>
    <row r="411">
      <c r="F411" s="13"/>
    </row>
    <row r="412">
      <c r="F412" s="13"/>
    </row>
    <row r="413">
      <c r="F413" s="13"/>
    </row>
    <row r="414">
      <c r="F414" s="13"/>
    </row>
    <row r="415">
      <c r="F415" s="13"/>
    </row>
    <row r="416">
      <c r="F416" s="13"/>
    </row>
    <row r="417">
      <c r="F417" s="13"/>
    </row>
    <row r="418">
      <c r="F418" s="13"/>
    </row>
    <row r="419">
      <c r="F419" s="13"/>
    </row>
    <row r="420">
      <c r="F420" s="13"/>
    </row>
    <row r="421">
      <c r="F421" s="13"/>
    </row>
    <row r="422">
      <c r="F422" s="13"/>
    </row>
    <row r="423">
      <c r="F423" s="13"/>
    </row>
    <row r="424">
      <c r="F424" s="13"/>
    </row>
    <row r="425">
      <c r="F425" s="13"/>
    </row>
    <row r="426">
      <c r="F426" s="13"/>
    </row>
    <row r="427">
      <c r="F427" s="13"/>
    </row>
    <row r="428">
      <c r="F428" s="13"/>
    </row>
    <row r="429">
      <c r="F429" s="13"/>
    </row>
    <row r="430">
      <c r="F430" s="13"/>
    </row>
    <row r="431">
      <c r="F431" s="13"/>
    </row>
    <row r="432">
      <c r="F432" s="13"/>
    </row>
    <row r="433">
      <c r="F433" s="13"/>
    </row>
    <row r="434">
      <c r="F434" s="13"/>
    </row>
    <row r="435">
      <c r="F435" s="13"/>
    </row>
    <row r="436">
      <c r="F436" s="13"/>
    </row>
    <row r="437">
      <c r="F437" s="13"/>
    </row>
    <row r="438">
      <c r="F438" s="13"/>
    </row>
    <row r="439">
      <c r="F439" s="13"/>
    </row>
    <row r="440">
      <c r="F440" s="13"/>
    </row>
    <row r="441">
      <c r="F441" s="13"/>
    </row>
    <row r="442">
      <c r="F442" s="13"/>
    </row>
    <row r="443">
      <c r="F443" s="13"/>
    </row>
    <row r="444">
      <c r="F444" s="13"/>
    </row>
    <row r="445">
      <c r="F445" s="13"/>
    </row>
    <row r="446">
      <c r="F446" s="13"/>
    </row>
    <row r="447">
      <c r="F447" s="13"/>
    </row>
    <row r="448">
      <c r="F448" s="13"/>
    </row>
    <row r="449">
      <c r="F449" s="13"/>
    </row>
    <row r="450">
      <c r="F450" s="13"/>
    </row>
    <row r="451">
      <c r="F451" s="13"/>
    </row>
    <row r="452">
      <c r="F452" s="13"/>
    </row>
    <row r="453">
      <c r="F453" s="13"/>
    </row>
    <row r="454">
      <c r="F454" s="13"/>
    </row>
    <row r="455">
      <c r="F455" s="13"/>
    </row>
    <row r="456">
      <c r="F456" s="13"/>
    </row>
    <row r="457">
      <c r="F457" s="13"/>
    </row>
    <row r="458">
      <c r="F458" s="13"/>
    </row>
    <row r="459">
      <c r="F459" s="13"/>
    </row>
    <row r="460">
      <c r="F460" s="13"/>
    </row>
    <row r="461">
      <c r="F461" s="13"/>
    </row>
    <row r="462">
      <c r="F462" s="13"/>
    </row>
    <row r="463">
      <c r="F463" s="13"/>
    </row>
    <row r="464">
      <c r="F464" s="13"/>
    </row>
    <row r="465">
      <c r="F465" s="13"/>
    </row>
    <row r="466">
      <c r="F466" s="13"/>
    </row>
    <row r="467">
      <c r="F467" s="13"/>
    </row>
    <row r="468">
      <c r="F468" s="13"/>
    </row>
    <row r="469">
      <c r="F469" s="13"/>
    </row>
    <row r="470">
      <c r="F470" s="13"/>
    </row>
    <row r="471">
      <c r="F471" s="13"/>
    </row>
    <row r="472">
      <c r="F472" s="13"/>
    </row>
    <row r="473">
      <c r="F473" s="13"/>
    </row>
    <row r="474">
      <c r="F474" s="13"/>
    </row>
    <row r="475">
      <c r="F475" s="13"/>
    </row>
    <row r="476">
      <c r="F476" s="13"/>
    </row>
    <row r="477">
      <c r="F477" s="13"/>
    </row>
    <row r="478">
      <c r="F478" s="13"/>
    </row>
    <row r="479">
      <c r="F479" s="13"/>
    </row>
    <row r="480">
      <c r="F480" s="13"/>
    </row>
    <row r="481">
      <c r="F481" s="13"/>
    </row>
    <row r="482">
      <c r="F482" s="13"/>
    </row>
    <row r="483">
      <c r="F483" s="13"/>
    </row>
    <row r="484">
      <c r="F484" s="13"/>
    </row>
    <row r="485">
      <c r="F485" s="13"/>
    </row>
    <row r="486">
      <c r="F486" s="13"/>
    </row>
    <row r="487">
      <c r="F487" s="13"/>
    </row>
    <row r="488">
      <c r="F488" s="13"/>
    </row>
    <row r="489">
      <c r="F489" s="13"/>
    </row>
    <row r="490">
      <c r="F490" s="13"/>
    </row>
    <row r="491">
      <c r="F491" s="13"/>
    </row>
    <row r="492">
      <c r="F492" s="13"/>
    </row>
    <row r="493">
      <c r="F493" s="13"/>
    </row>
    <row r="494">
      <c r="F494" s="13"/>
    </row>
    <row r="495">
      <c r="F495" s="13"/>
    </row>
    <row r="496">
      <c r="F496" s="13"/>
    </row>
    <row r="497">
      <c r="F497" s="13"/>
    </row>
    <row r="498">
      <c r="F498" s="13"/>
    </row>
    <row r="499">
      <c r="F499" s="13"/>
    </row>
    <row r="500">
      <c r="F500" s="13"/>
    </row>
    <row r="501">
      <c r="F501" s="13"/>
    </row>
    <row r="502">
      <c r="F502" s="13"/>
    </row>
    <row r="503">
      <c r="F503" s="13"/>
    </row>
    <row r="504">
      <c r="F504" s="13"/>
    </row>
    <row r="505">
      <c r="F505" s="13"/>
    </row>
    <row r="506">
      <c r="F506" s="13"/>
    </row>
    <row r="507">
      <c r="F507" s="13"/>
    </row>
    <row r="508">
      <c r="F508" s="13"/>
    </row>
    <row r="509">
      <c r="F509" s="13"/>
    </row>
    <row r="510">
      <c r="F510" s="13"/>
    </row>
    <row r="511">
      <c r="F511" s="13"/>
    </row>
    <row r="512">
      <c r="F512" s="13"/>
    </row>
    <row r="513">
      <c r="F513" s="13"/>
    </row>
    <row r="514">
      <c r="F514" s="13"/>
    </row>
    <row r="515">
      <c r="F515" s="13"/>
    </row>
    <row r="516">
      <c r="F516" s="13"/>
    </row>
    <row r="517">
      <c r="F517" s="13"/>
    </row>
    <row r="518">
      <c r="F518" s="13"/>
    </row>
    <row r="519">
      <c r="F519" s="13"/>
    </row>
    <row r="520">
      <c r="F520" s="13"/>
    </row>
    <row r="521">
      <c r="F521" s="13"/>
    </row>
    <row r="522">
      <c r="F522" s="13"/>
    </row>
    <row r="523">
      <c r="F523" s="13"/>
    </row>
    <row r="524">
      <c r="F524" s="13"/>
    </row>
    <row r="525">
      <c r="F525" s="13"/>
    </row>
    <row r="526">
      <c r="F526" s="13"/>
    </row>
    <row r="527">
      <c r="F527" s="13"/>
    </row>
    <row r="528">
      <c r="F528" s="13"/>
    </row>
    <row r="529">
      <c r="F529" s="13"/>
    </row>
    <row r="530">
      <c r="F530" s="13"/>
    </row>
    <row r="531">
      <c r="F531" s="13"/>
    </row>
    <row r="532">
      <c r="F532" s="13"/>
    </row>
    <row r="533">
      <c r="F533" s="13"/>
    </row>
    <row r="534">
      <c r="F534" s="13"/>
    </row>
    <row r="535">
      <c r="F535" s="13"/>
    </row>
    <row r="536">
      <c r="F536" s="13"/>
    </row>
    <row r="537">
      <c r="F537" s="13"/>
    </row>
    <row r="538">
      <c r="F538" s="13"/>
    </row>
    <row r="539">
      <c r="F539" s="13"/>
    </row>
    <row r="540">
      <c r="F540" s="13"/>
    </row>
    <row r="541">
      <c r="F541" s="13"/>
    </row>
    <row r="542">
      <c r="F542" s="13"/>
    </row>
    <row r="543">
      <c r="F543" s="13"/>
    </row>
    <row r="544">
      <c r="F544" s="13"/>
    </row>
    <row r="545">
      <c r="F545" s="13"/>
    </row>
    <row r="546">
      <c r="F546" s="13"/>
    </row>
    <row r="547">
      <c r="F547" s="13"/>
    </row>
    <row r="548">
      <c r="F548" s="13"/>
    </row>
    <row r="549">
      <c r="F549" s="13"/>
    </row>
    <row r="550">
      <c r="F550" s="13"/>
    </row>
    <row r="551">
      <c r="F551" s="13"/>
    </row>
    <row r="552">
      <c r="F552" s="13"/>
    </row>
    <row r="553">
      <c r="F553" s="13"/>
    </row>
    <row r="554">
      <c r="F554" s="13"/>
    </row>
    <row r="555">
      <c r="F555" s="13"/>
    </row>
    <row r="556">
      <c r="F556" s="13"/>
    </row>
    <row r="557">
      <c r="F557" s="13"/>
    </row>
    <row r="558">
      <c r="F558" s="13"/>
    </row>
    <row r="559">
      <c r="F559" s="13"/>
    </row>
    <row r="560">
      <c r="F560" s="13"/>
    </row>
    <row r="561">
      <c r="F561" s="13"/>
    </row>
    <row r="562">
      <c r="F562" s="13"/>
    </row>
    <row r="563">
      <c r="F563" s="13"/>
    </row>
    <row r="564">
      <c r="F564" s="13"/>
    </row>
    <row r="565">
      <c r="F565" s="13"/>
    </row>
    <row r="566">
      <c r="F566" s="13"/>
    </row>
    <row r="567">
      <c r="F567" s="13"/>
    </row>
    <row r="568">
      <c r="F568" s="13"/>
    </row>
    <row r="569">
      <c r="F569" s="13"/>
    </row>
    <row r="570">
      <c r="F570" s="13"/>
    </row>
    <row r="571">
      <c r="F571" s="13"/>
    </row>
    <row r="572">
      <c r="F572" s="13"/>
    </row>
    <row r="573">
      <c r="F573" s="13"/>
    </row>
    <row r="574">
      <c r="F574" s="13"/>
    </row>
    <row r="575">
      <c r="F575" s="13"/>
    </row>
    <row r="576">
      <c r="F576" s="13"/>
    </row>
    <row r="577">
      <c r="F577" s="13"/>
    </row>
    <row r="578">
      <c r="F578" s="13"/>
    </row>
    <row r="579">
      <c r="F579" s="13"/>
    </row>
    <row r="580">
      <c r="F580" s="13"/>
    </row>
    <row r="581">
      <c r="F581" s="13"/>
    </row>
    <row r="582">
      <c r="F582" s="13"/>
    </row>
    <row r="583">
      <c r="F583" s="13"/>
    </row>
    <row r="584">
      <c r="F584" s="13"/>
    </row>
    <row r="585">
      <c r="F585" s="13"/>
    </row>
    <row r="586">
      <c r="F586" s="13"/>
    </row>
    <row r="587">
      <c r="F587" s="13"/>
    </row>
    <row r="588">
      <c r="F588" s="13"/>
    </row>
    <row r="589">
      <c r="F589" s="13"/>
    </row>
    <row r="590">
      <c r="F590" s="13"/>
    </row>
    <row r="591">
      <c r="F591" s="13"/>
    </row>
    <row r="592">
      <c r="F592" s="13"/>
    </row>
    <row r="593">
      <c r="F593" s="13"/>
    </row>
    <row r="594">
      <c r="F594" s="13"/>
    </row>
    <row r="595">
      <c r="F595" s="13"/>
    </row>
    <row r="596">
      <c r="F596" s="13"/>
    </row>
    <row r="597">
      <c r="F597" s="13"/>
    </row>
    <row r="598">
      <c r="F598" s="13"/>
    </row>
    <row r="599">
      <c r="F599" s="13"/>
    </row>
    <row r="600">
      <c r="F600" s="13"/>
    </row>
    <row r="601">
      <c r="F601" s="13"/>
    </row>
    <row r="602">
      <c r="F602" s="13"/>
    </row>
    <row r="603">
      <c r="F603" s="13"/>
    </row>
    <row r="604">
      <c r="F604" s="13"/>
    </row>
    <row r="605">
      <c r="F605" s="13"/>
    </row>
    <row r="606">
      <c r="F606" s="13"/>
    </row>
    <row r="607">
      <c r="F607" s="13"/>
    </row>
    <row r="608">
      <c r="F608" s="13"/>
    </row>
    <row r="609">
      <c r="F609" s="13"/>
    </row>
    <row r="610">
      <c r="F610" s="13"/>
    </row>
    <row r="611">
      <c r="F611" s="13"/>
    </row>
    <row r="612">
      <c r="F612" s="13"/>
    </row>
    <row r="613">
      <c r="F613" s="13"/>
    </row>
    <row r="614">
      <c r="F614" s="13"/>
    </row>
    <row r="615">
      <c r="F615" s="13"/>
    </row>
    <row r="616">
      <c r="F616" s="13"/>
    </row>
    <row r="617">
      <c r="F617" s="13"/>
    </row>
    <row r="618">
      <c r="F618" s="13"/>
    </row>
    <row r="619">
      <c r="F619" s="13"/>
    </row>
    <row r="620">
      <c r="F620" s="13"/>
    </row>
    <row r="621">
      <c r="F621" s="13"/>
    </row>
    <row r="622">
      <c r="F622" s="13"/>
    </row>
    <row r="623">
      <c r="F623" s="13"/>
    </row>
    <row r="624">
      <c r="F624" s="13"/>
    </row>
    <row r="625">
      <c r="F625" s="13"/>
    </row>
    <row r="626">
      <c r="F626" s="13"/>
    </row>
    <row r="627">
      <c r="F627" s="13"/>
    </row>
    <row r="628">
      <c r="F628" s="13"/>
    </row>
    <row r="629">
      <c r="F629" s="13"/>
    </row>
    <row r="630">
      <c r="F630" s="13"/>
    </row>
    <row r="631">
      <c r="F631" s="13"/>
    </row>
    <row r="632">
      <c r="F632" s="13"/>
    </row>
    <row r="633">
      <c r="F633" s="13"/>
    </row>
    <row r="634">
      <c r="F634" s="13"/>
    </row>
    <row r="635">
      <c r="F635" s="13"/>
    </row>
    <row r="636">
      <c r="F636" s="13"/>
    </row>
    <row r="637">
      <c r="F637" s="13"/>
    </row>
    <row r="638">
      <c r="F638" s="13"/>
    </row>
    <row r="639">
      <c r="F639" s="13"/>
    </row>
    <row r="640">
      <c r="F640" s="13"/>
    </row>
    <row r="641">
      <c r="F641" s="13"/>
    </row>
    <row r="642">
      <c r="F642" s="13"/>
    </row>
    <row r="643">
      <c r="F643" s="13"/>
    </row>
    <row r="644">
      <c r="F644" s="13"/>
    </row>
    <row r="645">
      <c r="F645" s="13"/>
    </row>
    <row r="646">
      <c r="F646" s="13"/>
    </row>
    <row r="647">
      <c r="F647" s="13"/>
    </row>
    <row r="648">
      <c r="F648" s="13"/>
    </row>
    <row r="649">
      <c r="F649" s="13"/>
    </row>
    <row r="650">
      <c r="F650" s="13"/>
    </row>
    <row r="651">
      <c r="F651" s="13"/>
    </row>
    <row r="652">
      <c r="F652" s="13"/>
    </row>
    <row r="653">
      <c r="F653" s="13"/>
    </row>
    <row r="654">
      <c r="F654" s="13"/>
    </row>
    <row r="655">
      <c r="F655" s="13"/>
    </row>
    <row r="656">
      <c r="F656" s="13"/>
    </row>
    <row r="657">
      <c r="F657" s="13"/>
    </row>
    <row r="658">
      <c r="F658" s="13"/>
    </row>
    <row r="659">
      <c r="F659" s="13"/>
    </row>
    <row r="660">
      <c r="F660" s="13"/>
    </row>
    <row r="661">
      <c r="F661" s="13"/>
    </row>
    <row r="662">
      <c r="F662" s="13"/>
    </row>
    <row r="663">
      <c r="F663" s="13"/>
    </row>
    <row r="664">
      <c r="F664" s="13"/>
    </row>
    <row r="665">
      <c r="F665" s="13"/>
    </row>
    <row r="666">
      <c r="F666" s="13"/>
    </row>
    <row r="667">
      <c r="F667" s="13"/>
    </row>
    <row r="668">
      <c r="F668" s="13"/>
    </row>
    <row r="669">
      <c r="F669" s="13"/>
    </row>
    <row r="670">
      <c r="F670" s="13"/>
    </row>
    <row r="671">
      <c r="F671" s="13"/>
    </row>
    <row r="672">
      <c r="F672" s="13"/>
    </row>
    <row r="673">
      <c r="F673" s="13"/>
    </row>
    <row r="674">
      <c r="F674" s="13"/>
    </row>
    <row r="675">
      <c r="F675" s="13"/>
    </row>
    <row r="676">
      <c r="F676" s="13"/>
    </row>
    <row r="677">
      <c r="F677" s="13"/>
    </row>
    <row r="678">
      <c r="F678" s="13"/>
    </row>
    <row r="679">
      <c r="F679" s="13"/>
    </row>
    <row r="680">
      <c r="F680" s="13"/>
    </row>
    <row r="681">
      <c r="F681" s="13"/>
    </row>
    <row r="682">
      <c r="F682" s="13"/>
    </row>
    <row r="683">
      <c r="F683" s="13"/>
    </row>
    <row r="684">
      <c r="F684" s="13"/>
    </row>
    <row r="685">
      <c r="F685" s="13"/>
    </row>
    <row r="686">
      <c r="F686" s="13"/>
    </row>
    <row r="687">
      <c r="F687" s="13"/>
    </row>
    <row r="688">
      <c r="F688" s="13"/>
    </row>
    <row r="689">
      <c r="F689" s="13"/>
    </row>
    <row r="690">
      <c r="F690" s="13"/>
    </row>
    <row r="691">
      <c r="F691" s="13"/>
    </row>
    <row r="692">
      <c r="F692" s="13"/>
    </row>
    <row r="693">
      <c r="F693" s="13"/>
    </row>
    <row r="694">
      <c r="F694" s="13"/>
    </row>
    <row r="695">
      <c r="F695" s="13"/>
    </row>
    <row r="696">
      <c r="F696" s="13"/>
    </row>
    <row r="697">
      <c r="F697" s="13"/>
    </row>
    <row r="698">
      <c r="F698" s="13"/>
    </row>
    <row r="699">
      <c r="F699" s="13"/>
    </row>
    <row r="700">
      <c r="F700" s="13"/>
    </row>
    <row r="701">
      <c r="F701" s="13"/>
    </row>
    <row r="702">
      <c r="F702" s="13"/>
    </row>
    <row r="703">
      <c r="F703" s="13"/>
    </row>
    <row r="704">
      <c r="F704" s="13"/>
    </row>
    <row r="705">
      <c r="F705" s="13"/>
    </row>
    <row r="706">
      <c r="F706" s="13"/>
    </row>
    <row r="707">
      <c r="F707" s="13"/>
    </row>
    <row r="708">
      <c r="F708" s="13"/>
    </row>
    <row r="709">
      <c r="F709" s="13"/>
    </row>
    <row r="710">
      <c r="F710" s="13"/>
    </row>
    <row r="711">
      <c r="F711" s="13"/>
    </row>
    <row r="712">
      <c r="F712" s="13"/>
    </row>
    <row r="713">
      <c r="F713" s="13"/>
    </row>
    <row r="714">
      <c r="F714" s="13"/>
    </row>
    <row r="715">
      <c r="F715" s="13"/>
    </row>
    <row r="716">
      <c r="F716" s="13"/>
    </row>
    <row r="717">
      <c r="F717" s="13"/>
    </row>
    <row r="718">
      <c r="F718" s="13"/>
    </row>
    <row r="719">
      <c r="F719" s="13"/>
    </row>
    <row r="720">
      <c r="F720" s="13"/>
    </row>
    <row r="721">
      <c r="F721" s="13"/>
    </row>
    <row r="722">
      <c r="F722" s="13"/>
    </row>
    <row r="723">
      <c r="F723" s="13"/>
    </row>
    <row r="724">
      <c r="F724" s="13"/>
    </row>
    <row r="725">
      <c r="F725" s="13"/>
    </row>
    <row r="726">
      <c r="F726" s="13"/>
    </row>
    <row r="727">
      <c r="F727" s="13"/>
    </row>
    <row r="728">
      <c r="F728" s="13"/>
    </row>
    <row r="729">
      <c r="F729" s="13"/>
    </row>
    <row r="730">
      <c r="F730" s="13"/>
    </row>
    <row r="731">
      <c r="F731" s="13"/>
    </row>
    <row r="732">
      <c r="F732" s="13"/>
    </row>
    <row r="733">
      <c r="F733" s="13"/>
    </row>
    <row r="734">
      <c r="F734" s="13"/>
    </row>
    <row r="735">
      <c r="F735" s="13"/>
    </row>
    <row r="736">
      <c r="F736" s="13"/>
    </row>
    <row r="737">
      <c r="F737" s="13"/>
    </row>
    <row r="738">
      <c r="F738" s="13"/>
    </row>
    <row r="739">
      <c r="F739" s="13"/>
    </row>
    <row r="740">
      <c r="F740" s="13"/>
    </row>
    <row r="741">
      <c r="F741" s="13"/>
    </row>
    <row r="742">
      <c r="F742" s="13"/>
    </row>
    <row r="743">
      <c r="F743" s="13"/>
    </row>
    <row r="744">
      <c r="F744" s="13"/>
    </row>
    <row r="745">
      <c r="F745" s="13"/>
    </row>
    <row r="746">
      <c r="F746" s="13"/>
    </row>
    <row r="747">
      <c r="F747" s="13"/>
    </row>
    <row r="748">
      <c r="F748" s="13"/>
    </row>
    <row r="749">
      <c r="F749" s="13"/>
    </row>
    <row r="750">
      <c r="F750" s="13"/>
    </row>
    <row r="751">
      <c r="F751" s="13"/>
    </row>
    <row r="752">
      <c r="F752" s="13"/>
    </row>
    <row r="753">
      <c r="F753" s="13"/>
    </row>
    <row r="754">
      <c r="F754" s="13"/>
    </row>
    <row r="755">
      <c r="F755" s="13"/>
    </row>
    <row r="756">
      <c r="F756" s="13"/>
    </row>
    <row r="757">
      <c r="F757" s="13"/>
    </row>
    <row r="758">
      <c r="F758" s="13"/>
    </row>
    <row r="759">
      <c r="F759" s="13"/>
    </row>
    <row r="760">
      <c r="F760" s="13"/>
    </row>
    <row r="761">
      <c r="F761" s="13"/>
    </row>
    <row r="762">
      <c r="F762" s="13"/>
    </row>
    <row r="763">
      <c r="F763" s="13"/>
    </row>
    <row r="764">
      <c r="F764" s="13"/>
    </row>
    <row r="765">
      <c r="F765" s="13"/>
    </row>
    <row r="766">
      <c r="F766" s="13"/>
    </row>
    <row r="767">
      <c r="F767" s="13"/>
    </row>
    <row r="768">
      <c r="F768" s="13"/>
    </row>
    <row r="769">
      <c r="F769" s="13"/>
    </row>
    <row r="770">
      <c r="F770" s="13"/>
    </row>
    <row r="771">
      <c r="F771" s="13"/>
    </row>
    <row r="772">
      <c r="F772" s="13"/>
    </row>
    <row r="773">
      <c r="F773" s="13"/>
    </row>
    <row r="774">
      <c r="F774" s="13"/>
    </row>
    <row r="775">
      <c r="F775" s="13"/>
    </row>
    <row r="776">
      <c r="F776" s="13"/>
    </row>
    <row r="777">
      <c r="F777" s="13"/>
    </row>
    <row r="778">
      <c r="F778" s="13"/>
    </row>
    <row r="779">
      <c r="F779" s="13"/>
    </row>
    <row r="780">
      <c r="F780" s="13"/>
    </row>
    <row r="781">
      <c r="F781" s="13"/>
    </row>
    <row r="782">
      <c r="F782" s="13"/>
    </row>
    <row r="783">
      <c r="F783" s="13"/>
    </row>
    <row r="784">
      <c r="F784" s="13"/>
    </row>
    <row r="785">
      <c r="F785" s="13"/>
    </row>
    <row r="786">
      <c r="F786" s="13"/>
    </row>
    <row r="787">
      <c r="F787" s="13"/>
    </row>
    <row r="788">
      <c r="F788" s="13"/>
    </row>
    <row r="789">
      <c r="F789" s="13"/>
    </row>
    <row r="790">
      <c r="F790" s="13"/>
    </row>
    <row r="791">
      <c r="F791" s="13"/>
    </row>
    <row r="792">
      <c r="F792" s="13"/>
    </row>
    <row r="793">
      <c r="F793" s="13"/>
    </row>
    <row r="794">
      <c r="F794" s="13"/>
    </row>
    <row r="795">
      <c r="F795" s="13"/>
    </row>
    <row r="796">
      <c r="F796" s="13"/>
    </row>
    <row r="797">
      <c r="F797" s="13"/>
    </row>
    <row r="798">
      <c r="F798" s="13"/>
    </row>
    <row r="799">
      <c r="F799" s="13"/>
    </row>
    <row r="800">
      <c r="F800" s="13"/>
    </row>
    <row r="801">
      <c r="F801" s="13"/>
    </row>
    <row r="802">
      <c r="F802" s="13"/>
    </row>
    <row r="803">
      <c r="F803" s="13"/>
    </row>
    <row r="804">
      <c r="F804" s="13"/>
    </row>
    <row r="805">
      <c r="F805" s="13"/>
    </row>
    <row r="806">
      <c r="F806" s="13"/>
    </row>
    <row r="807">
      <c r="F807" s="13"/>
    </row>
    <row r="808">
      <c r="F808" s="13"/>
    </row>
    <row r="809">
      <c r="F809" s="13"/>
    </row>
    <row r="810">
      <c r="F810" s="13"/>
    </row>
    <row r="811">
      <c r="F811" s="13"/>
    </row>
    <row r="812">
      <c r="F812" s="13"/>
    </row>
    <row r="813">
      <c r="F813" s="13"/>
    </row>
    <row r="814">
      <c r="F814" s="13"/>
    </row>
    <row r="815">
      <c r="F815" s="13"/>
    </row>
    <row r="816">
      <c r="F816" s="13"/>
    </row>
    <row r="817">
      <c r="F817" s="13"/>
    </row>
    <row r="818">
      <c r="F818" s="13"/>
    </row>
    <row r="819">
      <c r="F819" s="13"/>
    </row>
    <row r="820">
      <c r="F820" s="13"/>
    </row>
    <row r="821">
      <c r="F821" s="13"/>
    </row>
    <row r="822">
      <c r="F822" s="13"/>
    </row>
    <row r="823">
      <c r="F823" s="13"/>
    </row>
    <row r="824">
      <c r="F824" s="13"/>
    </row>
    <row r="825">
      <c r="F825" s="13"/>
    </row>
    <row r="826">
      <c r="F826" s="13"/>
    </row>
    <row r="827">
      <c r="F827" s="13"/>
    </row>
    <row r="828">
      <c r="F828" s="13"/>
    </row>
    <row r="829">
      <c r="F829" s="13"/>
    </row>
    <row r="830">
      <c r="F830" s="13"/>
    </row>
    <row r="831">
      <c r="F831" s="13"/>
    </row>
    <row r="832">
      <c r="F832" s="13"/>
    </row>
    <row r="833">
      <c r="F833" s="13"/>
    </row>
    <row r="834">
      <c r="F834" s="13"/>
    </row>
    <row r="835">
      <c r="F835" s="13"/>
    </row>
    <row r="836">
      <c r="F836" s="13"/>
    </row>
    <row r="837">
      <c r="F837" s="13"/>
    </row>
    <row r="838">
      <c r="F838" s="13"/>
    </row>
    <row r="839">
      <c r="F839" s="13"/>
    </row>
    <row r="840">
      <c r="F840" s="13"/>
    </row>
    <row r="841">
      <c r="F841" s="13"/>
    </row>
    <row r="842">
      <c r="F842" s="13"/>
    </row>
    <row r="843">
      <c r="F843" s="13"/>
    </row>
    <row r="844">
      <c r="F844" s="13"/>
    </row>
    <row r="845">
      <c r="F845" s="13"/>
    </row>
    <row r="846">
      <c r="F846" s="13"/>
    </row>
    <row r="847">
      <c r="F847" s="13"/>
    </row>
    <row r="848">
      <c r="F848" s="13"/>
    </row>
    <row r="849">
      <c r="F849" s="13"/>
    </row>
    <row r="850">
      <c r="F850" s="13"/>
    </row>
    <row r="851">
      <c r="F851" s="13"/>
    </row>
    <row r="852">
      <c r="F852" s="13"/>
    </row>
    <row r="853">
      <c r="F853" s="13"/>
    </row>
    <row r="854">
      <c r="F854" s="13"/>
    </row>
    <row r="855">
      <c r="F855" s="13"/>
    </row>
    <row r="856">
      <c r="F856" s="13"/>
    </row>
    <row r="857">
      <c r="F857" s="13"/>
    </row>
    <row r="858">
      <c r="F858" s="13"/>
    </row>
    <row r="859">
      <c r="F859" s="13"/>
    </row>
    <row r="860">
      <c r="F860" s="13"/>
    </row>
    <row r="861">
      <c r="F861" s="13"/>
    </row>
    <row r="862">
      <c r="F862" s="13"/>
    </row>
    <row r="863">
      <c r="F863" s="13"/>
    </row>
    <row r="864">
      <c r="F864" s="13"/>
    </row>
    <row r="865">
      <c r="F865" s="13"/>
    </row>
    <row r="866">
      <c r="F866" s="13"/>
    </row>
    <row r="867">
      <c r="F867" s="13"/>
    </row>
    <row r="868">
      <c r="F868" s="13"/>
    </row>
    <row r="869">
      <c r="F869" s="13"/>
    </row>
    <row r="870">
      <c r="F870" s="13"/>
    </row>
    <row r="871">
      <c r="F871" s="13"/>
    </row>
    <row r="872">
      <c r="F872" s="13"/>
    </row>
    <row r="873">
      <c r="F873" s="13"/>
    </row>
    <row r="874">
      <c r="F874" s="13"/>
    </row>
    <row r="875">
      <c r="F875" s="13"/>
    </row>
    <row r="876">
      <c r="F876" s="13"/>
    </row>
    <row r="877">
      <c r="F877" s="13"/>
    </row>
    <row r="878">
      <c r="F878" s="13"/>
    </row>
    <row r="879">
      <c r="F879" s="13"/>
    </row>
    <row r="880">
      <c r="F880" s="13"/>
    </row>
    <row r="881">
      <c r="F881" s="13"/>
    </row>
    <row r="882">
      <c r="F882" s="13"/>
    </row>
    <row r="883">
      <c r="F883" s="13"/>
    </row>
    <row r="884">
      <c r="F884" s="13"/>
    </row>
    <row r="885">
      <c r="F885" s="13"/>
    </row>
    <row r="886">
      <c r="F886" s="13"/>
    </row>
    <row r="887">
      <c r="F887" s="13"/>
    </row>
    <row r="888">
      <c r="F888" s="13"/>
    </row>
    <row r="889">
      <c r="F889" s="13"/>
    </row>
    <row r="890">
      <c r="F890" s="13"/>
    </row>
    <row r="891">
      <c r="F891" s="13"/>
    </row>
    <row r="892">
      <c r="F892" s="13"/>
    </row>
    <row r="893">
      <c r="F893" s="13"/>
    </row>
    <row r="894">
      <c r="F894" s="13"/>
    </row>
    <row r="895">
      <c r="F895" s="13"/>
    </row>
    <row r="896">
      <c r="F896" s="13"/>
    </row>
    <row r="897">
      <c r="F897" s="13"/>
    </row>
    <row r="898">
      <c r="F898" s="13"/>
    </row>
    <row r="899">
      <c r="F899" s="13"/>
    </row>
    <row r="900">
      <c r="F900" s="13"/>
    </row>
    <row r="901">
      <c r="F901" s="13"/>
    </row>
    <row r="902">
      <c r="F902" s="13"/>
    </row>
    <row r="903">
      <c r="F903" s="13"/>
    </row>
    <row r="904">
      <c r="F904" s="13"/>
    </row>
    <row r="905">
      <c r="F905" s="13"/>
    </row>
    <row r="906">
      <c r="F906" s="13"/>
    </row>
    <row r="907">
      <c r="F907" s="13"/>
    </row>
    <row r="908">
      <c r="F908" s="13"/>
    </row>
    <row r="909">
      <c r="F909" s="13"/>
    </row>
    <row r="910">
      <c r="F910" s="13"/>
    </row>
    <row r="911">
      <c r="F911" s="13"/>
    </row>
    <row r="912">
      <c r="F912" s="13"/>
    </row>
    <row r="913">
      <c r="F913" s="13"/>
    </row>
    <row r="914">
      <c r="F914" s="13"/>
    </row>
    <row r="915">
      <c r="F915" s="13"/>
    </row>
    <row r="916">
      <c r="F916" s="13"/>
    </row>
    <row r="917">
      <c r="F917" s="13"/>
    </row>
    <row r="918">
      <c r="F918" s="13"/>
    </row>
    <row r="919">
      <c r="F919" s="13"/>
    </row>
    <row r="920">
      <c r="F920" s="13"/>
    </row>
    <row r="921">
      <c r="F921" s="13"/>
    </row>
    <row r="922">
      <c r="F922" s="13"/>
    </row>
    <row r="923">
      <c r="F923" s="13"/>
    </row>
    <row r="924">
      <c r="F924" s="13"/>
    </row>
    <row r="925">
      <c r="F925" s="13"/>
    </row>
    <row r="926">
      <c r="F926" s="13"/>
    </row>
    <row r="927">
      <c r="F927" s="13"/>
    </row>
    <row r="928">
      <c r="F928" s="13"/>
    </row>
    <row r="929">
      <c r="F929" s="13"/>
    </row>
    <row r="930">
      <c r="F930" s="13"/>
    </row>
    <row r="931">
      <c r="F931" s="13"/>
    </row>
    <row r="932">
      <c r="F932" s="13"/>
    </row>
    <row r="933">
      <c r="F933" s="13"/>
    </row>
    <row r="934">
      <c r="F934" s="13"/>
    </row>
    <row r="935">
      <c r="F935" s="13"/>
    </row>
    <row r="936">
      <c r="F936" s="13"/>
    </row>
    <row r="937">
      <c r="F937" s="13"/>
    </row>
    <row r="938">
      <c r="F938" s="13"/>
    </row>
    <row r="939">
      <c r="F939" s="13"/>
    </row>
    <row r="940">
      <c r="F940" s="13"/>
    </row>
    <row r="941">
      <c r="F941" s="13"/>
    </row>
    <row r="942">
      <c r="F942" s="13"/>
    </row>
    <row r="943">
      <c r="F943" s="13"/>
    </row>
    <row r="944">
      <c r="F944" s="13"/>
    </row>
    <row r="945">
      <c r="F945" s="13"/>
    </row>
    <row r="946">
      <c r="F946" s="13"/>
    </row>
    <row r="947">
      <c r="F947" s="13"/>
    </row>
    <row r="948">
      <c r="F948" s="13"/>
    </row>
    <row r="949">
      <c r="F949" s="13"/>
    </row>
    <row r="950">
      <c r="F950" s="13"/>
    </row>
    <row r="951">
      <c r="F951" s="13"/>
    </row>
    <row r="952">
      <c r="F952" s="13"/>
    </row>
    <row r="953">
      <c r="F953" s="13"/>
    </row>
    <row r="954">
      <c r="F954" s="13"/>
    </row>
    <row r="955">
      <c r="F955" s="13"/>
    </row>
    <row r="956">
      <c r="F956" s="13"/>
    </row>
    <row r="957">
      <c r="F957" s="13"/>
    </row>
    <row r="958">
      <c r="F958" s="13"/>
    </row>
    <row r="959">
      <c r="F959" s="13"/>
    </row>
    <row r="960">
      <c r="F960" s="13"/>
    </row>
    <row r="961">
      <c r="F961" s="13"/>
    </row>
    <row r="962">
      <c r="F962" s="13"/>
    </row>
    <row r="963">
      <c r="F963" s="13"/>
    </row>
    <row r="964">
      <c r="F964" s="13"/>
    </row>
    <row r="965">
      <c r="F965" s="13"/>
    </row>
    <row r="966">
      <c r="F966" s="13"/>
    </row>
    <row r="967">
      <c r="F967" s="13"/>
    </row>
    <row r="968">
      <c r="F968" s="13"/>
    </row>
    <row r="969">
      <c r="F969" s="13"/>
    </row>
    <row r="970">
      <c r="F970" s="13"/>
    </row>
    <row r="971">
      <c r="F971" s="13"/>
    </row>
    <row r="972">
      <c r="F972" s="13"/>
    </row>
    <row r="973">
      <c r="F973" s="13"/>
    </row>
    <row r="974">
      <c r="F974" s="13"/>
    </row>
    <row r="975">
      <c r="F975" s="13"/>
    </row>
    <row r="976">
      <c r="F976" s="13"/>
    </row>
    <row r="977">
      <c r="F977" s="13"/>
    </row>
    <row r="978">
      <c r="F978" s="13"/>
    </row>
    <row r="979">
      <c r="F979" s="13"/>
    </row>
    <row r="980">
      <c r="F980" s="13"/>
    </row>
    <row r="981">
      <c r="F981" s="13"/>
    </row>
    <row r="982">
      <c r="F982" s="13"/>
    </row>
    <row r="983">
      <c r="F983" s="13"/>
    </row>
    <row r="984">
      <c r="F984" s="13"/>
    </row>
    <row r="985">
      <c r="F985" s="13"/>
    </row>
    <row r="986">
      <c r="F986" s="13"/>
    </row>
    <row r="987">
      <c r="F987" s="13"/>
    </row>
    <row r="988">
      <c r="F988" s="13"/>
    </row>
    <row r="989">
      <c r="F989" s="13"/>
    </row>
    <row r="990">
      <c r="F990" s="13"/>
    </row>
  </sheetData>
  <mergeCells count="1">
    <mergeCell ref="A1:Z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7.38"/>
    <col customWidth="1" min="3" max="3" width="19.25"/>
    <col customWidth="1" min="4" max="4" width="8.38"/>
    <col customWidth="1" min="5" max="5" width="17.75"/>
    <col customWidth="1" min="6" max="6" width="10.38"/>
    <col customWidth="1" min="7" max="7" width="5.88"/>
    <col customWidth="1" min="8" max="8" width="4.75"/>
    <col customWidth="1" min="9" max="9" width="7.5"/>
    <col customWidth="1" min="10" max="10" width="5.88"/>
    <col customWidth="1" min="11" max="11" width="4.75"/>
    <col customWidth="1" min="12" max="12" width="7.5"/>
    <col customWidth="1" min="13" max="13" width="4.75"/>
    <col customWidth="1" min="14" max="14" width="5.75"/>
    <col customWidth="1" min="15" max="15" width="4.63"/>
    <col customWidth="1" min="16" max="16" width="7.88"/>
    <col customWidth="1" min="17" max="17" width="5.75"/>
    <col customWidth="1" min="18" max="18" width="6.5"/>
    <col customWidth="1" min="19" max="19" width="11.38"/>
  </cols>
  <sheetData>
    <row r="1">
      <c r="A1" s="31" t="s">
        <v>2035</v>
      </c>
      <c r="B1" s="31" t="s">
        <v>2036</v>
      </c>
      <c r="C1" s="31" t="s">
        <v>2037</v>
      </c>
      <c r="D1" s="31" t="s">
        <v>2038</v>
      </c>
      <c r="E1" s="31" t="s">
        <v>2039</v>
      </c>
      <c r="F1" s="31" t="s">
        <v>2040</v>
      </c>
      <c r="G1" s="247" t="s">
        <v>251</v>
      </c>
      <c r="H1" s="31" t="s">
        <v>252</v>
      </c>
      <c r="I1" s="31" t="s">
        <v>253</v>
      </c>
      <c r="J1" s="247" t="s">
        <v>251</v>
      </c>
      <c r="K1" s="31" t="s">
        <v>252</v>
      </c>
      <c r="L1" s="31" t="s">
        <v>253</v>
      </c>
      <c r="M1" s="31" t="s">
        <v>248</v>
      </c>
      <c r="N1" s="31" t="s">
        <v>16</v>
      </c>
      <c r="O1" s="31" t="s">
        <v>17</v>
      </c>
      <c r="P1" s="32" t="s">
        <v>2041</v>
      </c>
      <c r="Q1" s="31" t="s">
        <v>19</v>
      </c>
      <c r="R1" s="32" t="s">
        <v>2042</v>
      </c>
      <c r="S1" s="31" t="s">
        <v>2043</v>
      </c>
      <c r="T1" s="33"/>
      <c r="U1" s="33"/>
      <c r="V1" s="33"/>
      <c r="W1" s="33"/>
      <c r="X1" s="33"/>
      <c r="Y1" s="33"/>
      <c r="Z1" s="33"/>
      <c r="AA1" s="33"/>
      <c r="AB1" s="33"/>
    </row>
    <row r="2">
      <c r="A2" s="26">
        <v>1.0</v>
      </c>
      <c r="B2" s="10" t="s">
        <v>2044</v>
      </c>
      <c r="C2" s="10" t="s">
        <v>2045</v>
      </c>
      <c r="D2" s="10" t="s">
        <v>2046</v>
      </c>
      <c r="E2" s="10" t="s">
        <v>1540</v>
      </c>
      <c r="F2" s="15">
        <v>9.772012139E9</v>
      </c>
      <c r="G2" s="303">
        <v>7000.0</v>
      </c>
      <c r="H2" s="16">
        <v>2923.0</v>
      </c>
      <c r="I2" s="17">
        <v>45845.0</v>
      </c>
      <c r="J2" s="13"/>
      <c r="K2" s="10"/>
      <c r="L2" s="10"/>
      <c r="M2" s="10"/>
      <c r="P2" s="9"/>
      <c r="Q2" s="10"/>
      <c r="R2" s="15">
        <f>(M2+N2+O2+P2-Q2)</f>
        <v>0</v>
      </c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26">
        <v>2.0</v>
      </c>
      <c r="B3" s="10" t="s">
        <v>2047</v>
      </c>
      <c r="C3" s="10" t="s">
        <v>2048</v>
      </c>
      <c r="D3" s="15" t="s">
        <v>2049</v>
      </c>
      <c r="E3" s="10" t="s">
        <v>2050</v>
      </c>
      <c r="F3" s="15">
        <v>9.783864022E9</v>
      </c>
      <c r="G3" s="15">
        <v>1000.0</v>
      </c>
      <c r="H3" s="15">
        <v>21000.0</v>
      </c>
      <c r="I3" s="15">
        <v>0.0</v>
      </c>
      <c r="J3" s="15">
        <v>60000.0</v>
      </c>
      <c r="K3" s="15">
        <v>10000.0</v>
      </c>
      <c r="L3" s="10"/>
      <c r="M3" s="10" t="s">
        <v>44</v>
      </c>
      <c r="N3" s="16">
        <v>5000.0</v>
      </c>
      <c r="O3" s="16">
        <v>3192.0</v>
      </c>
      <c r="P3" s="10" t="s">
        <v>191</v>
      </c>
      <c r="Q3" s="10"/>
      <c r="R3" s="10"/>
      <c r="S3" s="10"/>
      <c r="U3" s="10"/>
      <c r="V3" s="10"/>
      <c r="W3" s="10"/>
      <c r="X3" s="10"/>
      <c r="Y3" s="10"/>
      <c r="Z3" s="10"/>
      <c r="AA3" s="10"/>
      <c r="AB3" s="10"/>
    </row>
    <row r="4">
      <c r="A4" s="26">
        <v>3.0</v>
      </c>
      <c r="B4" s="10" t="s">
        <v>2051</v>
      </c>
      <c r="C4" s="10" t="s">
        <v>2052</v>
      </c>
      <c r="D4" s="10" t="s">
        <v>2053</v>
      </c>
      <c r="E4" s="10" t="s">
        <v>2041</v>
      </c>
      <c r="F4" s="15">
        <v>8.875188774E9</v>
      </c>
      <c r="G4" s="303">
        <v>3000.0</v>
      </c>
      <c r="H4" s="16">
        <v>3133.0</v>
      </c>
      <c r="I4" s="17">
        <v>45696.0</v>
      </c>
      <c r="J4" s="303"/>
      <c r="K4" s="10"/>
      <c r="L4" s="10"/>
      <c r="M4" s="10"/>
      <c r="N4" s="10"/>
      <c r="P4" s="9"/>
      <c r="R4" s="15">
        <f t="shared" ref="R4:R5" si="1">(M4+N4+O4+P4-Q4)</f>
        <v>0</v>
      </c>
      <c r="S4" s="10"/>
      <c r="T4" s="10"/>
      <c r="U4" s="10"/>
      <c r="V4" s="10"/>
      <c r="W4" s="10"/>
      <c r="X4" s="10"/>
      <c r="Y4" s="10"/>
    </row>
    <row r="5">
      <c r="A5" s="26">
        <v>4.0</v>
      </c>
      <c r="B5" s="10" t="s">
        <v>2054</v>
      </c>
      <c r="C5" s="10" t="s">
        <v>2055</v>
      </c>
      <c r="D5" s="15" t="s">
        <v>2056</v>
      </c>
      <c r="E5" s="10" t="s">
        <v>33</v>
      </c>
      <c r="F5" s="15">
        <v>9.68004815E9</v>
      </c>
      <c r="K5" s="9"/>
      <c r="M5" s="15">
        <v>1000.0</v>
      </c>
      <c r="N5" s="15">
        <v>24000.0</v>
      </c>
      <c r="O5" s="15">
        <v>5000.0</v>
      </c>
      <c r="P5" s="26">
        <v>0.0</v>
      </c>
      <c r="Q5" s="10"/>
      <c r="R5" s="15">
        <f t="shared" si="1"/>
        <v>30000</v>
      </c>
      <c r="S5" s="10" t="s">
        <v>159</v>
      </c>
      <c r="T5" s="10"/>
      <c r="U5" s="10"/>
      <c r="V5" s="10"/>
      <c r="W5" s="10"/>
      <c r="X5" s="10"/>
      <c r="Y5" s="10"/>
    </row>
    <row r="6">
      <c r="A6" s="26">
        <v>5.0</v>
      </c>
      <c r="B6" s="10" t="s">
        <v>2057</v>
      </c>
      <c r="C6" s="10" t="s">
        <v>2058</v>
      </c>
      <c r="D6" s="10" t="s">
        <v>2059</v>
      </c>
      <c r="E6" s="10" t="s">
        <v>169</v>
      </c>
      <c r="F6" s="10"/>
      <c r="J6" s="10"/>
      <c r="K6" s="10"/>
      <c r="L6" s="10"/>
      <c r="M6" s="10"/>
      <c r="P6" s="9"/>
      <c r="Q6" s="10"/>
      <c r="R6" s="10"/>
      <c r="S6" s="10"/>
      <c r="T6" s="10"/>
      <c r="U6" s="10"/>
      <c r="V6" s="10"/>
      <c r="W6" s="10"/>
      <c r="X6" s="10"/>
      <c r="Y6" s="10"/>
    </row>
    <row r="7">
      <c r="A7" s="26">
        <v>6.0</v>
      </c>
      <c r="B7" s="10" t="s">
        <v>2060</v>
      </c>
      <c r="C7" s="10" t="s">
        <v>2061</v>
      </c>
      <c r="D7" s="15" t="s">
        <v>2059</v>
      </c>
      <c r="E7" s="10" t="s">
        <v>169</v>
      </c>
      <c r="F7" s="15">
        <v>7.296938977E9</v>
      </c>
      <c r="M7" s="15">
        <v>1000.0</v>
      </c>
      <c r="N7" s="15">
        <v>24000.0</v>
      </c>
      <c r="O7" s="15">
        <v>7000.0</v>
      </c>
      <c r="P7" s="26">
        <v>0.0</v>
      </c>
      <c r="Q7" s="15">
        <v>7000.0</v>
      </c>
      <c r="R7" s="15">
        <f>(M7+N7+O7+P7-Q7)</f>
        <v>25000</v>
      </c>
      <c r="S7" s="10" t="s">
        <v>44</v>
      </c>
      <c r="T7" s="10"/>
      <c r="U7" s="10"/>
      <c r="V7" s="10"/>
      <c r="W7" s="10"/>
      <c r="X7" s="10"/>
      <c r="Y7" s="10"/>
    </row>
    <row r="8">
      <c r="A8" s="26">
        <v>7.0</v>
      </c>
      <c r="B8" s="10" t="s">
        <v>2062</v>
      </c>
      <c r="C8" s="10" t="s">
        <v>2063</v>
      </c>
      <c r="D8" s="15" t="s">
        <v>2049</v>
      </c>
      <c r="E8" s="10" t="s">
        <v>2050</v>
      </c>
      <c r="F8" s="15">
        <v>7.974700268E9</v>
      </c>
      <c r="G8" s="15">
        <v>1000.0</v>
      </c>
      <c r="H8" s="15">
        <v>21000.0</v>
      </c>
      <c r="I8" s="15">
        <v>0.0</v>
      </c>
      <c r="J8" s="15">
        <v>65000.0</v>
      </c>
      <c r="K8" s="15">
        <v>15000.0</v>
      </c>
      <c r="L8" s="10"/>
      <c r="M8" s="10" t="s">
        <v>44</v>
      </c>
      <c r="N8" s="16">
        <v>5000.0</v>
      </c>
      <c r="O8" s="16">
        <v>3191.0</v>
      </c>
      <c r="P8" s="10" t="s">
        <v>191</v>
      </c>
      <c r="Q8" s="10"/>
      <c r="R8" s="10"/>
      <c r="S8" s="10"/>
      <c r="T8" s="10"/>
      <c r="U8" s="10"/>
      <c r="V8" s="10"/>
      <c r="W8" s="10"/>
      <c r="X8" s="10"/>
      <c r="Y8" s="10"/>
    </row>
    <row r="9">
      <c r="A9" s="26">
        <v>8.0</v>
      </c>
      <c r="B9" s="10" t="s">
        <v>2064</v>
      </c>
      <c r="C9" s="10" t="s">
        <v>2065</v>
      </c>
      <c r="D9" s="405" t="s">
        <v>2059</v>
      </c>
      <c r="E9" s="10" t="s">
        <v>2066</v>
      </c>
      <c r="F9" s="15">
        <v>7.023751133E9</v>
      </c>
      <c r="G9" s="16">
        <v>5000.0</v>
      </c>
      <c r="H9" s="16">
        <v>3185.0</v>
      </c>
      <c r="I9" s="10" t="s">
        <v>191</v>
      </c>
      <c r="M9" s="15">
        <v>1000.0</v>
      </c>
      <c r="N9" s="15">
        <v>24000.0</v>
      </c>
      <c r="O9" s="15">
        <v>0.0</v>
      </c>
      <c r="P9" s="15">
        <v>65000.0</v>
      </c>
      <c r="Q9" s="15">
        <v>24000.0</v>
      </c>
      <c r="R9" s="15">
        <f>(M9+N9+O9+P9-Q9)</f>
        <v>66000</v>
      </c>
      <c r="S9" s="10" t="s">
        <v>34</v>
      </c>
      <c r="T9" s="10"/>
      <c r="U9" s="10"/>
      <c r="V9" s="10"/>
      <c r="W9" s="10"/>
      <c r="X9" s="10"/>
      <c r="Y9" s="10"/>
    </row>
    <row r="10">
      <c r="A10" s="26">
        <v>9.0</v>
      </c>
      <c r="B10" s="10" t="s">
        <v>2067</v>
      </c>
      <c r="C10" s="10" t="s">
        <v>2068</v>
      </c>
      <c r="D10" s="15" t="s">
        <v>2049</v>
      </c>
      <c r="E10" s="10" t="s">
        <v>662</v>
      </c>
      <c r="F10" s="15">
        <v>9.680484539E9</v>
      </c>
      <c r="G10" s="15">
        <v>1000.0</v>
      </c>
      <c r="H10" s="15">
        <v>21000.0</v>
      </c>
      <c r="I10" s="15">
        <v>6500.0</v>
      </c>
      <c r="J10" s="10"/>
      <c r="K10" s="15">
        <v>2500.0</v>
      </c>
      <c r="L10" s="10"/>
      <c r="M10" s="10" t="s">
        <v>44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26">
        <v>10.0</v>
      </c>
      <c r="B11" s="10" t="s">
        <v>2069</v>
      </c>
      <c r="C11" s="10" t="s">
        <v>2070</v>
      </c>
      <c r="D11" s="15" t="s">
        <v>2071</v>
      </c>
      <c r="E11" s="10" t="s">
        <v>2072</v>
      </c>
      <c r="F11" s="15">
        <v>8.003575521E9</v>
      </c>
      <c r="G11" s="303">
        <v>2000.0</v>
      </c>
      <c r="H11" s="16">
        <v>3094.0</v>
      </c>
      <c r="I11" s="10" t="s">
        <v>206</v>
      </c>
      <c r="J11" s="303">
        <v>5000.0</v>
      </c>
      <c r="K11" s="16">
        <v>3155.0</v>
      </c>
      <c r="L11" s="17">
        <v>45785.0</v>
      </c>
      <c r="M11" s="15"/>
      <c r="N11" s="10"/>
      <c r="P11" s="9"/>
      <c r="R11" s="15">
        <f t="shared" ref="R11:R13" si="2">(M11+N11+O11+P11-Q11)</f>
        <v>0</v>
      </c>
      <c r="T11" s="10"/>
      <c r="U11" s="10"/>
      <c r="V11" s="10"/>
      <c r="W11" s="10"/>
      <c r="X11" s="10"/>
      <c r="Y11" s="10"/>
    </row>
    <row r="12">
      <c r="A12" s="26">
        <v>11.0</v>
      </c>
      <c r="B12" s="10" t="s">
        <v>2073</v>
      </c>
      <c r="C12" s="10" t="s">
        <v>2074</v>
      </c>
      <c r="D12" s="10" t="s">
        <v>2075</v>
      </c>
      <c r="E12" s="10" t="s">
        <v>474</v>
      </c>
      <c r="G12" s="303">
        <v>5000.0</v>
      </c>
      <c r="H12" s="16">
        <v>3181.0</v>
      </c>
      <c r="I12" s="17">
        <v>45785.0</v>
      </c>
      <c r="J12" s="13"/>
      <c r="K12" s="10"/>
      <c r="L12" s="10"/>
      <c r="M12" s="10"/>
      <c r="P12" s="9"/>
      <c r="Q12" s="10"/>
      <c r="R12" s="15">
        <f t="shared" si="2"/>
        <v>0</v>
      </c>
      <c r="S12" s="10"/>
      <c r="T12" s="10"/>
      <c r="U12" s="10"/>
      <c r="V12" s="10"/>
      <c r="W12" s="10"/>
      <c r="X12" s="10"/>
      <c r="Y12" s="10"/>
    </row>
    <row r="13">
      <c r="A13" s="26">
        <v>12.0</v>
      </c>
      <c r="B13" s="10" t="s">
        <v>412</v>
      </c>
      <c r="C13" s="10" t="s">
        <v>1054</v>
      </c>
      <c r="D13" s="10" t="s">
        <v>2075</v>
      </c>
      <c r="E13" s="10" t="s">
        <v>2041</v>
      </c>
      <c r="F13" s="10"/>
      <c r="G13" s="303">
        <v>35000.0</v>
      </c>
      <c r="H13" s="16">
        <v>3187.0</v>
      </c>
      <c r="I13" s="10" t="s">
        <v>1881</v>
      </c>
      <c r="J13" s="13"/>
      <c r="K13" s="10"/>
      <c r="L13" s="10"/>
      <c r="M13" s="10"/>
      <c r="P13" s="9"/>
      <c r="Q13" s="10"/>
      <c r="R13" s="15">
        <f t="shared" si="2"/>
        <v>0</v>
      </c>
      <c r="S13" s="10"/>
      <c r="T13" s="10"/>
      <c r="U13" s="10"/>
      <c r="V13" s="10"/>
      <c r="W13" s="10"/>
      <c r="X13" s="10"/>
      <c r="Y13" s="10"/>
    </row>
    <row r="14">
      <c r="G14" s="13"/>
      <c r="J14" s="13"/>
      <c r="P14" s="9"/>
      <c r="R14" s="9"/>
    </row>
    <row r="15">
      <c r="G15" s="13"/>
      <c r="J15" s="13"/>
      <c r="P15" s="9"/>
      <c r="R15" s="9"/>
    </row>
    <row r="16">
      <c r="G16" s="13"/>
      <c r="J16" s="13"/>
      <c r="P16" s="9"/>
      <c r="R16" s="9"/>
    </row>
    <row r="17">
      <c r="G17" s="13"/>
      <c r="J17" s="13"/>
      <c r="P17" s="9"/>
      <c r="R17" s="9"/>
    </row>
    <row r="18">
      <c r="G18" s="13"/>
      <c r="J18" s="13"/>
      <c r="P18" s="9"/>
      <c r="R18" s="9"/>
    </row>
    <row r="19">
      <c r="G19" s="13"/>
      <c r="J19" s="13"/>
      <c r="P19" s="9"/>
      <c r="R19" s="9"/>
    </row>
    <row r="20">
      <c r="G20" s="13"/>
      <c r="J20" s="13"/>
      <c r="P20" s="9"/>
      <c r="R20" s="9"/>
    </row>
    <row r="21">
      <c r="G21" s="13"/>
      <c r="J21" s="13"/>
      <c r="P21" s="9"/>
      <c r="R21" s="9"/>
    </row>
    <row r="22">
      <c r="G22" s="13"/>
      <c r="J22" s="13"/>
      <c r="P22" s="9"/>
      <c r="R22" s="9"/>
    </row>
    <row r="23">
      <c r="G23" s="13"/>
      <c r="J23" s="13"/>
      <c r="P23" s="9"/>
      <c r="R23" s="9"/>
    </row>
    <row r="24">
      <c r="G24" s="13"/>
      <c r="J24" s="13"/>
      <c r="P24" s="9"/>
      <c r="R24" s="9"/>
    </row>
    <row r="25">
      <c r="G25" s="13"/>
      <c r="J25" s="13"/>
      <c r="P25" s="9"/>
      <c r="R25" s="9"/>
    </row>
    <row r="26">
      <c r="G26" s="13"/>
      <c r="J26" s="13"/>
      <c r="P26" s="9"/>
      <c r="R26" s="9"/>
    </row>
    <row r="27">
      <c r="G27" s="13"/>
      <c r="J27" s="13"/>
      <c r="P27" s="9"/>
      <c r="R27" s="9"/>
    </row>
    <row r="28">
      <c r="G28" s="13"/>
      <c r="J28" s="13"/>
      <c r="P28" s="9"/>
      <c r="R28" s="9"/>
    </row>
    <row r="29">
      <c r="G29" s="13"/>
      <c r="J29" s="13"/>
      <c r="P29" s="9"/>
      <c r="R29" s="9"/>
    </row>
    <row r="30">
      <c r="G30" s="13"/>
      <c r="J30" s="13"/>
      <c r="P30" s="9"/>
      <c r="R30" s="9"/>
    </row>
    <row r="31">
      <c r="G31" s="13"/>
      <c r="J31" s="13"/>
      <c r="P31" s="9"/>
      <c r="R31" s="9"/>
    </row>
    <row r="32">
      <c r="G32" s="13"/>
      <c r="J32" s="13"/>
      <c r="P32" s="9"/>
      <c r="R32" s="9"/>
    </row>
    <row r="33">
      <c r="G33" s="13"/>
      <c r="J33" s="13"/>
      <c r="P33" s="9"/>
      <c r="R33" s="9"/>
    </row>
    <row r="34">
      <c r="G34" s="13"/>
      <c r="J34" s="13"/>
      <c r="P34" s="9"/>
      <c r="R34" s="9"/>
    </row>
    <row r="35">
      <c r="G35" s="13"/>
      <c r="J35" s="13"/>
      <c r="P35" s="9"/>
      <c r="R35" s="9"/>
    </row>
    <row r="36">
      <c r="G36" s="13"/>
      <c r="J36" s="13"/>
      <c r="P36" s="9"/>
      <c r="R36" s="9"/>
    </row>
    <row r="37">
      <c r="G37" s="13"/>
      <c r="J37" s="13"/>
      <c r="P37" s="9"/>
      <c r="R37" s="9"/>
    </row>
    <row r="38">
      <c r="G38" s="13"/>
      <c r="J38" s="13"/>
      <c r="P38" s="9"/>
      <c r="R38" s="9"/>
    </row>
    <row r="39">
      <c r="G39" s="13"/>
      <c r="J39" s="13"/>
      <c r="P39" s="9"/>
      <c r="R39" s="9"/>
    </row>
    <row r="40">
      <c r="G40" s="13"/>
      <c r="J40" s="13"/>
      <c r="P40" s="9"/>
      <c r="R40" s="9"/>
    </row>
    <row r="41">
      <c r="G41" s="13"/>
      <c r="J41" s="13"/>
      <c r="P41" s="9"/>
      <c r="R41" s="9"/>
    </row>
    <row r="42">
      <c r="G42" s="13"/>
      <c r="J42" s="13"/>
      <c r="P42" s="9"/>
      <c r="R42" s="9"/>
    </row>
    <row r="43">
      <c r="G43" s="13"/>
      <c r="J43" s="13"/>
      <c r="P43" s="9"/>
      <c r="R43" s="9"/>
    </row>
    <row r="44">
      <c r="G44" s="13"/>
      <c r="J44" s="13"/>
      <c r="P44" s="9"/>
      <c r="R44" s="9"/>
    </row>
    <row r="45">
      <c r="G45" s="13"/>
      <c r="J45" s="13"/>
      <c r="P45" s="9"/>
      <c r="R45" s="9"/>
    </row>
    <row r="46">
      <c r="G46" s="13"/>
      <c r="J46" s="13"/>
      <c r="P46" s="9"/>
      <c r="R46" s="9"/>
    </row>
    <row r="47">
      <c r="G47" s="13"/>
      <c r="J47" s="13"/>
      <c r="P47" s="9"/>
      <c r="R47" s="9"/>
    </row>
    <row r="48">
      <c r="G48" s="13"/>
      <c r="J48" s="13"/>
      <c r="P48" s="9"/>
      <c r="R48" s="9"/>
    </row>
    <row r="49">
      <c r="G49" s="13"/>
      <c r="J49" s="13"/>
      <c r="P49" s="9"/>
      <c r="R49" s="9"/>
    </row>
    <row r="50">
      <c r="G50" s="13"/>
      <c r="J50" s="13"/>
      <c r="P50" s="9"/>
      <c r="R50" s="9"/>
    </row>
    <row r="51">
      <c r="G51" s="13"/>
      <c r="J51" s="13"/>
      <c r="P51" s="9"/>
      <c r="R51" s="9"/>
    </row>
    <row r="52">
      <c r="G52" s="13"/>
      <c r="J52" s="13"/>
      <c r="P52" s="9"/>
      <c r="R52" s="9"/>
    </row>
    <row r="53">
      <c r="G53" s="13"/>
      <c r="J53" s="13"/>
      <c r="P53" s="9"/>
      <c r="R53" s="9"/>
    </row>
    <row r="54">
      <c r="G54" s="13"/>
      <c r="J54" s="13"/>
      <c r="P54" s="9"/>
      <c r="R54" s="9"/>
    </row>
    <row r="55">
      <c r="G55" s="13"/>
      <c r="J55" s="13"/>
      <c r="P55" s="9"/>
      <c r="R55" s="9"/>
    </row>
    <row r="56">
      <c r="G56" s="13"/>
      <c r="J56" s="13"/>
      <c r="P56" s="9"/>
      <c r="R56" s="9"/>
    </row>
    <row r="57">
      <c r="G57" s="13"/>
      <c r="J57" s="13"/>
      <c r="P57" s="9"/>
      <c r="R57" s="9"/>
    </row>
    <row r="58">
      <c r="G58" s="13"/>
      <c r="J58" s="13"/>
      <c r="P58" s="9"/>
      <c r="R58" s="9"/>
    </row>
    <row r="59">
      <c r="G59" s="13"/>
      <c r="J59" s="13"/>
      <c r="P59" s="9"/>
      <c r="R59" s="9"/>
    </row>
    <row r="60">
      <c r="G60" s="13"/>
      <c r="J60" s="13"/>
      <c r="P60" s="9"/>
      <c r="R60" s="9"/>
    </row>
    <row r="61">
      <c r="G61" s="13"/>
      <c r="J61" s="13"/>
      <c r="P61" s="9"/>
      <c r="R61" s="9"/>
    </row>
    <row r="62">
      <c r="G62" s="13"/>
      <c r="J62" s="13"/>
      <c r="P62" s="9"/>
      <c r="R62" s="9"/>
    </row>
    <row r="63">
      <c r="G63" s="13"/>
      <c r="J63" s="13"/>
      <c r="P63" s="9"/>
      <c r="R63" s="9"/>
    </row>
    <row r="64">
      <c r="G64" s="13"/>
      <c r="J64" s="13"/>
      <c r="P64" s="9"/>
      <c r="R64" s="9"/>
    </row>
    <row r="65">
      <c r="G65" s="13"/>
      <c r="J65" s="13"/>
      <c r="P65" s="9"/>
      <c r="R65" s="9"/>
    </row>
    <row r="66">
      <c r="G66" s="13"/>
      <c r="J66" s="13"/>
      <c r="P66" s="9"/>
      <c r="R66" s="9"/>
    </row>
    <row r="67">
      <c r="G67" s="13"/>
      <c r="J67" s="13"/>
      <c r="P67" s="9"/>
      <c r="R67" s="9"/>
    </row>
    <row r="68">
      <c r="G68" s="13"/>
      <c r="J68" s="13"/>
      <c r="P68" s="9"/>
      <c r="R68" s="9"/>
    </row>
    <row r="69">
      <c r="G69" s="13"/>
      <c r="J69" s="13"/>
      <c r="P69" s="9"/>
      <c r="R69" s="9"/>
    </row>
    <row r="70">
      <c r="G70" s="13"/>
      <c r="J70" s="13"/>
      <c r="P70" s="9"/>
      <c r="R70" s="9"/>
    </row>
    <row r="71">
      <c r="G71" s="13"/>
      <c r="J71" s="13"/>
      <c r="P71" s="9"/>
      <c r="R71" s="9"/>
    </row>
    <row r="72">
      <c r="G72" s="13"/>
      <c r="J72" s="13"/>
      <c r="P72" s="9"/>
      <c r="R72" s="9"/>
    </row>
    <row r="73">
      <c r="G73" s="13"/>
      <c r="J73" s="13"/>
      <c r="P73" s="9"/>
      <c r="R73" s="9"/>
    </row>
    <row r="74">
      <c r="G74" s="13"/>
      <c r="J74" s="13"/>
      <c r="P74" s="9"/>
      <c r="R74" s="9"/>
    </row>
    <row r="75">
      <c r="G75" s="13"/>
      <c r="J75" s="13"/>
      <c r="P75" s="9"/>
      <c r="R75" s="9"/>
    </row>
    <row r="76">
      <c r="G76" s="13"/>
      <c r="J76" s="13"/>
      <c r="P76" s="9"/>
      <c r="R76" s="9"/>
    </row>
    <row r="77">
      <c r="G77" s="13"/>
      <c r="J77" s="13"/>
      <c r="P77" s="9"/>
      <c r="R77" s="9"/>
    </row>
    <row r="78">
      <c r="G78" s="13"/>
      <c r="J78" s="13"/>
      <c r="P78" s="9"/>
      <c r="R78" s="9"/>
    </row>
    <row r="79">
      <c r="G79" s="13"/>
      <c r="J79" s="13"/>
      <c r="P79" s="9"/>
      <c r="R79" s="9"/>
    </row>
    <row r="80">
      <c r="G80" s="13"/>
      <c r="J80" s="13"/>
      <c r="P80" s="9"/>
      <c r="R80" s="9"/>
    </row>
    <row r="81">
      <c r="G81" s="13"/>
      <c r="J81" s="13"/>
      <c r="P81" s="9"/>
      <c r="R81" s="9"/>
    </row>
    <row r="82">
      <c r="G82" s="13"/>
      <c r="J82" s="13"/>
      <c r="P82" s="9"/>
      <c r="R82" s="9"/>
    </row>
    <row r="83">
      <c r="G83" s="13"/>
      <c r="J83" s="13"/>
      <c r="P83" s="9"/>
      <c r="R83" s="9"/>
    </row>
    <row r="84">
      <c r="G84" s="13"/>
      <c r="J84" s="13"/>
      <c r="P84" s="9"/>
      <c r="R84" s="9"/>
    </row>
    <row r="85">
      <c r="G85" s="13"/>
      <c r="J85" s="13"/>
      <c r="P85" s="9"/>
      <c r="R85" s="9"/>
    </row>
    <row r="86">
      <c r="G86" s="13"/>
      <c r="J86" s="13"/>
      <c r="P86" s="9"/>
      <c r="R86" s="9"/>
    </row>
    <row r="87">
      <c r="G87" s="13"/>
      <c r="J87" s="13"/>
      <c r="P87" s="9"/>
      <c r="R87" s="9"/>
    </row>
    <row r="88">
      <c r="G88" s="13"/>
      <c r="J88" s="13"/>
      <c r="P88" s="9"/>
      <c r="R88" s="9"/>
    </row>
    <row r="89">
      <c r="G89" s="13"/>
      <c r="J89" s="13"/>
      <c r="P89" s="9"/>
      <c r="R89" s="9"/>
    </row>
    <row r="90">
      <c r="G90" s="13"/>
      <c r="J90" s="13"/>
      <c r="P90" s="9"/>
      <c r="R90" s="9"/>
    </row>
    <row r="91">
      <c r="G91" s="13"/>
      <c r="J91" s="13"/>
      <c r="P91" s="9"/>
      <c r="R91" s="9"/>
    </row>
    <row r="92">
      <c r="G92" s="13"/>
      <c r="J92" s="13"/>
      <c r="P92" s="9"/>
      <c r="R92" s="9"/>
    </row>
    <row r="93">
      <c r="G93" s="13"/>
      <c r="J93" s="13"/>
      <c r="P93" s="9"/>
      <c r="R93" s="9"/>
    </row>
    <row r="94">
      <c r="G94" s="13"/>
      <c r="J94" s="13"/>
      <c r="P94" s="9"/>
      <c r="R94" s="9"/>
    </row>
    <row r="95">
      <c r="G95" s="13"/>
      <c r="J95" s="13"/>
      <c r="P95" s="9"/>
      <c r="R95" s="9"/>
    </row>
    <row r="96">
      <c r="G96" s="13"/>
      <c r="J96" s="13"/>
      <c r="P96" s="9"/>
      <c r="R96" s="9"/>
    </row>
    <row r="97">
      <c r="G97" s="13"/>
      <c r="J97" s="13"/>
      <c r="P97" s="9"/>
      <c r="R97" s="9"/>
    </row>
    <row r="98">
      <c r="G98" s="13"/>
      <c r="J98" s="13"/>
      <c r="P98" s="9"/>
      <c r="R98" s="9"/>
    </row>
    <row r="99">
      <c r="G99" s="13"/>
      <c r="J99" s="13"/>
      <c r="P99" s="9"/>
      <c r="R99" s="9"/>
    </row>
    <row r="100">
      <c r="G100" s="13"/>
      <c r="J100" s="13"/>
      <c r="P100" s="9"/>
      <c r="R100" s="9"/>
    </row>
    <row r="101">
      <c r="G101" s="13"/>
      <c r="J101" s="13"/>
      <c r="P101" s="9"/>
      <c r="R101" s="9"/>
    </row>
    <row r="102">
      <c r="G102" s="13"/>
      <c r="J102" s="13"/>
      <c r="P102" s="9"/>
      <c r="R102" s="9"/>
    </row>
    <row r="103">
      <c r="G103" s="13"/>
      <c r="J103" s="13"/>
      <c r="P103" s="9"/>
      <c r="R103" s="9"/>
    </row>
    <row r="104">
      <c r="G104" s="13"/>
      <c r="J104" s="13"/>
      <c r="P104" s="9"/>
      <c r="R104" s="9"/>
    </row>
    <row r="105">
      <c r="G105" s="13"/>
      <c r="J105" s="13"/>
      <c r="P105" s="9"/>
      <c r="R105" s="9"/>
    </row>
    <row r="106">
      <c r="G106" s="13"/>
      <c r="J106" s="13"/>
      <c r="P106" s="9"/>
      <c r="R106" s="9"/>
    </row>
    <row r="107">
      <c r="G107" s="13"/>
      <c r="J107" s="13"/>
      <c r="P107" s="9"/>
      <c r="R107" s="9"/>
    </row>
    <row r="108">
      <c r="G108" s="13"/>
      <c r="J108" s="13"/>
      <c r="P108" s="9"/>
      <c r="R108" s="9"/>
    </row>
    <row r="109">
      <c r="G109" s="13"/>
      <c r="J109" s="13"/>
      <c r="P109" s="9"/>
      <c r="R109" s="9"/>
    </row>
    <row r="110">
      <c r="G110" s="13"/>
      <c r="J110" s="13"/>
      <c r="P110" s="9"/>
      <c r="R110" s="9"/>
    </row>
    <row r="111">
      <c r="G111" s="13"/>
      <c r="J111" s="13"/>
      <c r="P111" s="9"/>
      <c r="R111" s="9"/>
    </row>
    <row r="112">
      <c r="G112" s="13"/>
      <c r="J112" s="13"/>
      <c r="P112" s="9"/>
      <c r="R112" s="9"/>
    </row>
    <row r="113">
      <c r="G113" s="13"/>
      <c r="J113" s="13"/>
      <c r="P113" s="9"/>
      <c r="R113" s="9"/>
    </row>
    <row r="114">
      <c r="G114" s="13"/>
      <c r="J114" s="13"/>
      <c r="P114" s="9"/>
      <c r="R114" s="9"/>
    </row>
    <row r="115">
      <c r="G115" s="13"/>
      <c r="J115" s="13"/>
      <c r="P115" s="9"/>
      <c r="R115" s="9"/>
    </row>
    <row r="116">
      <c r="G116" s="13"/>
      <c r="J116" s="13"/>
      <c r="P116" s="9"/>
      <c r="R116" s="9"/>
    </row>
    <row r="117">
      <c r="G117" s="13"/>
      <c r="J117" s="13"/>
      <c r="P117" s="9"/>
      <c r="R117" s="9"/>
    </row>
    <row r="118">
      <c r="G118" s="13"/>
      <c r="J118" s="13"/>
      <c r="P118" s="9"/>
      <c r="R118" s="9"/>
    </row>
    <row r="119">
      <c r="G119" s="13"/>
      <c r="J119" s="13"/>
      <c r="P119" s="9"/>
      <c r="R119" s="9"/>
    </row>
    <row r="120">
      <c r="G120" s="13"/>
      <c r="J120" s="13"/>
      <c r="P120" s="9"/>
      <c r="R120" s="9"/>
    </row>
    <row r="121">
      <c r="G121" s="13"/>
      <c r="J121" s="13"/>
      <c r="P121" s="9"/>
      <c r="R121" s="9"/>
    </row>
    <row r="122">
      <c r="G122" s="13"/>
      <c r="J122" s="13"/>
      <c r="P122" s="9"/>
      <c r="R122" s="9"/>
    </row>
    <row r="123">
      <c r="G123" s="13"/>
      <c r="J123" s="13"/>
      <c r="P123" s="9"/>
      <c r="R123" s="9"/>
    </row>
    <row r="124">
      <c r="G124" s="13"/>
      <c r="J124" s="13"/>
      <c r="P124" s="9"/>
      <c r="R124" s="9"/>
    </row>
    <row r="125">
      <c r="G125" s="13"/>
      <c r="J125" s="13"/>
      <c r="P125" s="9"/>
      <c r="R125" s="9"/>
    </row>
    <row r="126">
      <c r="G126" s="13"/>
      <c r="J126" s="13"/>
      <c r="P126" s="9"/>
      <c r="R126" s="9"/>
    </row>
    <row r="127">
      <c r="G127" s="13"/>
      <c r="J127" s="13"/>
      <c r="P127" s="9"/>
      <c r="R127" s="9"/>
    </row>
    <row r="128">
      <c r="G128" s="13"/>
      <c r="J128" s="13"/>
      <c r="P128" s="9"/>
      <c r="R128" s="9"/>
    </row>
    <row r="129">
      <c r="G129" s="13"/>
      <c r="J129" s="13"/>
      <c r="P129" s="9"/>
      <c r="R129" s="9"/>
    </row>
    <row r="130">
      <c r="G130" s="13"/>
      <c r="J130" s="13"/>
      <c r="P130" s="9"/>
      <c r="R130" s="9"/>
    </row>
    <row r="131">
      <c r="G131" s="13"/>
      <c r="J131" s="13"/>
      <c r="P131" s="9"/>
      <c r="R131" s="9"/>
    </row>
    <row r="132">
      <c r="G132" s="13"/>
      <c r="J132" s="13"/>
      <c r="P132" s="9"/>
      <c r="R132" s="9"/>
    </row>
    <row r="133">
      <c r="G133" s="13"/>
      <c r="J133" s="13"/>
      <c r="P133" s="9"/>
      <c r="R133" s="9"/>
    </row>
    <row r="134">
      <c r="G134" s="13"/>
      <c r="J134" s="13"/>
      <c r="P134" s="9"/>
      <c r="R134" s="9"/>
    </row>
    <row r="135">
      <c r="G135" s="13"/>
      <c r="J135" s="13"/>
      <c r="P135" s="9"/>
      <c r="R135" s="9"/>
    </row>
    <row r="136">
      <c r="G136" s="13"/>
      <c r="J136" s="13"/>
      <c r="P136" s="9"/>
      <c r="R136" s="9"/>
    </row>
    <row r="137">
      <c r="G137" s="13"/>
      <c r="J137" s="13"/>
      <c r="P137" s="9"/>
      <c r="R137" s="9"/>
    </row>
    <row r="138">
      <c r="G138" s="13"/>
      <c r="J138" s="13"/>
      <c r="P138" s="9"/>
      <c r="R138" s="9"/>
    </row>
    <row r="139">
      <c r="G139" s="13"/>
      <c r="J139" s="13"/>
      <c r="P139" s="9"/>
      <c r="R139" s="9"/>
    </row>
    <row r="140">
      <c r="G140" s="13"/>
      <c r="J140" s="13"/>
      <c r="P140" s="9"/>
      <c r="R140" s="9"/>
    </row>
    <row r="141">
      <c r="G141" s="13"/>
      <c r="J141" s="13"/>
      <c r="P141" s="9"/>
      <c r="R141" s="9"/>
    </row>
    <row r="142">
      <c r="G142" s="13"/>
      <c r="J142" s="13"/>
      <c r="P142" s="9"/>
      <c r="R142" s="9"/>
    </row>
    <row r="143">
      <c r="G143" s="13"/>
      <c r="J143" s="13"/>
      <c r="P143" s="9"/>
      <c r="R143" s="9"/>
    </row>
    <row r="144">
      <c r="G144" s="13"/>
      <c r="J144" s="13"/>
      <c r="P144" s="9"/>
      <c r="R144" s="9"/>
    </row>
    <row r="145">
      <c r="G145" s="13"/>
      <c r="J145" s="13"/>
      <c r="P145" s="9"/>
      <c r="R145" s="9"/>
    </row>
    <row r="146">
      <c r="G146" s="13"/>
      <c r="J146" s="13"/>
      <c r="P146" s="9"/>
      <c r="R146" s="9"/>
    </row>
    <row r="147">
      <c r="G147" s="13"/>
      <c r="J147" s="13"/>
      <c r="P147" s="9"/>
      <c r="R147" s="9"/>
    </row>
    <row r="148">
      <c r="G148" s="13"/>
      <c r="J148" s="13"/>
      <c r="P148" s="9"/>
      <c r="R148" s="9"/>
    </row>
    <row r="149">
      <c r="G149" s="13"/>
      <c r="J149" s="13"/>
      <c r="P149" s="9"/>
      <c r="R149" s="9"/>
    </row>
    <row r="150">
      <c r="G150" s="13"/>
      <c r="J150" s="13"/>
      <c r="P150" s="9"/>
      <c r="R150" s="9"/>
    </row>
    <row r="151">
      <c r="G151" s="13"/>
      <c r="J151" s="13"/>
      <c r="P151" s="9"/>
      <c r="R151" s="9"/>
    </row>
    <row r="152">
      <c r="G152" s="13"/>
      <c r="J152" s="13"/>
      <c r="P152" s="9"/>
      <c r="R152" s="9"/>
    </row>
    <row r="153">
      <c r="G153" s="13"/>
      <c r="J153" s="13"/>
      <c r="P153" s="9"/>
      <c r="R153" s="9"/>
    </row>
    <row r="154">
      <c r="G154" s="13"/>
      <c r="J154" s="13"/>
      <c r="P154" s="9"/>
      <c r="R154" s="9"/>
    </row>
    <row r="155">
      <c r="G155" s="13"/>
      <c r="J155" s="13"/>
      <c r="P155" s="9"/>
      <c r="R155" s="9"/>
    </row>
    <row r="156">
      <c r="G156" s="13"/>
      <c r="J156" s="13"/>
      <c r="P156" s="9"/>
      <c r="R156" s="9"/>
    </row>
    <row r="157">
      <c r="G157" s="13"/>
      <c r="J157" s="13"/>
      <c r="P157" s="9"/>
      <c r="R157" s="9"/>
    </row>
    <row r="158">
      <c r="G158" s="13"/>
      <c r="J158" s="13"/>
      <c r="P158" s="9"/>
      <c r="R158" s="9"/>
    </row>
    <row r="159">
      <c r="G159" s="13"/>
      <c r="J159" s="13"/>
      <c r="P159" s="9"/>
      <c r="R159" s="9"/>
    </row>
    <row r="160">
      <c r="G160" s="13"/>
      <c r="J160" s="13"/>
      <c r="P160" s="9"/>
      <c r="R160" s="9"/>
    </row>
    <row r="161">
      <c r="G161" s="13"/>
      <c r="J161" s="13"/>
      <c r="P161" s="9"/>
      <c r="R161" s="9"/>
    </row>
    <row r="162">
      <c r="G162" s="13"/>
      <c r="J162" s="13"/>
      <c r="P162" s="9"/>
      <c r="R162" s="9"/>
    </row>
    <row r="163">
      <c r="G163" s="13"/>
      <c r="J163" s="13"/>
      <c r="P163" s="9"/>
      <c r="R163" s="9"/>
    </row>
    <row r="164">
      <c r="G164" s="13"/>
      <c r="J164" s="13"/>
      <c r="P164" s="9"/>
      <c r="R164" s="9"/>
    </row>
    <row r="165">
      <c r="G165" s="13"/>
      <c r="J165" s="13"/>
      <c r="P165" s="9"/>
      <c r="R165" s="9"/>
    </row>
    <row r="166">
      <c r="G166" s="13"/>
      <c r="J166" s="13"/>
      <c r="P166" s="9"/>
      <c r="R166" s="9"/>
    </row>
    <row r="167">
      <c r="G167" s="13"/>
      <c r="J167" s="13"/>
      <c r="P167" s="9"/>
      <c r="R167" s="9"/>
    </row>
    <row r="168">
      <c r="G168" s="13"/>
      <c r="J168" s="13"/>
      <c r="P168" s="9"/>
      <c r="R168" s="9"/>
    </row>
    <row r="169">
      <c r="G169" s="13"/>
      <c r="J169" s="13"/>
      <c r="P169" s="9"/>
      <c r="R169" s="9"/>
    </row>
    <row r="170">
      <c r="G170" s="13"/>
      <c r="J170" s="13"/>
      <c r="P170" s="9"/>
      <c r="R170" s="9"/>
    </row>
    <row r="171">
      <c r="G171" s="13"/>
      <c r="J171" s="13"/>
      <c r="P171" s="9"/>
      <c r="R171" s="9"/>
    </row>
    <row r="172">
      <c r="G172" s="13"/>
      <c r="J172" s="13"/>
      <c r="P172" s="9"/>
      <c r="R172" s="9"/>
    </row>
    <row r="173">
      <c r="G173" s="13"/>
      <c r="J173" s="13"/>
      <c r="P173" s="9"/>
      <c r="R173" s="9"/>
    </row>
    <row r="174">
      <c r="G174" s="13"/>
      <c r="J174" s="13"/>
      <c r="P174" s="9"/>
      <c r="R174" s="9"/>
    </row>
    <row r="175">
      <c r="G175" s="13"/>
      <c r="J175" s="13"/>
      <c r="P175" s="9"/>
      <c r="R175" s="9"/>
    </row>
    <row r="176">
      <c r="G176" s="13"/>
      <c r="J176" s="13"/>
      <c r="P176" s="9"/>
      <c r="R176" s="9"/>
    </row>
    <row r="177">
      <c r="G177" s="13"/>
      <c r="J177" s="13"/>
      <c r="P177" s="9"/>
      <c r="R177" s="9"/>
    </row>
    <row r="178">
      <c r="G178" s="13"/>
      <c r="J178" s="13"/>
      <c r="P178" s="9"/>
      <c r="R178" s="9"/>
    </row>
    <row r="179">
      <c r="G179" s="13"/>
      <c r="J179" s="13"/>
      <c r="P179" s="9"/>
      <c r="R179" s="9"/>
    </row>
    <row r="180">
      <c r="G180" s="13"/>
      <c r="J180" s="13"/>
      <c r="P180" s="9"/>
      <c r="R180" s="9"/>
    </row>
    <row r="181">
      <c r="G181" s="13"/>
      <c r="J181" s="13"/>
      <c r="P181" s="9"/>
      <c r="R181" s="9"/>
    </row>
    <row r="182">
      <c r="G182" s="13"/>
      <c r="J182" s="13"/>
      <c r="P182" s="9"/>
      <c r="R182" s="9"/>
    </row>
    <row r="183">
      <c r="G183" s="13"/>
      <c r="J183" s="13"/>
      <c r="P183" s="9"/>
      <c r="R183" s="9"/>
    </row>
    <row r="184">
      <c r="G184" s="13"/>
      <c r="J184" s="13"/>
      <c r="P184" s="9"/>
      <c r="R184" s="9"/>
    </row>
    <row r="185">
      <c r="G185" s="13"/>
      <c r="J185" s="13"/>
      <c r="P185" s="9"/>
      <c r="R185" s="9"/>
    </row>
    <row r="186">
      <c r="G186" s="13"/>
      <c r="J186" s="13"/>
      <c r="P186" s="9"/>
      <c r="R186" s="9"/>
    </row>
    <row r="187">
      <c r="G187" s="13"/>
      <c r="J187" s="13"/>
      <c r="P187" s="9"/>
      <c r="R187" s="9"/>
    </row>
    <row r="188">
      <c r="G188" s="13"/>
      <c r="J188" s="13"/>
      <c r="P188" s="9"/>
      <c r="R188" s="9"/>
    </row>
    <row r="189">
      <c r="G189" s="13"/>
      <c r="J189" s="13"/>
      <c r="P189" s="9"/>
      <c r="R189" s="9"/>
    </row>
    <row r="190">
      <c r="G190" s="13"/>
      <c r="J190" s="13"/>
      <c r="P190" s="9"/>
      <c r="R190" s="9"/>
    </row>
    <row r="191">
      <c r="G191" s="13"/>
      <c r="J191" s="13"/>
      <c r="P191" s="9"/>
      <c r="R191" s="9"/>
    </row>
    <row r="192">
      <c r="G192" s="13"/>
      <c r="J192" s="13"/>
      <c r="P192" s="9"/>
      <c r="R192" s="9"/>
    </row>
    <row r="193">
      <c r="G193" s="13"/>
      <c r="J193" s="13"/>
      <c r="P193" s="9"/>
      <c r="R193" s="9"/>
    </row>
    <row r="194">
      <c r="G194" s="13"/>
      <c r="J194" s="13"/>
      <c r="P194" s="9"/>
      <c r="R194" s="9"/>
    </row>
    <row r="195">
      <c r="G195" s="13"/>
      <c r="J195" s="13"/>
      <c r="P195" s="9"/>
      <c r="R195" s="9"/>
    </row>
    <row r="196">
      <c r="G196" s="13"/>
      <c r="J196" s="13"/>
      <c r="P196" s="9"/>
      <c r="R196" s="9"/>
    </row>
    <row r="197">
      <c r="G197" s="13"/>
      <c r="J197" s="13"/>
      <c r="P197" s="9"/>
      <c r="R197" s="9"/>
    </row>
    <row r="198">
      <c r="G198" s="13"/>
      <c r="J198" s="13"/>
      <c r="P198" s="9"/>
      <c r="R198" s="9"/>
    </row>
    <row r="199">
      <c r="G199" s="13"/>
      <c r="J199" s="13"/>
      <c r="P199" s="9"/>
      <c r="R199" s="9"/>
    </row>
    <row r="200">
      <c r="G200" s="13"/>
      <c r="J200" s="13"/>
      <c r="P200" s="9"/>
      <c r="R200" s="9"/>
    </row>
    <row r="201">
      <c r="G201" s="13"/>
      <c r="J201" s="13"/>
      <c r="P201" s="9"/>
      <c r="R201" s="9"/>
    </row>
    <row r="202">
      <c r="G202" s="13"/>
      <c r="J202" s="13"/>
      <c r="P202" s="9"/>
      <c r="R202" s="9"/>
    </row>
    <row r="203">
      <c r="G203" s="13"/>
      <c r="J203" s="13"/>
      <c r="P203" s="9"/>
      <c r="R203" s="9"/>
    </row>
    <row r="204">
      <c r="G204" s="13"/>
      <c r="J204" s="13"/>
      <c r="P204" s="9"/>
      <c r="R204" s="9"/>
    </row>
    <row r="205">
      <c r="G205" s="13"/>
      <c r="J205" s="13"/>
      <c r="P205" s="9"/>
      <c r="R205" s="9"/>
    </row>
    <row r="206">
      <c r="G206" s="13"/>
      <c r="J206" s="13"/>
      <c r="P206" s="9"/>
      <c r="R206" s="9"/>
    </row>
    <row r="207">
      <c r="G207" s="13"/>
      <c r="J207" s="13"/>
      <c r="P207" s="9"/>
      <c r="R207" s="9"/>
    </row>
    <row r="208">
      <c r="G208" s="13"/>
      <c r="J208" s="13"/>
      <c r="P208" s="9"/>
      <c r="R208" s="9"/>
    </row>
    <row r="209">
      <c r="G209" s="13"/>
      <c r="J209" s="13"/>
      <c r="P209" s="9"/>
      <c r="R209" s="9"/>
    </row>
    <row r="210">
      <c r="G210" s="13"/>
      <c r="J210" s="13"/>
      <c r="P210" s="9"/>
      <c r="R210" s="9"/>
    </row>
    <row r="211">
      <c r="G211" s="13"/>
      <c r="J211" s="13"/>
      <c r="P211" s="9"/>
      <c r="R211" s="9"/>
    </row>
    <row r="212">
      <c r="G212" s="13"/>
      <c r="J212" s="13"/>
      <c r="P212" s="9"/>
      <c r="R212" s="9"/>
    </row>
    <row r="213">
      <c r="G213" s="13"/>
      <c r="J213" s="13"/>
      <c r="P213" s="9"/>
      <c r="R213" s="9"/>
    </row>
    <row r="214">
      <c r="G214" s="13"/>
      <c r="J214" s="13"/>
      <c r="P214" s="9"/>
      <c r="R214" s="9"/>
    </row>
    <row r="215">
      <c r="G215" s="13"/>
      <c r="J215" s="13"/>
      <c r="P215" s="9"/>
      <c r="R215" s="9"/>
    </row>
    <row r="216">
      <c r="G216" s="13"/>
      <c r="J216" s="13"/>
      <c r="P216" s="9"/>
      <c r="R216" s="9"/>
    </row>
    <row r="217">
      <c r="G217" s="13"/>
      <c r="J217" s="13"/>
      <c r="P217" s="9"/>
      <c r="R217" s="9"/>
    </row>
    <row r="218">
      <c r="G218" s="13"/>
      <c r="J218" s="13"/>
      <c r="P218" s="9"/>
      <c r="R218" s="9"/>
    </row>
    <row r="219">
      <c r="G219" s="13"/>
      <c r="J219" s="13"/>
      <c r="P219" s="9"/>
      <c r="R219" s="9"/>
    </row>
    <row r="220">
      <c r="G220" s="13"/>
      <c r="J220" s="13"/>
      <c r="P220" s="9"/>
      <c r="R220" s="9"/>
    </row>
    <row r="221">
      <c r="G221" s="13"/>
      <c r="J221" s="13"/>
      <c r="P221" s="9"/>
      <c r="R221" s="9"/>
    </row>
    <row r="222">
      <c r="G222" s="13"/>
      <c r="J222" s="13"/>
      <c r="P222" s="9"/>
      <c r="R222" s="9"/>
    </row>
    <row r="223">
      <c r="G223" s="13"/>
      <c r="J223" s="13"/>
      <c r="P223" s="9"/>
      <c r="R223" s="9"/>
    </row>
    <row r="224">
      <c r="G224" s="13"/>
      <c r="J224" s="13"/>
      <c r="P224" s="9"/>
      <c r="R224" s="9"/>
    </row>
    <row r="225">
      <c r="G225" s="13"/>
      <c r="J225" s="13"/>
      <c r="P225" s="9"/>
      <c r="R225" s="9"/>
    </row>
    <row r="226">
      <c r="G226" s="13"/>
      <c r="J226" s="13"/>
      <c r="P226" s="9"/>
      <c r="R226" s="9"/>
    </row>
    <row r="227">
      <c r="G227" s="13"/>
      <c r="J227" s="13"/>
      <c r="P227" s="9"/>
      <c r="R227" s="9"/>
    </row>
    <row r="228">
      <c r="G228" s="13"/>
      <c r="J228" s="13"/>
      <c r="P228" s="9"/>
      <c r="R228" s="9"/>
    </row>
    <row r="229">
      <c r="G229" s="13"/>
      <c r="J229" s="13"/>
      <c r="P229" s="9"/>
      <c r="R229" s="9"/>
    </row>
    <row r="230">
      <c r="G230" s="13"/>
      <c r="J230" s="13"/>
      <c r="P230" s="9"/>
      <c r="R230" s="9"/>
    </row>
    <row r="231">
      <c r="G231" s="13"/>
      <c r="J231" s="13"/>
      <c r="P231" s="9"/>
      <c r="R231" s="9"/>
    </row>
    <row r="232">
      <c r="G232" s="13"/>
      <c r="J232" s="13"/>
      <c r="P232" s="9"/>
      <c r="R232" s="9"/>
    </row>
    <row r="233">
      <c r="G233" s="13"/>
      <c r="J233" s="13"/>
      <c r="P233" s="9"/>
      <c r="R233" s="9"/>
    </row>
    <row r="234">
      <c r="G234" s="13"/>
      <c r="J234" s="13"/>
      <c r="P234" s="9"/>
      <c r="R234" s="9"/>
    </row>
    <row r="235">
      <c r="G235" s="13"/>
      <c r="J235" s="13"/>
      <c r="P235" s="9"/>
      <c r="R235" s="9"/>
    </row>
    <row r="236">
      <c r="G236" s="13"/>
      <c r="J236" s="13"/>
      <c r="P236" s="9"/>
      <c r="R236" s="9"/>
    </row>
    <row r="237">
      <c r="G237" s="13"/>
      <c r="J237" s="13"/>
      <c r="P237" s="9"/>
      <c r="R237" s="9"/>
    </row>
    <row r="238">
      <c r="G238" s="13"/>
      <c r="J238" s="13"/>
      <c r="P238" s="9"/>
      <c r="R238" s="9"/>
    </row>
    <row r="239">
      <c r="G239" s="13"/>
      <c r="J239" s="13"/>
      <c r="P239" s="9"/>
      <c r="R239" s="9"/>
    </row>
    <row r="240">
      <c r="G240" s="13"/>
      <c r="J240" s="13"/>
      <c r="P240" s="9"/>
      <c r="R240" s="9"/>
    </row>
    <row r="241">
      <c r="G241" s="13"/>
      <c r="J241" s="13"/>
      <c r="P241" s="9"/>
      <c r="R241" s="9"/>
    </row>
    <row r="242">
      <c r="G242" s="13"/>
      <c r="J242" s="13"/>
      <c r="P242" s="9"/>
      <c r="R242" s="9"/>
    </row>
    <row r="243">
      <c r="G243" s="13"/>
      <c r="J243" s="13"/>
      <c r="P243" s="9"/>
      <c r="R243" s="9"/>
    </row>
    <row r="244">
      <c r="G244" s="13"/>
      <c r="J244" s="13"/>
      <c r="P244" s="9"/>
      <c r="R244" s="9"/>
    </row>
    <row r="245">
      <c r="G245" s="13"/>
      <c r="J245" s="13"/>
      <c r="P245" s="9"/>
      <c r="R245" s="9"/>
    </row>
    <row r="246">
      <c r="G246" s="13"/>
      <c r="J246" s="13"/>
      <c r="P246" s="9"/>
      <c r="R246" s="9"/>
    </row>
    <row r="247">
      <c r="G247" s="13"/>
      <c r="J247" s="13"/>
      <c r="P247" s="9"/>
      <c r="R247" s="9"/>
    </row>
    <row r="248">
      <c r="G248" s="13"/>
      <c r="J248" s="13"/>
      <c r="P248" s="9"/>
      <c r="R248" s="9"/>
    </row>
    <row r="249">
      <c r="G249" s="13"/>
      <c r="J249" s="13"/>
      <c r="P249" s="9"/>
      <c r="R249" s="9"/>
    </row>
    <row r="250">
      <c r="G250" s="13"/>
      <c r="J250" s="13"/>
      <c r="P250" s="9"/>
      <c r="R250" s="9"/>
    </row>
    <row r="251">
      <c r="G251" s="13"/>
      <c r="J251" s="13"/>
      <c r="P251" s="9"/>
      <c r="R251" s="9"/>
    </row>
    <row r="252">
      <c r="G252" s="13"/>
      <c r="J252" s="13"/>
      <c r="P252" s="9"/>
      <c r="R252" s="9"/>
    </row>
    <row r="253">
      <c r="G253" s="13"/>
      <c r="J253" s="13"/>
      <c r="P253" s="9"/>
      <c r="R253" s="9"/>
    </row>
    <row r="254">
      <c r="G254" s="13"/>
      <c r="J254" s="13"/>
      <c r="P254" s="9"/>
      <c r="R254" s="9"/>
    </row>
    <row r="255">
      <c r="G255" s="13"/>
      <c r="J255" s="13"/>
      <c r="P255" s="9"/>
      <c r="R255" s="9"/>
    </row>
    <row r="256">
      <c r="G256" s="13"/>
      <c r="J256" s="13"/>
      <c r="P256" s="9"/>
      <c r="R256" s="9"/>
    </row>
    <row r="257">
      <c r="G257" s="13"/>
      <c r="J257" s="13"/>
      <c r="P257" s="9"/>
      <c r="R257" s="9"/>
    </row>
    <row r="258">
      <c r="G258" s="13"/>
      <c r="J258" s="13"/>
      <c r="P258" s="9"/>
      <c r="R258" s="9"/>
    </row>
    <row r="259">
      <c r="G259" s="13"/>
      <c r="J259" s="13"/>
      <c r="P259" s="9"/>
      <c r="R259" s="9"/>
    </row>
    <row r="260">
      <c r="G260" s="13"/>
      <c r="J260" s="13"/>
      <c r="P260" s="9"/>
      <c r="R260" s="9"/>
    </row>
    <row r="261">
      <c r="G261" s="13"/>
      <c r="J261" s="13"/>
      <c r="P261" s="9"/>
      <c r="R261" s="9"/>
    </row>
    <row r="262">
      <c r="G262" s="13"/>
      <c r="J262" s="13"/>
      <c r="P262" s="9"/>
      <c r="R262" s="9"/>
    </row>
    <row r="263">
      <c r="G263" s="13"/>
      <c r="J263" s="13"/>
      <c r="P263" s="9"/>
      <c r="R263" s="9"/>
    </row>
    <row r="264">
      <c r="G264" s="13"/>
      <c r="J264" s="13"/>
      <c r="P264" s="9"/>
      <c r="R264" s="9"/>
    </row>
    <row r="265">
      <c r="G265" s="13"/>
      <c r="J265" s="13"/>
      <c r="P265" s="9"/>
      <c r="R265" s="9"/>
    </row>
    <row r="266">
      <c r="G266" s="13"/>
      <c r="J266" s="13"/>
      <c r="P266" s="9"/>
      <c r="R266" s="9"/>
    </row>
    <row r="267">
      <c r="G267" s="13"/>
      <c r="J267" s="13"/>
      <c r="P267" s="9"/>
      <c r="R267" s="9"/>
    </row>
    <row r="268">
      <c r="G268" s="13"/>
      <c r="J268" s="13"/>
      <c r="P268" s="9"/>
      <c r="R268" s="9"/>
    </row>
    <row r="269">
      <c r="G269" s="13"/>
      <c r="J269" s="13"/>
      <c r="P269" s="9"/>
      <c r="R269" s="9"/>
    </row>
    <row r="270">
      <c r="G270" s="13"/>
      <c r="J270" s="13"/>
      <c r="P270" s="9"/>
      <c r="R270" s="9"/>
    </row>
    <row r="271">
      <c r="G271" s="13"/>
      <c r="J271" s="13"/>
      <c r="P271" s="9"/>
      <c r="R271" s="9"/>
    </row>
    <row r="272">
      <c r="G272" s="13"/>
      <c r="J272" s="13"/>
      <c r="P272" s="9"/>
      <c r="R272" s="9"/>
    </row>
    <row r="273">
      <c r="G273" s="13"/>
      <c r="J273" s="13"/>
      <c r="P273" s="9"/>
      <c r="R273" s="9"/>
    </row>
    <row r="274">
      <c r="G274" s="13"/>
      <c r="J274" s="13"/>
      <c r="P274" s="9"/>
      <c r="R274" s="9"/>
    </row>
    <row r="275">
      <c r="G275" s="13"/>
      <c r="J275" s="13"/>
      <c r="P275" s="9"/>
      <c r="R275" s="9"/>
    </row>
    <row r="276">
      <c r="G276" s="13"/>
      <c r="J276" s="13"/>
      <c r="P276" s="9"/>
      <c r="R276" s="9"/>
    </row>
    <row r="277">
      <c r="G277" s="13"/>
      <c r="J277" s="13"/>
      <c r="P277" s="9"/>
      <c r="R277" s="9"/>
    </row>
    <row r="278">
      <c r="G278" s="13"/>
      <c r="J278" s="13"/>
      <c r="P278" s="9"/>
      <c r="R278" s="9"/>
    </row>
    <row r="279">
      <c r="G279" s="13"/>
      <c r="J279" s="13"/>
      <c r="P279" s="9"/>
      <c r="R279" s="9"/>
    </row>
    <row r="280">
      <c r="G280" s="13"/>
      <c r="J280" s="13"/>
      <c r="P280" s="9"/>
      <c r="R280" s="9"/>
    </row>
    <row r="281">
      <c r="G281" s="13"/>
      <c r="J281" s="13"/>
      <c r="P281" s="9"/>
      <c r="R281" s="9"/>
    </row>
    <row r="282">
      <c r="G282" s="13"/>
      <c r="J282" s="13"/>
      <c r="P282" s="9"/>
      <c r="R282" s="9"/>
    </row>
    <row r="283">
      <c r="G283" s="13"/>
      <c r="J283" s="13"/>
      <c r="P283" s="9"/>
      <c r="R283" s="9"/>
    </row>
    <row r="284">
      <c r="G284" s="13"/>
      <c r="J284" s="13"/>
      <c r="P284" s="9"/>
      <c r="R284" s="9"/>
    </row>
    <row r="285">
      <c r="G285" s="13"/>
      <c r="J285" s="13"/>
      <c r="P285" s="9"/>
      <c r="R285" s="9"/>
    </row>
    <row r="286">
      <c r="G286" s="13"/>
      <c r="J286" s="13"/>
      <c r="P286" s="9"/>
      <c r="R286" s="9"/>
    </row>
    <row r="287">
      <c r="G287" s="13"/>
      <c r="J287" s="13"/>
      <c r="P287" s="9"/>
      <c r="R287" s="9"/>
    </row>
    <row r="288">
      <c r="G288" s="13"/>
      <c r="J288" s="13"/>
      <c r="P288" s="9"/>
      <c r="R288" s="9"/>
    </row>
    <row r="289">
      <c r="G289" s="13"/>
      <c r="J289" s="13"/>
      <c r="P289" s="9"/>
      <c r="R289" s="9"/>
    </row>
    <row r="290">
      <c r="G290" s="13"/>
      <c r="J290" s="13"/>
      <c r="P290" s="9"/>
      <c r="R290" s="9"/>
    </row>
    <row r="291">
      <c r="G291" s="13"/>
      <c r="J291" s="13"/>
      <c r="P291" s="9"/>
      <c r="R291" s="9"/>
    </row>
    <row r="292">
      <c r="G292" s="13"/>
      <c r="J292" s="13"/>
      <c r="P292" s="9"/>
      <c r="R292" s="9"/>
    </row>
    <row r="293">
      <c r="G293" s="13"/>
      <c r="J293" s="13"/>
      <c r="P293" s="9"/>
      <c r="R293" s="9"/>
    </row>
    <row r="294">
      <c r="G294" s="13"/>
      <c r="J294" s="13"/>
      <c r="P294" s="9"/>
      <c r="R294" s="9"/>
    </row>
    <row r="295">
      <c r="G295" s="13"/>
      <c r="J295" s="13"/>
      <c r="P295" s="9"/>
      <c r="R295" s="9"/>
    </row>
    <row r="296">
      <c r="G296" s="13"/>
      <c r="J296" s="13"/>
      <c r="P296" s="9"/>
      <c r="R296" s="9"/>
    </row>
    <row r="297">
      <c r="G297" s="13"/>
      <c r="J297" s="13"/>
      <c r="P297" s="9"/>
      <c r="R297" s="9"/>
    </row>
    <row r="298">
      <c r="G298" s="13"/>
      <c r="J298" s="13"/>
      <c r="P298" s="9"/>
      <c r="R298" s="9"/>
    </row>
    <row r="299">
      <c r="G299" s="13"/>
      <c r="J299" s="13"/>
      <c r="P299" s="9"/>
      <c r="R299" s="9"/>
    </row>
    <row r="300">
      <c r="G300" s="13"/>
      <c r="J300" s="13"/>
      <c r="P300" s="9"/>
      <c r="R300" s="9"/>
    </row>
    <row r="301">
      <c r="G301" s="13"/>
      <c r="J301" s="13"/>
      <c r="P301" s="9"/>
      <c r="R301" s="9"/>
    </row>
    <row r="302">
      <c r="G302" s="13"/>
      <c r="J302" s="13"/>
      <c r="P302" s="9"/>
      <c r="R302" s="9"/>
    </row>
    <row r="303">
      <c r="G303" s="13"/>
      <c r="J303" s="13"/>
      <c r="P303" s="9"/>
      <c r="R303" s="9"/>
    </row>
    <row r="304">
      <c r="G304" s="13"/>
      <c r="J304" s="13"/>
      <c r="P304" s="9"/>
      <c r="R304" s="9"/>
    </row>
    <row r="305">
      <c r="G305" s="13"/>
      <c r="J305" s="13"/>
      <c r="P305" s="9"/>
      <c r="R305" s="9"/>
    </row>
    <row r="306">
      <c r="G306" s="13"/>
      <c r="J306" s="13"/>
      <c r="P306" s="9"/>
      <c r="R306" s="9"/>
    </row>
    <row r="307">
      <c r="G307" s="13"/>
      <c r="J307" s="13"/>
      <c r="P307" s="9"/>
      <c r="R307" s="9"/>
    </row>
    <row r="308">
      <c r="G308" s="13"/>
      <c r="J308" s="13"/>
      <c r="P308" s="9"/>
      <c r="R308" s="9"/>
    </row>
    <row r="309">
      <c r="G309" s="13"/>
      <c r="J309" s="13"/>
      <c r="P309" s="9"/>
      <c r="R309" s="9"/>
    </row>
    <row r="310">
      <c r="G310" s="13"/>
      <c r="J310" s="13"/>
      <c r="P310" s="9"/>
      <c r="R310" s="9"/>
    </row>
    <row r="311">
      <c r="G311" s="13"/>
      <c r="J311" s="13"/>
      <c r="P311" s="9"/>
      <c r="R311" s="9"/>
    </row>
    <row r="312">
      <c r="G312" s="13"/>
      <c r="J312" s="13"/>
      <c r="P312" s="9"/>
      <c r="R312" s="9"/>
    </row>
    <row r="313">
      <c r="G313" s="13"/>
      <c r="J313" s="13"/>
      <c r="P313" s="9"/>
      <c r="R313" s="9"/>
    </row>
    <row r="314">
      <c r="G314" s="13"/>
      <c r="J314" s="13"/>
      <c r="P314" s="9"/>
      <c r="R314" s="9"/>
    </row>
    <row r="315">
      <c r="G315" s="13"/>
      <c r="J315" s="13"/>
      <c r="P315" s="9"/>
      <c r="R315" s="9"/>
    </row>
    <row r="316">
      <c r="G316" s="13"/>
      <c r="J316" s="13"/>
      <c r="P316" s="9"/>
      <c r="R316" s="9"/>
    </row>
    <row r="317">
      <c r="G317" s="13"/>
      <c r="J317" s="13"/>
      <c r="P317" s="9"/>
      <c r="R317" s="9"/>
    </row>
    <row r="318">
      <c r="G318" s="13"/>
      <c r="J318" s="13"/>
      <c r="P318" s="9"/>
      <c r="R318" s="9"/>
    </row>
    <row r="319">
      <c r="G319" s="13"/>
      <c r="J319" s="13"/>
      <c r="P319" s="9"/>
      <c r="R319" s="9"/>
    </row>
    <row r="320">
      <c r="G320" s="13"/>
      <c r="J320" s="13"/>
      <c r="P320" s="9"/>
      <c r="R320" s="9"/>
    </row>
    <row r="321">
      <c r="G321" s="13"/>
      <c r="J321" s="13"/>
      <c r="P321" s="9"/>
      <c r="R321" s="9"/>
    </row>
    <row r="322">
      <c r="G322" s="13"/>
      <c r="J322" s="13"/>
      <c r="P322" s="9"/>
      <c r="R322" s="9"/>
    </row>
    <row r="323">
      <c r="G323" s="13"/>
      <c r="J323" s="13"/>
      <c r="P323" s="9"/>
      <c r="R323" s="9"/>
    </row>
    <row r="324">
      <c r="G324" s="13"/>
      <c r="J324" s="13"/>
      <c r="P324" s="9"/>
      <c r="R324" s="9"/>
    </row>
    <row r="325">
      <c r="G325" s="13"/>
      <c r="J325" s="13"/>
      <c r="P325" s="9"/>
      <c r="R325" s="9"/>
    </row>
    <row r="326">
      <c r="G326" s="13"/>
      <c r="J326" s="13"/>
      <c r="P326" s="9"/>
      <c r="R326" s="9"/>
    </row>
    <row r="327">
      <c r="G327" s="13"/>
      <c r="J327" s="13"/>
      <c r="P327" s="9"/>
      <c r="R327" s="9"/>
    </row>
    <row r="328">
      <c r="G328" s="13"/>
      <c r="J328" s="13"/>
      <c r="P328" s="9"/>
      <c r="R328" s="9"/>
    </row>
    <row r="329">
      <c r="G329" s="13"/>
      <c r="J329" s="13"/>
      <c r="P329" s="9"/>
      <c r="R329" s="9"/>
    </row>
    <row r="330">
      <c r="G330" s="13"/>
      <c r="J330" s="13"/>
      <c r="P330" s="9"/>
      <c r="R330" s="9"/>
    </row>
    <row r="331">
      <c r="G331" s="13"/>
      <c r="J331" s="13"/>
      <c r="P331" s="9"/>
      <c r="R331" s="9"/>
    </row>
    <row r="332">
      <c r="G332" s="13"/>
      <c r="J332" s="13"/>
      <c r="P332" s="9"/>
      <c r="R332" s="9"/>
    </row>
    <row r="333">
      <c r="G333" s="13"/>
      <c r="J333" s="13"/>
      <c r="P333" s="9"/>
      <c r="R333" s="9"/>
    </row>
    <row r="334">
      <c r="G334" s="13"/>
      <c r="J334" s="13"/>
      <c r="P334" s="9"/>
      <c r="R334" s="9"/>
    </row>
    <row r="335">
      <c r="G335" s="13"/>
      <c r="J335" s="13"/>
      <c r="P335" s="9"/>
      <c r="R335" s="9"/>
    </row>
    <row r="336">
      <c r="G336" s="13"/>
      <c r="J336" s="13"/>
      <c r="P336" s="9"/>
      <c r="R336" s="9"/>
    </row>
    <row r="337">
      <c r="G337" s="13"/>
      <c r="J337" s="13"/>
      <c r="P337" s="9"/>
      <c r="R337" s="9"/>
    </row>
    <row r="338">
      <c r="G338" s="13"/>
      <c r="J338" s="13"/>
      <c r="P338" s="9"/>
      <c r="R338" s="9"/>
    </row>
    <row r="339">
      <c r="G339" s="13"/>
      <c r="J339" s="13"/>
      <c r="P339" s="9"/>
      <c r="R339" s="9"/>
    </row>
    <row r="340">
      <c r="G340" s="13"/>
      <c r="J340" s="13"/>
      <c r="P340" s="9"/>
      <c r="R340" s="9"/>
    </row>
    <row r="341">
      <c r="G341" s="13"/>
      <c r="J341" s="13"/>
      <c r="P341" s="9"/>
      <c r="R341" s="9"/>
    </row>
    <row r="342">
      <c r="G342" s="13"/>
      <c r="J342" s="13"/>
      <c r="P342" s="9"/>
      <c r="R342" s="9"/>
    </row>
    <row r="343">
      <c r="G343" s="13"/>
      <c r="J343" s="13"/>
      <c r="P343" s="9"/>
      <c r="R343" s="9"/>
    </row>
    <row r="344">
      <c r="G344" s="13"/>
      <c r="J344" s="13"/>
      <c r="P344" s="9"/>
      <c r="R344" s="9"/>
    </row>
    <row r="345">
      <c r="G345" s="13"/>
      <c r="J345" s="13"/>
      <c r="P345" s="9"/>
      <c r="R345" s="9"/>
    </row>
    <row r="346">
      <c r="G346" s="13"/>
      <c r="J346" s="13"/>
      <c r="P346" s="9"/>
      <c r="R346" s="9"/>
    </row>
    <row r="347">
      <c r="G347" s="13"/>
      <c r="J347" s="13"/>
      <c r="P347" s="9"/>
      <c r="R347" s="9"/>
    </row>
    <row r="348">
      <c r="G348" s="13"/>
      <c r="J348" s="13"/>
      <c r="P348" s="9"/>
      <c r="R348" s="9"/>
    </row>
    <row r="349">
      <c r="G349" s="13"/>
      <c r="J349" s="13"/>
      <c r="P349" s="9"/>
      <c r="R349" s="9"/>
    </row>
    <row r="350">
      <c r="G350" s="13"/>
      <c r="J350" s="13"/>
      <c r="P350" s="9"/>
      <c r="R350" s="9"/>
    </row>
    <row r="351">
      <c r="G351" s="13"/>
      <c r="J351" s="13"/>
      <c r="P351" s="9"/>
      <c r="R351" s="9"/>
    </row>
    <row r="352">
      <c r="G352" s="13"/>
      <c r="J352" s="13"/>
      <c r="P352" s="9"/>
      <c r="R352" s="9"/>
    </row>
    <row r="353">
      <c r="G353" s="13"/>
      <c r="J353" s="13"/>
      <c r="P353" s="9"/>
      <c r="R353" s="9"/>
    </row>
    <row r="354">
      <c r="G354" s="13"/>
      <c r="J354" s="13"/>
      <c r="P354" s="9"/>
      <c r="R354" s="9"/>
    </row>
    <row r="355">
      <c r="G355" s="13"/>
      <c r="J355" s="13"/>
      <c r="P355" s="9"/>
      <c r="R355" s="9"/>
    </row>
    <row r="356">
      <c r="G356" s="13"/>
      <c r="J356" s="13"/>
      <c r="P356" s="9"/>
      <c r="R356" s="9"/>
    </row>
    <row r="357">
      <c r="G357" s="13"/>
      <c r="J357" s="13"/>
      <c r="P357" s="9"/>
      <c r="R357" s="9"/>
    </row>
    <row r="358">
      <c r="G358" s="13"/>
      <c r="J358" s="13"/>
      <c r="P358" s="9"/>
      <c r="R358" s="9"/>
    </row>
    <row r="359">
      <c r="G359" s="13"/>
      <c r="J359" s="13"/>
      <c r="P359" s="9"/>
      <c r="R359" s="9"/>
    </row>
    <row r="360">
      <c r="G360" s="13"/>
      <c r="J360" s="13"/>
      <c r="P360" s="9"/>
      <c r="R360" s="9"/>
    </row>
    <row r="361">
      <c r="G361" s="13"/>
      <c r="J361" s="13"/>
      <c r="P361" s="9"/>
      <c r="R361" s="9"/>
    </row>
    <row r="362">
      <c r="G362" s="13"/>
      <c r="J362" s="13"/>
      <c r="P362" s="9"/>
      <c r="R362" s="9"/>
    </row>
    <row r="363">
      <c r="G363" s="13"/>
      <c r="J363" s="13"/>
      <c r="P363" s="9"/>
      <c r="R363" s="9"/>
    </row>
    <row r="364">
      <c r="G364" s="13"/>
      <c r="J364" s="13"/>
      <c r="P364" s="9"/>
      <c r="R364" s="9"/>
    </row>
    <row r="365">
      <c r="G365" s="13"/>
      <c r="J365" s="13"/>
      <c r="P365" s="9"/>
      <c r="R365" s="9"/>
    </row>
    <row r="366">
      <c r="G366" s="13"/>
      <c r="J366" s="13"/>
      <c r="P366" s="9"/>
      <c r="R366" s="9"/>
    </row>
    <row r="367">
      <c r="G367" s="13"/>
      <c r="J367" s="13"/>
      <c r="P367" s="9"/>
      <c r="R367" s="9"/>
    </row>
    <row r="368">
      <c r="G368" s="13"/>
      <c r="J368" s="13"/>
      <c r="P368" s="9"/>
      <c r="R368" s="9"/>
    </row>
    <row r="369">
      <c r="G369" s="13"/>
      <c r="J369" s="13"/>
      <c r="P369" s="9"/>
      <c r="R369" s="9"/>
    </row>
    <row r="370">
      <c r="G370" s="13"/>
      <c r="J370" s="13"/>
      <c r="P370" s="9"/>
      <c r="R370" s="9"/>
    </row>
    <row r="371">
      <c r="G371" s="13"/>
      <c r="J371" s="13"/>
      <c r="P371" s="9"/>
      <c r="R371" s="9"/>
    </row>
    <row r="372">
      <c r="G372" s="13"/>
      <c r="J372" s="13"/>
      <c r="P372" s="9"/>
      <c r="R372" s="9"/>
    </row>
    <row r="373">
      <c r="G373" s="13"/>
      <c r="J373" s="13"/>
      <c r="P373" s="9"/>
      <c r="R373" s="9"/>
    </row>
    <row r="374">
      <c r="G374" s="13"/>
      <c r="J374" s="13"/>
      <c r="P374" s="9"/>
      <c r="R374" s="9"/>
    </row>
    <row r="375">
      <c r="G375" s="13"/>
      <c r="J375" s="13"/>
      <c r="P375" s="9"/>
      <c r="R375" s="9"/>
    </row>
    <row r="376">
      <c r="G376" s="13"/>
      <c r="J376" s="13"/>
      <c r="P376" s="9"/>
      <c r="R376" s="9"/>
    </row>
    <row r="377">
      <c r="G377" s="13"/>
      <c r="J377" s="13"/>
      <c r="P377" s="9"/>
      <c r="R377" s="9"/>
    </row>
    <row r="378">
      <c r="G378" s="13"/>
      <c r="J378" s="13"/>
      <c r="P378" s="9"/>
      <c r="R378" s="9"/>
    </row>
    <row r="379">
      <c r="G379" s="13"/>
      <c r="J379" s="13"/>
      <c r="P379" s="9"/>
      <c r="R379" s="9"/>
    </row>
    <row r="380">
      <c r="G380" s="13"/>
      <c r="J380" s="13"/>
      <c r="P380" s="9"/>
      <c r="R380" s="9"/>
    </row>
    <row r="381">
      <c r="G381" s="13"/>
      <c r="J381" s="13"/>
      <c r="P381" s="9"/>
      <c r="R381" s="9"/>
    </row>
    <row r="382">
      <c r="G382" s="13"/>
      <c r="J382" s="13"/>
      <c r="P382" s="9"/>
      <c r="R382" s="9"/>
    </row>
    <row r="383">
      <c r="G383" s="13"/>
      <c r="J383" s="13"/>
      <c r="P383" s="9"/>
      <c r="R383" s="9"/>
    </row>
    <row r="384">
      <c r="G384" s="13"/>
      <c r="J384" s="13"/>
      <c r="P384" s="9"/>
      <c r="R384" s="9"/>
    </row>
    <row r="385">
      <c r="G385" s="13"/>
      <c r="J385" s="13"/>
      <c r="P385" s="9"/>
      <c r="R385" s="9"/>
    </row>
    <row r="386">
      <c r="G386" s="13"/>
      <c r="J386" s="13"/>
      <c r="P386" s="9"/>
      <c r="R386" s="9"/>
    </row>
    <row r="387">
      <c r="G387" s="13"/>
      <c r="J387" s="13"/>
      <c r="P387" s="9"/>
      <c r="R387" s="9"/>
    </row>
    <row r="388">
      <c r="G388" s="13"/>
      <c r="J388" s="13"/>
      <c r="P388" s="9"/>
      <c r="R388" s="9"/>
    </row>
    <row r="389">
      <c r="G389" s="13"/>
      <c r="J389" s="13"/>
      <c r="P389" s="9"/>
      <c r="R389" s="9"/>
    </row>
    <row r="390">
      <c r="G390" s="13"/>
      <c r="J390" s="13"/>
      <c r="P390" s="9"/>
      <c r="R390" s="9"/>
    </row>
    <row r="391">
      <c r="G391" s="13"/>
      <c r="J391" s="13"/>
      <c r="P391" s="9"/>
      <c r="R391" s="9"/>
    </row>
    <row r="392">
      <c r="G392" s="13"/>
      <c r="J392" s="13"/>
      <c r="P392" s="9"/>
      <c r="R392" s="9"/>
    </row>
    <row r="393">
      <c r="G393" s="13"/>
      <c r="J393" s="13"/>
      <c r="P393" s="9"/>
      <c r="R393" s="9"/>
    </row>
    <row r="394">
      <c r="G394" s="13"/>
      <c r="J394" s="13"/>
      <c r="P394" s="9"/>
      <c r="R394" s="9"/>
    </row>
    <row r="395">
      <c r="G395" s="13"/>
      <c r="J395" s="13"/>
      <c r="P395" s="9"/>
      <c r="R395" s="9"/>
    </row>
    <row r="396">
      <c r="G396" s="13"/>
      <c r="J396" s="13"/>
      <c r="P396" s="9"/>
      <c r="R396" s="9"/>
    </row>
    <row r="397">
      <c r="G397" s="13"/>
      <c r="J397" s="13"/>
      <c r="P397" s="9"/>
      <c r="R397" s="9"/>
    </row>
    <row r="398">
      <c r="G398" s="13"/>
      <c r="J398" s="13"/>
      <c r="P398" s="9"/>
      <c r="R398" s="9"/>
    </row>
    <row r="399">
      <c r="G399" s="13"/>
      <c r="J399" s="13"/>
      <c r="P399" s="9"/>
      <c r="R399" s="9"/>
    </row>
    <row r="400">
      <c r="G400" s="13"/>
      <c r="J400" s="13"/>
      <c r="P400" s="9"/>
      <c r="R400" s="9"/>
    </row>
    <row r="401">
      <c r="G401" s="13"/>
      <c r="J401" s="13"/>
      <c r="P401" s="9"/>
      <c r="R401" s="9"/>
    </row>
    <row r="402">
      <c r="G402" s="13"/>
      <c r="J402" s="13"/>
      <c r="P402" s="9"/>
      <c r="R402" s="9"/>
    </row>
    <row r="403">
      <c r="G403" s="13"/>
      <c r="J403" s="13"/>
      <c r="P403" s="9"/>
      <c r="R403" s="9"/>
    </row>
    <row r="404">
      <c r="G404" s="13"/>
      <c r="J404" s="13"/>
      <c r="P404" s="9"/>
      <c r="R404" s="9"/>
    </row>
    <row r="405">
      <c r="G405" s="13"/>
      <c r="J405" s="13"/>
      <c r="P405" s="9"/>
      <c r="R405" s="9"/>
    </row>
    <row r="406">
      <c r="G406" s="13"/>
      <c r="J406" s="13"/>
      <c r="P406" s="9"/>
      <c r="R406" s="9"/>
    </row>
    <row r="407">
      <c r="G407" s="13"/>
      <c r="J407" s="13"/>
      <c r="P407" s="9"/>
      <c r="R407" s="9"/>
    </row>
    <row r="408">
      <c r="G408" s="13"/>
      <c r="J408" s="13"/>
      <c r="P408" s="9"/>
      <c r="R408" s="9"/>
    </row>
    <row r="409">
      <c r="G409" s="13"/>
      <c r="J409" s="13"/>
      <c r="P409" s="9"/>
      <c r="R409" s="9"/>
    </row>
    <row r="410">
      <c r="G410" s="13"/>
      <c r="J410" s="13"/>
      <c r="P410" s="9"/>
      <c r="R410" s="9"/>
    </row>
    <row r="411">
      <c r="G411" s="13"/>
      <c r="J411" s="13"/>
      <c r="P411" s="9"/>
      <c r="R411" s="9"/>
    </row>
    <row r="412">
      <c r="G412" s="13"/>
      <c r="J412" s="13"/>
      <c r="P412" s="9"/>
      <c r="R412" s="9"/>
    </row>
    <row r="413">
      <c r="G413" s="13"/>
      <c r="J413" s="13"/>
      <c r="P413" s="9"/>
      <c r="R413" s="9"/>
    </row>
    <row r="414">
      <c r="G414" s="13"/>
      <c r="J414" s="13"/>
      <c r="P414" s="9"/>
      <c r="R414" s="9"/>
    </row>
    <row r="415">
      <c r="G415" s="13"/>
      <c r="J415" s="13"/>
      <c r="P415" s="9"/>
      <c r="R415" s="9"/>
    </row>
    <row r="416">
      <c r="G416" s="13"/>
      <c r="J416" s="13"/>
      <c r="P416" s="9"/>
      <c r="R416" s="9"/>
    </row>
    <row r="417">
      <c r="G417" s="13"/>
      <c r="J417" s="13"/>
      <c r="P417" s="9"/>
      <c r="R417" s="9"/>
    </row>
    <row r="418">
      <c r="G418" s="13"/>
      <c r="J418" s="13"/>
      <c r="P418" s="9"/>
      <c r="R418" s="9"/>
    </row>
    <row r="419">
      <c r="G419" s="13"/>
      <c r="J419" s="13"/>
      <c r="P419" s="9"/>
      <c r="R419" s="9"/>
    </row>
    <row r="420">
      <c r="G420" s="13"/>
      <c r="J420" s="13"/>
      <c r="P420" s="9"/>
      <c r="R420" s="9"/>
    </row>
    <row r="421">
      <c r="G421" s="13"/>
      <c r="J421" s="13"/>
      <c r="P421" s="9"/>
      <c r="R421" s="9"/>
    </row>
    <row r="422">
      <c r="G422" s="13"/>
      <c r="J422" s="13"/>
      <c r="P422" s="9"/>
      <c r="R422" s="9"/>
    </row>
    <row r="423">
      <c r="G423" s="13"/>
      <c r="J423" s="13"/>
      <c r="P423" s="9"/>
      <c r="R423" s="9"/>
    </row>
    <row r="424">
      <c r="G424" s="13"/>
      <c r="J424" s="13"/>
      <c r="P424" s="9"/>
      <c r="R424" s="9"/>
    </row>
    <row r="425">
      <c r="G425" s="13"/>
      <c r="J425" s="13"/>
      <c r="P425" s="9"/>
      <c r="R425" s="9"/>
    </row>
    <row r="426">
      <c r="G426" s="13"/>
      <c r="J426" s="13"/>
      <c r="P426" s="9"/>
      <c r="R426" s="9"/>
    </row>
    <row r="427">
      <c r="G427" s="13"/>
      <c r="J427" s="13"/>
      <c r="P427" s="9"/>
      <c r="R427" s="9"/>
    </row>
    <row r="428">
      <c r="G428" s="13"/>
      <c r="J428" s="13"/>
      <c r="P428" s="9"/>
      <c r="R428" s="9"/>
    </row>
    <row r="429">
      <c r="G429" s="13"/>
      <c r="J429" s="13"/>
      <c r="P429" s="9"/>
      <c r="R429" s="9"/>
    </row>
    <row r="430">
      <c r="G430" s="13"/>
      <c r="J430" s="13"/>
      <c r="P430" s="9"/>
      <c r="R430" s="9"/>
    </row>
    <row r="431">
      <c r="G431" s="13"/>
      <c r="J431" s="13"/>
      <c r="P431" s="9"/>
      <c r="R431" s="9"/>
    </row>
    <row r="432">
      <c r="G432" s="13"/>
      <c r="J432" s="13"/>
      <c r="P432" s="9"/>
      <c r="R432" s="9"/>
    </row>
    <row r="433">
      <c r="G433" s="13"/>
      <c r="J433" s="13"/>
      <c r="P433" s="9"/>
      <c r="R433" s="9"/>
    </row>
    <row r="434">
      <c r="G434" s="13"/>
      <c r="J434" s="13"/>
      <c r="P434" s="9"/>
      <c r="R434" s="9"/>
    </row>
    <row r="435">
      <c r="G435" s="13"/>
      <c r="J435" s="13"/>
      <c r="P435" s="9"/>
      <c r="R435" s="9"/>
    </row>
    <row r="436">
      <c r="G436" s="13"/>
      <c r="J436" s="13"/>
      <c r="P436" s="9"/>
      <c r="R436" s="9"/>
    </row>
    <row r="437">
      <c r="G437" s="13"/>
      <c r="J437" s="13"/>
      <c r="P437" s="9"/>
      <c r="R437" s="9"/>
    </row>
    <row r="438">
      <c r="G438" s="13"/>
      <c r="J438" s="13"/>
      <c r="P438" s="9"/>
      <c r="R438" s="9"/>
    </row>
    <row r="439">
      <c r="G439" s="13"/>
      <c r="J439" s="13"/>
      <c r="P439" s="9"/>
      <c r="R439" s="9"/>
    </row>
    <row r="440">
      <c r="G440" s="13"/>
      <c r="J440" s="13"/>
      <c r="P440" s="9"/>
      <c r="R440" s="9"/>
    </row>
    <row r="441">
      <c r="G441" s="13"/>
      <c r="J441" s="13"/>
      <c r="P441" s="9"/>
      <c r="R441" s="9"/>
    </row>
    <row r="442">
      <c r="G442" s="13"/>
      <c r="J442" s="13"/>
      <c r="P442" s="9"/>
      <c r="R442" s="9"/>
    </row>
    <row r="443">
      <c r="G443" s="13"/>
      <c r="J443" s="13"/>
      <c r="P443" s="9"/>
      <c r="R443" s="9"/>
    </row>
    <row r="444">
      <c r="G444" s="13"/>
      <c r="J444" s="13"/>
      <c r="P444" s="9"/>
      <c r="R444" s="9"/>
    </row>
    <row r="445">
      <c r="G445" s="13"/>
      <c r="J445" s="13"/>
      <c r="P445" s="9"/>
      <c r="R445" s="9"/>
    </row>
    <row r="446">
      <c r="G446" s="13"/>
      <c r="J446" s="13"/>
      <c r="P446" s="9"/>
      <c r="R446" s="9"/>
    </row>
    <row r="447">
      <c r="G447" s="13"/>
      <c r="J447" s="13"/>
      <c r="P447" s="9"/>
      <c r="R447" s="9"/>
    </row>
    <row r="448">
      <c r="G448" s="13"/>
      <c r="J448" s="13"/>
      <c r="P448" s="9"/>
      <c r="R448" s="9"/>
    </row>
    <row r="449">
      <c r="G449" s="13"/>
      <c r="J449" s="13"/>
      <c r="P449" s="9"/>
      <c r="R449" s="9"/>
    </row>
    <row r="450">
      <c r="G450" s="13"/>
      <c r="J450" s="13"/>
      <c r="P450" s="9"/>
      <c r="R450" s="9"/>
    </row>
    <row r="451">
      <c r="G451" s="13"/>
      <c r="J451" s="13"/>
      <c r="P451" s="9"/>
      <c r="R451" s="9"/>
    </row>
    <row r="452">
      <c r="G452" s="13"/>
      <c r="J452" s="13"/>
      <c r="P452" s="9"/>
      <c r="R452" s="9"/>
    </row>
    <row r="453">
      <c r="G453" s="13"/>
      <c r="J453" s="13"/>
      <c r="P453" s="9"/>
      <c r="R453" s="9"/>
    </row>
    <row r="454">
      <c r="G454" s="13"/>
      <c r="J454" s="13"/>
      <c r="P454" s="9"/>
      <c r="R454" s="9"/>
    </row>
    <row r="455">
      <c r="G455" s="13"/>
      <c r="J455" s="13"/>
      <c r="P455" s="9"/>
      <c r="R455" s="9"/>
    </row>
    <row r="456">
      <c r="G456" s="13"/>
      <c r="J456" s="13"/>
      <c r="P456" s="9"/>
      <c r="R456" s="9"/>
    </row>
    <row r="457">
      <c r="G457" s="13"/>
      <c r="J457" s="13"/>
      <c r="P457" s="9"/>
      <c r="R457" s="9"/>
    </row>
    <row r="458">
      <c r="G458" s="13"/>
      <c r="J458" s="13"/>
      <c r="P458" s="9"/>
      <c r="R458" s="9"/>
    </row>
    <row r="459">
      <c r="G459" s="13"/>
      <c r="J459" s="13"/>
      <c r="P459" s="9"/>
      <c r="R459" s="9"/>
    </row>
    <row r="460">
      <c r="G460" s="13"/>
      <c r="J460" s="13"/>
      <c r="P460" s="9"/>
      <c r="R460" s="9"/>
    </row>
    <row r="461">
      <c r="G461" s="13"/>
      <c r="J461" s="13"/>
      <c r="P461" s="9"/>
      <c r="R461" s="9"/>
    </row>
    <row r="462">
      <c r="G462" s="13"/>
      <c r="J462" s="13"/>
      <c r="P462" s="9"/>
      <c r="R462" s="9"/>
    </row>
    <row r="463">
      <c r="G463" s="13"/>
      <c r="J463" s="13"/>
      <c r="P463" s="9"/>
      <c r="R463" s="9"/>
    </row>
    <row r="464">
      <c r="G464" s="13"/>
      <c r="J464" s="13"/>
      <c r="P464" s="9"/>
      <c r="R464" s="9"/>
    </row>
    <row r="465">
      <c r="G465" s="13"/>
      <c r="J465" s="13"/>
      <c r="P465" s="9"/>
      <c r="R465" s="9"/>
    </row>
    <row r="466">
      <c r="G466" s="13"/>
      <c r="J466" s="13"/>
      <c r="P466" s="9"/>
      <c r="R466" s="9"/>
    </row>
    <row r="467">
      <c r="G467" s="13"/>
      <c r="J467" s="13"/>
      <c r="P467" s="9"/>
      <c r="R467" s="9"/>
    </row>
    <row r="468">
      <c r="G468" s="13"/>
      <c r="J468" s="13"/>
      <c r="P468" s="9"/>
      <c r="R468" s="9"/>
    </row>
    <row r="469">
      <c r="G469" s="13"/>
      <c r="J469" s="13"/>
      <c r="P469" s="9"/>
      <c r="R469" s="9"/>
    </row>
    <row r="470">
      <c r="G470" s="13"/>
      <c r="J470" s="13"/>
      <c r="P470" s="9"/>
      <c r="R470" s="9"/>
    </row>
    <row r="471">
      <c r="G471" s="13"/>
      <c r="J471" s="13"/>
      <c r="P471" s="9"/>
      <c r="R471" s="9"/>
    </row>
    <row r="472">
      <c r="G472" s="13"/>
      <c r="J472" s="13"/>
      <c r="P472" s="9"/>
      <c r="R472" s="9"/>
    </row>
    <row r="473">
      <c r="G473" s="13"/>
      <c r="J473" s="13"/>
      <c r="P473" s="9"/>
      <c r="R473" s="9"/>
    </row>
    <row r="474">
      <c r="G474" s="13"/>
      <c r="J474" s="13"/>
      <c r="P474" s="9"/>
      <c r="R474" s="9"/>
    </row>
    <row r="475">
      <c r="G475" s="13"/>
      <c r="J475" s="13"/>
      <c r="P475" s="9"/>
      <c r="R475" s="9"/>
    </row>
    <row r="476">
      <c r="G476" s="13"/>
      <c r="J476" s="13"/>
      <c r="P476" s="9"/>
      <c r="R476" s="9"/>
    </row>
    <row r="477">
      <c r="G477" s="13"/>
      <c r="J477" s="13"/>
      <c r="P477" s="9"/>
      <c r="R477" s="9"/>
    </row>
    <row r="478">
      <c r="G478" s="13"/>
      <c r="J478" s="13"/>
      <c r="P478" s="9"/>
      <c r="R478" s="9"/>
    </row>
    <row r="479">
      <c r="G479" s="13"/>
      <c r="J479" s="13"/>
      <c r="P479" s="9"/>
      <c r="R479" s="9"/>
    </row>
    <row r="480">
      <c r="G480" s="13"/>
      <c r="J480" s="13"/>
      <c r="P480" s="9"/>
      <c r="R480" s="9"/>
    </row>
    <row r="481">
      <c r="G481" s="13"/>
      <c r="J481" s="13"/>
      <c r="P481" s="9"/>
      <c r="R481" s="9"/>
    </row>
    <row r="482">
      <c r="G482" s="13"/>
      <c r="J482" s="13"/>
      <c r="P482" s="9"/>
      <c r="R482" s="9"/>
    </row>
    <row r="483">
      <c r="G483" s="13"/>
      <c r="J483" s="13"/>
      <c r="P483" s="9"/>
      <c r="R483" s="9"/>
    </row>
    <row r="484">
      <c r="G484" s="13"/>
      <c r="J484" s="13"/>
      <c r="P484" s="9"/>
      <c r="R484" s="9"/>
    </row>
    <row r="485">
      <c r="G485" s="13"/>
      <c r="J485" s="13"/>
      <c r="P485" s="9"/>
      <c r="R485" s="9"/>
    </row>
    <row r="486">
      <c r="G486" s="13"/>
      <c r="J486" s="13"/>
      <c r="P486" s="9"/>
      <c r="R486" s="9"/>
    </row>
    <row r="487">
      <c r="G487" s="13"/>
      <c r="J487" s="13"/>
      <c r="P487" s="9"/>
      <c r="R487" s="9"/>
    </row>
    <row r="488">
      <c r="G488" s="13"/>
      <c r="J488" s="13"/>
      <c r="P488" s="9"/>
      <c r="R488" s="9"/>
    </row>
    <row r="489">
      <c r="G489" s="13"/>
      <c r="J489" s="13"/>
      <c r="P489" s="9"/>
      <c r="R489" s="9"/>
    </row>
    <row r="490">
      <c r="G490" s="13"/>
      <c r="J490" s="13"/>
      <c r="P490" s="9"/>
      <c r="R490" s="9"/>
    </row>
    <row r="491">
      <c r="G491" s="13"/>
      <c r="J491" s="13"/>
      <c r="P491" s="9"/>
      <c r="R491" s="9"/>
    </row>
    <row r="492">
      <c r="G492" s="13"/>
      <c r="J492" s="13"/>
      <c r="P492" s="9"/>
      <c r="R492" s="9"/>
    </row>
    <row r="493">
      <c r="G493" s="13"/>
      <c r="J493" s="13"/>
      <c r="P493" s="9"/>
      <c r="R493" s="9"/>
    </row>
    <row r="494">
      <c r="G494" s="13"/>
      <c r="J494" s="13"/>
      <c r="P494" s="9"/>
      <c r="R494" s="9"/>
    </row>
    <row r="495">
      <c r="G495" s="13"/>
      <c r="J495" s="13"/>
      <c r="P495" s="9"/>
      <c r="R495" s="9"/>
    </row>
    <row r="496">
      <c r="G496" s="13"/>
      <c r="J496" s="13"/>
      <c r="P496" s="9"/>
      <c r="R496" s="9"/>
    </row>
    <row r="497">
      <c r="G497" s="13"/>
      <c r="J497" s="13"/>
      <c r="P497" s="9"/>
      <c r="R497" s="9"/>
    </row>
    <row r="498">
      <c r="G498" s="13"/>
      <c r="J498" s="13"/>
      <c r="P498" s="9"/>
      <c r="R498" s="9"/>
    </row>
    <row r="499">
      <c r="G499" s="13"/>
      <c r="J499" s="13"/>
      <c r="P499" s="9"/>
      <c r="R499" s="9"/>
    </row>
    <row r="500">
      <c r="G500" s="13"/>
      <c r="J500" s="13"/>
      <c r="P500" s="9"/>
      <c r="R500" s="9"/>
    </row>
    <row r="501">
      <c r="G501" s="13"/>
      <c r="J501" s="13"/>
      <c r="P501" s="9"/>
      <c r="R501" s="9"/>
    </row>
    <row r="502">
      <c r="G502" s="13"/>
      <c r="J502" s="13"/>
      <c r="P502" s="9"/>
      <c r="R502" s="9"/>
    </row>
    <row r="503">
      <c r="G503" s="13"/>
      <c r="J503" s="13"/>
      <c r="P503" s="9"/>
      <c r="R503" s="9"/>
    </row>
    <row r="504">
      <c r="G504" s="13"/>
      <c r="J504" s="13"/>
      <c r="P504" s="9"/>
      <c r="R504" s="9"/>
    </row>
    <row r="505">
      <c r="G505" s="13"/>
      <c r="J505" s="13"/>
      <c r="P505" s="9"/>
      <c r="R505" s="9"/>
    </row>
    <row r="506">
      <c r="G506" s="13"/>
      <c r="J506" s="13"/>
      <c r="P506" s="9"/>
      <c r="R506" s="9"/>
    </row>
    <row r="507">
      <c r="G507" s="13"/>
      <c r="J507" s="13"/>
      <c r="P507" s="9"/>
      <c r="R507" s="9"/>
    </row>
    <row r="508">
      <c r="G508" s="13"/>
      <c r="J508" s="13"/>
      <c r="P508" s="9"/>
      <c r="R508" s="9"/>
    </row>
    <row r="509">
      <c r="G509" s="13"/>
      <c r="J509" s="13"/>
      <c r="P509" s="9"/>
      <c r="R509" s="9"/>
    </row>
    <row r="510">
      <c r="G510" s="13"/>
      <c r="J510" s="13"/>
      <c r="P510" s="9"/>
      <c r="R510" s="9"/>
    </row>
    <row r="511">
      <c r="G511" s="13"/>
      <c r="J511" s="13"/>
      <c r="P511" s="9"/>
      <c r="R511" s="9"/>
    </row>
    <row r="512">
      <c r="G512" s="13"/>
      <c r="J512" s="13"/>
      <c r="P512" s="9"/>
      <c r="R512" s="9"/>
    </row>
    <row r="513">
      <c r="G513" s="13"/>
      <c r="J513" s="13"/>
      <c r="P513" s="9"/>
      <c r="R513" s="9"/>
    </row>
    <row r="514">
      <c r="G514" s="13"/>
      <c r="J514" s="13"/>
      <c r="P514" s="9"/>
      <c r="R514" s="9"/>
    </row>
    <row r="515">
      <c r="G515" s="13"/>
      <c r="J515" s="13"/>
      <c r="P515" s="9"/>
      <c r="R515" s="9"/>
    </row>
    <row r="516">
      <c r="G516" s="13"/>
      <c r="J516" s="13"/>
      <c r="P516" s="9"/>
      <c r="R516" s="9"/>
    </row>
    <row r="517">
      <c r="G517" s="13"/>
      <c r="J517" s="13"/>
      <c r="P517" s="9"/>
      <c r="R517" s="9"/>
    </row>
    <row r="518">
      <c r="G518" s="13"/>
      <c r="J518" s="13"/>
      <c r="P518" s="9"/>
      <c r="R518" s="9"/>
    </row>
    <row r="519">
      <c r="G519" s="13"/>
      <c r="J519" s="13"/>
      <c r="P519" s="9"/>
      <c r="R519" s="9"/>
    </row>
    <row r="520">
      <c r="G520" s="13"/>
      <c r="J520" s="13"/>
      <c r="P520" s="9"/>
      <c r="R520" s="9"/>
    </row>
    <row r="521">
      <c r="G521" s="13"/>
      <c r="J521" s="13"/>
      <c r="P521" s="9"/>
      <c r="R521" s="9"/>
    </row>
    <row r="522">
      <c r="G522" s="13"/>
      <c r="J522" s="13"/>
      <c r="P522" s="9"/>
      <c r="R522" s="9"/>
    </row>
    <row r="523">
      <c r="G523" s="13"/>
      <c r="J523" s="13"/>
      <c r="P523" s="9"/>
      <c r="R523" s="9"/>
    </row>
    <row r="524">
      <c r="G524" s="13"/>
      <c r="J524" s="13"/>
      <c r="P524" s="9"/>
      <c r="R524" s="9"/>
    </row>
    <row r="525">
      <c r="G525" s="13"/>
      <c r="J525" s="13"/>
      <c r="P525" s="9"/>
      <c r="R525" s="9"/>
    </row>
    <row r="526">
      <c r="G526" s="13"/>
      <c r="J526" s="13"/>
      <c r="P526" s="9"/>
      <c r="R526" s="9"/>
    </row>
    <row r="527">
      <c r="G527" s="13"/>
      <c r="J527" s="13"/>
      <c r="P527" s="9"/>
      <c r="R527" s="9"/>
    </row>
    <row r="528">
      <c r="G528" s="13"/>
      <c r="J528" s="13"/>
      <c r="P528" s="9"/>
      <c r="R528" s="9"/>
    </row>
    <row r="529">
      <c r="G529" s="13"/>
      <c r="J529" s="13"/>
      <c r="P529" s="9"/>
      <c r="R529" s="9"/>
    </row>
    <row r="530">
      <c r="G530" s="13"/>
      <c r="J530" s="13"/>
      <c r="P530" s="9"/>
      <c r="R530" s="9"/>
    </row>
    <row r="531">
      <c r="G531" s="13"/>
      <c r="J531" s="13"/>
      <c r="P531" s="9"/>
      <c r="R531" s="9"/>
    </row>
    <row r="532">
      <c r="G532" s="13"/>
      <c r="J532" s="13"/>
      <c r="P532" s="9"/>
      <c r="R532" s="9"/>
    </row>
    <row r="533">
      <c r="G533" s="13"/>
      <c r="J533" s="13"/>
      <c r="P533" s="9"/>
      <c r="R533" s="9"/>
    </row>
    <row r="534">
      <c r="G534" s="13"/>
      <c r="J534" s="13"/>
      <c r="P534" s="9"/>
      <c r="R534" s="9"/>
    </row>
    <row r="535">
      <c r="G535" s="13"/>
      <c r="J535" s="13"/>
      <c r="P535" s="9"/>
      <c r="R535" s="9"/>
    </row>
    <row r="536">
      <c r="G536" s="13"/>
      <c r="J536" s="13"/>
      <c r="P536" s="9"/>
      <c r="R536" s="9"/>
    </row>
    <row r="537">
      <c r="G537" s="13"/>
      <c r="J537" s="13"/>
      <c r="P537" s="9"/>
      <c r="R537" s="9"/>
    </row>
    <row r="538">
      <c r="G538" s="13"/>
      <c r="J538" s="13"/>
      <c r="P538" s="9"/>
      <c r="R538" s="9"/>
    </row>
    <row r="539">
      <c r="G539" s="13"/>
      <c r="J539" s="13"/>
      <c r="P539" s="9"/>
      <c r="R539" s="9"/>
    </row>
    <row r="540">
      <c r="G540" s="13"/>
      <c r="J540" s="13"/>
      <c r="P540" s="9"/>
      <c r="R540" s="9"/>
    </row>
    <row r="541">
      <c r="G541" s="13"/>
      <c r="J541" s="13"/>
      <c r="P541" s="9"/>
      <c r="R541" s="9"/>
    </row>
    <row r="542">
      <c r="G542" s="13"/>
      <c r="J542" s="13"/>
      <c r="P542" s="9"/>
      <c r="R542" s="9"/>
    </row>
    <row r="543">
      <c r="G543" s="13"/>
      <c r="J543" s="13"/>
      <c r="P543" s="9"/>
      <c r="R543" s="9"/>
    </row>
    <row r="544">
      <c r="G544" s="13"/>
      <c r="J544" s="13"/>
      <c r="P544" s="9"/>
      <c r="R544" s="9"/>
    </row>
    <row r="545">
      <c r="G545" s="13"/>
      <c r="J545" s="13"/>
      <c r="P545" s="9"/>
      <c r="R545" s="9"/>
    </row>
    <row r="546">
      <c r="G546" s="13"/>
      <c r="J546" s="13"/>
      <c r="P546" s="9"/>
      <c r="R546" s="9"/>
    </row>
    <row r="547">
      <c r="G547" s="13"/>
      <c r="J547" s="13"/>
      <c r="P547" s="9"/>
      <c r="R547" s="9"/>
    </row>
    <row r="548">
      <c r="G548" s="13"/>
      <c r="J548" s="13"/>
      <c r="P548" s="9"/>
      <c r="R548" s="9"/>
    </row>
    <row r="549">
      <c r="G549" s="13"/>
      <c r="J549" s="13"/>
      <c r="P549" s="9"/>
      <c r="R549" s="9"/>
    </row>
    <row r="550">
      <c r="G550" s="13"/>
      <c r="J550" s="13"/>
      <c r="P550" s="9"/>
      <c r="R550" s="9"/>
    </row>
    <row r="551">
      <c r="G551" s="13"/>
      <c r="J551" s="13"/>
      <c r="P551" s="9"/>
      <c r="R551" s="9"/>
    </row>
    <row r="552">
      <c r="G552" s="13"/>
      <c r="J552" s="13"/>
      <c r="P552" s="9"/>
      <c r="R552" s="9"/>
    </row>
    <row r="553">
      <c r="G553" s="13"/>
      <c r="J553" s="13"/>
      <c r="P553" s="9"/>
      <c r="R553" s="9"/>
    </row>
    <row r="554">
      <c r="G554" s="13"/>
      <c r="J554" s="13"/>
      <c r="P554" s="9"/>
      <c r="R554" s="9"/>
    </row>
    <row r="555">
      <c r="G555" s="13"/>
      <c r="J555" s="13"/>
      <c r="P555" s="9"/>
      <c r="R555" s="9"/>
    </row>
    <row r="556">
      <c r="G556" s="13"/>
      <c r="J556" s="13"/>
      <c r="P556" s="9"/>
      <c r="R556" s="9"/>
    </row>
    <row r="557">
      <c r="G557" s="13"/>
      <c r="J557" s="13"/>
      <c r="P557" s="9"/>
      <c r="R557" s="9"/>
    </row>
    <row r="558">
      <c r="G558" s="13"/>
      <c r="J558" s="13"/>
      <c r="P558" s="9"/>
      <c r="R558" s="9"/>
    </row>
    <row r="559">
      <c r="G559" s="13"/>
      <c r="J559" s="13"/>
      <c r="P559" s="9"/>
      <c r="R559" s="9"/>
    </row>
    <row r="560">
      <c r="G560" s="13"/>
      <c r="J560" s="13"/>
      <c r="P560" s="9"/>
      <c r="R560" s="9"/>
    </row>
    <row r="561">
      <c r="G561" s="13"/>
      <c r="J561" s="13"/>
      <c r="P561" s="9"/>
      <c r="R561" s="9"/>
    </row>
    <row r="562">
      <c r="G562" s="13"/>
      <c r="J562" s="13"/>
      <c r="P562" s="9"/>
      <c r="R562" s="9"/>
    </row>
    <row r="563">
      <c r="G563" s="13"/>
      <c r="J563" s="13"/>
      <c r="P563" s="9"/>
      <c r="R563" s="9"/>
    </row>
    <row r="564">
      <c r="G564" s="13"/>
      <c r="J564" s="13"/>
      <c r="P564" s="9"/>
      <c r="R564" s="9"/>
    </row>
    <row r="565">
      <c r="G565" s="13"/>
      <c r="J565" s="13"/>
      <c r="P565" s="9"/>
      <c r="R565" s="9"/>
    </row>
    <row r="566">
      <c r="G566" s="13"/>
      <c r="J566" s="13"/>
      <c r="P566" s="9"/>
      <c r="R566" s="9"/>
    </row>
    <row r="567">
      <c r="G567" s="13"/>
      <c r="J567" s="13"/>
      <c r="P567" s="9"/>
      <c r="R567" s="9"/>
    </row>
    <row r="568">
      <c r="G568" s="13"/>
      <c r="J568" s="13"/>
      <c r="P568" s="9"/>
      <c r="R568" s="9"/>
    </row>
    <row r="569">
      <c r="G569" s="13"/>
      <c r="J569" s="13"/>
      <c r="P569" s="9"/>
      <c r="R569" s="9"/>
    </row>
    <row r="570">
      <c r="G570" s="13"/>
      <c r="J570" s="13"/>
      <c r="P570" s="9"/>
      <c r="R570" s="9"/>
    </row>
    <row r="571">
      <c r="G571" s="13"/>
      <c r="J571" s="13"/>
      <c r="P571" s="9"/>
      <c r="R571" s="9"/>
    </row>
    <row r="572">
      <c r="G572" s="13"/>
      <c r="J572" s="13"/>
      <c r="P572" s="9"/>
      <c r="R572" s="9"/>
    </row>
    <row r="573">
      <c r="G573" s="13"/>
      <c r="J573" s="13"/>
      <c r="P573" s="9"/>
      <c r="R573" s="9"/>
    </row>
    <row r="574">
      <c r="G574" s="13"/>
      <c r="J574" s="13"/>
      <c r="P574" s="9"/>
      <c r="R574" s="9"/>
    </row>
    <row r="575">
      <c r="G575" s="13"/>
      <c r="J575" s="13"/>
      <c r="P575" s="9"/>
      <c r="R575" s="9"/>
    </row>
    <row r="576">
      <c r="G576" s="13"/>
      <c r="J576" s="13"/>
      <c r="P576" s="9"/>
      <c r="R576" s="9"/>
    </row>
    <row r="577">
      <c r="G577" s="13"/>
      <c r="J577" s="13"/>
      <c r="P577" s="9"/>
      <c r="R577" s="9"/>
    </row>
    <row r="578">
      <c r="G578" s="13"/>
      <c r="J578" s="13"/>
      <c r="P578" s="9"/>
      <c r="R578" s="9"/>
    </row>
    <row r="579">
      <c r="G579" s="13"/>
      <c r="J579" s="13"/>
      <c r="P579" s="9"/>
      <c r="R579" s="9"/>
    </row>
    <row r="580">
      <c r="G580" s="13"/>
      <c r="J580" s="13"/>
      <c r="P580" s="9"/>
      <c r="R580" s="9"/>
    </row>
    <row r="581">
      <c r="G581" s="13"/>
      <c r="J581" s="13"/>
      <c r="P581" s="9"/>
      <c r="R581" s="9"/>
    </row>
    <row r="582">
      <c r="G582" s="13"/>
      <c r="J582" s="13"/>
      <c r="P582" s="9"/>
      <c r="R582" s="9"/>
    </row>
    <row r="583">
      <c r="G583" s="13"/>
      <c r="J583" s="13"/>
      <c r="P583" s="9"/>
      <c r="R583" s="9"/>
    </row>
    <row r="584">
      <c r="G584" s="13"/>
      <c r="J584" s="13"/>
      <c r="P584" s="9"/>
      <c r="R584" s="9"/>
    </row>
    <row r="585">
      <c r="G585" s="13"/>
      <c r="J585" s="13"/>
      <c r="P585" s="9"/>
      <c r="R585" s="9"/>
    </row>
    <row r="586">
      <c r="G586" s="13"/>
      <c r="J586" s="13"/>
      <c r="P586" s="9"/>
      <c r="R586" s="9"/>
    </row>
    <row r="587">
      <c r="G587" s="13"/>
      <c r="J587" s="13"/>
      <c r="P587" s="9"/>
      <c r="R587" s="9"/>
    </row>
    <row r="588">
      <c r="G588" s="13"/>
      <c r="J588" s="13"/>
      <c r="P588" s="9"/>
      <c r="R588" s="9"/>
    </row>
    <row r="589">
      <c r="G589" s="13"/>
      <c r="J589" s="13"/>
      <c r="P589" s="9"/>
      <c r="R589" s="9"/>
    </row>
    <row r="590">
      <c r="G590" s="13"/>
      <c r="J590" s="13"/>
      <c r="P590" s="9"/>
      <c r="R590" s="9"/>
    </row>
    <row r="591">
      <c r="G591" s="13"/>
      <c r="J591" s="13"/>
      <c r="P591" s="9"/>
      <c r="R591" s="9"/>
    </row>
    <row r="592">
      <c r="G592" s="13"/>
      <c r="J592" s="13"/>
      <c r="P592" s="9"/>
      <c r="R592" s="9"/>
    </row>
    <row r="593">
      <c r="G593" s="13"/>
      <c r="J593" s="13"/>
      <c r="P593" s="9"/>
      <c r="R593" s="9"/>
    </row>
    <row r="594">
      <c r="G594" s="13"/>
      <c r="J594" s="13"/>
      <c r="P594" s="9"/>
      <c r="R594" s="9"/>
    </row>
    <row r="595">
      <c r="G595" s="13"/>
      <c r="J595" s="13"/>
      <c r="P595" s="9"/>
      <c r="R595" s="9"/>
    </row>
    <row r="596">
      <c r="G596" s="13"/>
      <c r="J596" s="13"/>
      <c r="P596" s="9"/>
      <c r="R596" s="9"/>
    </row>
    <row r="597">
      <c r="G597" s="13"/>
      <c r="J597" s="13"/>
      <c r="P597" s="9"/>
      <c r="R597" s="9"/>
    </row>
    <row r="598">
      <c r="G598" s="13"/>
      <c r="J598" s="13"/>
      <c r="P598" s="9"/>
      <c r="R598" s="9"/>
    </row>
    <row r="599">
      <c r="G599" s="13"/>
      <c r="J599" s="13"/>
      <c r="P599" s="9"/>
      <c r="R599" s="9"/>
    </row>
    <row r="600">
      <c r="G600" s="13"/>
      <c r="J600" s="13"/>
      <c r="P600" s="9"/>
      <c r="R600" s="9"/>
    </row>
    <row r="601">
      <c r="G601" s="13"/>
      <c r="J601" s="13"/>
      <c r="P601" s="9"/>
      <c r="R601" s="9"/>
    </row>
    <row r="602">
      <c r="G602" s="13"/>
      <c r="J602" s="13"/>
      <c r="P602" s="9"/>
      <c r="R602" s="9"/>
    </row>
    <row r="603">
      <c r="G603" s="13"/>
      <c r="J603" s="13"/>
      <c r="P603" s="9"/>
      <c r="R603" s="9"/>
    </row>
    <row r="604">
      <c r="G604" s="13"/>
      <c r="J604" s="13"/>
      <c r="P604" s="9"/>
      <c r="R604" s="9"/>
    </row>
    <row r="605">
      <c r="G605" s="13"/>
      <c r="J605" s="13"/>
      <c r="P605" s="9"/>
      <c r="R605" s="9"/>
    </row>
    <row r="606">
      <c r="G606" s="13"/>
      <c r="J606" s="13"/>
      <c r="P606" s="9"/>
      <c r="R606" s="9"/>
    </row>
    <row r="607">
      <c r="G607" s="13"/>
      <c r="J607" s="13"/>
      <c r="P607" s="9"/>
      <c r="R607" s="9"/>
    </row>
    <row r="608">
      <c r="G608" s="13"/>
      <c r="J608" s="13"/>
      <c r="P608" s="9"/>
      <c r="R608" s="9"/>
    </row>
    <row r="609">
      <c r="G609" s="13"/>
      <c r="J609" s="13"/>
      <c r="P609" s="9"/>
      <c r="R609" s="9"/>
    </row>
    <row r="610">
      <c r="G610" s="13"/>
      <c r="J610" s="13"/>
      <c r="P610" s="9"/>
      <c r="R610" s="9"/>
    </row>
    <row r="611">
      <c r="G611" s="13"/>
      <c r="J611" s="13"/>
      <c r="P611" s="9"/>
      <c r="R611" s="9"/>
    </row>
    <row r="612">
      <c r="G612" s="13"/>
      <c r="J612" s="13"/>
      <c r="P612" s="9"/>
      <c r="R612" s="9"/>
    </row>
    <row r="613">
      <c r="G613" s="13"/>
      <c r="J613" s="13"/>
      <c r="P613" s="9"/>
      <c r="R613" s="9"/>
    </row>
    <row r="614">
      <c r="G614" s="13"/>
      <c r="J614" s="13"/>
      <c r="P614" s="9"/>
      <c r="R614" s="9"/>
    </row>
    <row r="615">
      <c r="G615" s="13"/>
      <c r="J615" s="13"/>
      <c r="P615" s="9"/>
      <c r="R615" s="9"/>
    </row>
    <row r="616">
      <c r="G616" s="13"/>
      <c r="J616" s="13"/>
      <c r="P616" s="9"/>
      <c r="R616" s="9"/>
    </row>
    <row r="617">
      <c r="G617" s="13"/>
      <c r="J617" s="13"/>
      <c r="P617" s="9"/>
      <c r="R617" s="9"/>
    </row>
    <row r="618">
      <c r="G618" s="13"/>
      <c r="J618" s="13"/>
      <c r="P618" s="9"/>
      <c r="R618" s="9"/>
    </row>
    <row r="619">
      <c r="G619" s="13"/>
      <c r="J619" s="13"/>
      <c r="P619" s="9"/>
      <c r="R619" s="9"/>
    </row>
    <row r="620">
      <c r="G620" s="13"/>
      <c r="J620" s="13"/>
      <c r="P620" s="9"/>
      <c r="R620" s="9"/>
    </row>
    <row r="621">
      <c r="G621" s="13"/>
      <c r="J621" s="13"/>
      <c r="P621" s="9"/>
      <c r="R621" s="9"/>
    </row>
    <row r="622">
      <c r="G622" s="13"/>
      <c r="J622" s="13"/>
      <c r="P622" s="9"/>
      <c r="R622" s="9"/>
    </row>
    <row r="623">
      <c r="G623" s="13"/>
      <c r="J623" s="13"/>
      <c r="P623" s="9"/>
      <c r="R623" s="9"/>
    </row>
    <row r="624">
      <c r="G624" s="13"/>
      <c r="J624" s="13"/>
      <c r="P624" s="9"/>
      <c r="R624" s="9"/>
    </row>
    <row r="625">
      <c r="G625" s="13"/>
      <c r="J625" s="13"/>
      <c r="P625" s="9"/>
      <c r="R625" s="9"/>
    </row>
    <row r="626">
      <c r="G626" s="13"/>
      <c r="J626" s="13"/>
      <c r="P626" s="9"/>
      <c r="R626" s="9"/>
    </row>
    <row r="627">
      <c r="G627" s="13"/>
      <c r="J627" s="13"/>
      <c r="P627" s="9"/>
      <c r="R627" s="9"/>
    </row>
    <row r="628">
      <c r="G628" s="13"/>
      <c r="J628" s="13"/>
      <c r="P628" s="9"/>
      <c r="R628" s="9"/>
    </row>
    <row r="629">
      <c r="G629" s="13"/>
      <c r="J629" s="13"/>
      <c r="P629" s="9"/>
      <c r="R629" s="9"/>
    </row>
    <row r="630">
      <c r="G630" s="13"/>
      <c r="J630" s="13"/>
      <c r="P630" s="9"/>
      <c r="R630" s="9"/>
    </row>
    <row r="631">
      <c r="G631" s="13"/>
      <c r="J631" s="13"/>
      <c r="P631" s="9"/>
      <c r="R631" s="9"/>
    </row>
    <row r="632">
      <c r="G632" s="13"/>
      <c r="J632" s="13"/>
      <c r="P632" s="9"/>
      <c r="R632" s="9"/>
    </row>
    <row r="633">
      <c r="G633" s="13"/>
      <c r="J633" s="13"/>
      <c r="P633" s="9"/>
      <c r="R633" s="9"/>
    </row>
    <row r="634">
      <c r="G634" s="13"/>
      <c r="J634" s="13"/>
      <c r="P634" s="9"/>
      <c r="R634" s="9"/>
    </row>
    <row r="635">
      <c r="G635" s="13"/>
      <c r="J635" s="13"/>
      <c r="P635" s="9"/>
      <c r="R635" s="9"/>
    </row>
    <row r="636">
      <c r="G636" s="13"/>
      <c r="J636" s="13"/>
      <c r="P636" s="9"/>
      <c r="R636" s="9"/>
    </row>
    <row r="637">
      <c r="G637" s="13"/>
      <c r="J637" s="13"/>
      <c r="P637" s="9"/>
      <c r="R637" s="9"/>
    </row>
    <row r="638">
      <c r="G638" s="13"/>
      <c r="J638" s="13"/>
      <c r="P638" s="9"/>
      <c r="R638" s="9"/>
    </row>
    <row r="639">
      <c r="G639" s="13"/>
      <c r="J639" s="13"/>
      <c r="P639" s="9"/>
      <c r="R639" s="9"/>
    </row>
    <row r="640">
      <c r="G640" s="13"/>
      <c r="J640" s="13"/>
      <c r="P640" s="9"/>
      <c r="R640" s="9"/>
    </row>
    <row r="641">
      <c r="G641" s="13"/>
      <c r="J641" s="13"/>
      <c r="P641" s="9"/>
      <c r="R641" s="9"/>
    </row>
    <row r="642">
      <c r="G642" s="13"/>
      <c r="J642" s="13"/>
      <c r="P642" s="9"/>
      <c r="R642" s="9"/>
    </row>
    <row r="643">
      <c r="G643" s="13"/>
      <c r="J643" s="13"/>
      <c r="P643" s="9"/>
      <c r="R643" s="9"/>
    </row>
    <row r="644">
      <c r="G644" s="13"/>
      <c r="J644" s="13"/>
      <c r="P644" s="9"/>
      <c r="R644" s="9"/>
    </row>
    <row r="645">
      <c r="G645" s="13"/>
      <c r="J645" s="13"/>
      <c r="P645" s="9"/>
      <c r="R645" s="9"/>
    </row>
    <row r="646">
      <c r="G646" s="13"/>
      <c r="J646" s="13"/>
      <c r="P646" s="9"/>
      <c r="R646" s="9"/>
    </row>
    <row r="647">
      <c r="G647" s="13"/>
      <c r="J647" s="13"/>
      <c r="P647" s="9"/>
      <c r="R647" s="9"/>
    </row>
    <row r="648">
      <c r="G648" s="13"/>
      <c r="J648" s="13"/>
      <c r="P648" s="9"/>
      <c r="R648" s="9"/>
    </row>
    <row r="649">
      <c r="G649" s="13"/>
      <c r="J649" s="13"/>
      <c r="P649" s="9"/>
      <c r="R649" s="9"/>
    </row>
    <row r="650">
      <c r="G650" s="13"/>
      <c r="J650" s="13"/>
      <c r="P650" s="9"/>
      <c r="R650" s="9"/>
    </row>
    <row r="651">
      <c r="G651" s="13"/>
      <c r="J651" s="13"/>
      <c r="P651" s="9"/>
      <c r="R651" s="9"/>
    </row>
    <row r="652">
      <c r="G652" s="13"/>
      <c r="J652" s="13"/>
      <c r="P652" s="9"/>
      <c r="R652" s="9"/>
    </row>
    <row r="653">
      <c r="G653" s="13"/>
      <c r="J653" s="13"/>
      <c r="P653" s="9"/>
      <c r="R653" s="9"/>
    </row>
    <row r="654">
      <c r="G654" s="13"/>
      <c r="J654" s="13"/>
      <c r="P654" s="9"/>
      <c r="R654" s="9"/>
    </row>
    <row r="655">
      <c r="G655" s="13"/>
      <c r="J655" s="13"/>
      <c r="P655" s="9"/>
      <c r="R655" s="9"/>
    </row>
    <row r="656">
      <c r="G656" s="13"/>
      <c r="J656" s="13"/>
      <c r="P656" s="9"/>
      <c r="R656" s="9"/>
    </row>
    <row r="657">
      <c r="G657" s="13"/>
      <c r="J657" s="13"/>
      <c r="P657" s="9"/>
      <c r="R657" s="9"/>
    </row>
    <row r="658">
      <c r="G658" s="13"/>
      <c r="J658" s="13"/>
      <c r="P658" s="9"/>
      <c r="R658" s="9"/>
    </row>
    <row r="659">
      <c r="G659" s="13"/>
      <c r="J659" s="13"/>
      <c r="P659" s="9"/>
      <c r="R659" s="9"/>
    </row>
    <row r="660">
      <c r="G660" s="13"/>
      <c r="J660" s="13"/>
      <c r="P660" s="9"/>
      <c r="R660" s="9"/>
    </row>
    <row r="661">
      <c r="G661" s="13"/>
      <c r="J661" s="13"/>
      <c r="P661" s="9"/>
      <c r="R661" s="9"/>
    </row>
    <row r="662">
      <c r="G662" s="13"/>
      <c r="J662" s="13"/>
      <c r="P662" s="9"/>
      <c r="R662" s="9"/>
    </row>
    <row r="663">
      <c r="G663" s="13"/>
      <c r="J663" s="13"/>
      <c r="P663" s="9"/>
      <c r="R663" s="9"/>
    </row>
    <row r="664">
      <c r="G664" s="13"/>
      <c r="J664" s="13"/>
      <c r="P664" s="9"/>
      <c r="R664" s="9"/>
    </row>
    <row r="665">
      <c r="G665" s="13"/>
      <c r="J665" s="13"/>
      <c r="P665" s="9"/>
      <c r="R665" s="9"/>
    </row>
    <row r="666">
      <c r="G666" s="13"/>
      <c r="J666" s="13"/>
      <c r="P666" s="9"/>
      <c r="R666" s="9"/>
    </row>
    <row r="667">
      <c r="G667" s="13"/>
      <c r="J667" s="13"/>
      <c r="P667" s="9"/>
      <c r="R667" s="9"/>
    </row>
    <row r="668">
      <c r="G668" s="13"/>
      <c r="J668" s="13"/>
      <c r="P668" s="9"/>
      <c r="R668" s="9"/>
    </row>
    <row r="669">
      <c r="G669" s="13"/>
      <c r="J669" s="13"/>
      <c r="P669" s="9"/>
      <c r="R669" s="9"/>
    </row>
    <row r="670">
      <c r="G670" s="13"/>
      <c r="J670" s="13"/>
      <c r="P670" s="9"/>
      <c r="R670" s="9"/>
    </row>
    <row r="671">
      <c r="G671" s="13"/>
      <c r="J671" s="13"/>
      <c r="P671" s="9"/>
      <c r="R671" s="9"/>
    </row>
    <row r="672">
      <c r="G672" s="13"/>
      <c r="J672" s="13"/>
      <c r="P672" s="9"/>
      <c r="R672" s="9"/>
    </row>
    <row r="673">
      <c r="G673" s="13"/>
      <c r="J673" s="13"/>
      <c r="P673" s="9"/>
      <c r="R673" s="9"/>
    </row>
    <row r="674">
      <c r="G674" s="13"/>
      <c r="J674" s="13"/>
      <c r="P674" s="9"/>
      <c r="R674" s="9"/>
    </row>
    <row r="675">
      <c r="G675" s="13"/>
      <c r="J675" s="13"/>
      <c r="P675" s="9"/>
      <c r="R675" s="9"/>
    </row>
    <row r="676">
      <c r="G676" s="13"/>
      <c r="J676" s="13"/>
      <c r="P676" s="9"/>
      <c r="R676" s="9"/>
    </row>
    <row r="677">
      <c r="G677" s="13"/>
      <c r="J677" s="13"/>
      <c r="P677" s="9"/>
      <c r="R677" s="9"/>
    </row>
    <row r="678">
      <c r="G678" s="13"/>
      <c r="J678" s="13"/>
      <c r="P678" s="9"/>
      <c r="R678" s="9"/>
    </row>
    <row r="679">
      <c r="G679" s="13"/>
      <c r="J679" s="13"/>
      <c r="P679" s="9"/>
      <c r="R679" s="9"/>
    </row>
    <row r="680">
      <c r="G680" s="13"/>
      <c r="J680" s="13"/>
      <c r="P680" s="9"/>
      <c r="R680" s="9"/>
    </row>
    <row r="681">
      <c r="G681" s="13"/>
      <c r="J681" s="13"/>
      <c r="P681" s="9"/>
      <c r="R681" s="9"/>
    </row>
    <row r="682">
      <c r="G682" s="13"/>
      <c r="J682" s="13"/>
      <c r="P682" s="9"/>
      <c r="R682" s="9"/>
    </row>
    <row r="683">
      <c r="G683" s="13"/>
      <c r="J683" s="13"/>
      <c r="P683" s="9"/>
      <c r="R683" s="9"/>
    </row>
    <row r="684">
      <c r="G684" s="13"/>
      <c r="J684" s="13"/>
      <c r="P684" s="9"/>
      <c r="R684" s="9"/>
    </row>
    <row r="685">
      <c r="G685" s="13"/>
      <c r="J685" s="13"/>
      <c r="P685" s="9"/>
      <c r="R685" s="9"/>
    </row>
    <row r="686">
      <c r="G686" s="13"/>
      <c r="J686" s="13"/>
      <c r="P686" s="9"/>
      <c r="R686" s="9"/>
    </row>
    <row r="687">
      <c r="G687" s="13"/>
      <c r="J687" s="13"/>
      <c r="P687" s="9"/>
      <c r="R687" s="9"/>
    </row>
    <row r="688">
      <c r="G688" s="13"/>
      <c r="J688" s="13"/>
      <c r="P688" s="9"/>
      <c r="R688" s="9"/>
    </row>
    <row r="689">
      <c r="G689" s="13"/>
      <c r="J689" s="13"/>
      <c r="P689" s="9"/>
      <c r="R689" s="9"/>
    </row>
    <row r="690">
      <c r="G690" s="13"/>
      <c r="J690" s="13"/>
      <c r="P690" s="9"/>
      <c r="R690" s="9"/>
    </row>
    <row r="691">
      <c r="G691" s="13"/>
      <c r="J691" s="13"/>
      <c r="P691" s="9"/>
      <c r="R691" s="9"/>
    </row>
    <row r="692">
      <c r="G692" s="13"/>
      <c r="J692" s="13"/>
      <c r="P692" s="9"/>
      <c r="R692" s="9"/>
    </row>
    <row r="693">
      <c r="G693" s="13"/>
      <c r="J693" s="13"/>
      <c r="P693" s="9"/>
      <c r="R693" s="9"/>
    </row>
    <row r="694">
      <c r="G694" s="13"/>
      <c r="J694" s="13"/>
      <c r="P694" s="9"/>
      <c r="R694" s="9"/>
    </row>
    <row r="695">
      <c r="G695" s="13"/>
      <c r="J695" s="13"/>
      <c r="P695" s="9"/>
      <c r="R695" s="9"/>
    </row>
    <row r="696">
      <c r="G696" s="13"/>
      <c r="J696" s="13"/>
      <c r="P696" s="9"/>
      <c r="R696" s="9"/>
    </row>
    <row r="697">
      <c r="G697" s="13"/>
      <c r="J697" s="13"/>
      <c r="P697" s="9"/>
      <c r="R697" s="9"/>
    </row>
    <row r="698">
      <c r="G698" s="13"/>
      <c r="J698" s="13"/>
      <c r="P698" s="9"/>
      <c r="R698" s="9"/>
    </row>
    <row r="699">
      <c r="G699" s="13"/>
      <c r="J699" s="13"/>
      <c r="P699" s="9"/>
      <c r="R699" s="9"/>
    </row>
    <row r="700">
      <c r="G700" s="13"/>
      <c r="J700" s="13"/>
      <c r="P700" s="9"/>
      <c r="R700" s="9"/>
    </row>
    <row r="701">
      <c r="G701" s="13"/>
      <c r="J701" s="13"/>
      <c r="P701" s="9"/>
      <c r="R701" s="9"/>
    </row>
    <row r="702">
      <c r="G702" s="13"/>
      <c r="J702" s="13"/>
      <c r="P702" s="9"/>
      <c r="R702" s="9"/>
    </row>
    <row r="703">
      <c r="G703" s="13"/>
      <c r="J703" s="13"/>
      <c r="P703" s="9"/>
      <c r="R703" s="9"/>
    </row>
    <row r="704">
      <c r="G704" s="13"/>
      <c r="J704" s="13"/>
      <c r="P704" s="9"/>
      <c r="R704" s="9"/>
    </row>
    <row r="705">
      <c r="G705" s="13"/>
      <c r="J705" s="13"/>
      <c r="P705" s="9"/>
      <c r="R705" s="9"/>
    </row>
    <row r="706">
      <c r="G706" s="13"/>
      <c r="J706" s="13"/>
      <c r="P706" s="9"/>
      <c r="R706" s="9"/>
    </row>
    <row r="707">
      <c r="G707" s="13"/>
      <c r="J707" s="13"/>
      <c r="P707" s="9"/>
      <c r="R707" s="9"/>
    </row>
    <row r="708">
      <c r="G708" s="13"/>
      <c r="J708" s="13"/>
      <c r="P708" s="9"/>
      <c r="R708" s="9"/>
    </row>
    <row r="709">
      <c r="G709" s="13"/>
      <c r="J709" s="13"/>
      <c r="P709" s="9"/>
      <c r="R709" s="9"/>
    </row>
    <row r="710">
      <c r="G710" s="13"/>
      <c r="J710" s="13"/>
      <c r="P710" s="9"/>
      <c r="R710" s="9"/>
    </row>
    <row r="711">
      <c r="G711" s="13"/>
      <c r="J711" s="13"/>
      <c r="P711" s="9"/>
      <c r="R711" s="9"/>
    </row>
    <row r="712">
      <c r="G712" s="13"/>
      <c r="J712" s="13"/>
      <c r="P712" s="9"/>
      <c r="R712" s="9"/>
    </row>
    <row r="713">
      <c r="G713" s="13"/>
      <c r="J713" s="13"/>
      <c r="P713" s="9"/>
      <c r="R713" s="9"/>
    </row>
    <row r="714">
      <c r="G714" s="13"/>
      <c r="J714" s="13"/>
      <c r="P714" s="9"/>
      <c r="R714" s="9"/>
    </row>
    <row r="715">
      <c r="G715" s="13"/>
      <c r="J715" s="13"/>
      <c r="P715" s="9"/>
      <c r="R715" s="9"/>
    </row>
    <row r="716">
      <c r="G716" s="13"/>
      <c r="J716" s="13"/>
      <c r="P716" s="9"/>
      <c r="R716" s="9"/>
    </row>
    <row r="717">
      <c r="G717" s="13"/>
      <c r="J717" s="13"/>
      <c r="P717" s="9"/>
      <c r="R717" s="9"/>
    </row>
    <row r="718">
      <c r="G718" s="13"/>
      <c r="J718" s="13"/>
      <c r="P718" s="9"/>
      <c r="R718" s="9"/>
    </row>
    <row r="719">
      <c r="G719" s="13"/>
      <c r="J719" s="13"/>
      <c r="P719" s="9"/>
      <c r="R719" s="9"/>
    </row>
    <row r="720">
      <c r="G720" s="13"/>
      <c r="J720" s="13"/>
      <c r="P720" s="9"/>
      <c r="R720" s="9"/>
    </row>
    <row r="721">
      <c r="G721" s="13"/>
      <c r="J721" s="13"/>
      <c r="P721" s="9"/>
      <c r="R721" s="9"/>
    </row>
    <row r="722">
      <c r="G722" s="13"/>
      <c r="J722" s="13"/>
      <c r="P722" s="9"/>
      <c r="R722" s="9"/>
    </row>
    <row r="723">
      <c r="G723" s="13"/>
      <c r="J723" s="13"/>
      <c r="P723" s="9"/>
      <c r="R723" s="9"/>
    </row>
    <row r="724">
      <c r="G724" s="13"/>
      <c r="J724" s="13"/>
      <c r="P724" s="9"/>
      <c r="R724" s="9"/>
    </row>
    <row r="725">
      <c r="G725" s="13"/>
      <c r="J725" s="13"/>
      <c r="P725" s="9"/>
      <c r="R725" s="9"/>
    </row>
    <row r="726">
      <c r="G726" s="13"/>
      <c r="J726" s="13"/>
      <c r="P726" s="9"/>
      <c r="R726" s="9"/>
    </row>
    <row r="727">
      <c r="G727" s="13"/>
      <c r="J727" s="13"/>
      <c r="P727" s="9"/>
      <c r="R727" s="9"/>
    </row>
    <row r="728">
      <c r="G728" s="13"/>
      <c r="J728" s="13"/>
      <c r="P728" s="9"/>
      <c r="R728" s="9"/>
    </row>
    <row r="729">
      <c r="G729" s="13"/>
      <c r="J729" s="13"/>
      <c r="P729" s="9"/>
      <c r="R729" s="9"/>
    </row>
    <row r="730">
      <c r="G730" s="13"/>
      <c r="J730" s="13"/>
      <c r="P730" s="9"/>
      <c r="R730" s="9"/>
    </row>
    <row r="731">
      <c r="G731" s="13"/>
      <c r="J731" s="13"/>
      <c r="P731" s="9"/>
      <c r="R731" s="9"/>
    </row>
    <row r="732">
      <c r="G732" s="13"/>
      <c r="J732" s="13"/>
      <c r="P732" s="9"/>
      <c r="R732" s="9"/>
    </row>
    <row r="733">
      <c r="G733" s="13"/>
      <c r="J733" s="13"/>
      <c r="P733" s="9"/>
      <c r="R733" s="9"/>
    </row>
    <row r="734">
      <c r="G734" s="13"/>
      <c r="J734" s="13"/>
      <c r="P734" s="9"/>
      <c r="R734" s="9"/>
    </row>
    <row r="735">
      <c r="G735" s="13"/>
      <c r="J735" s="13"/>
      <c r="P735" s="9"/>
      <c r="R735" s="9"/>
    </row>
    <row r="736">
      <c r="G736" s="13"/>
      <c r="J736" s="13"/>
      <c r="P736" s="9"/>
      <c r="R736" s="9"/>
    </row>
    <row r="737">
      <c r="G737" s="13"/>
      <c r="J737" s="13"/>
      <c r="P737" s="9"/>
      <c r="R737" s="9"/>
    </row>
    <row r="738">
      <c r="G738" s="13"/>
      <c r="J738" s="13"/>
      <c r="P738" s="9"/>
      <c r="R738" s="9"/>
    </row>
    <row r="739">
      <c r="G739" s="13"/>
      <c r="J739" s="13"/>
      <c r="P739" s="9"/>
      <c r="R739" s="9"/>
    </row>
    <row r="740">
      <c r="G740" s="13"/>
      <c r="J740" s="13"/>
      <c r="P740" s="9"/>
      <c r="R740" s="9"/>
    </row>
    <row r="741">
      <c r="G741" s="13"/>
      <c r="J741" s="13"/>
      <c r="P741" s="9"/>
      <c r="R741" s="9"/>
    </row>
    <row r="742">
      <c r="G742" s="13"/>
      <c r="J742" s="13"/>
      <c r="P742" s="9"/>
      <c r="R742" s="9"/>
    </row>
    <row r="743">
      <c r="G743" s="13"/>
      <c r="J743" s="13"/>
      <c r="P743" s="9"/>
      <c r="R743" s="9"/>
    </row>
    <row r="744">
      <c r="G744" s="13"/>
      <c r="J744" s="13"/>
      <c r="P744" s="9"/>
      <c r="R744" s="9"/>
    </row>
    <row r="745">
      <c r="G745" s="13"/>
      <c r="J745" s="13"/>
      <c r="P745" s="9"/>
      <c r="R745" s="9"/>
    </row>
    <row r="746">
      <c r="G746" s="13"/>
      <c r="J746" s="13"/>
      <c r="P746" s="9"/>
      <c r="R746" s="9"/>
    </row>
    <row r="747">
      <c r="G747" s="13"/>
      <c r="J747" s="13"/>
      <c r="P747" s="9"/>
      <c r="R747" s="9"/>
    </row>
    <row r="748">
      <c r="G748" s="13"/>
      <c r="J748" s="13"/>
      <c r="P748" s="9"/>
      <c r="R748" s="9"/>
    </row>
    <row r="749">
      <c r="G749" s="13"/>
      <c r="J749" s="13"/>
      <c r="P749" s="9"/>
      <c r="R749" s="9"/>
    </row>
    <row r="750">
      <c r="G750" s="13"/>
      <c r="J750" s="13"/>
      <c r="P750" s="9"/>
      <c r="R750" s="9"/>
    </row>
    <row r="751">
      <c r="G751" s="13"/>
      <c r="J751" s="13"/>
      <c r="P751" s="9"/>
      <c r="R751" s="9"/>
    </row>
    <row r="752">
      <c r="G752" s="13"/>
      <c r="J752" s="13"/>
      <c r="P752" s="9"/>
      <c r="R752" s="9"/>
    </row>
    <row r="753">
      <c r="G753" s="13"/>
      <c r="J753" s="13"/>
      <c r="P753" s="9"/>
      <c r="R753" s="9"/>
    </row>
    <row r="754">
      <c r="G754" s="13"/>
      <c r="J754" s="13"/>
      <c r="P754" s="9"/>
      <c r="R754" s="9"/>
    </row>
    <row r="755">
      <c r="G755" s="13"/>
      <c r="J755" s="13"/>
      <c r="P755" s="9"/>
      <c r="R755" s="9"/>
    </row>
    <row r="756">
      <c r="G756" s="13"/>
      <c r="J756" s="13"/>
      <c r="P756" s="9"/>
      <c r="R756" s="9"/>
    </row>
    <row r="757">
      <c r="G757" s="13"/>
      <c r="J757" s="13"/>
      <c r="P757" s="9"/>
      <c r="R757" s="9"/>
    </row>
    <row r="758">
      <c r="G758" s="13"/>
      <c r="J758" s="13"/>
      <c r="P758" s="9"/>
      <c r="R758" s="9"/>
    </row>
    <row r="759">
      <c r="G759" s="13"/>
      <c r="J759" s="13"/>
      <c r="P759" s="9"/>
      <c r="R759" s="9"/>
    </row>
    <row r="760">
      <c r="G760" s="13"/>
      <c r="J760" s="13"/>
      <c r="P760" s="9"/>
      <c r="R760" s="9"/>
    </row>
    <row r="761">
      <c r="G761" s="13"/>
      <c r="J761" s="13"/>
      <c r="P761" s="9"/>
      <c r="R761" s="9"/>
    </row>
    <row r="762">
      <c r="G762" s="13"/>
      <c r="J762" s="13"/>
      <c r="P762" s="9"/>
      <c r="R762" s="9"/>
    </row>
    <row r="763">
      <c r="G763" s="13"/>
      <c r="J763" s="13"/>
      <c r="P763" s="9"/>
      <c r="R763" s="9"/>
    </row>
    <row r="764">
      <c r="G764" s="13"/>
      <c r="J764" s="13"/>
      <c r="P764" s="9"/>
      <c r="R764" s="9"/>
    </row>
    <row r="765">
      <c r="G765" s="13"/>
      <c r="J765" s="13"/>
      <c r="P765" s="9"/>
      <c r="R765" s="9"/>
    </row>
    <row r="766">
      <c r="G766" s="13"/>
      <c r="J766" s="13"/>
      <c r="P766" s="9"/>
      <c r="R766" s="9"/>
    </row>
    <row r="767">
      <c r="G767" s="13"/>
      <c r="J767" s="13"/>
      <c r="P767" s="9"/>
      <c r="R767" s="9"/>
    </row>
    <row r="768">
      <c r="G768" s="13"/>
      <c r="J768" s="13"/>
      <c r="P768" s="9"/>
      <c r="R768" s="9"/>
    </row>
    <row r="769">
      <c r="G769" s="13"/>
      <c r="J769" s="13"/>
      <c r="P769" s="9"/>
      <c r="R769" s="9"/>
    </row>
    <row r="770">
      <c r="G770" s="13"/>
      <c r="J770" s="13"/>
      <c r="P770" s="9"/>
      <c r="R770" s="9"/>
    </row>
    <row r="771">
      <c r="G771" s="13"/>
      <c r="J771" s="13"/>
      <c r="P771" s="9"/>
      <c r="R771" s="9"/>
    </row>
    <row r="772">
      <c r="G772" s="13"/>
      <c r="J772" s="13"/>
      <c r="P772" s="9"/>
      <c r="R772" s="9"/>
    </row>
    <row r="773">
      <c r="G773" s="13"/>
      <c r="J773" s="13"/>
      <c r="P773" s="9"/>
      <c r="R773" s="9"/>
    </row>
    <row r="774">
      <c r="G774" s="13"/>
      <c r="J774" s="13"/>
      <c r="P774" s="9"/>
      <c r="R774" s="9"/>
    </row>
    <row r="775">
      <c r="G775" s="13"/>
      <c r="J775" s="13"/>
      <c r="P775" s="9"/>
      <c r="R775" s="9"/>
    </row>
    <row r="776">
      <c r="G776" s="13"/>
      <c r="J776" s="13"/>
      <c r="P776" s="9"/>
      <c r="R776" s="9"/>
    </row>
    <row r="777">
      <c r="G777" s="13"/>
      <c r="J777" s="13"/>
      <c r="P777" s="9"/>
      <c r="R777" s="9"/>
    </row>
    <row r="778">
      <c r="G778" s="13"/>
      <c r="J778" s="13"/>
      <c r="P778" s="9"/>
      <c r="R778" s="9"/>
    </row>
    <row r="779">
      <c r="G779" s="13"/>
      <c r="J779" s="13"/>
      <c r="P779" s="9"/>
      <c r="R779" s="9"/>
    </row>
    <row r="780">
      <c r="G780" s="13"/>
      <c r="J780" s="13"/>
      <c r="P780" s="9"/>
      <c r="R780" s="9"/>
    </row>
    <row r="781">
      <c r="G781" s="13"/>
      <c r="J781" s="13"/>
      <c r="P781" s="9"/>
      <c r="R781" s="9"/>
    </row>
    <row r="782">
      <c r="G782" s="13"/>
      <c r="J782" s="13"/>
      <c r="P782" s="9"/>
      <c r="R782" s="9"/>
    </row>
    <row r="783">
      <c r="G783" s="13"/>
      <c r="J783" s="13"/>
      <c r="P783" s="9"/>
      <c r="R783" s="9"/>
    </row>
    <row r="784">
      <c r="G784" s="13"/>
      <c r="J784" s="13"/>
      <c r="P784" s="9"/>
      <c r="R784" s="9"/>
    </row>
    <row r="785">
      <c r="G785" s="13"/>
      <c r="J785" s="13"/>
      <c r="P785" s="9"/>
      <c r="R785" s="9"/>
    </row>
    <row r="786">
      <c r="G786" s="13"/>
      <c r="J786" s="13"/>
      <c r="P786" s="9"/>
      <c r="R786" s="9"/>
    </row>
    <row r="787">
      <c r="G787" s="13"/>
      <c r="J787" s="13"/>
      <c r="P787" s="9"/>
      <c r="R787" s="9"/>
    </row>
    <row r="788">
      <c r="G788" s="13"/>
      <c r="J788" s="13"/>
      <c r="P788" s="9"/>
      <c r="R788" s="9"/>
    </row>
    <row r="789">
      <c r="G789" s="13"/>
      <c r="J789" s="13"/>
      <c r="P789" s="9"/>
      <c r="R789" s="9"/>
    </row>
    <row r="790">
      <c r="G790" s="13"/>
      <c r="J790" s="13"/>
      <c r="P790" s="9"/>
      <c r="R790" s="9"/>
    </row>
    <row r="791">
      <c r="G791" s="13"/>
      <c r="J791" s="13"/>
      <c r="P791" s="9"/>
      <c r="R791" s="9"/>
    </row>
    <row r="792">
      <c r="G792" s="13"/>
      <c r="J792" s="13"/>
      <c r="P792" s="9"/>
      <c r="R792" s="9"/>
    </row>
    <row r="793">
      <c r="G793" s="13"/>
      <c r="J793" s="13"/>
      <c r="P793" s="9"/>
      <c r="R793" s="9"/>
    </row>
    <row r="794">
      <c r="G794" s="13"/>
      <c r="J794" s="13"/>
      <c r="P794" s="9"/>
      <c r="R794" s="9"/>
    </row>
    <row r="795">
      <c r="G795" s="13"/>
      <c r="J795" s="13"/>
      <c r="P795" s="9"/>
      <c r="R795" s="9"/>
    </row>
    <row r="796">
      <c r="G796" s="13"/>
      <c r="J796" s="13"/>
      <c r="P796" s="9"/>
      <c r="R796" s="9"/>
    </row>
    <row r="797">
      <c r="G797" s="13"/>
      <c r="J797" s="13"/>
      <c r="P797" s="9"/>
      <c r="R797" s="9"/>
    </row>
    <row r="798">
      <c r="G798" s="13"/>
      <c r="J798" s="13"/>
      <c r="P798" s="9"/>
      <c r="R798" s="9"/>
    </row>
    <row r="799">
      <c r="G799" s="13"/>
      <c r="J799" s="13"/>
      <c r="P799" s="9"/>
      <c r="R799" s="9"/>
    </row>
    <row r="800">
      <c r="G800" s="13"/>
      <c r="J800" s="13"/>
      <c r="P800" s="9"/>
      <c r="R800" s="9"/>
    </row>
    <row r="801">
      <c r="G801" s="13"/>
      <c r="J801" s="13"/>
      <c r="P801" s="9"/>
      <c r="R801" s="9"/>
    </row>
    <row r="802">
      <c r="G802" s="13"/>
      <c r="J802" s="13"/>
      <c r="P802" s="9"/>
      <c r="R802" s="9"/>
    </row>
    <row r="803">
      <c r="G803" s="13"/>
      <c r="J803" s="13"/>
      <c r="P803" s="9"/>
      <c r="R803" s="9"/>
    </row>
    <row r="804">
      <c r="G804" s="13"/>
      <c r="J804" s="13"/>
      <c r="P804" s="9"/>
      <c r="R804" s="9"/>
    </row>
    <row r="805">
      <c r="G805" s="13"/>
      <c r="J805" s="13"/>
      <c r="P805" s="9"/>
      <c r="R805" s="9"/>
    </row>
    <row r="806">
      <c r="G806" s="13"/>
      <c r="J806" s="13"/>
      <c r="P806" s="9"/>
      <c r="R806" s="9"/>
    </row>
    <row r="807">
      <c r="G807" s="13"/>
      <c r="J807" s="13"/>
      <c r="P807" s="9"/>
      <c r="R807" s="9"/>
    </row>
    <row r="808">
      <c r="G808" s="13"/>
      <c r="J808" s="13"/>
      <c r="P808" s="9"/>
      <c r="R808" s="9"/>
    </row>
    <row r="809">
      <c r="G809" s="13"/>
      <c r="J809" s="13"/>
      <c r="P809" s="9"/>
      <c r="R809" s="9"/>
    </row>
    <row r="810">
      <c r="G810" s="13"/>
      <c r="J810" s="13"/>
      <c r="P810" s="9"/>
      <c r="R810" s="9"/>
    </row>
    <row r="811">
      <c r="G811" s="13"/>
      <c r="J811" s="13"/>
      <c r="P811" s="9"/>
      <c r="R811" s="9"/>
    </row>
    <row r="812">
      <c r="G812" s="13"/>
      <c r="J812" s="13"/>
      <c r="P812" s="9"/>
      <c r="R812" s="9"/>
    </row>
    <row r="813">
      <c r="G813" s="13"/>
      <c r="J813" s="13"/>
      <c r="P813" s="9"/>
      <c r="R813" s="9"/>
    </row>
    <row r="814">
      <c r="G814" s="13"/>
      <c r="J814" s="13"/>
      <c r="P814" s="9"/>
      <c r="R814" s="9"/>
    </row>
    <row r="815">
      <c r="G815" s="13"/>
      <c r="J815" s="13"/>
      <c r="P815" s="9"/>
      <c r="R815" s="9"/>
    </row>
    <row r="816">
      <c r="G816" s="13"/>
      <c r="J816" s="13"/>
      <c r="P816" s="9"/>
      <c r="R816" s="9"/>
    </row>
    <row r="817">
      <c r="G817" s="13"/>
      <c r="J817" s="13"/>
      <c r="P817" s="9"/>
      <c r="R817" s="9"/>
    </row>
    <row r="818">
      <c r="G818" s="13"/>
      <c r="J818" s="13"/>
      <c r="P818" s="9"/>
      <c r="R818" s="9"/>
    </row>
    <row r="819">
      <c r="G819" s="13"/>
      <c r="J819" s="13"/>
      <c r="P819" s="9"/>
      <c r="R819" s="9"/>
    </row>
    <row r="820">
      <c r="G820" s="13"/>
      <c r="J820" s="13"/>
      <c r="P820" s="9"/>
      <c r="R820" s="9"/>
    </row>
    <row r="821">
      <c r="G821" s="13"/>
      <c r="J821" s="13"/>
      <c r="P821" s="9"/>
      <c r="R821" s="9"/>
    </row>
    <row r="822">
      <c r="G822" s="13"/>
      <c r="J822" s="13"/>
      <c r="P822" s="9"/>
      <c r="R822" s="9"/>
    </row>
    <row r="823">
      <c r="G823" s="13"/>
      <c r="J823" s="13"/>
      <c r="P823" s="9"/>
      <c r="R823" s="9"/>
    </row>
    <row r="824">
      <c r="G824" s="13"/>
      <c r="J824" s="13"/>
      <c r="P824" s="9"/>
      <c r="R824" s="9"/>
    </row>
    <row r="825">
      <c r="G825" s="13"/>
      <c r="J825" s="13"/>
      <c r="P825" s="9"/>
      <c r="R825" s="9"/>
    </row>
    <row r="826">
      <c r="G826" s="13"/>
      <c r="J826" s="13"/>
      <c r="P826" s="9"/>
      <c r="R826" s="9"/>
    </row>
    <row r="827">
      <c r="G827" s="13"/>
      <c r="J827" s="13"/>
      <c r="P827" s="9"/>
      <c r="R827" s="9"/>
    </row>
    <row r="828">
      <c r="G828" s="13"/>
      <c r="J828" s="13"/>
      <c r="P828" s="9"/>
      <c r="R828" s="9"/>
    </row>
    <row r="829">
      <c r="G829" s="13"/>
      <c r="J829" s="13"/>
      <c r="P829" s="9"/>
      <c r="R829" s="9"/>
    </row>
    <row r="830">
      <c r="G830" s="13"/>
      <c r="J830" s="13"/>
      <c r="P830" s="9"/>
      <c r="R830" s="9"/>
    </row>
    <row r="831">
      <c r="G831" s="13"/>
      <c r="J831" s="13"/>
      <c r="P831" s="9"/>
      <c r="R831" s="9"/>
    </row>
    <row r="832">
      <c r="G832" s="13"/>
      <c r="J832" s="13"/>
      <c r="P832" s="9"/>
      <c r="R832" s="9"/>
    </row>
    <row r="833">
      <c r="G833" s="13"/>
      <c r="J833" s="13"/>
      <c r="P833" s="9"/>
      <c r="R833" s="9"/>
    </row>
    <row r="834">
      <c r="G834" s="13"/>
      <c r="J834" s="13"/>
      <c r="P834" s="9"/>
      <c r="R834" s="9"/>
    </row>
    <row r="835">
      <c r="G835" s="13"/>
      <c r="J835" s="13"/>
      <c r="P835" s="9"/>
      <c r="R835" s="9"/>
    </row>
    <row r="836">
      <c r="G836" s="13"/>
      <c r="J836" s="13"/>
      <c r="P836" s="9"/>
      <c r="R836" s="9"/>
    </row>
    <row r="837">
      <c r="G837" s="13"/>
      <c r="J837" s="13"/>
      <c r="P837" s="9"/>
      <c r="R837" s="9"/>
    </row>
    <row r="838">
      <c r="G838" s="13"/>
      <c r="J838" s="13"/>
      <c r="P838" s="9"/>
      <c r="R838" s="9"/>
    </row>
    <row r="839">
      <c r="G839" s="13"/>
      <c r="J839" s="13"/>
      <c r="P839" s="9"/>
      <c r="R839" s="9"/>
    </row>
    <row r="840">
      <c r="G840" s="13"/>
      <c r="J840" s="13"/>
      <c r="P840" s="9"/>
      <c r="R840" s="9"/>
    </row>
    <row r="841">
      <c r="G841" s="13"/>
      <c r="J841" s="13"/>
      <c r="P841" s="9"/>
      <c r="R841" s="9"/>
    </row>
    <row r="842">
      <c r="G842" s="13"/>
      <c r="J842" s="13"/>
      <c r="P842" s="9"/>
      <c r="R842" s="9"/>
    </row>
    <row r="843">
      <c r="G843" s="13"/>
      <c r="J843" s="13"/>
      <c r="P843" s="9"/>
      <c r="R843" s="9"/>
    </row>
    <row r="844">
      <c r="G844" s="13"/>
      <c r="J844" s="13"/>
      <c r="P844" s="9"/>
      <c r="R844" s="9"/>
    </row>
    <row r="845">
      <c r="G845" s="13"/>
      <c r="J845" s="13"/>
      <c r="P845" s="9"/>
      <c r="R845" s="9"/>
    </row>
    <row r="846">
      <c r="G846" s="13"/>
      <c r="J846" s="13"/>
      <c r="P846" s="9"/>
      <c r="R846" s="9"/>
    </row>
    <row r="847">
      <c r="G847" s="13"/>
      <c r="J847" s="13"/>
      <c r="P847" s="9"/>
      <c r="R847" s="9"/>
    </row>
    <row r="848">
      <c r="G848" s="13"/>
      <c r="J848" s="13"/>
      <c r="P848" s="9"/>
      <c r="R848" s="9"/>
    </row>
    <row r="849">
      <c r="G849" s="13"/>
      <c r="J849" s="13"/>
      <c r="P849" s="9"/>
      <c r="R849" s="9"/>
    </row>
    <row r="850">
      <c r="G850" s="13"/>
      <c r="J850" s="13"/>
      <c r="P850" s="9"/>
      <c r="R850" s="9"/>
    </row>
    <row r="851">
      <c r="G851" s="13"/>
      <c r="J851" s="13"/>
      <c r="P851" s="9"/>
      <c r="R851" s="9"/>
    </row>
    <row r="852">
      <c r="G852" s="13"/>
      <c r="J852" s="13"/>
      <c r="P852" s="9"/>
      <c r="R852" s="9"/>
    </row>
    <row r="853">
      <c r="G853" s="13"/>
      <c r="J853" s="13"/>
      <c r="P853" s="9"/>
      <c r="R853" s="9"/>
    </row>
    <row r="854">
      <c r="G854" s="13"/>
      <c r="J854" s="13"/>
      <c r="P854" s="9"/>
      <c r="R854" s="9"/>
    </row>
    <row r="855">
      <c r="G855" s="13"/>
      <c r="J855" s="13"/>
      <c r="P855" s="9"/>
      <c r="R855" s="9"/>
    </row>
    <row r="856">
      <c r="G856" s="13"/>
      <c r="J856" s="13"/>
      <c r="P856" s="9"/>
      <c r="R856" s="9"/>
    </row>
    <row r="857">
      <c r="G857" s="13"/>
      <c r="J857" s="13"/>
      <c r="P857" s="9"/>
      <c r="R857" s="9"/>
    </row>
    <row r="858">
      <c r="G858" s="13"/>
      <c r="J858" s="13"/>
      <c r="P858" s="9"/>
      <c r="R858" s="9"/>
    </row>
    <row r="859">
      <c r="G859" s="13"/>
      <c r="J859" s="13"/>
      <c r="P859" s="9"/>
      <c r="R859" s="9"/>
    </row>
    <row r="860">
      <c r="G860" s="13"/>
      <c r="J860" s="13"/>
      <c r="P860" s="9"/>
      <c r="R860" s="9"/>
    </row>
    <row r="861">
      <c r="G861" s="13"/>
      <c r="J861" s="13"/>
      <c r="P861" s="9"/>
      <c r="R861" s="9"/>
    </row>
    <row r="862">
      <c r="G862" s="13"/>
      <c r="J862" s="13"/>
      <c r="P862" s="9"/>
      <c r="R862" s="9"/>
    </row>
    <row r="863">
      <c r="G863" s="13"/>
      <c r="J863" s="13"/>
      <c r="P863" s="9"/>
      <c r="R863" s="9"/>
    </row>
    <row r="864">
      <c r="G864" s="13"/>
      <c r="J864" s="13"/>
      <c r="P864" s="9"/>
      <c r="R864" s="9"/>
    </row>
    <row r="865">
      <c r="G865" s="13"/>
      <c r="J865" s="13"/>
      <c r="P865" s="9"/>
      <c r="R865" s="9"/>
    </row>
    <row r="866">
      <c r="G866" s="13"/>
      <c r="J866" s="13"/>
      <c r="P866" s="9"/>
      <c r="R866" s="9"/>
    </row>
    <row r="867">
      <c r="G867" s="13"/>
      <c r="J867" s="13"/>
      <c r="P867" s="9"/>
      <c r="R867" s="9"/>
    </row>
    <row r="868">
      <c r="G868" s="13"/>
      <c r="J868" s="13"/>
      <c r="P868" s="9"/>
      <c r="R868" s="9"/>
    </row>
    <row r="869">
      <c r="G869" s="13"/>
      <c r="J869" s="13"/>
      <c r="P869" s="9"/>
      <c r="R869" s="9"/>
    </row>
    <row r="870">
      <c r="G870" s="13"/>
      <c r="J870" s="13"/>
      <c r="P870" s="9"/>
      <c r="R870" s="9"/>
    </row>
    <row r="871">
      <c r="G871" s="13"/>
      <c r="J871" s="13"/>
      <c r="P871" s="9"/>
      <c r="R871" s="9"/>
    </row>
    <row r="872">
      <c r="G872" s="13"/>
      <c r="J872" s="13"/>
      <c r="P872" s="9"/>
      <c r="R872" s="9"/>
    </row>
    <row r="873">
      <c r="G873" s="13"/>
      <c r="J873" s="13"/>
      <c r="P873" s="9"/>
      <c r="R873" s="9"/>
    </row>
    <row r="874">
      <c r="G874" s="13"/>
      <c r="J874" s="13"/>
      <c r="P874" s="9"/>
      <c r="R874" s="9"/>
    </row>
    <row r="875">
      <c r="G875" s="13"/>
      <c r="J875" s="13"/>
      <c r="P875" s="9"/>
      <c r="R875" s="9"/>
    </row>
    <row r="876">
      <c r="G876" s="13"/>
      <c r="J876" s="13"/>
      <c r="P876" s="9"/>
      <c r="R876" s="9"/>
    </row>
    <row r="877">
      <c r="G877" s="13"/>
      <c r="J877" s="13"/>
      <c r="P877" s="9"/>
      <c r="R877" s="9"/>
    </row>
    <row r="878">
      <c r="G878" s="13"/>
      <c r="J878" s="13"/>
      <c r="P878" s="9"/>
      <c r="R878" s="9"/>
    </row>
    <row r="879">
      <c r="G879" s="13"/>
      <c r="J879" s="13"/>
      <c r="P879" s="9"/>
      <c r="R879" s="9"/>
    </row>
    <row r="880">
      <c r="G880" s="13"/>
      <c r="J880" s="13"/>
      <c r="P880" s="9"/>
      <c r="R880" s="9"/>
    </row>
    <row r="881">
      <c r="G881" s="13"/>
      <c r="J881" s="13"/>
      <c r="P881" s="9"/>
      <c r="R881" s="9"/>
    </row>
    <row r="882">
      <c r="G882" s="13"/>
      <c r="J882" s="13"/>
      <c r="P882" s="9"/>
      <c r="R882" s="9"/>
    </row>
    <row r="883">
      <c r="G883" s="13"/>
      <c r="J883" s="13"/>
      <c r="P883" s="9"/>
      <c r="R883" s="9"/>
    </row>
    <row r="884">
      <c r="G884" s="13"/>
      <c r="J884" s="13"/>
      <c r="P884" s="9"/>
      <c r="R884" s="9"/>
    </row>
    <row r="885">
      <c r="G885" s="13"/>
      <c r="J885" s="13"/>
      <c r="P885" s="9"/>
      <c r="R885" s="9"/>
    </row>
    <row r="886">
      <c r="G886" s="13"/>
      <c r="J886" s="13"/>
      <c r="P886" s="9"/>
      <c r="R886" s="9"/>
    </row>
    <row r="887">
      <c r="G887" s="13"/>
      <c r="J887" s="13"/>
      <c r="P887" s="9"/>
      <c r="R887" s="9"/>
    </row>
    <row r="888">
      <c r="G888" s="13"/>
      <c r="J888" s="13"/>
      <c r="P888" s="9"/>
      <c r="R888" s="9"/>
    </row>
    <row r="889">
      <c r="G889" s="13"/>
      <c r="J889" s="13"/>
      <c r="P889" s="9"/>
      <c r="R889" s="9"/>
    </row>
    <row r="890">
      <c r="G890" s="13"/>
      <c r="J890" s="13"/>
      <c r="P890" s="9"/>
      <c r="R890" s="9"/>
    </row>
    <row r="891">
      <c r="G891" s="13"/>
      <c r="J891" s="13"/>
      <c r="P891" s="9"/>
      <c r="R891" s="9"/>
    </row>
    <row r="892">
      <c r="G892" s="13"/>
      <c r="J892" s="13"/>
      <c r="P892" s="9"/>
      <c r="R892" s="9"/>
    </row>
    <row r="893">
      <c r="G893" s="13"/>
      <c r="J893" s="13"/>
      <c r="P893" s="9"/>
      <c r="R893" s="9"/>
    </row>
    <row r="894">
      <c r="G894" s="13"/>
      <c r="J894" s="13"/>
      <c r="P894" s="9"/>
      <c r="R894" s="9"/>
    </row>
    <row r="895">
      <c r="G895" s="13"/>
      <c r="J895" s="13"/>
      <c r="P895" s="9"/>
      <c r="R895" s="9"/>
    </row>
    <row r="896">
      <c r="G896" s="13"/>
      <c r="J896" s="13"/>
      <c r="P896" s="9"/>
      <c r="R896" s="9"/>
    </row>
    <row r="897">
      <c r="G897" s="13"/>
      <c r="J897" s="13"/>
      <c r="P897" s="9"/>
      <c r="R897" s="9"/>
    </row>
    <row r="898">
      <c r="G898" s="13"/>
      <c r="J898" s="13"/>
      <c r="P898" s="9"/>
      <c r="R898" s="9"/>
    </row>
    <row r="899">
      <c r="G899" s="13"/>
      <c r="J899" s="13"/>
      <c r="P899" s="9"/>
      <c r="R899" s="9"/>
    </row>
    <row r="900">
      <c r="G900" s="13"/>
      <c r="J900" s="13"/>
      <c r="P900" s="9"/>
      <c r="R900" s="9"/>
    </row>
    <row r="901">
      <c r="G901" s="13"/>
      <c r="J901" s="13"/>
      <c r="P901" s="9"/>
      <c r="R901" s="9"/>
    </row>
    <row r="902">
      <c r="G902" s="13"/>
      <c r="J902" s="13"/>
      <c r="P902" s="9"/>
      <c r="R902" s="9"/>
    </row>
    <row r="903">
      <c r="G903" s="13"/>
      <c r="J903" s="13"/>
      <c r="P903" s="9"/>
      <c r="R903" s="9"/>
    </row>
    <row r="904">
      <c r="G904" s="13"/>
      <c r="J904" s="13"/>
      <c r="P904" s="9"/>
      <c r="R904" s="9"/>
    </row>
    <row r="905">
      <c r="G905" s="13"/>
      <c r="J905" s="13"/>
      <c r="P905" s="9"/>
      <c r="R905" s="9"/>
    </row>
    <row r="906">
      <c r="G906" s="13"/>
      <c r="J906" s="13"/>
      <c r="P906" s="9"/>
      <c r="R906" s="9"/>
    </row>
    <row r="907">
      <c r="G907" s="13"/>
      <c r="J907" s="13"/>
      <c r="P907" s="9"/>
      <c r="R907" s="9"/>
    </row>
    <row r="908">
      <c r="G908" s="13"/>
      <c r="J908" s="13"/>
      <c r="P908" s="9"/>
      <c r="R908" s="9"/>
    </row>
    <row r="909">
      <c r="G909" s="13"/>
      <c r="J909" s="13"/>
      <c r="P909" s="9"/>
      <c r="R909" s="9"/>
    </row>
    <row r="910">
      <c r="G910" s="13"/>
      <c r="J910" s="13"/>
      <c r="P910" s="9"/>
      <c r="R910" s="9"/>
    </row>
    <row r="911">
      <c r="G911" s="13"/>
      <c r="J911" s="13"/>
      <c r="P911" s="9"/>
      <c r="R911" s="9"/>
    </row>
    <row r="912">
      <c r="G912" s="13"/>
      <c r="J912" s="13"/>
      <c r="P912" s="9"/>
      <c r="R912" s="9"/>
    </row>
    <row r="913">
      <c r="G913" s="13"/>
      <c r="J913" s="13"/>
      <c r="P913" s="9"/>
      <c r="R913" s="9"/>
    </row>
    <row r="914">
      <c r="G914" s="13"/>
      <c r="J914" s="13"/>
      <c r="P914" s="9"/>
      <c r="R914" s="9"/>
    </row>
    <row r="915">
      <c r="G915" s="13"/>
      <c r="J915" s="13"/>
      <c r="P915" s="9"/>
      <c r="R915" s="9"/>
    </row>
    <row r="916">
      <c r="G916" s="13"/>
      <c r="J916" s="13"/>
      <c r="P916" s="9"/>
      <c r="R916" s="9"/>
    </row>
    <row r="917">
      <c r="G917" s="13"/>
      <c r="J917" s="13"/>
      <c r="P917" s="9"/>
      <c r="R917" s="9"/>
    </row>
    <row r="918">
      <c r="G918" s="13"/>
      <c r="J918" s="13"/>
      <c r="P918" s="9"/>
      <c r="R918" s="9"/>
    </row>
    <row r="919">
      <c r="G919" s="13"/>
      <c r="J919" s="13"/>
      <c r="P919" s="9"/>
      <c r="R919" s="9"/>
    </row>
    <row r="920">
      <c r="G920" s="13"/>
      <c r="J920" s="13"/>
      <c r="P920" s="9"/>
      <c r="R920" s="9"/>
    </row>
    <row r="921">
      <c r="G921" s="13"/>
      <c r="J921" s="13"/>
      <c r="P921" s="9"/>
      <c r="R921" s="9"/>
    </row>
    <row r="922">
      <c r="G922" s="13"/>
      <c r="J922" s="13"/>
      <c r="P922" s="9"/>
      <c r="R922" s="9"/>
    </row>
    <row r="923">
      <c r="G923" s="13"/>
      <c r="J923" s="13"/>
      <c r="P923" s="9"/>
      <c r="R923" s="9"/>
    </row>
    <row r="924">
      <c r="G924" s="13"/>
      <c r="J924" s="13"/>
      <c r="P924" s="9"/>
      <c r="R924" s="9"/>
    </row>
    <row r="925">
      <c r="G925" s="13"/>
      <c r="J925" s="13"/>
      <c r="P925" s="9"/>
      <c r="R925" s="9"/>
    </row>
    <row r="926">
      <c r="G926" s="13"/>
      <c r="J926" s="13"/>
      <c r="P926" s="9"/>
      <c r="R926" s="9"/>
    </row>
    <row r="927">
      <c r="G927" s="13"/>
      <c r="J927" s="13"/>
      <c r="P927" s="9"/>
      <c r="R927" s="9"/>
    </row>
    <row r="928">
      <c r="G928" s="13"/>
      <c r="J928" s="13"/>
      <c r="P928" s="9"/>
      <c r="R928" s="9"/>
    </row>
    <row r="929">
      <c r="G929" s="13"/>
      <c r="J929" s="13"/>
      <c r="P929" s="9"/>
      <c r="R929" s="9"/>
    </row>
    <row r="930">
      <c r="G930" s="13"/>
      <c r="J930" s="13"/>
      <c r="P930" s="9"/>
      <c r="R930" s="9"/>
    </row>
    <row r="931">
      <c r="G931" s="13"/>
      <c r="J931" s="13"/>
      <c r="P931" s="9"/>
      <c r="R931" s="9"/>
    </row>
    <row r="932">
      <c r="G932" s="13"/>
      <c r="J932" s="13"/>
      <c r="P932" s="9"/>
      <c r="R932" s="9"/>
    </row>
    <row r="933">
      <c r="G933" s="13"/>
      <c r="J933" s="13"/>
      <c r="P933" s="9"/>
      <c r="R933" s="9"/>
    </row>
    <row r="934">
      <c r="G934" s="13"/>
      <c r="J934" s="13"/>
      <c r="P934" s="9"/>
      <c r="R934" s="9"/>
    </row>
    <row r="935">
      <c r="G935" s="13"/>
      <c r="J935" s="13"/>
      <c r="P935" s="9"/>
      <c r="R935" s="9"/>
    </row>
    <row r="936">
      <c r="G936" s="13"/>
      <c r="J936" s="13"/>
      <c r="P936" s="9"/>
      <c r="R936" s="9"/>
    </row>
    <row r="937">
      <c r="G937" s="13"/>
      <c r="J937" s="13"/>
      <c r="P937" s="9"/>
      <c r="R937" s="9"/>
    </row>
    <row r="938">
      <c r="G938" s="13"/>
      <c r="J938" s="13"/>
      <c r="P938" s="9"/>
      <c r="R938" s="9"/>
    </row>
    <row r="939">
      <c r="G939" s="13"/>
      <c r="J939" s="13"/>
      <c r="P939" s="9"/>
      <c r="R939" s="9"/>
    </row>
    <row r="940">
      <c r="G940" s="13"/>
      <c r="J940" s="13"/>
      <c r="P940" s="9"/>
      <c r="R940" s="9"/>
    </row>
    <row r="941">
      <c r="G941" s="13"/>
      <c r="J941" s="13"/>
      <c r="P941" s="9"/>
      <c r="R941" s="9"/>
    </row>
    <row r="942">
      <c r="G942" s="13"/>
      <c r="J942" s="13"/>
      <c r="P942" s="9"/>
      <c r="R942" s="9"/>
    </row>
    <row r="943">
      <c r="G943" s="13"/>
      <c r="J943" s="13"/>
      <c r="P943" s="9"/>
      <c r="R943" s="9"/>
    </row>
    <row r="944">
      <c r="G944" s="13"/>
      <c r="J944" s="13"/>
      <c r="P944" s="9"/>
      <c r="R944" s="9"/>
    </row>
    <row r="945">
      <c r="G945" s="13"/>
      <c r="J945" s="13"/>
      <c r="P945" s="9"/>
      <c r="R945" s="9"/>
    </row>
    <row r="946">
      <c r="G946" s="13"/>
      <c r="J946" s="13"/>
      <c r="P946" s="9"/>
      <c r="R946" s="9"/>
    </row>
    <row r="947">
      <c r="G947" s="13"/>
      <c r="J947" s="13"/>
      <c r="P947" s="9"/>
      <c r="R947" s="9"/>
    </row>
    <row r="948">
      <c r="G948" s="13"/>
      <c r="J948" s="13"/>
      <c r="P948" s="9"/>
      <c r="R948" s="9"/>
    </row>
    <row r="949">
      <c r="G949" s="13"/>
      <c r="J949" s="13"/>
      <c r="P949" s="9"/>
      <c r="R949" s="9"/>
    </row>
    <row r="950">
      <c r="G950" s="13"/>
      <c r="J950" s="13"/>
      <c r="P950" s="9"/>
      <c r="R950" s="9"/>
    </row>
    <row r="951">
      <c r="G951" s="13"/>
      <c r="J951" s="13"/>
      <c r="P951" s="9"/>
      <c r="R951" s="9"/>
    </row>
    <row r="952">
      <c r="G952" s="13"/>
      <c r="J952" s="13"/>
      <c r="P952" s="9"/>
      <c r="R952" s="9"/>
    </row>
    <row r="953">
      <c r="G953" s="13"/>
      <c r="J953" s="13"/>
      <c r="P953" s="9"/>
      <c r="R953" s="9"/>
    </row>
    <row r="954">
      <c r="G954" s="13"/>
      <c r="J954" s="13"/>
      <c r="P954" s="9"/>
      <c r="R954" s="9"/>
    </row>
    <row r="955">
      <c r="G955" s="13"/>
      <c r="J955" s="13"/>
      <c r="P955" s="9"/>
      <c r="R955" s="9"/>
    </row>
    <row r="956">
      <c r="G956" s="13"/>
      <c r="J956" s="13"/>
      <c r="P956" s="9"/>
      <c r="R956" s="9"/>
    </row>
    <row r="957">
      <c r="G957" s="13"/>
      <c r="J957" s="13"/>
      <c r="P957" s="9"/>
      <c r="R957" s="9"/>
    </row>
    <row r="958">
      <c r="G958" s="13"/>
      <c r="J958" s="13"/>
      <c r="P958" s="9"/>
      <c r="R958" s="9"/>
    </row>
    <row r="959">
      <c r="G959" s="13"/>
      <c r="J959" s="13"/>
      <c r="P959" s="9"/>
      <c r="R959" s="9"/>
    </row>
    <row r="960">
      <c r="G960" s="13"/>
      <c r="J960" s="13"/>
      <c r="P960" s="9"/>
      <c r="R960" s="9"/>
    </row>
    <row r="961">
      <c r="G961" s="13"/>
      <c r="J961" s="13"/>
      <c r="P961" s="9"/>
      <c r="R961" s="9"/>
    </row>
    <row r="962">
      <c r="G962" s="13"/>
      <c r="J962" s="13"/>
      <c r="P962" s="9"/>
      <c r="R962" s="9"/>
    </row>
    <row r="963">
      <c r="G963" s="13"/>
      <c r="J963" s="13"/>
      <c r="P963" s="9"/>
      <c r="R963" s="9"/>
    </row>
    <row r="964">
      <c r="G964" s="13"/>
      <c r="J964" s="13"/>
      <c r="P964" s="9"/>
      <c r="R964" s="9"/>
    </row>
    <row r="965">
      <c r="G965" s="13"/>
      <c r="J965" s="13"/>
      <c r="P965" s="9"/>
      <c r="R965" s="9"/>
    </row>
    <row r="966">
      <c r="G966" s="13"/>
      <c r="J966" s="13"/>
      <c r="P966" s="9"/>
      <c r="R966" s="9"/>
    </row>
    <row r="967">
      <c r="G967" s="13"/>
      <c r="J967" s="13"/>
      <c r="P967" s="9"/>
      <c r="R967" s="9"/>
    </row>
    <row r="968">
      <c r="G968" s="13"/>
      <c r="J968" s="13"/>
      <c r="P968" s="9"/>
      <c r="R968" s="9"/>
    </row>
    <row r="969">
      <c r="G969" s="13"/>
      <c r="J969" s="13"/>
      <c r="P969" s="9"/>
      <c r="R969" s="9"/>
    </row>
    <row r="970">
      <c r="G970" s="13"/>
      <c r="J970" s="13"/>
      <c r="P970" s="9"/>
      <c r="R970" s="9"/>
    </row>
    <row r="971">
      <c r="G971" s="13"/>
      <c r="J971" s="13"/>
      <c r="P971" s="9"/>
      <c r="R971" s="9"/>
    </row>
    <row r="972">
      <c r="G972" s="13"/>
      <c r="J972" s="13"/>
      <c r="P972" s="9"/>
      <c r="R972" s="9"/>
    </row>
    <row r="973">
      <c r="G973" s="13"/>
      <c r="J973" s="13"/>
      <c r="P973" s="9"/>
      <c r="R973" s="9"/>
    </row>
    <row r="974">
      <c r="G974" s="13"/>
      <c r="J974" s="13"/>
      <c r="P974" s="9"/>
      <c r="R974" s="9"/>
    </row>
    <row r="975">
      <c r="G975" s="13"/>
      <c r="J975" s="13"/>
      <c r="P975" s="9"/>
      <c r="R975" s="9"/>
    </row>
    <row r="976">
      <c r="G976" s="13"/>
      <c r="J976" s="13"/>
      <c r="P976" s="9"/>
      <c r="R976" s="9"/>
    </row>
    <row r="977">
      <c r="G977" s="13"/>
      <c r="J977" s="13"/>
      <c r="P977" s="9"/>
      <c r="R977" s="9"/>
    </row>
    <row r="978">
      <c r="G978" s="13"/>
      <c r="J978" s="13"/>
      <c r="P978" s="9"/>
      <c r="R978" s="9"/>
    </row>
    <row r="979">
      <c r="G979" s="13"/>
      <c r="J979" s="13"/>
      <c r="P979" s="9"/>
      <c r="R979" s="9"/>
    </row>
    <row r="980">
      <c r="G980" s="13"/>
      <c r="J980" s="13"/>
      <c r="P980" s="9"/>
      <c r="R980" s="9"/>
    </row>
    <row r="981">
      <c r="G981" s="13"/>
      <c r="J981" s="13"/>
      <c r="P981" s="9"/>
      <c r="R981" s="9"/>
    </row>
    <row r="982">
      <c r="G982" s="13"/>
      <c r="J982" s="13"/>
      <c r="P982" s="9"/>
      <c r="R982" s="9"/>
    </row>
    <row r="983">
      <c r="G983" s="13"/>
      <c r="J983" s="13"/>
      <c r="P983" s="9"/>
      <c r="R983" s="9"/>
    </row>
    <row r="984">
      <c r="G984" s="13"/>
      <c r="J984" s="13"/>
      <c r="P984" s="9"/>
      <c r="R984" s="9"/>
    </row>
    <row r="985">
      <c r="G985" s="13"/>
      <c r="J985" s="13"/>
      <c r="P985" s="9"/>
      <c r="R985" s="9"/>
    </row>
    <row r="986">
      <c r="G986" s="13"/>
      <c r="J986" s="13"/>
      <c r="P986" s="9"/>
      <c r="R986" s="9"/>
    </row>
    <row r="987">
      <c r="G987" s="13"/>
      <c r="J987" s="13"/>
      <c r="P987" s="9"/>
      <c r="R987" s="9"/>
    </row>
    <row r="988">
      <c r="G988" s="13"/>
      <c r="J988" s="13"/>
      <c r="P988" s="9"/>
      <c r="R988" s="9"/>
    </row>
    <row r="989">
      <c r="G989" s="13"/>
      <c r="J989" s="13"/>
      <c r="P989" s="9"/>
      <c r="R989" s="9"/>
    </row>
    <row r="990">
      <c r="G990" s="13"/>
      <c r="J990" s="13"/>
      <c r="P990" s="9"/>
      <c r="R990" s="9"/>
    </row>
    <row r="991">
      <c r="G991" s="13"/>
      <c r="J991" s="13"/>
      <c r="P991" s="9"/>
      <c r="R991" s="9"/>
    </row>
    <row r="992">
      <c r="G992" s="13"/>
      <c r="J992" s="13"/>
      <c r="P992" s="9"/>
      <c r="R992" s="9"/>
    </row>
    <row r="993">
      <c r="G993" s="13"/>
      <c r="J993" s="13"/>
      <c r="P993" s="9"/>
      <c r="R993" s="9"/>
    </row>
    <row r="994">
      <c r="G994" s="13"/>
      <c r="J994" s="13"/>
      <c r="P994" s="9"/>
      <c r="R994" s="9"/>
    </row>
    <row r="995">
      <c r="G995" s="13"/>
      <c r="J995" s="13"/>
      <c r="P995" s="9"/>
      <c r="R995" s="9"/>
    </row>
    <row r="996">
      <c r="G996" s="13"/>
      <c r="J996" s="13"/>
      <c r="P996" s="9"/>
      <c r="R996" s="9"/>
    </row>
    <row r="997">
      <c r="G997" s="13"/>
      <c r="J997" s="13"/>
      <c r="P997" s="9"/>
      <c r="R997" s="9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11.38"/>
    <col customWidth="1" min="3" max="3" width="9.88"/>
    <col customWidth="1" min="4" max="4" width="8.5"/>
    <col customWidth="1" min="5" max="5" width="12.0"/>
    <col customWidth="1" min="6" max="6" width="25.63"/>
    <col customWidth="1" min="7" max="7" width="23.5"/>
    <col customWidth="1" min="8" max="8" width="21.38"/>
    <col customWidth="1" min="10" max="10" width="15.13"/>
    <col customWidth="1" min="11" max="11" width="20.0"/>
    <col customWidth="1" min="13" max="13" width="13.13"/>
  </cols>
  <sheetData>
    <row r="1" ht="22.5" customHeight="1">
      <c r="A1" s="406" t="s">
        <v>2076</v>
      </c>
      <c r="B1" s="406" t="s">
        <v>2077</v>
      </c>
      <c r="C1" s="406" t="s">
        <v>2078</v>
      </c>
      <c r="D1" s="406" t="s">
        <v>2038</v>
      </c>
      <c r="E1" s="406" t="s">
        <v>2079</v>
      </c>
      <c r="F1" s="407" t="s">
        <v>2080</v>
      </c>
      <c r="G1" s="407" t="s">
        <v>2081</v>
      </c>
      <c r="H1" s="407" t="s">
        <v>2082</v>
      </c>
      <c r="I1" s="406" t="s">
        <v>2083</v>
      </c>
      <c r="J1" s="407" t="s">
        <v>2084</v>
      </c>
      <c r="K1" s="408" t="s">
        <v>2085</v>
      </c>
      <c r="L1" s="409" t="s">
        <v>2086</v>
      </c>
    </row>
    <row r="2" ht="22.5" customHeight="1">
      <c r="A2" s="410">
        <v>1.0</v>
      </c>
      <c r="B2" s="410">
        <v>5.44808863E8</v>
      </c>
      <c r="C2" s="410">
        <v>1941.0</v>
      </c>
      <c r="D2" s="411" t="s">
        <v>2087</v>
      </c>
      <c r="E2" s="411" t="s">
        <v>2088</v>
      </c>
      <c r="F2" s="412" t="s">
        <v>2089</v>
      </c>
      <c r="G2" s="413" t="s">
        <v>2090</v>
      </c>
      <c r="H2" s="413" t="s">
        <v>2091</v>
      </c>
      <c r="I2" s="414">
        <v>39360.0</v>
      </c>
      <c r="J2" s="331" t="s">
        <v>2092</v>
      </c>
      <c r="K2" s="331" t="s">
        <v>2093</v>
      </c>
      <c r="L2" s="415"/>
    </row>
    <row r="3" ht="22.5" customHeight="1">
      <c r="A3" s="410">
        <v>2.0</v>
      </c>
      <c r="B3" s="410">
        <v>5.44832092E8</v>
      </c>
      <c r="C3" s="410">
        <v>1959.0</v>
      </c>
      <c r="D3" s="411" t="s">
        <v>2087</v>
      </c>
      <c r="E3" s="411" t="s">
        <v>2094</v>
      </c>
      <c r="F3" s="412" t="s">
        <v>2095</v>
      </c>
      <c r="G3" s="413" t="s">
        <v>2096</v>
      </c>
      <c r="H3" s="413" t="s">
        <v>2097</v>
      </c>
      <c r="I3" s="411" t="s">
        <v>2098</v>
      </c>
      <c r="J3" s="331" t="s">
        <v>2099</v>
      </c>
      <c r="K3" s="331" t="s">
        <v>2100</v>
      </c>
      <c r="L3" s="415"/>
      <c r="M3" s="31" t="s">
        <v>2101</v>
      </c>
    </row>
    <row r="4" ht="22.5" customHeight="1">
      <c r="A4" s="410">
        <v>3.0</v>
      </c>
      <c r="B4" s="410">
        <v>5.44832201E8</v>
      </c>
      <c r="C4" s="410">
        <v>1960.0</v>
      </c>
      <c r="D4" s="411" t="s">
        <v>2087</v>
      </c>
      <c r="E4" s="411" t="s">
        <v>2094</v>
      </c>
      <c r="F4" s="416" t="s">
        <v>2102</v>
      </c>
      <c r="G4" s="413" t="s">
        <v>2103</v>
      </c>
      <c r="H4" s="413" t="s">
        <v>2104</v>
      </c>
      <c r="I4" s="411" t="s">
        <v>2105</v>
      </c>
      <c r="J4" s="331" t="s">
        <v>2099</v>
      </c>
      <c r="K4" s="331" t="s">
        <v>2100</v>
      </c>
      <c r="L4" s="417" t="s">
        <v>2106</v>
      </c>
    </row>
    <row r="5" ht="22.5" customHeight="1">
      <c r="A5" s="410">
        <v>4.0</v>
      </c>
      <c r="B5" s="410">
        <v>5.44831989E8</v>
      </c>
      <c r="C5" s="410">
        <v>1958.0</v>
      </c>
      <c r="D5" s="411" t="s">
        <v>2087</v>
      </c>
      <c r="E5" s="411" t="s">
        <v>2094</v>
      </c>
      <c r="F5" s="412" t="s">
        <v>2107</v>
      </c>
      <c r="G5" s="413" t="s">
        <v>2108</v>
      </c>
      <c r="H5" s="413" t="s">
        <v>2109</v>
      </c>
      <c r="I5" s="411" t="s">
        <v>2110</v>
      </c>
      <c r="J5" s="331" t="s">
        <v>2099</v>
      </c>
      <c r="K5" s="331" t="s">
        <v>2100</v>
      </c>
      <c r="L5" s="415"/>
    </row>
    <row r="6" ht="22.5" customHeight="1">
      <c r="A6" s="410">
        <v>5.0</v>
      </c>
      <c r="B6" s="410">
        <v>5.44830295E8</v>
      </c>
      <c r="C6" s="410">
        <v>1949.0</v>
      </c>
      <c r="D6" s="411" t="s">
        <v>2087</v>
      </c>
      <c r="E6" s="411" t="s">
        <v>2088</v>
      </c>
      <c r="F6" s="412" t="s">
        <v>2111</v>
      </c>
      <c r="G6" s="413" t="s">
        <v>2112</v>
      </c>
      <c r="H6" s="413" t="s">
        <v>2113</v>
      </c>
      <c r="I6" s="411" t="s">
        <v>2114</v>
      </c>
      <c r="J6" s="331" t="s">
        <v>2092</v>
      </c>
      <c r="K6" s="331" t="s">
        <v>2100</v>
      </c>
      <c r="L6" s="415"/>
    </row>
    <row r="7" ht="22.5" customHeight="1">
      <c r="A7" s="410">
        <v>6.0</v>
      </c>
      <c r="B7" s="410">
        <v>5.44830756E8</v>
      </c>
      <c r="C7" s="410">
        <v>1951.0</v>
      </c>
      <c r="D7" s="411" t="s">
        <v>2087</v>
      </c>
      <c r="E7" s="411" t="s">
        <v>2088</v>
      </c>
      <c r="F7" s="412" t="s">
        <v>2115</v>
      </c>
      <c r="G7" s="413" t="s">
        <v>2116</v>
      </c>
      <c r="H7" s="413" t="s">
        <v>2117</v>
      </c>
      <c r="I7" s="411" t="s">
        <v>2118</v>
      </c>
      <c r="J7" s="331" t="s">
        <v>2099</v>
      </c>
      <c r="K7" s="331" t="s">
        <v>2100</v>
      </c>
      <c r="L7" s="417"/>
    </row>
    <row r="8" ht="22.5" customHeight="1">
      <c r="A8" s="410">
        <v>7.0</v>
      </c>
      <c r="B8" s="410">
        <v>5.44825172E8</v>
      </c>
      <c r="C8" s="410">
        <v>1943.0</v>
      </c>
      <c r="D8" s="411" t="s">
        <v>2087</v>
      </c>
      <c r="E8" s="411" t="s">
        <v>2088</v>
      </c>
      <c r="F8" s="416" t="s">
        <v>2119</v>
      </c>
      <c r="G8" s="413" t="s">
        <v>2120</v>
      </c>
      <c r="H8" s="413" t="s">
        <v>2121</v>
      </c>
      <c r="I8" s="411" t="s">
        <v>2122</v>
      </c>
      <c r="J8" s="331" t="s">
        <v>2092</v>
      </c>
      <c r="K8" s="331" t="s">
        <v>2123</v>
      </c>
      <c r="L8" s="417" t="s">
        <v>2106</v>
      </c>
    </row>
    <row r="9" ht="22.5" customHeight="1">
      <c r="A9" s="410">
        <v>8.0</v>
      </c>
      <c r="B9" s="410">
        <v>5.44830971E8</v>
      </c>
      <c r="C9" s="410">
        <v>1952.0</v>
      </c>
      <c r="D9" s="411" t="s">
        <v>2087</v>
      </c>
      <c r="E9" s="411" t="s">
        <v>2088</v>
      </c>
      <c r="F9" s="412" t="s">
        <v>2124</v>
      </c>
      <c r="G9" s="413" t="s">
        <v>2125</v>
      </c>
      <c r="H9" s="413" t="s">
        <v>2126</v>
      </c>
      <c r="I9" s="414">
        <v>39637.0</v>
      </c>
      <c r="J9" s="331" t="s">
        <v>2092</v>
      </c>
      <c r="K9" s="331" t="s">
        <v>2100</v>
      </c>
      <c r="L9" s="415"/>
    </row>
    <row r="10" ht="22.5" customHeight="1">
      <c r="A10" s="410">
        <v>9.0</v>
      </c>
      <c r="B10" s="410">
        <v>5.44831511E8</v>
      </c>
      <c r="C10" s="410">
        <v>1955.0</v>
      </c>
      <c r="D10" s="411" t="s">
        <v>2087</v>
      </c>
      <c r="E10" s="411" t="s">
        <v>2094</v>
      </c>
      <c r="F10" s="412" t="s">
        <v>2127</v>
      </c>
      <c r="G10" s="413" t="s">
        <v>2108</v>
      </c>
      <c r="H10" s="413" t="s">
        <v>2128</v>
      </c>
      <c r="I10" s="414">
        <v>40490.0</v>
      </c>
      <c r="J10" s="331" t="s">
        <v>2099</v>
      </c>
      <c r="K10" s="331" t="s">
        <v>2100</v>
      </c>
      <c r="L10" s="415"/>
    </row>
    <row r="11" ht="22.5" customHeight="1">
      <c r="A11" s="410">
        <v>10.0</v>
      </c>
      <c r="B11" s="410">
        <v>5.44828902E8</v>
      </c>
      <c r="C11" s="410">
        <v>1947.0</v>
      </c>
      <c r="D11" s="411" t="s">
        <v>2087</v>
      </c>
      <c r="E11" s="411" t="s">
        <v>2088</v>
      </c>
      <c r="F11" s="412" t="s">
        <v>2129</v>
      </c>
      <c r="G11" s="413" t="s">
        <v>2130</v>
      </c>
      <c r="H11" s="413" t="s">
        <v>2131</v>
      </c>
      <c r="I11" s="411" t="s">
        <v>2132</v>
      </c>
      <c r="J11" s="331" t="s">
        <v>2099</v>
      </c>
      <c r="K11" s="331" t="s">
        <v>2100</v>
      </c>
      <c r="L11" s="415"/>
    </row>
    <row r="12" ht="22.5" customHeight="1">
      <c r="A12" s="410">
        <v>11.0</v>
      </c>
      <c r="B12" s="410">
        <v>5.44831722E8</v>
      </c>
      <c r="C12" s="410">
        <v>1956.0</v>
      </c>
      <c r="D12" s="411" t="s">
        <v>2087</v>
      </c>
      <c r="E12" s="411" t="s">
        <v>2088</v>
      </c>
      <c r="F12" s="412" t="s">
        <v>2133</v>
      </c>
      <c r="G12" s="413" t="s">
        <v>2134</v>
      </c>
      <c r="H12" s="413" t="s">
        <v>2135</v>
      </c>
      <c r="I12" s="411" t="s">
        <v>2136</v>
      </c>
      <c r="J12" s="331" t="s">
        <v>2099</v>
      </c>
      <c r="K12" s="331" t="s">
        <v>2100</v>
      </c>
      <c r="L12" s="415"/>
    </row>
    <row r="13" ht="22.5" customHeight="1">
      <c r="A13" s="410">
        <v>12.0</v>
      </c>
      <c r="B13" s="410">
        <v>5.44831117E8</v>
      </c>
      <c r="C13" s="410">
        <v>1953.0</v>
      </c>
      <c r="D13" s="411" t="s">
        <v>2087</v>
      </c>
      <c r="E13" s="411" t="s">
        <v>2088</v>
      </c>
      <c r="F13" s="412" t="s">
        <v>2137</v>
      </c>
      <c r="G13" s="413" t="s">
        <v>2138</v>
      </c>
      <c r="H13" s="413" t="s">
        <v>2139</v>
      </c>
      <c r="I13" s="411" t="s">
        <v>2140</v>
      </c>
      <c r="J13" s="331" t="s">
        <v>2092</v>
      </c>
      <c r="K13" s="331" t="s">
        <v>2100</v>
      </c>
      <c r="L13" s="415"/>
    </row>
    <row r="14" ht="22.5" customHeight="1">
      <c r="A14" s="410">
        <v>13.0</v>
      </c>
      <c r="B14" s="410">
        <v>5.44829221E8</v>
      </c>
      <c r="C14" s="410">
        <v>1948.0</v>
      </c>
      <c r="D14" s="411" t="s">
        <v>2087</v>
      </c>
      <c r="E14" s="411" t="s">
        <v>2088</v>
      </c>
      <c r="F14" s="412" t="s">
        <v>2141</v>
      </c>
      <c r="G14" s="413" t="s">
        <v>2142</v>
      </c>
      <c r="H14" s="413" t="s">
        <v>2143</v>
      </c>
      <c r="I14" s="418">
        <v>40097.0</v>
      </c>
      <c r="J14" s="331" t="s">
        <v>2092</v>
      </c>
      <c r="K14" s="331" t="s">
        <v>2123</v>
      </c>
      <c r="L14" s="415"/>
    </row>
    <row r="15" ht="22.5" customHeight="1">
      <c r="A15" s="410">
        <v>14.0</v>
      </c>
      <c r="B15" s="410">
        <v>5.44825758E8</v>
      </c>
      <c r="C15" s="410">
        <v>1944.0</v>
      </c>
      <c r="D15" s="411" t="s">
        <v>2087</v>
      </c>
      <c r="E15" s="411" t="s">
        <v>2088</v>
      </c>
      <c r="F15" s="412" t="s">
        <v>2144</v>
      </c>
      <c r="G15" s="413" t="s">
        <v>2145</v>
      </c>
      <c r="H15" s="413" t="s">
        <v>2146</v>
      </c>
      <c r="I15" s="411" t="s">
        <v>2147</v>
      </c>
      <c r="J15" s="331" t="s">
        <v>2092</v>
      </c>
      <c r="K15" s="331" t="s">
        <v>2100</v>
      </c>
      <c r="L15" s="415"/>
    </row>
    <row r="16" ht="22.5" customHeight="1">
      <c r="A16" s="410">
        <v>15.0</v>
      </c>
      <c r="B16" s="410">
        <v>5.44823781E8</v>
      </c>
      <c r="C16" s="410">
        <v>1942.0</v>
      </c>
      <c r="D16" s="411" t="s">
        <v>2087</v>
      </c>
      <c r="E16" s="411" t="s">
        <v>2088</v>
      </c>
      <c r="F16" s="413" t="s">
        <v>2148</v>
      </c>
      <c r="G16" s="413" t="s">
        <v>2149</v>
      </c>
      <c r="H16" s="413" t="s">
        <v>2150</v>
      </c>
      <c r="I16" s="411" t="s">
        <v>2151</v>
      </c>
      <c r="J16" s="331" t="s">
        <v>2092</v>
      </c>
      <c r="K16" s="331" t="s">
        <v>2093</v>
      </c>
      <c r="L16" s="415"/>
    </row>
    <row r="17" ht="22.5" customHeight="1">
      <c r="A17" s="410">
        <v>16.0</v>
      </c>
      <c r="B17" s="410">
        <v>5.44826672E8</v>
      </c>
      <c r="C17" s="410">
        <v>1946.0</v>
      </c>
      <c r="D17" s="411" t="s">
        <v>2087</v>
      </c>
      <c r="E17" s="411" t="s">
        <v>2088</v>
      </c>
      <c r="F17" s="412" t="s">
        <v>2152</v>
      </c>
      <c r="G17" s="413" t="s">
        <v>2153</v>
      </c>
      <c r="H17" s="413" t="s">
        <v>2154</v>
      </c>
      <c r="I17" s="414">
        <v>39609.0</v>
      </c>
      <c r="J17" s="331" t="s">
        <v>2092</v>
      </c>
      <c r="K17" s="331" t="s">
        <v>2100</v>
      </c>
      <c r="L17" s="415"/>
    </row>
    <row r="18" ht="22.5" customHeight="1">
      <c r="A18" s="410">
        <v>17.0</v>
      </c>
      <c r="B18" s="410">
        <v>5.44830465E8</v>
      </c>
      <c r="C18" s="410">
        <v>1950.0</v>
      </c>
      <c r="D18" s="411" t="s">
        <v>2087</v>
      </c>
      <c r="E18" s="411" t="s">
        <v>2088</v>
      </c>
      <c r="F18" s="416" t="s">
        <v>1962</v>
      </c>
      <c r="G18" s="413" t="s">
        <v>2155</v>
      </c>
      <c r="H18" s="413" t="s">
        <v>2156</v>
      </c>
      <c r="I18" s="414">
        <v>39976.0</v>
      </c>
      <c r="J18" s="331" t="s">
        <v>2099</v>
      </c>
      <c r="K18" s="331" t="s">
        <v>2100</v>
      </c>
      <c r="L18" s="417" t="s">
        <v>2106</v>
      </c>
    </row>
    <row r="19" ht="22.5" customHeight="1">
      <c r="A19" s="410">
        <v>18.0</v>
      </c>
      <c r="B19" s="410">
        <v>5.44831278E8</v>
      </c>
      <c r="C19" s="410">
        <v>1954.0</v>
      </c>
      <c r="D19" s="411" t="s">
        <v>2087</v>
      </c>
      <c r="E19" s="411" t="s">
        <v>2088</v>
      </c>
      <c r="F19" s="412" t="s">
        <v>2157</v>
      </c>
      <c r="G19" s="413" t="s">
        <v>2158</v>
      </c>
      <c r="H19" s="413" t="s">
        <v>2159</v>
      </c>
      <c r="I19" s="411" t="s">
        <v>2160</v>
      </c>
      <c r="J19" s="331" t="s">
        <v>2099</v>
      </c>
      <c r="K19" s="331" t="s">
        <v>2100</v>
      </c>
      <c r="L19" s="415"/>
    </row>
    <row r="20" ht="22.5" customHeight="1">
      <c r="A20" s="410">
        <v>19.0</v>
      </c>
      <c r="B20" s="410">
        <v>5.4482632E8</v>
      </c>
      <c r="C20" s="410">
        <v>1945.0</v>
      </c>
      <c r="D20" s="411" t="s">
        <v>2087</v>
      </c>
      <c r="E20" s="411" t="s">
        <v>2088</v>
      </c>
      <c r="F20" s="412" t="s">
        <v>2161</v>
      </c>
      <c r="G20" s="413" t="s">
        <v>2162</v>
      </c>
      <c r="H20" s="413" t="s">
        <v>2163</v>
      </c>
      <c r="I20" s="411" t="s">
        <v>2164</v>
      </c>
      <c r="J20" s="331" t="s">
        <v>2092</v>
      </c>
      <c r="K20" s="331" t="s">
        <v>2123</v>
      </c>
      <c r="L20" s="415"/>
    </row>
    <row r="21" ht="22.5" customHeight="1">
      <c r="A21" s="410">
        <v>20.0</v>
      </c>
      <c r="B21" s="419">
        <v>5.44923302E8</v>
      </c>
      <c r="C21" s="419">
        <v>1967.0</v>
      </c>
      <c r="D21" s="420" t="s">
        <v>2087</v>
      </c>
      <c r="E21" s="420" t="s">
        <v>2088</v>
      </c>
      <c r="F21" s="421" t="s">
        <v>2165</v>
      </c>
      <c r="G21" s="407" t="s">
        <v>2166</v>
      </c>
      <c r="H21" s="407" t="s">
        <v>2167</v>
      </c>
      <c r="I21" s="406" t="s">
        <v>2168</v>
      </c>
      <c r="J21" s="422" t="s">
        <v>2092</v>
      </c>
      <c r="K21" s="422" t="s">
        <v>2100</v>
      </c>
      <c r="L21" s="417" t="s">
        <v>2106</v>
      </c>
    </row>
    <row r="22" ht="22.5" customHeight="1">
      <c r="A22" s="410">
        <v>21.0</v>
      </c>
      <c r="B22" s="410">
        <v>5.4483183E8</v>
      </c>
      <c r="C22" s="410">
        <v>1957.0</v>
      </c>
      <c r="D22" s="411" t="s">
        <v>2087</v>
      </c>
      <c r="E22" s="411" t="s">
        <v>2094</v>
      </c>
      <c r="F22" s="412" t="s">
        <v>2169</v>
      </c>
      <c r="G22" s="413" t="s">
        <v>2170</v>
      </c>
      <c r="H22" s="413" t="s">
        <v>2171</v>
      </c>
      <c r="I22" s="411" t="s">
        <v>2172</v>
      </c>
      <c r="J22" s="331" t="s">
        <v>2099</v>
      </c>
      <c r="K22" s="331" t="s">
        <v>2123</v>
      </c>
      <c r="L22" s="415"/>
    </row>
    <row r="23">
      <c r="A23" s="9"/>
      <c r="B23" s="9"/>
      <c r="C23" s="9"/>
      <c r="D23" s="9"/>
      <c r="E23" s="9"/>
      <c r="F23" s="13"/>
      <c r="G23" s="13"/>
      <c r="H23" s="13"/>
      <c r="I23" s="9"/>
    </row>
    <row r="24">
      <c r="A24" s="9"/>
      <c r="B24" s="32"/>
      <c r="C24" s="32"/>
      <c r="D24" s="9"/>
      <c r="E24" s="9"/>
      <c r="F24" s="13"/>
      <c r="G24" s="13"/>
      <c r="H24" s="13"/>
      <c r="I24" s="9"/>
    </row>
    <row r="25">
      <c r="A25" s="9"/>
      <c r="B25" s="9"/>
      <c r="C25" s="9"/>
      <c r="D25" s="9"/>
      <c r="E25" s="9"/>
      <c r="F25" s="13"/>
      <c r="G25" s="13"/>
      <c r="H25" s="13"/>
      <c r="I25" s="9"/>
    </row>
    <row r="26">
      <c r="A26" s="9"/>
      <c r="B26" s="9"/>
      <c r="C26" s="9"/>
      <c r="F26" s="13"/>
      <c r="G26" s="13"/>
      <c r="H26" s="13"/>
      <c r="I26" s="9"/>
    </row>
    <row r="27">
      <c r="A27" s="9"/>
      <c r="B27" s="9"/>
      <c r="C27" s="9"/>
      <c r="D27" s="9"/>
      <c r="E27" s="9"/>
      <c r="F27" s="13"/>
      <c r="G27" s="13"/>
      <c r="H27" s="13"/>
      <c r="I27" s="9"/>
    </row>
    <row r="28">
      <c r="A28" s="9"/>
      <c r="B28" s="9"/>
      <c r="C28" s="9"/>
      <c r="D28" s="9"/>
      <c r="E28" s="9"/>
      <c r="F28" s="13"/>
      <c r="G28" s="13"/>
      <c r="H28" s="13"/>
      <c r="I28" s="9"/>
    </row>
    <row r="29">
      <c r="A29" s="9"/>
      <c r="B29" s="9"/>
      <c r="C29" s="9"/>
      <c r="D29" s="9"/>
      <c r="E29" s="9"/>
      <c r="F29" s="13"/>
      <c r="G29" s="13"/>
      <c r="H29" s="13"/>
      <c r="I29" s="9"/>
    </row>
    <row r="30">
      <c r="A30" s="9"/>
      <c r="B30" s="9"/>
      <c r="C30" s="9"/>
      <c r="D30" s="9"/>
      <c r="E30" s="9"/>
      <c r="F30" s="13"/>
      <c r="G30" s="13"/>
      <c r="H30" s="13"/>
      <c r="I30" s="9"/>
    </row>
    <row r="31">
      <c r="A31" s="9"/>
      <c r="B31" s="9"/>
      <c r="C31" s="9"/>
      <c r="D31" s="9"/>
      <c r="E31" s="9"/>
      <c r="F31" s="13"/>
      <c r="G31" s="13"/>
      <c r="H31" s="13"/>
      <c r="I31" s="9"/>
    </row>
    <row r="32">
      <c r="A32" s="9"/>
      <c r="B32" s="9"/>
      <c r="C32" s="9"/>
      <c r="D32" s="9"/>
      <c r="E32" s="9"/>
      <c r="F32" s="13"/>
      <c r="G32" s="13"/>
      <c r="H32" s="13"/>
      <c r="I32" s="9"/>
    </row>
    <row r="33">
      <c r="A33" s="9"/>
      <c r="B33" s="9"/>
      <c r="C33" s="9"/>
      <c r="D33" s="9"/>
      <c r="E33" s="9"/>
      <c r="F33" s="13"/>
      <c r="G33" s="13"/>
      <c r="H33" s="13"/>
      <c r="I33" s="9"/>
    </row>
    <row r="34">
      <c r="A34" s="9"/>
      <c r="B34" s="9"/>
      <c r="C34" s="9"/>
      <c r="D34" s="9"/>
      <c r="E34" s="9"/>
      <c r="F34" s="13"/>
      <c r="G34" s="13"/>
      <c r="H34" s="13"/>
      <c r="I34" s="9"/>
    </row>
    <row r="35">
      <c r="A35" s="9"/>
      <c r="B35" s="9"/>
      <c r="C35" s="9"/>
      <c r="D35" s="9"/>
      <c r="E35" s="9"/>
      <c r="F35" s="13"/>
      <c r="G35" s="13"/>
      <c r="H35" s="13"/>
      <c r="I35" s="9"/>
    </row>
    <row r="36">
      <c r="A36" s="9"/>
      <c r="B36" s="9"/>
      <c r="C36" s="9"/>
      <c r="D36" s="9"/>
      <c r="E36" s="9"/>
      <c r="F36" s="13"/>
      <c r="G36" s="13"/>
      <c r="H36" s="13"/>
      <c r="I36" s="9"/>
    </row>
    <row r="37">
      <c r="A37" s="9"/>
      <c r="B37" s="9"/>
      <c r="C37" s="9"/>
      <c r="D37" s="9"/>
      <c r="E37" s="9"/>
      <c r="F37" s="13"/>
      <c r="G37" s="13"/>
      <c r="H37" s="13"/>
      <c r="I37" s="9"/>
    </row>
    <row r="38">
      <c r="A38" s="9"/>
      <c r="B38" s="9"/>
      <c r="C38" s="9"/>
      <c r="D38" s="9"/>
      <c r="E38" s="9"/>
      <c r="F38" s="13"/>
      <c r="G38" s="13"/>
      <c r="H38" s="13"/>
      <c r="I38" s="9"/>
    </row>
    <row r="39">
      <c r="A39" s="9"/>
      <c r="B39" s="9"/>
      <c r="C39" s="9"/>
      <c r="D39" s="9"/>
      <c r="E39" s="9"/>
      <c r="F39" s="13"/>
      <c r="G39" s="13"/>
      <c r="H39" s="13"/>
      <c r="I39" s="9"/>
    </row>
    <row r="40">
      <c r="A40" s="9"/>
      <c r="B40" s="9"/>
      <c r="C40" s="9"/>
      <c r="D40" s="9"/>
      <c r="E40" s="9"/>
      <c r="F40" s="13"/>
      <c r="G40" s="13"/>
      <c r="H40" s="13"/>
      <c r="I40" s="9"/>
    </row>
    <row r="41">
      <c r="A41" s="9"/>
      <c r="B41" s="9"/>
      <c r="C41" s="9"/>
      <c r="D41" s="9"/>
      <c r="E41" s="9"/>
      <c r="F41" s="13"/>
      <c r="G41" s="13"/>
      <c r="H41" s="13"/>
      <c r="I41" s="9"/>
    </row>
    <row r="42">
      <c r="A42" s="9"/>
      <c r="B42" s="9"/>
      <c r="C42" s="9"/>
      <c r="D42" s="9"/>
      <c r="E42" s="9"/>
      <c r="F42" s="13"/>
      <c r="G42" s="13"/>
      <c r="H42" s="13"/>
      <c r="I42" s="9"/>
    </row>
    <row r="43">
      <c r="A43" s="9"/>
      <c r="B43" s="9"/>
      <c r="C43" s="9"/>
      <c r="D43" s="9"/>
      <c r="E43" s="9"/>
      <c r="F43" s="13"/>
      <c r="G43" s="13"/>
      <c r="H43" s="13"/>
      <c r="I43" s="9"/>
    </row>
    <row r="44">
      <c r="A44" s="9"/>
      <c r="B44" s="9"/>
      <c r="C44" s="9"/>
      <c r="D44" s="9"/>
      <c r="E44" s="9"/>
      <c r="F44" s="13"/>
      <c r="G44" s="13"/>
      <c r="H44" s="13"/>
      <c r="I44" s="9"/>
    </row>
    <row r="45">
      <c r="A45" s="9"/>
      <c r="B45" s="9"/>
      <c r="C45" s="9"/>
      <c r="D45" s="9"/>
      <c r="E45" s="9"/>
      <c r="F45" s="13"/>
      <c r="G45" s="13"/>
      <c r="H45" s="13"/>
      <c r="I45" s="9"/>
    </row>
    <row r="46">
      <c r="A46" s="9"/>
      <c r="B46" s="9"/>
      <c r="C46" s="9"/>
      <c r="D46" s="9"/>
      <c r="E46" s="9"/>
      <c r="F46" s="13"/>
      <c r="G46" s="13"/>
      <c r="H46" s="13"/>
      <c r="I46" s="9"/>
    </row>
    <row r="47">
      <c r="A47" s="9"/>
      <c r="B47" s="9"/>
      <c r="C47" s="9"/>
      <c r="D47" s="9"/>
      <c r="E47" s="9"/>
      <c r="F47" s="13"/>
      <c r="G47" s="13"/>
      <c r="H47" s="13"/>
      <c r="I47" s="9"/>
    </row>
    <row r="48">
      <c r="A48" s="9"/>
      <c r="B48" s="9"/>
      <c r="C48" s="9"/>
      <c r="D48" s="9"/>
      <c r="E48" s="9"/>
      <c r="F48" s="13"/>
      <c r="G48" s="13"/>
      <c r="H48" s="13"/>
      <c r="I48" s="9"/>
    </row>
    <row r="49">
      <c r="A49" s="9"/>
      <c r="B49" s="9"/>
      <c r="C49" s="9"/>
      <c r="D49" s="9"/>
      <c r="E49" s="9"/>
      <c r="F49" s="13"/>
      <c r="G49" s="13"/>
      <c r="H49" s="13"/>
      <c r="I49" s="9"/>
    </row>
    <row r="50">
      <c r="A50" s="9"/>
      <c r="B50" s="9"/>
      <c r="C50" s="9"/>
      <c r="D50" s="9"/>
      <c r="E50" s="9"/>
      <c r="F50" s="13"/>
      <c r="G50" s="13"/>
      <c r="H50" s="13"/>
      <c r="I50" s="9"/>
    </row>
    <row r="51">
      <c r="A51" s="9"/>
      <c r="B51" s="9"/>
      <c r="C51" s="9"/>
      <c r="D51" s="9"/>
      <c r="E51" s="9"/>
      <c r="F51" s="13"/>
      <c r="G51" s="13"/>
      <c r="H51" s="13"/>
      <c r="I51" s="9"/>
    </row>
    <row r="52">
      <c r="A52" s="9"/>
      <c r="B52" s="9"/>
      <c r="C52" s="9"/>
      <c r="D52" s="9"/>
      <c r="E52" s="9"/>
      <c r="F52" s="13"/>
      <c r="G52" s="13"/>
      <c r="H52" s="13"/>
      <c r="I52" s="9"/>
    </row>
    <row r="53">
      <c r="A53" s="9"/>
      <c r="B53" s="9"/>
      <c r="C53" s="9"/>
      <c r="D53" s="9"/>
      <c r="E53" s="9"/>
      <c r="F53" s="13"/>
      <c r="G53" s="13"/>
      <c r="H53" s="13"/>
      <c r="I53" s="9"/>
    </row>
    <row r="54">
      <c r="A54" s="9"/>
      <c r="B54" s="9"/>
      <c r="C54" s="9"/>
      <c r="D54" s="9"/>
      <c r="E54" s="9"/>
      <c r="F54" s="13"/>
      <c r="G54" s="13"/>
      <c r="H54" s="13"/>
      <c r="I54" s="9"/>
    </row>
    <row r="55">
      <c r="A55" s="9"/>
      <c r="B55" s="9"/>
      <c r="C55" s="9"/>
      <c r="D55" s="9"/>
      <c r="E55" s="9"/>
      <c r="F55" s="13"/>
      <c r="G55" s="13"/>
      <c r="H55" s="13"/>
      <c r="I55" s="9"/>
    </row>
    <row r="56">
      <c r="A56" s="9"/>
      <c r="B56" s="9"/>
      <c r="C56" s="9"/>
      <c r="D56" s="9"/>
      <c r="E56" s="9"/>
      <c r="F56" s="13"/>
      <c r="G56" s="13"/>
      <c r="H56" s="13"/>
      <c r="I56" s="9"/>
    </row>
    <row r="57">
      <c r="A57" s="9"/>
      <c r="B57" s="9"/>
      <c r="C57" s="9"/>
      <c r="D57" s="9"/>
      <c r="E57" s="9"/>
      <c r="F57" s="13"/>
      <c r="G57" s="13"/>
      <c r="H57" s="13"/>
      <c r="I57" s="9"/>
    </row>
    <row r="58">
      <c r="A58" s="9"/>
      <c r="B58" s="9"/>
      <c r="C58" s="9"/>
      <c r="D58" s="9"/>
      <c r="E58" s="9"/>
      <c r="F58" s="13"/>
      <c r="G58" s="13"/>
      <c r="H58" s="13"/>
      <c r="I58" s="9"/>
    </row>
    <row r="59">
      <c r="A59" s="9"/>
      <c r="B59" s="9"/>
      <c r="C59" s="9"/>
      <c r="D59" s="9"/>
      <c r="E59" s="9"/>
      <c r="F59" s="13"/>
      <c r="G59" s="13"/>
      <c r="H59" s="13"/>
      <c r="I59" s="9"/>
    </row>
    <row r="60">
      <c r="A60" s="9"/>
      <c r="B60" s="9"/>
      <c r="C60" s="9"/>
      <c r="D60" s="9"/>
      <c r="E60" s="9"/>
      <c r="F60" s="13"/>
      <c r="G60" s="13"/>
      <c r="H60" s="13"/>
      <c r="I60" s="9"/>
    </row>
    <row r="61">
      <c r="A61" s="9"/>
      <c r="B61" s="9"/>
      <c r="C61" s="9"/>
      <c r="D61" s="9"/>
      <c r="E61" s="9"/>
      <c r="F61" s="13"/>
      <c r="G61" s="13"/>
      <c r="H61" s="13"/>
      <c r="I61" s="9"/>
    </row>
    <row r="62">
      <c r="A62" s="9"/>
      <c r="B62" s="9"/>
      <c r="C62" s="9"/>
      <c r="D62" s="9"/>
      <c r="E62" s="9"/>
      <c r="F62" s="13"/>
      <c r="G62" s="13"/>
      <c r="H62" s="13"/>
      <c r="I62" s="9"/>
    </row>
    <row r="63">
      <c r="A63" s="9"/>
      <c r="B63" s="9"/>
      <c r="C63" s="9"/>
      <c r="D63" s="9"/>
      <c r="E63" s="9"/>
      <c r="F63" s="13"/>
      <c r="G63" s="13"/>
      <c r="H63" s="13"/>
      <c r="I63" s="9"/>
    </row>
    <row r="64">
      <c r="A64" s="9"/>
      <c r="B64" s="9"/>
      <c r="C64" s="9"/>
      <c r="D64" s="9"/>
      <c r="E64" s="9"/>
      <c r="F64" s="13"/>
      <c r="G64" s="13"/>
      <c r="H64" s="13"/>
      <c r="I64" s="9"/>
    </row>
    <row r="65">
      <c r="A65" s="9"/>
      <c r="B65" s="9"/>
      <c r="C65" s="9"/>
      <c r="D65" s="9"/>
      <c r="E65" s="9"/>
      <c r="F65" s="13"/>
      <c r="G65" s="13"/>
      <c r="H65" s="13"/>
      <c r="I65" s="9"/>
    </row>
    <row r="66">
      <c r="A66" s="9"/>
      <c r="B66" s="9"/>
      <c r="C66" s="9"/>
      <c r="D66" s="9"/>
      <c r="E66" s="9"/>
      <c r="F66" s="13"/>
      <c r="G66" s="13"/>
      <c r="H66" s="13"/>
      <c r="I66" s="9"/>
    </row>
    <row r="67">
      <c r="A67" s="9"/>
      <c r="B67" s="9"/>
      <c r="C67" s="9"/>
      <c r="D67" s="9"/>
      <c r="E67" s="9"/>
      <c r="F67" s="13"/>
      <c r="G67" s="13"/>
      <c r="H67" s="13"/>
      <c r="I67" s="9"/>
    </row>
    <row r="68">
      <c r="A68" s="9"/>
      <c r="B68" s="9"/>
      <c r="C68" s="9"/>
      <c r="D68" s="9"/>
      <c r="E68" s="9"/>
      <c r="F68" s="13"/>
      <c r="G68" s="13"/>
      <c r="H68" s="13"/>
      <c r="I68" s="9"/>
    </row>
    <row r="69">
      <c r="A69" s="9"/>
      <c r="B69" s="9"/>
      <c r="C69" s="9"/>
      <c r="D69" s="9"/>
      <c r="E69" s="9"/>
      <c r="F69" s="13"/>
      <c r="G69" s="13"/>
      <c r="H69" s="13"/>
      <c r="I69" s="9"/>
    </row>
    <row r="70">
      <c r="A70" s="9"/>
      <c r="B70" s="9"/>
      <c r="C70" s="9"/>
      <c r="D70" s="9"/>
      <c r="E70" s="9"/>
      <c r="F70" s="13"/>
      <c r="G70" s="13"/>
      <c r="H70" s="13"/>
      <c r="I70" s="9"/>
    </row>
    <row r="71">
      <c r="A71" s="9"/>
      <c r="B71" s="9"/>
      <c r="C71" s="9"/>
      <c r="D71" s="9"/>
      <c r="E71" s="9"/>
      <c r="F71" s="13"/>
      <c r="G71" s="13"/>
      <c r="H71" s="13"/>
      <c r="I71" s="9"/>
    </row>
    <row r="72">
      <c r="A72" s="9"/>
      <c r="B72" s="9"/>
      <c r="C72" s="9"/>
      <c r="D72" s="9"/>
      <c r="E72" s="9"/>
      <c r="F72" s="13"/>
      <c r="G72" s="13"/>
      <c r="H72" s="13"/>
      <c r="I72" s="9"/>
    </row>
    <row r="73">
      <c r="A73" s="9"/>
      <c r="B73" s="9"/>
      <c r="C73" s="9"/>
      <c r="D73" s="9"/>
      <c r="E73" s="9"/>
      <c r="F73" s="13"/>
      <c r="G73" s="13"/>
      <c r="H73" s="13"/>
      <c r="I73" s="9"/>
    </row>
    <row r="74">
      <c r="A74" s="9"/>
      <c r="B74" s="9"/>
      <c r="C74" s="9"/>
      <c r="D74" s="9"/>
      <c r="E74" s="9"/>
      <c r="F74" s="13"/>
      <c r="G74" s="13"/>
      <c r="H74" s="13"/>
      <c r="I74" s="9"/>
    </row>
    <row r="75">
      <c r="A75" s="9"/>
      <c r="B75" s="9"/>
      <c r="C75" s="9"/>
      <c r="D75" s="9"/>
      <c r="E75" s="9"/>
      <c r="F75" s="13"/>
      <c r="G75" s="13"/>
      <c r="H75" s="13"/>
      <c r="I75" s="9"/>
    </row>
    <row r="76">
      <c r="A76" s="9"/>
      <c r="B76" s="9"/>
      <c r="C76" s="9"/>
      <c r="D76" s="9"/>
      <c r="E76" s="9"/>
      <c r="F76" s="13"/>
      <c r="G76" s="13"/>
      <c r="H76" s="13"/>
      <c r="I76" s="9"/>
    </row>
    <row r="77">
      <c r="A77" s="9"/>
      <c r="B77" s="9"/>
      <c r="C77" s="9"/>
      <c r="D77" s="9"/>
      <c r="E77" s="9"/>
      <c r="F77" s="13"/>
      <c r="G77" s="13"/>
      <c r="H77" s="13"/>
      <c r="I77" s="9"/>
    </row>
    <row r="78">
      <c r="A78" s="9"/>
      <c r="B78" s="9"/>
      <c r="C78" s="9"/>
      <c r="D78" s="9"/>
      <c r="E78" s="9"/>
      <c r="F78" s="13"/>
      <c r="G78" s="13"/>
      <c r="H78" s="13"/>
      <c r="I78" s="9"/>
    </row>
    <row r="79">
      <c r="A79" s="9"/>
      <c r="B79" s="9"/>
      <c r="C79" s="9"/>
      <c r="D79" s="9"/>
      <c r="E79" s="9"/>
      <c r="F79" s="13"/>
      <c r="G79" s="13"/>
      <c r="H79" s="13"/>
      <c r="I79" s="9"/>
    </row>
    <row r="80">
      <c r="A80" s="9"/>
      <c r="B80" s="9"/>
      <c r="C80" s="9"/>
      <c r="D80" s="9"/>
      <c r="E80" s="9"/>
      <c r="F80" s="13"/>
      <c r="G80" s="13"/>
      <c r="H80" s="13"/>
      <c r="I80" s="9"/>
    </row>
    <row r="81">
      <c r="A81" s="9"/>
      <c r="B81" s="9"/>
      <c r="C81" s="9"/>
      <c r="D81" s="9"/>
      <c r="E81" s="9"/>
      <c r="F81" s="13"/>
      <c r="G81" s="13"/>
      <c r="H81" s="13"/>
      <c r="I81" s="9"/>
    </row>
    <row r="82">
      <c r="A82" s="9"/>
      <c r="B82" s="9"/>
      <c r="C82" s="9"/>
      <c r="D82" s="9"/>
      <c r="E82" s="9"/>
      <c r="F82" s="13"/>
      <c r="G82" s="13"/>
      <c r="H82" s="13"/>
      <c r="I82" s="9"/>
    </row>
    <row r="83">
      <c r="A83" s="9"/>
      <c r="B83" s="9"/>
      <c r="C83" s="9"/>
      <c r="D83" s="9"/>
      <c r="E83" s="9"/>
      <c r="F83" s="13"/>
      <c r="G83" s="13"/>
      <c r="H83" s="13"/>
      <c r="I83" s="9"/>
    </row>
    <row r="84">
      <c r="A84" s="9"/>
      <c r="B84" s="9"/>
      <c r="C84" s="9"/>
      <c r="D84" s="9"/>
      <c r="E84" s="9"/>
      <c r="F84" s="13"/>
      <c r="G84" s="13"/>
      <c r="H84" s="13"/>
      <c r="I84" s="9"/>
    </row>
    <row r="85">
      <c r="A85" s="9"/>
      <c r="B85" s="9"/>
      <c r="C85" s="9"/>
      <c r="D85" s="9"/>
      <c r="E85" s="9"/>
      <c r="F85" s="13"/>
      <c r="G85" s="13"/>
      <c r="H85" s="13"/>
      <c r="I85" s="9"/>
    </row>
    <row r="86">
      <c r="A86" s="9"/>
      <c r="B86" s="9"/>
      <c r="C86" s="9"/>
      <c r="D86" s="9"/>
      <c r="E86" s="9"/>
      <c r="F86" s="13"/>
      <c r="G86" s="13"/>
      <c r="H86" s="13"/>
      <c r="I86" s="9"/>
    </row>
    <row r="87">
      <c r="A87" s="9"/>
      <c r="B87" s="9"/>
      <c r="C87" s="9"/>
      <c r="D87" s="9"/>
      <c r="E87" s="9"/>
      <c r="F87" s="13"/>
      <c r="G87" s="13"/>
      <c r="H87" s="13"/>
      <c r="I87" s="9"/>
    </row>
    <row r="88">
      <c r="A88" s="9"/>
      <c r="B88" s="9"/>
      <c r="C88" s="9"/>
      <c r="D88" s="9"/>
      <c r="E88" s="9"/>
      <c r="F88" s="13"/>
      <c r="G88" s="13"/>
      <c r="H88" s="13"/>
      <c r="I88" s="9"/>
    </row>
    <row r="89">
      <c r="A89" s="9"/>
      <c r="B89" s="9"/>
      <c r="C89" s="9"/>
      <c r="D89" s="9"/>
      <c r="E89" s="9"/>
      <c r="F89" s="13"/>
      <c r="G89" s="13"/>
      <c r="H89" s="13"/>
      <c r="I89" s="9"/>
    </row>
    <row r="90">
      <c r="A90" s="9"/>
      <c r="B90" s="9"/>
      <c r="C90" s="9"/>
      <c r="D90" s="9"/>
      <c r="E90" s="9"/>
      <c r="F90" s="13"/>
      <c r="G90" s="13"/>
      <c r="H90" s="13"/>
      <c r="I90" s="9"/>
    </row>
    <row r="91">
      <c r="A91" s="9"/>
      <c r="B91" s="9"/>
      <c r="C91" s="9"/>
      <c r="D91" s="9"/>
      <c r="E91" s="9"/>
      <c r="F91" s="13"/>
      <c r="G91" s="13"/>
      <c r="H91" s="13"/>
      <c r="I91" s="9"/>
    </row>
    <row r="92">
      <c r="A92" s="9"/>
      <c r="B92" s="9"/>
      <c r="C92" s="9"/>
      <c r="D92" s="9"/>
      <c r="E92" s="9"/>
      <c r="F92" s="13"/>
      <c r="G92" s="13"/>
      <c r="H92" s="13"/>
      <c r="I92" s="9"/>
    </row>
    <row r="93">
      <c r="A93" s="9"/>
      <c r="B93" s="9"/>
      <c r="C93" s="9"/>
      <c r="D93" s="9"/>
      <c r="E93" s="9"/>
      <c r="F93" s="13"/>
      <c r="G93" s="13"/>
      <c r="H93" s="13"/>
      <c r="I93" s="9"/>
    </row>
    <row r="94">
      <c r="A94" s="9"/>
      <c r="B94" s="9"/>
      <c r="C94" s="9"/>
      <c r="D94" s="9"/>
      <c r="E94" s="9"/>
      <c r="F94" s="13"/>
      <c r="G94" s="13"/>
      <c r="H94" s="13"/>
      <c r="I94" s="9"/>
    </row>
    <row r="95">
      <c r="A95" s="9"/>
      <c r="B95" s="9"/>
      <c r="C95" s="9"/>
      <c r="D95" s="9"/>
      <c r="E95" s="9"/>
      <c r="F95" s="13"/>
      <c r="G95" s="13"/>
      <c r="H95" s="13"/>
      <c r="I95" s="9"/>
    </row>
    <row r="96">
      <c r="A96" s="9"/>
      <c r="B96" s="9"/>
      <c r="C96" s="9"/>
      <c r="D96" s="9"/>
      <c r="E96" s="9"/>
      <c r="F96" s="13"/>
      <c r="G96" s="13"/>
      <c r="H96" s="13"/>
      <c r="I96" s="9"/>
    </row>
    <row r="97">
      <c r="A97" s="9"/>
      <c r="B97" s="9"/>
      <c r="C97" s="9"/>
      <c r="D97" s="9"/>
      <c r="E97" s="9"/>
      <c r="F97" s="13"/>
      <c r="G97" s="13"/>
      <c r="H97" s="13"/>
      <c r="I97" s="9"/>
    </row>
    <row r="98">
      <c r="A98" s="9"/>
      <c r="B98" s="9"/>
      <c r="C98" s="9"/>
      <c r="D98" s="9"/>
      <c r="E98" s="9"/>
      <c r="F98" s="13"/>
      <c r="G98" s="13"/>
      <c r="H98" s="13"/>
      <c r="I98" s="9"/>
    </row>
    <row r="99">
      <c r="A99" s="9"/>
      <c r="B99" s="9"/>
      <c r="C99" s="9"/>
      <c r="D99" s="9"/>
      <c r="E99" s="9"/>
      <c r="F99" s="13"/>
      <c r="G99" s="13"/>
      <c r="H99" s="13"/>
      <c r="I99" s="9"/>
    </row>
    <row r="100">
      <c r="A100" s="9"/>
      <c r="B100" s="9"/>
      <c r="C100" s="9"/>
      <c r="D100" s="9"/>
      <c r="E100" s="9"/>
      <c r="F100" s="13"/>
      <c r="G100" s="13"/>
      <c r="H100" s="13"/>
      <c r="I100" s="9"/>
    </row>
    <row r="101">
      <c r="A101" s="9"/>
      <c r="B101" s="9"/>
      <c r="C101" s="9"/>
      <c r="D101" s="9"/>
      <c r="E101" s="9"/>
      <c r="F101" s="13"/>
      <c r="G101" s="13"/>
      <c r="H101" s="13"/>
      <c r="I101" s="9"/>
    </row>
    <row r="102">
      <c r="A102" s="9"/>
      <c r="B102" s="9"/>
      <c r="C102" s="9"/>
      <c r="D102" s="9"/>
      <c r="E102" s="9"/>
      <c r="F102" s="13"/>
      <c r="G102" s="13"/>
      <c r="H102" s="13"/>
      <c r="I102" s="9"/>
    </row>
    <row r="103">
      <c r="A103" s="9"/>
      <c r="B103" s="9"/>
      <c r="C103" s="9"/>
      <c r="D103" s="9"/>
      <c r="E103" s="9"/>
      <c r="F103" s="13"/>
      <c r="G103" s="13"/>
      <c r="H103" s="13"/>
      <c r="I103" s="9"/>
    </row>
    <row r="104">
      <c r="A104" s="9"/>
      <c r="B104" s="9"/>
      <c r="C104" s="9"/>
      <c r="D104" s="9"/>
      <c r="E104" s="9"/>
      <c r="F104" s="13"/>
      <c r="G104" s="13"/>
      <c r="H104" s="13"/>
      <c r="I104" s="9"/>
    </row>
    <row r="105">
      <c r="A105" s="9"/>
      <c r="B105" s="9"/>
      <c r="C105" s="9"/>
      <c r="D105" s="9"/>
      <c r="E105" s="9"/>
      <c r="F105" s="13"/>
      <c r="G105" s="13"/>
      <c r="H105" s="13"/>
      <c r="I105" s="9"/>
    </row>
    <row r="106">
      <c r="A106" s="9"/>
      <c r="B106" s="9"/>
      <c r="C106" s="9"/>
      <c r="D106" s="9"/>
      <c r="E106" s="9"/>
      <c r="F106" s="13"/>
      <c r="G106" s="13"/>
      <c r="H106" s="13"/>
      <c r="I106" s="9"/>
    </row>
    <row r="107">
      <c r="A107" s="9"/>
      <c r="B107" s="9"/>
      <c r="C107" s="9"/>
      <c r="D107" s="9"/>
      <c r="E107" s="9"/>
      <c r="F107" s="13"/>
      <c r="G107" s="13"/>
      <c r="H107" s="13"/>
      <c r="I107" s="9"/>
    </row>
    <row r="108">
      <c r="A108" s="9"/>
      <c r="B108" s="9"/>
      <c r="C108" s="9"/>
      <c r="D108" s="9"/>
      <c r="E108" s="9"/>
      <c r="F108" s="13"/>
      <c r="G108" s="13"/>
      <c r="H108" s="13"/>
      <c r="I108" s="9"/>
    </row>
    <row r="109">
      <c r="A109" s="9"/>
      <c r="B109" s="9"/>
      <c r="C109" s="9"/>
      <c r="D109" s="9"/>
      <c r="E109" s="9"/>
      <c r="F109" s="13"/>
      <c r="G109" s="13"/>
      <c r="H109" s="13"/>
      <c r="I109" s="9"/>
    </row>
    <row r="110">
      <c r="A110" s="9"/>
      <c r="B110" s="9"/>
      <c r="C110" s="9"/>
      <c r="D110" s="9"/>
      <c r="E110" s="9"/>
      <c r="F110" s="13"/>
      <c r="G110" s="13"/>
      <c r="H110" s="13"/>
      <c r="I110" s="9"/>
    </row>
    <row r="111">
      <c r="A111" s="9"/>
      <c r="B111" s="9"/>
      <c r="C111" s="9"/>
      <c r="D111" s="9"/>
      <c r="E111" s="9"/>
      <c r="F111" s="13"/>
      <c r="G111" s="13"/>
      <c r="H111" s="13"/>
      <c r="I111" s="9"/>
    </row>
    <row r="112">
      <c r="A112" s="9"/>
      <c r="B112" s="9"/>
      <c r="C112" s="9"/>
      <c r="D112" s="9"/>
      <c r="E112" s="9"/>
      <c r="F112" s="13"/>
      <c r="G112" s="13"/>
      <c r="H112" s="13"/>
      <c r="I112" s="9"/>
    </row>
    <row r="113">
      <c r="A113" s="9"/>
      <c r="B113" s="9"/>
      <c r="C113" s="9"/>
      <c r="D113" s="9"/>
      <c r="E113" s="9"/>
      <c r="F113" s="13"/>
      <c r="G113" s="13"/>
      <c r="H113" s="13"/>
      <c r="I113" s="9"/>
    </row>
    <row r="114">
      <c r="A114" s="9"/>
      <c r="B114" s="9"/>
      <c r="C114" s="9"/>
      <c r="D114" s="9"/>
      <c r="E114" s="9"/>
      <c r="F114" s="13"/>
      <c r="G114" s="13"/>
      <c r="H114" s="13"/>
      <c r="I114" s="9"/>
    </row>
    <row r="115">
      <c r="A115" s="9"/>
      <c r="B115" s="9"/>
      <c r="C115" s="9"/>
      <c r="D115" s="9"/>
      <c r="E115" s="9"/>
      <c r="F115" s="13"/>
      <c r="G115" s="13"/>
      <c r="H115" s="13"/>
      <c r="I115" s="9"/>
    </row>
    <row r="116">
      <c r="A116" s="9"/>
      <c r="B116" s="9"/>
      <c r="C116" s="9"/>
      <c r="D116" s="9"/>
      <c r="E116" s="9"/>
      <c r="F116" s="13"/>
      <c r="G116" s="13"/>
      <c r="H116" s="13"/>
      <c r="I116" s="9"/>
    </row>
    <row r="117">
      <c r="A117" s="9"/>
      <c r="B117" s="9"/>
      <c r="C117" s="9"/>
      <c r="D117" s="9"/>
      <c r="E117" s="9"/>
      <c r="F117" s="13"/>
      <c r="G117" s="13"/>
      <c r="H117" s="13"/>
      <c r="I117" s="9"/>
    </row>
    <row r="118">
      <c r="A118" s="9"/>
      <c r="B118" s="9"/>
      <c r="C118" s="9"/>
      <c r="D118" s="9"/>
      <c r="E118" s="9"/>
      <c r="F118" s="13"/>
      <c r="G118" s="13"/>
      <c r="H118" s="13"/>
      <c r="I118" s="9"/>
    </row>
    <row r="119">
      <c r="A119" s="9"/>
      <c r="B119" s="9"/>
      <c r="C119" s="9"/>
      <c r="D119" s="9"/>
      <c r="E119" s="9"/>
      <c r="F119" s="13"/>
      <c r="G119" s="13"/>
      <c r="H119" s="13"/>
      <c r="I119" s="9"/>
    </row>
    <row r="120">
      <c r="A120" s="9"/>
      <c r="B120" s="9"/>
      <c r="C120" s="9"/>
      <c r="D120" s="9"/>
      <c r="E120" s="9"/>
      <c r="F120" s="13"/>
      <c r="G120" s="13"/>
      <c r="H120" s="13"/>
      <c r="I120" s="9"/>
    </row>
    <row r="121">
      <c r="A121" s="9"/>
      <c r="B121" s="9"/>
      <c r="C121" s="9"/>
      <c r="D121" s="9"/>
      <c r="E121" s="9"/>
      <c r="F121" s="13"/>
      <c r="G121" s="13"/>
      <c r="H121" s="13"/>
      <c r="I121" s="9"/>
    </row>
    <row r="122">
      <c r="A122" s="9"/>
      <c r="B122" s="9"/>
      <c r="C122" s="9"/>
      <c r="D122" s="9"/>
      <c r="E122" s="9"/>
      <c r="F122" s="13"/>
      <c r="G122" s="13"/>
      <c r="H122" s="13"/>
      <c r="I122" s="9"/>
    </row>
    <row r="123">
      <c r="A123" s="9"/>
      <c r="B123" s="9"/>
      <c r="C123" s="9"/>
      <c r="D123" s="9"/>
      <c r="E123" s="9"/>
      <c r="F123" s="13"/>
      <c r="G123" s="13"/>
      <c r="H123" s="13"/>
      <c r="I123" s="9"/>
    </row>
    <row r="124">
      <c r="A124" s="9"/>
      <c r="B124" s="9"/>
      <c r="C124" s="9"/>
      <c r="D124" s="9"/>
      <c r="E124" s="9"/>
      <c r="F124" s="13"/>
      <c r="G124" s="13"/>
      <c r="H124" s="13"/>
      <c r="I124" s="9"/>
    </row>
    <row r="125">
      <c r="A125" s="9"/>
      <c r="B125" s="9"/>
      <c r="C125" s="9"/>
      <c r="D125" s="9"/>
      <c r="E125" s="9"/>
      <c r="F125" s="13"/>
      <c r="G125" s="13"/>
      <c r="H125" s="13"/>
      <c r="I125" s="9"/>
    </row>
    <row r="126">
      <c r="A126" s="9"/>
      <c r="B126" s="9"/>
      <c r="C126" s="9"/>
      <c r="D126" s="9"/>
      <c r="E126" s="9"/>
      <c r="F126" s="13"/>
      <c r="G126" s="13"/>
      <c r="H126" s="13"/>
      <c r="I126" s="9"/>
    </row>
    <row r="127">
      <c r="A127" s="9"/>
      <c r="B127" s="9"/>
      <c r="C127" s="9"/>
      <c r="D127" s="9"/>
      <c r="E127" s="9"/>
      <c r="F127" s="13"/>
      <c r="G127" s="13"/>
      <c r="H127" s="13"/>
      <c r="I127" s="9"/>
    </row>
    <row r="128">
      <c r="A128" s="9"/>
      <c r="B128" s="9"/>
      <c r="C128" s="9"/>
      <c r="D128" s="9"/>
      <c r="E128" s="9"/>
      <c r="F128" s="13"/>
      <c r="G128" s="13"/>
      <c r="H128" s="13"/>
      <c r="I128" s="9"/>
    </row>
    <row r="129">
      <c r="A129" s="9"/>
      <c r="B129" s="9"/>
      <c r="C129" s="9"/>
      <c r="D129" s="9"/>
      <c r="E129" s="9"/>
      <c r="F129" s="13"/>
      <c r="G129" s="13"/>
      <c r="H129" s="13"/>
      <c r="I129" s="9"/>
    </row>
    <row r="130">
      <c r="A130" s="9"/>
      <c r="B130" s="9"/>
      <c r="C130" s="9"/>
      <c r="D130" s="9"/>
      <c r="E130" s="9"/>
      <c r="F130" s="13"/>
      <c r="G130" s="13"/>
      <c r="H130" s="13"/>
      <c r="I130" s="9"/>
    </row>
    <row r="131">
      <c r="A131" s="9"/>
      <c r="B131" s="9"/>
      <c r="C131" s="9"/>
      <c r="D131" s="9"/>
      <c r="E131" s="9"/>
      <c r="F131" s="13"/>
      <c r="G131" s="13"/>
      <c r="H131" s="13"/>
      <c r="I131" s="9"/>
    </row>
    <row r="132">
      <c r="A132" s="9"/>
      <c r="B132" s="9"/>
      <c r="C132" s="9"/>
      <c r="D132" s="9"/>
      <c r="E132" s="9"/>
      <c r="F132" s="13"/>
      <c r="G132" s="13"/>
      <c r="H132" s="13"/>
      <c r="I132" s="9"/>
    </row>
    <row r="133">
      <c r="A133" s="9"/>
      <c r="B133" s="9"/>
      <c r="C133" s="9"/>
      <c r="D133" s="9"/>
      <c r="E133" s="9"/>
      <c r="F133" s="13"/>
      <c r="G133" s="13"/>
      <c r="H133" s="13"/>
      <c r="I133" s="9"/>
    </row>
    <row r="134">
      <c r="A134" s="9"/>
      <c r="B134" s="9"/>
      <c r="C134" s="9"/>
      <c r="D134" s="9"/>
      <c r="E134" s="9"/>
      <c r="F134" s="13"/>
      <c r="G134" s="13"/>
      <c r="H134" s="13"/>
      <c r="I134" s="9"/>
    </row>
    <row r="135">
      <c r="A135" s="9"/>
      <c r="B135" s="9"/>
      <c r="C135" s="9"/>
      <c r="D135" s="9"/>
      <c r="E135" s="9"/>
      <c r="F135" s="13"/>
      <c r="G135" s="13"/>
      <c r="H135" s="13"/>
      <c r="I135" s="9"/>
    </row>
    <row r="136">
      <c r="A136" s="9"/>
      <c r="B136" s="9"/>
      <c r="C136" s="9"/>
      <c r="D136" s="9"/>
      <c r="E136" s="9"/>
      <c r="F136" s="13"/>
      <c r="G136" s="13"/>
      <c r="H136" s="13"/>
      <c r="I136" s="9"/>
    </row>
    <row r="137">
      <c r="A137" s="9"/>
      <c r="B137" s="9"/>
      <c r="C137" s="9"/>
      <c r="D137" s="9"/>
      <c r="E137" s="9"/>
      <c r="F137" s="13"/>
      <c r="G137" s="13"/>
      <c r="H137" s="13"/>
      <c r="I137" s="9"/>
    </row>
    <row r="138">
      <c r="A138" s="9"/>
      <c r="B138" s="9"/>
      <c r="C138" s="9"/>
      <c r="D138" s="9"/>
      <c r="E138" s="9"/>
      <c r="F138" s="13"/>
      <c r="G138" s="13"/>
      <c r="H138" s="13"/>
      <c r="I138" s="9"/>
    </row>
    <row r="139">
      <c r="A139" s="9"/>
      <c r="B139" s="9"/>
      <c r="C139" s="9"/>
      <c r="D139" s="9"/>
      <c r="E139" s="9"/>
      <c r="F139" s="13"/>
      <c r="G139" s="13"/>
      <c r="H139" s="13"/>
      <c r="I139" s="9"/>
    </row>
    <row r="140">
      <c r="A140" s="9"/>
      <c r="B140" s="9"/>
      <c r="C140" s="9"/>
      <c r="D140" s="9"/>
      <c r="E140" s="9"/>
      <c r="F140" s="13"/>
      <c r="G140" s="13"/>
      <c r="H140" s="13"/>
      <c r="I140" s="9"/>
    </row>
    <row r="141">
      <c r="A141" s="9"/>
      <c r="B141" s="9"/>
      <c r="C141" s="9"/>
      <c r="D141" s="9"/>
      <c r="E141" s="9"/>
      <c r="F141" s="13"/>
      <c r="G141" s="13"/>
      <c r="H141" s="13"/>
      <c r="I141" s="9"/>
    </row>
    <row r="142">
      <c r="A142" s="9"/>
      <c r="B142" s="9"/>
      <c r="C142" s="9"/>
      <c r="D142" s="9"/>
      <c r="E142" s="9"/>
      <c r="F142" s="13"/>
      <c r="G142" s="13"/>
      <c r="H142" s="13"/>
      <c r="I142" s="9"/>
    </row>
    <row r="143">
      <c r="A143" s="9"/>
      <c r="B143" s="9"/>
      <c r="C143" s="9"/>
      <c r="D143" s="9"/>
      <c r="E143" s="9"/>
      <c r="F143" s="13"/>
      <c r="G143" s="13"/>
      <c r="H143" s="13"/>
      <c r="I143" s="9"/>
    </row>
    <row r="144">
      <c r="A144" s="9"/>
      <c r="B144" s="9"/>
      <c r="C144" s="9"/>
      <c r="D144" s="9"/>
      <c r="E144" s="9"/>
      <c r="F144" s="13"/>
      <c r="G144" s="13"/>
      <c r="H144" s="13"/>
      <c r="I144" s="9"/>
    </row>
    <row r="145">
      <c r="A145" s="9"/>
      <c r="B145" s="9"/>
      <c r="C145" s="9"/>
      <c r="D145" s="9"/>
      <c r="E145" s="9"/>
      <c r="F145" s="13"/>
      <c r="G145" s="13"/>
      <c r="H145" s="13"/>
      <c r="I145" s="9"/>
    </row>
    <row r="146">
      <c r="A146" s="9"/>
      <c r="B146" s="9"/>
      <c r="C146" s="9"/>
      <c r="D146" s="9"/>
      <c r="E146" s="9"/>
      <c r="F146" s="13"/>
      <c r="G146" s="13"/>
      <c r="H146" s="13"/>
      <c r="I146" s="9"/>
    </row>
    <row r="147">
      <c r="A147" s="9"/>
      <c r="B147" s="9"/>
      <c r="C147" s="9"/>
      <c r="D147" s="9"/>
      <c r="E147" s="9"/>
      <c r="F147" s="13"/>
      <c r="G147" s="13"/>
      <c r="H147" s="13"/>
      <c r="I147" s="9"/>
    </row>
    <row r="148">
      <c r="A148" s="9"/>
      <c r="B148" s="9"/>
      <c r="C148" s="9"/>
      <c r="D148" s="9"/>
      <c r="E148" s="9"/>
      <c r="F148" s="13"/>
      <c r="G148" s="13"/>
      <c r="H148" s="13"/>
      <c r="I148" s="9"/>
    </row>
    <row r="149">
      <c r="A149" s="9"/>
      <c r="B149" s="9"/>
      <c r="C149" s="9"/>
      <c r="D149" s="9"/>
      <c r="E149" s="9"/>
      <c r="F149" s="13"/>
      <c r="G149" s="13"/>
      <c r="H149" s="13"/>
      <c r="I149" s="9"/>
    </row>
    <row r="150">
      <c r="A150" s="9"/>
      <c r="B150" s="9"/>
      <c r="C150" s="9"/>
      <c r="D150" s="9"/>
      <c r="E150" s="9"/>
      <c r="F150" s="13"/>
      <c r="G150" s="13"/>
      <c r="H150" s="13"/>
      <c r="I150" s="9"/>
    </row>
    <row r="151">
      <c r="A151" s="9"/>
      <c r="B151" s="9"/>
      <c r="C151" s="9"/>
      <c r="D151" s="9"/>
      <c r="E151" s="9"/>
      <c r="F151" s="13"/>
      <c r="G151" s="13"/>
      <c r="H151" s="13"/>
      <c r="I151" s="9"/>
    </row>
    <row r="152">
      <c r="A152" s="9"/>
      <c r="B152" s="9"/>
      <c r="C152" s="9"/>
      <c r="D152" s="9"/>
      <c r="E152" s="9"/>
      <c r="F152" s="13"/>
      <c r="G152" s="13"/>
      <c r="H152" s="13"/>
      <c r="I152" s="9"/>
    </row>
    <row r="153">
      <c r="A153" s="9"/>
      <c r="B153" s="9"/>
      <c r="C153" s="9"/>
      <c r="D153" s="9"/>
      <c r="E153" s="9"/>
      <c r="F153" s="13"/>
      <c r="G153" s="13"/>
      <c r="H153" s="13"/>
      <c r="I153" s="9"/>
    </row>
    <row r="154">
      <c r="A154" s="9"/>
      <c r="B154" s="9"/>
      <c r="C154" s="9"/>
      <c r="D154" s="9"/>
      <c r="E154" s="9"/>
      <c r="F154" s="13"/>
      <c r="G154" s="13"/>
      <c r="H154" s="13"/>
      <c r="I154" s="9"/>
    </row>
    <row r="155">
      <c r="A155" s="9"/>
      <c r="B155" s="9"/>
      <c r="C155" s="9"/>
      <c r="D155" s="9"/>
      <c r="E155" s="9"/>
      <c r="F155" s="13"/>
      <c r="G155" s="13"/>
      <c r="H155" s="13"/>
      <c r="I155" s="9"/>
    </row>
    <row r="156">
      <c r="A156" s="9"/>
      <c r="B156" s="9"/>
      <c r="C156" s="9"/>
      <c r="D156" s="9"/>
      <c r="E156" s="9"/>
      <c r="F156" s="13"/>
      <c r="G156" s="13"/>
      <c r="H156" s="13"/>
      <c r="I156" s="9"/>
    </row>
    <row r="157">
      <c r="A157" s="9"/>
      <c r="B157" s="9"/>
      <c r="C157" s="9"/>
      <c r="D157" s="9"/>
      <c r="E157" s="9"/>
      <c r="F157" s="13"/>
      <c r="G157" s="13"/>
      <c r="H157" s="13"/>
      <c r="I157" s="9"/>
    </row>
    <row r="158">
      <c r="A158" s="9"/>
      <c r="B158" s="9"/>
      <c r="C158" s="9"/>
      <c r="D158" s="9"/>
      <c r="E158" s="9"/>
      <c r="F158" s="13"/>
      <c r="G158" s="13"/>
      <c r="H158" s="13"/>
      <c r="I158" s="9"/>
    </row>
    <row r="159">
      <c r="A159" s="9"/>
      <c r="B159" s="9"/>
      <c r="C159" s="9"/>
      <c r="D159" s="9"/>
      <c r="E159" s="9"/>
      <c r="F159" s="13"/>
      <c r="G159" s="13"/>
      <c r="H159" s="13"/>
      <c r="I159" s="9"/>
    </row>
    <row r="160">
      <c r="A160" s="9"/>
      <c r="B160" s="9"/>
      <c r="C160" s="9"/>
      <c r="D160" s="9"/>
      <c r="E160" s="9"/>
      <c r="F160" s="13"/>
      <c r="G160" s="13"/>
      <c r="H160" s="13"/>
      <c r="I160" s="9"/>
    </row>
    <row r="161">
      <c r="A161" s="9"/>
      <c r="B161" s="9"/>
      <c r="C161" s="9"/>
      <c r="D161" s="9"/>
      <c r="E161" s="9"/>
      <c r="F161" s="13"/>
      <c r="G161" s="13"/>
      <c r="H161" s="13"/>
      <c r="I161" s="9"/>
    </row>
    <row r="162">
      <c r="A162" s="9"/>
      <c r="B162" s="9"/>
      <c r="C162" s="9"/>
      <c r="D162" s="9"/>
      <c r="E162" s="9"/>
      <c r="F162" s="13"/>
      <c r="G162" s="13"/>
      <c r="H162" s="13"/>
      <c r="I162" s="9"/>
    </row>
    <row r="163">
      <c r="A163" s="9"/>
      <c r="B163" s="9"/>
      <c r="C163" s="9"/>
      <c r="D163" s="9"/>
      <c r="E163" s="9"/>
      <c r="F163" s="13"/>
      <c r="G163" s="13"/>
      <c r="H163" s="13"/>
      <c r="I163" s="9"/>
    </row>
    <row r="164">
      <c r="A164" s="9"/>
      <c r="B164" s="9"/>
      <c r="C164" s="9"/>
      <c r="D164" s="9"/>
      <c r="E164" s="9"/>
      <c r="F164" s="13"/>
      <c r="G164" s="13"/>
      <c r="H164" s="13"/>
      <c r="I164" s="9"/>
    </row>
    <row r="165">
      <c r="A165" s="9"/>
      <c r="B165" s="9"/>
      <c r="C165" s="9"/>
      <c r="D165" s="9"/>
      <c r="E165" s="9"/>
      <c r="F165" s="13"/>
      <c r="G165" s="13"/>
      <c r="H165" s="13"/>
      <c r="I165" s="9"/>
    </row>
    <row r="166">
      <c r="A166" s="9"/>
      <c r="B166" s="9"/>
      <c r="C166" s="9"/>
      <c r="D166" s="9"/>
      <c r="E166" s="9"/>
      <c r="F166" s="13"/>
      <c r="G166" s="13"/>
      <c r="H166" s="13"/>
      <c r="I166" s="9"/>
    </row>
    <row r="167">
      <c r="A167" s="9"/>
      <c r="B167" s="9"/>
      <c r="C167" s="9"/>
      <c r="D167" s="9"/>
      <c r="E167" s="9"/>
      <c r="F167" s="13"/>
      <c r="G167" s="13"/>
      <c r="H167" s="13"/>
      <c r="I167" s="9"/>
    </row>
    <row r="168">
      <c r="A168" s="9"/>
      <c r="B168" s="9"/>
      <c r="C168" s="9"/>
      <c r="D168" s="9"/>
      <c r="E168" s="9"/>
      <c r="F168" s="13"/>
      <c r="G168" s="13"/>
      <c r="H168" s="13"/>
      <c r="I168" s="9"/>
    </row>
    <row r="169">
      <c r="A169" s="9"/>
      <c r="B169" s="9"/>
      <c r="C169" s="9"/>
      <c r="D169" s="9"/>
      <c r="E169" s="9"/>
      <c r="F169" s="13"/>
      <c r="G169" s="13"/>
      <c r="H169" s="13"/>
      <c r="I169" s="9"/>
    </row>
    <row r="170">
      <c r="A170" s="9"/>
      <c r="B170" s="9"/>
      <c r="C170" s="9"/>
      <c r="D170" s="9"/>
      <c r="E170" s="9"/>
      <c r="F170" s="13"/>
      <c r="G170" s="13"/>
      <c r="H170" s="13"/>
      <c r="I170" s="9"/>
    </row>
    <row r="171">
      <c r="A171" s="9"/>
      <c r="B171" s="9"/>
      <c r="C171" s="9"/>
      <c r="D171" s="9"/>
      <c r="E171" s="9"/>
      <c r="F171" s="13"/>
      <c r="G171" s="13"/>
      <c r="H171" s="13"/>
      <c r="I171" s="9"/>
    </row>
    <row r="172">
      <c r="A172" s="9"/>
      <c r="B172" s="9"/>
      <c r="C172" s="9"/>
      <c r="D172" s="9"/>
      <c r="E172" s="9"/>
      <c r="F172" s="13"/>
      <c r="G172" s="13"/>
      <c r="H172" s="13"/>
      <c r="I172" s="9"/>
    </row>
    <row r="173">
      <c r="A173" s="9"/>
      <c r="B173" s="9"/>
      <c r="C173" s="9"/>
      <c r="D173" s="9"/>
      <c r="E173" s="9"/>
      <c r="F173" s="13"/>
      <c r="G173" s="13"/>
      <c r="H173" s="13"/>
      <c r="I173" s="9"/>
    </row>
    <row r="174">
      <c r="A174" s="9"/>
      <c r="B174" s="9"/>
      <c r="C174" s="9"/>
      <c r="D174" s="9"/>
      <c r="E174" s="9"/>
      <c r="F174" s="13"/>
      <c r="G174" s="13"/>
      <c r="H174" s="13"/>
      <c r="I174" s="9"/>
    </row>
    <row r="175">
      <c r="A175" s="9"/>
      <c r="B175" s="9"/>
      <c r="C175" s="9"/>
      <c r="D175" s="9"/>
      <c r="E175" s="9"/>
      <c r="F175" s="13"/>
      <c r="G175" s="13"/>
      <c r="H175" s="13"/>
      <c r="I175" s="9"/>
    </row>
    <row r="176">
      <c r="A176" s="9"/>
      <c r="B176" s="9"/>
      <c r="C176" s="9"/>
      <c r="D176" s="9"/>
      <c r="E176" s="9"/>
      <c r="F176" s="13"/>
      <c r="G176" s="13"/>
      <c r="H176" s="13"/>
      <c r="I176" s="9"/>
    </row>
    <row r="177">
      <c r="A177" s="9"/>
      <c r="B177" s="9"/>
      <c r="C177" s="9"/>
      <c r="D177" s="9"/>
      <c r="E177" s="9"/>
      <c r="F177" s="13"/>
      <c r="G177" s="13"/>
      <c r="H177" s="13"/>
      <c r="I177" s="9"/>
    </row>
    <row r="178">
      <c r="A178" s="9"/>
      <c r="B178" s="9"/>
      <c r="C178" s="9"/>
      <c r="D178" s="9"/>
      <c r="E178" s="9"/>
      <c r="F178" s="13"/>
      <c r="G178" s="13"/>
      <c r="H178" s="13"/>
      <c r="I178" s="9"/>
    </row>
    <row r="179">
      <c r="A179" s="9"/>
      <c r="B179" s="9"/>
      <c r="C179" s="9"/>
      <c r="D179" s="9"/>
      <c r="E179" s="9"/>
      <c r="F179" s="13"/>
      <c r="G179" s="13"/>
      <c r="H179" s="13"/>
      <c r="I179" s="9"/>
    </row>
    <row r="180">
      <c r="A180" s="9"/>
      <c r="B180" s="9"/>
      <c r="C180" s="9"/>
      <c r="D180" s="9"/>
      <c r="E180" s="9"/>
      <c r="F180" s="13"/>
      <c r="G180" s="13"/>
      <c r="H180" s="13"/>
      <c r="I180" s="9"/>
    </row>
    <row r="181">
      <c r="A181" s="9"/>
      <c r="B181" s="9"/>
      <c r="C181" s="9"/>
      <c r="D181" s="9"/>
      <c r="E181" s="9"/>
      <c r="F181" s="13"/>
      <c r="G181" s="13"/>
      <c r="H181" s="13"/>
      <c r="I181" s="9"/>
    </row>
    <row r="182">
      <c r="A182" s="9"/>
      <c r="B182" s="9"/>
      <c r="C182" s="9"/>
      <c r="D182" s="9"/>
      <c r="E182" s="9"/>
      <c r="F182" s="13"/>
      <c r="G182" s="13"/>
      <c r="H182" s="13"/>
      <c r="I182" s="9"/>
    </row>
    <row r="183">
      <c r="A183" s="9"/>
      <c r="B183" s="9"/>
      <c r="C183" s="9"/>
      <c r="D183" s="9"/>
      <c r="E183" s="9"/>
      <c r="F183" s="13"/>
      <c r="G183" s="13"/>
      <c r="H183" s="13"/>
      <c r="I183" s="9"/>
    </row>
    <row r="184">
      <c r="A184" s="9"/>
      <c r="B184" s="9"/>
      <c r="C184" s="9"/>
      <c r="D184" s="9"/>
      <c r="E184" s="9"/>
      <c r="F184" s="13"/>
      <c r="G184" s="13"/>
      <c r="H184" s="13"/>
      <c r="I184" s="9"/>
    </row>
    <row r="185">
      <c r="A185" s="9"/>
      <c r="B185" s="9"/>
      <c r="C185" s="9"/>
      <c r="D185" s="9"/>
      <c r="E185" s="9"/>
      <c r="F185" s="13"/>
      <c r="G185" s="13"/>
      <c r="H185" s="13"/>
      <c r="I185" s="9"/>
    </row>
    <row r="186">
      <c r="A186" s="9"/>
      <c r="B186" s="9"/>
      <c r="C186" s="9"/>
      <c r="D186" s="9"/>
      <c r="E186" s="9"/>
      <c r="F186" s="13"/>
      <c r="G186" s="13"/>
      <c r="H186" s="13"/>
      <c r="I186" s="9"/>
    </row>
    <row r="187">
      <c r="A187" s="9"/>
      <c r="B187" s="9"/>
      <c r="C187" s="9"/>
      <c r="D187" s="9"/>
      <c r="E187" s="9"/>
      <c r="F187" s="13"/>
      <c r="G187" s="13"/>
      <c r="H187" s="13"/>
      <c r="I187" s="9"/>
    </row>
    <row r="188">
      <c r="A188" s="9"/>
      <c r="B188" s="9"/>
      <c r="C188" s="9"/>
      <c r="D188" s="9"/>
      <c r="E188" s="9"/>
      <c r="F188" s="13"/>
      <c r="G188" s="13"/>
      <c r="H188" s="13"/>
      <c r="I188" s="9"/>
    </row>
    <row r="189">
      <c r="A189" s="9"/>
      <c r="B189" s="9"/>
      <c r="C189" s="9"/>
      <c r="D189" s="9"/>
      <c r="E189" s="9"/>
      <c r="F189" s="13"/>
      <c r="G189" s="13"/>
      <c r="H189" s="13"/>
      <c r="I189" s="9"/>
    </row>
    <row r="190">
      <c r="A190" s="9"/>
      <c r="B190" s="9"/>
      <c r="C190" s="9"/>
      <c r="D190" s="9"/>
      <c r="E190" s="9"/>
      <c r="F190" s="13"/>
      <c r="G190" s="13"/>
      <c r="H190" s="13"/>
      <c r="I190" s="9"/>
    </row>
    <row r="191">
      <c r="A191" s="9"/>
      <c r="B191" s="9"/>
      <c r="C191" s="9"/>
      <c r="D191" s="9"/>
      <c r="E191" s="9"/>
      <c r="F191" s="13"/>
      <c r="G191" s="13"/>
      <c r="H191" s="13"/>
      <c r="I191" s="9"/>
    </row>
    <row r="192">
      <c r="A192" s="9"/>
      <c r="B192" s="9"/>
      <c r="C192" s="9"/>
      <c r="D192" s="9"/>
      <c r="E192" s="9"/>
      <c r="F192" s="13"/>
      <c r="G192" s="13"/>
      <c r="H192" s="13"/>
      <c r="I192" s="9"/>
    </row>
    <row r="193">
      <c r="A193" s="9"/>
      <c r="B193" s="9"/>
      <c r="C193" s="9"/>
      <c r="D193" s="9"/>
      <c r="E193" s="9"/>
      <c r="F193" s="13"/>
      <c r="G193" s="13"/>
      <c r="H193" s="13"/>
      <c r="I193" s="9"/>
    </row>
    <row r="194">
      <c r="A194" s="9"/>
      <c r="B194" s="9"/>
      <c r="C194" s="9"/>
      <c r="D194" s="9"/>
      <c r="E194" s="9"/>
      <c r="F194" s="13"/>
      <c r="G194" s="13"/>
      <c r="H194" s="13"/>
      <c r="I194" s="9"/>
    </row>
    <row r="195">
      <c r="A195" s="9"/>
      <c r="B195" s="9"/>
      <c r="C195" s="9"/>
      <c r="D195" s="9"/>
      <c r="E195" s="9"/>
      <c r="F195" s="13"/>
      <c r="G195" s="13"/>
      <c r="H195" s="13"/>
      <c r="I195" s="9"/>
    </row>
    <row r="196">
      <c r="A196" s="9"/>
      <c r="B196" s="9"/>
      <c r="C196" s="9"/>
      <c r="D196" s="9"/>
      <c r="E196" s="9"/>
      <c r="F196" s="13"/>
      <c r="G196" s="13"/>
      <c r="H196" s="13"/>
      <c r="I196" s="9"/>
    </row>
    <row r="197">
      <c r="A197" s="9"/>
      <c r="B197" s="9"/>
      <c r="C197" s="9"/>
      <c r="D197" s="9"/>
      <c r="E197" s="9"/>
      <c r="F197" s="13"/>
      <c r="G197" s="13"/>
      <c r="H197" s="13"/>
      <c r="I197" s="9"/>
    </row>
    <row r="198">
      <c r="A198" s="9"/>
      <c r="B198" s="9"/>
      <c r="C198" s="9"/>
      <c r="D198" s="9"/>
      <c r="E198" s="9"/>
      <c r="F198" s="13"/>
      <c r="G198" s="13"/>
      <c r="H198" s="13"/>
      <c r="I198" s="9"/>
    </row>
    <row r="199">
      <c r="A199" s="9"/>
      <c r="B199" s="9"/>
      <c r="C199" s="9"/>
      <c r="D199" s="9"/>
      <c r="E199" s="9"/>
      <c r="F199" s="13"/>
      <c r="G199" s="13"/>
      <c r="H199" s="13"/>
      <c r="I199" s="9"/>
    </row>
    <row r="200">
      <c r="A200" s="9"/>
      <c r="B200" s="9"/>
      <c r="C200" s="9"/>
      <c r="D200" s="9"/>
      <c r="E200" s="9"/>
      <c r="F200" s="13"/>
      <c r="G200" s="13"/>
      <c r="H200" s="13"/>
      <c r="I200" s="9"/>
    </row>
    <row r="201">
      <c r="A201" s="9"/>
      <c r="B201" s="9"/>
      <c r="C201" s="9"/>
      <c r="D201" s="9"/>
      <c r="E201" s="9"/>
      <c r="F201" s="13"/>
      <c r="G201" s="13"/>
      <c r="H201" s="13"/>
      <c r="I201" s="9"/>
    </row>
    <row r="202">
      <c r="A202" s="9"/>
      <c r="B202" s="9"/>
      <c r="C202" s="9"/>
      <c r="D202" s="9"/>
      <c r="E202" s="9"/>
      <c r="F202" s="13"/>
      <c r="G202" s="13"/>
      <c r="H202" s="13"/>
      <c r="I202" s="9"/>
    </row>
    <row r="203">
      <c r="A203" s="9"/>
      <c r="B203" s="9"/>
      <c r="C203" s="9"/>
      <c r="D203" s="9"/>
      <c r="E203" s="9"/>
      <c r="F203" s="13"/>
      <c r="G203" s="13"/>
      <c r="H203" s="13"/>
      <c r="I203" s="9"/>
    </row>
    <row r="204">
      <c r="A204" s="9"/>
      <c r="B204" s="9"/>
      <c r="C204" s="9"/>
      <c r="D204" s="9"/>
      <c r="E204" s="9"/>
      <c r="F204" s="13"/>
      <c r="G204" s="13"/>
      <c r="H204" s="13"/>
      <c r="I204" s="9"/>
    </row>
    <row r="205">
      <c r="A205" s="9"/>
      <c r="B205" s="9"/>
      <c r="C205" s="9"/>
      <c r="D205" s="9"/>
      <c r="E205" s="9"/>
      <c r="F205" s="13"/>
      <c r="G205" s="13"/>
      <c r="H205" s="13"/>
      <c r="I205" s="9"/>
    </row>
    <row r="206">
      <c r="A206" s="9"/>
      <c r="B206" s="9"/>
      <c r="C206" s="9"/>
      <c r="D206" s="9"/>
      <c r="E206" s="9"/>
      <c r="F206" s="13"/>
      <c r="G206" s="13"/>
      <c r="H206" s="13"/>
      <c r="I206" s="9"/>
    </row>
    <row r="207">
      <c r="A207" s="9"/>
      <c r="B207" s="9"/>
      <c r="C207" s="9"/>
      <c r="D207" s="9"/>
      <c r="E207" s="9"/>
      <c r="F207" s="13"/>
      <c r="G207" s="13"/>
      <c r="H207" s="13"/>
      <c r="I207" s="9"/>
    </row>
    <row r="208">
      <c r="A208" s="9"/>
      <c r="B208" s="9"/>
      <c r="C208" s="9"/>
      <c r="D208" s="9"/>
      <c r="E208" s="9"/>
      <c r="F208" s="13"/>
      <c r="G208" s="13"/>
      <c r="H208" s="13"/>
      <c r="I208" s="9"/>
    </row>
    <row r="209">
      <c r="A209" s="9"/>
      <c r="B209" s="9"/>
      <c r="C209" s="9"/>
      <c r="D209" s="9"/>
      <c r="E209" s="9"/>
      <c r="F209" s="13"/>
      <c r="G209" s="13"/>
      <c r="H209" s="13"/>
      <c r="I209" s="9"/>
    </row>
    <row r="210">
      <c r="A210" s="9"/>
      <c r="B210" s="9"/>
      <c r="C210" s="9"/>
      <c r="D210" s="9"/>
      <c r="E210" s="9"/>
      <c r="F210" s="13"/>
      <c r="G210" s="13"/>
      <c r="H210" s="13"/>
      <c r="I210" s="9"/>
    </row>
    <row r="211">
      <c r="A211" s="9"/>
      <c r="B211" s="9"/>
      <c r="C211" s="9"/>
      <c r="D211" s="9"/>
      <c r="E211" s="9"/>
      <c r="F211" s="13"/>
      <c r="G211" s="13"/>
      <c r="H211" s="13"/>
      <c r="I211" s="9"/>
    </row>
    <row r="212">
      <c r="A212" s="9"/>
      <c r="B212" s="9"/>
      <c r="C212" s="9"/>
      <c r="D212" s="9"/>
      <c r="E212" s="9"/>
      <c r="F212" s="13"/>
      <c r="G212" s="13"/>
      <c r="H212" s="13"/>
      <c r="I212" s="9"/>
    </row>
    <row r="213">
      <c r="A213" s="9"/>
      <c r="B213" s="9"/>
      <c r="C213" s="9"/>
      <c r="D213" s="9"/>
      <c r="E213" s="9"/>
      <c r="F213" s="13"/>
      <c r="G213" s="13"/>
      <c r="H213" s="13"/>
      <c r="I213" s="9"/>
    </row>
    <row r="214">
      <c r="A214" s="9"/>
      <c r="B214" s="9"/>
      <c r="C214" s="9"/>
      <c r="D214" s="9"/>
      <c r="E214" s="9"/>
      <c r="F214" s="13"/>
      <c r="G214" s="13"/>
      <c r="H214" s="13"/>
      <c r="I214" s="9"/>
    </row>
    <row r="215">
      <c r="A215" s="9"/>
      <c r="B215" s="9"/>
      <c r="C215" s="9"/>
      <c r="D215" s="9"/>
      <c r="E215" s="9"/>
      <c r="F215" s="13"/>
      <c r="G215" s="13"/>
      <c r="H215" s="13"/>
      <c r="I215" s="9"/>
    </row>
    <row r="216">
      <c r="A216" s="9"/>
      <c r="B216" s="9"/>
      <c r="C216" s="9"/>
      <c r="D216" s="9"/>
      <c r="E216" s="9"/>
      <c r="F216" s="13"/>
      <c r="G216" s="13"/>
      <c r="H216" s="13"/>
      <c r="I216" s="9"/>
    </row>
    <row r="217">
      <c r="A217" s="9"/>
      <c r="B217" s="9"/>
      <c r="C217" s="9"/>
      <c r="D217" s="9"/>
      <c r="E217" s="9"/>
      <c r="F217" s="13"/>
      <c r="G217" s="13"/>
      <c r="H217" s="13"/>
      <c r="I217" s="9"/>
    </row>
    <row r="218">
      <c r="A218" s="9"/>
      <c r="B218" s="9"/>
      <c r="C218" s="9"/>
      <c r="D218" s="9"/>
      <c r="E218" s="9"/>
      <c r="F218" s="13"/>
      <c r="G218" s="13"/>
      <c r="H218" s="13"/>
      <c r="I218" s="9"/>
    </row>
    <row r="219">
      <c r="A219" s="9"/>
      <c r="B219" s="9"/>
      <c r="C219" s="9"/>
      <c r="D219" s="9"/>
      <c r="E219" s="9"/>
      <c r="F219" s="13"/>
      <c r="G219" s="13"/>
      <c r="H219" s="13"/>
      <c r="I219" s="9"/>
    </row>
    <row r="220">
      <c r="A220" s="9"/>
      <c r="B220" s="9"/>
      <c r="C220" s="9"/>
      <c r="D220" s="9"/>
      <c r="E220" s="9"/>
      <c r="F220" s="13"/>
      <c r="G220" s="13"/>
      <c r="H220" s="13"/>
      <c r="I220" s="9"/>
    </row>
    <row r="221">
      <c r="A221" s="9"/>
      <c r="B221" s="9"/>
      <c r="C221" s="9"/>
      <c r="D221" s="9"/>
      <c r="E221" s="9"/>
      <c r="F221" s="13"/>
      <c r="G221" s="13"/>
      <c r="H221" s="13"/>
      <c r="I221" s="9"/>
    </row>
    <row r="222">
      <c r="A222" s="9"/>
      <c r="B222" s="9"/>
      <c r="C222" s="9"/>
      <c r="D222" s="9"/>
      <c r="E222" s="9"/>
      <c r="F222" s="13"/>
      <c r="G222" s="13"/>
      <c r="H222" s="13"/>
      <c r="I222" s="9"/>
    </row>
    <row r="223">
      <c r="A223" s="9"/>
      <c r="B223" s="9"/>
      <c r="C223" s="9"/>
      <c r="D223" s="9"/>
      <c r="E223" s="9"/>
      <c r="F223" s="13"/>
      <c r="G223" s="13"/>
      <c r="H223" s="13"/>
      <c r="I223" s="9"/>
    </row>
    <row r="224">
      <c r="A224" s="9"/>
      <c r="B224" s="9"/>
      <c r="C224" s="9"/>
      <c r="D224" s="9"/>
      <c r="E224" s="9"/>
      <c r="F224" s="13"/>
      <c r="G224" s="13"/>
      <c r="H224" s="13"/>
      <c r="I224" s="9"/>
    </row>
    <row r="225">
      <c r="A225" s="9"/>
      <c r="B225" s="9"/>
      <c r="C225" s="9"/>
      <c r="D225" s="9"/>
      <c r="E225" s="9"/>
      <c r="F225" s="13"/>
      <c r="G225" s="13"/>
      <c r="H225" s="13"/>
      <c r="I225" s="9"/>
    </row>
    <row r="226">
      <c r="A226" s="9"/>
      <c r="B226" s="9"/>
      <c r="C226" s="9"/>
      <c r="D226" s="9"/>
      <c r="E226" s="9"/>
      <c r="F226" s="13"/>
      <c r="G226" s="13"/>
      <c r="H226" s="13"/>
      <c r="I226" s="9"/>
    </row>
    <row r="227">
      <c r="A227" s="9"/>
      <c r="B227" s="9"/>
      <c r="C227" s="9"/>
      <c r="D227" s="9"/>
      <c r="E227" s="9"/>
      <c r="F227" s="13"/>
      <c r="G227" s="13"/>
      <c r="H227" s="13"/>
      <c r="I227" s="9"/>
    </row>
    <row r="228">
      <c r="A228" s="9"/>
      <c r="B228" s="9"/>
      <c r="C228" s="9"/>
      <c r="D228" s="9"/>
      <c r="E228" s="9"/>
      <c r="F228" s="13"/>
      <c r="G228" s="13"/>
      <c r="H228" s="13"/>
      <c r="I228" s="9"/>
    </row>
    <row r="229">
      <c r="A229" s="9"/>
      <c r="B229" s="9"/>
      <c r="C229" s="9"/>
      <c r="D229" s="9"/>
      <c r="E229" s="9"/>
      <c r="F229" s="13"/>
      <c r="G229" s="13"/>
      <c r="H229" s="13"/>
      <c r="I229" s="9"/>
    </row>
    <row r="230">
      <c r="A230" s="9"/>
      <c r="B230" s="9"/>
      <c r="C230" s="9"/>
      <c r="D230" s="9"/>
      <c r="E230" s="9"/>
      <c r="F230" s="13"/>
      <c r="G230" s="13"/>
      <c r="H230" s="13"/>
      <c r="I230" s="9"/>
    </row>
    <row r="231">
      <c r="A231" s="9"/>
      <c r="B231" s="9"/>
      <c r="C231" s="9"/>
      <c r="D231" s="9"/>
      <c r="E231" s="9"/>
      <c r="F231" s="13"/>
      <c r="G231" s="13"/>
      <c r="H231" s="13"/>
      <c r="I231" s="9"/>
    </row>
    <row r="232">
      <c r="A232" s="9"/>
      <c r="B232" s="9"/>
      <c r="C232" s="9"/>
      <c r="D232" s="9"/>
      <c r="E232" s="9"/>
      <c r="F232" s="13"/>
      <c r="G232" s="13"/>
      <c r="H232" s="13"/>
      <c r="I232" s="9"/>
    </row>
    <row r="233">
      <c r="A233" s="9"/>
      <c r="B233" s="9"/>
      <c r="C233" s="9"/>
      <c r="D233" s="9"/>
      <c r="E233" s="9"/>
      <c r="F233" s="13"/>
      <c r="G233" s="13"/>
      <c r="H233" s="13"/>
      <c r="I233" s="9"/>
    </row>
    <row r="234">
      <c r="A234" s="9"/>
      <c r="B234" s="9"/>
      <c r="C234" s="9"/>
      <c r="D234" s="9"/>
      <c r="E234" s="9"/>
      <c r="F234" s="13"/>
      <c r="G234" s="13"/>
      <c r="H234" s="13"/>
      <c r="I234" s="9"/>
    </row>
    <row r="235">
      <c r="A235" s="9"/>
      <c r="B235" s="9"/>
      <c r="C235" s="9"/>
      <c r="D235" s="9"/>
      <c r="E235" s="9"/>
      <c r="F235" s="13"/>
      <c r="G235" s="13"/>
      <c r="H235" s="13"/>
      <c r="I235" s="9"/>
    </row>
    <row r="236">
      <c r="A236" s="9"/>
      <c r="B236" s="9"/>
      <c r="C236" s="9"/>
      <c r="D236" s="9"/>
      <c r="E236" s="9"/>
      <c r="F236" s="13"/>
      <c r="G236" s="13"/>
      <c r="H236" s="13"/>
      <c r="I236" s="9"/>
    </row>
    <row r="237">
      <c r="A237" s="9"/>
      <c r="B237" s="9"/>
      <c r="C237" s="9"/>
      <c r="D237" s="9"/>
      <c r="E237" s="9"/>
      <c r="F237" s="13"/>
      <c r="G237" s="13"/>
      <c r="H237" s="13"/>
      <c r="I237" s="9"/>
    </row>
    <row r="238">
      <c r="A238" s="9"/>
      <c r="B238" s="9"/>
      <c r="C238" s="9"/>
      <c r="D238" s="9"/>
      <c r="E238" s="9"/>
      <c r="F238" s="13"/>
      <c r="G238" s="13"/>
      <c r="H238" s="13"/>
      <c r="I238" s="9"/>
    </row>
    <row r="239">
      <c r="A239" s="9"/>
      <c r="B239" s="9"/>
      <c r="C239" s="9"/>
      <c r="D239" s="9"/>
      <c r="E239" s="9"/>
      <c r="F239" s="13"/>
      <c r="G239" s="13"/>
      <c r="H239" s="13"/>
      <c r="I239" s="9"/>
    </row>
    <row r="240">
      <c r="A240" s="9"/>
      <c r="B240" s="9"/>
      <c r="C240" s="9"/>
      <c r="D240" s="9"/>
      <c r="E240" s="9"/>
      <c r="F240" s="13"/>
      <c r="G240" s="13"/>
      <c r="H240" s="13"/>
      <c r="I240" s="9"/>
    </row>
    <row r="241">
      <c r="A241" s="9"/>
      <c r="B241" s="9"/>
      <c r="C241" s="9"/>
      <c r="D241" s="9"/>
      <c r="E241" s="9"/>
      <c r="F241" s="13"/>
      <c r="G241" s="13"/>
      <c r="H241" s="13"/>
      <c r="I241" s="9"/>
    </row>
    <row r="242">
      <c r="A242" s="9"/>
      <c r="B242" s="9"/>
      <c r="C242" s="9"/>
      <c r="D242" s="9"/>
      <c r="E242" s="9"/>
      <c r="F242" s="13"/>
      <c r="G242" s="13"/>
      <c r="H242" s="13"/>
      <c r="I242" s="9"/>
    </row>
    <row r="243">
      <c r="A243" s="9"/>
      <c r="B243" s="9"/>
      <c r="C243" s="9"/>
      <c r="D243" s="9"/>
      <c r="E243" s="9"/>
      <c r="F243" s="13"/>
      <c r="G243" s="13"/>
      <c r="H243" s="13"/>
      <c r="I243" s="9"/>
    </row>
    <row r="244">
      <c r="A244" s="9"/>
      <c r="B244" s="9"/>
      <c r="C244" s="9"/>
      <c r="D244" s="9"/>
      <c r="E244" s="9"/>
      <c r="F244" s="13"/>
      <c r="G244" s="13"/>
      <c r="H244" s="13"/>
      <c r="I244" s="9"/>
    </row>
    <row r="245">
      <c r="A245" s="9"/>
      <c r="B245" s="9"/>
      <c r="C245" s="9"/>
      <c r="D245" s="9"/>
      <c r="E245" s="9"/>
      <c r="F245" s="13"/>
      <c r="G245" s="13"/>
      <c r="H245" s="13"/>
      <c r="I245" s="9"/>
    </row>
    <row r="246">
      <c r="A246" s="9"/>
      <c r="B246" s="9"/>
      <c r="C246" s="9"/>
      <c r="D246" s="9"/>
      <c r="E246" s="9"/>
      <c r="F246" s="13"/>
      <c r="G246" s="13"/>
      <c r="H246" s="13"/>
      <c r="I246" s="9"/>
    </row>
    <row r="247">
      <c r="A247" s="9"/>
      <c r="B247" s="9"/>
      <c r="C247" s="9"/>
      <c r="D247" s="9"/>
      <c r="E247" s="9"/>
      <c r="F247" s="13"/>
      <c r="G247" s="13"/>
      <c r="H247" s="13"/>
      <c r="I247" s="9"/>
    </row>
    <row r="248">
      <c r="A248" s="9"/>
      <c r="B248" s="9"/>
      <c r="C248" s="9"/>
      <c r="D248" s="9"/>
      <c r="E248" s="9"/>
      <c r="F248" s="13"/>
      <c r="G248" s="13"/>
      <c r="H248" s="13"/>
      <c r="I248" s="9"/>
    </row>
    <row r="249">
      <c r="A249" s="9"/>
      <c r="B249" s="9"/>
      <c r="C249" s="9"/>
      <c r="D249" s="9"/>
      <c r="E249" s="9"/>
      <c r="F249" s="13"/>
      <c r="G249" s="13"/>
      <c r="H249" s="13"/>
      <c r="I249" s="9"/>
    </row>
    <row r="250">
      <c r="A250" s="9"/>
      <c r="B250" s="9"/>
      <c r="C250" s="9"/>
      <c r="D250" s="9"/>
      <c r="E250" s="9"/>
      <c r="F250" s="13"/>
      <c r="G250" s="13"/>
      <c r="H250" s="13"/>
      <c r="I250" s="9"/>
    </row>
    <row r="251">
      <c r="A251" s="9"/>
      <c r="B251" s="9"/>
      <c r="C251" s="9"/>
      <c r="D251" s="9"/>
      <c r="E251" s="9"/>
      <c r="F251" s="13"/>
      <c r="G251" s="13"/>
      <c r="H251" s="13"/>
      <c r="I251" s="9"/>
    </row>
    <row r="252">
      <c r="A252" s="9"/>
      <c r="B252" s="9"/>
      <c r="C252" s="9"/>
      <c r="D252" s="9"/>
      <c r="E252" s="9"/>
      <c r="F252" s="13"/>
      <c r="G252" s="13"/>
      <c r="H252" s="13"/>
      <c r="I252" s="9"/>
    </row>
    <row r="253">
      <c r="A253" s="9"/>
      <c r="B253" s="9"/>
      <c r="C253" s="9"/>
      <c r="D253" s="9"/>
      <c r="E253" s="9"/>
      <c r="F253" s="13"/>
      <c r="G253" s="13"/>
      <c r="H253" s="13"/>
      <c r="I253" s="9"/>
    </row>
    <row r="254">
      <c r="A254" s="9"/>
      <c r="B254" s="9"/>
      <c r="C254" s="9"/>
      <c r="D254" s="9"/>
      <c r="E254" s="9"/>
      <c r="F254" s="13"/>
      <c r="G254" s="13"/>
      <c r="H254" s="13"/>
      <c r="I254" s="9"/>
    </row>
    <row r="255">
      <c r="A255" s="9"/>
      <c r="B255" s="9"/>
      <c r="C255" s="9"/>
      <c r="D255" s="9"/>
      <c r="E255" s="9"/>
      <c r="F255" s="13"/>
      <c r="G255" s="13"/>
      <c r="H255" s="13"/>
      <c r="I255" s="9"/>
    </row>
    <row r="256">
      <c r="A256" s="9"/>
      <c r="B256" s="9"/>
      <c r="C256" s="9"/>
      <c r="D256" s="9"/>
      <c r="E256" s="9"/>
      <c r="F256" s="13"/>
      <c r="G256" s="13"/>
      <c r="H256" s="13"/>
      <c r="I256" s="9"/>
    </row>
    <row r="257">
      <c r="A257" s="9"/>
      <c r="B257" s="9"/>
      <c r="C257" s="9"/>
      <c r="D257" s="9"/>
      <c r="E257" s="9"/>
      <c r="F257" s="13"/>
      <c r="G257" s="13"/>
      <c r="H257" s="13"/>
      <c r="I257" s="9"/>
    </row>
    <row r="258">
      <c r="A258" s="9"/>
      <c r="B258" s="9"/>
      <c r="C258" s="9"/>
      <c r="D258" s="9"/>
      <c r="E258" s="9"/>
      <c r="F258" s="13"/>
      <c r="G258" s="13"/>
      <c r="H258" s="13"/>
      <c r="I258" s="9"/>
    </row>
    <row r="259">
      <c r="A259" s="9"/>
      <c r="B259" s="9"/>
      <c r="C259" s="9"/>
      <c r="D259" s="9"/>
      <c r="E259" s="9"/>
      <c r="F259" s="13"/>
      <c r="G259" s="13"/>
      <c r="H259" s="13"/>
      <c r="I259" s="9"/>
    </row>
    <row r="260">
      <c r="A260" s="9"/>
      <c r="B260" s="9"/>
      <c r="C260" s="9"/>
      <c r="D260" s="9"/>
      <c r="E260" s="9"/>
      <c r="F260" s="13"/>
      <c r="G260" s="13"/>
      <c r="H260" s="13"/>
      <c r="I260" s="9"/>
    </row>
    <row r="261">
      <c r="A261" s="9"/>
      <c r="B261" s="9"/>
      <c r="C261" s="9"/>
      <c r="D261" s="9"/>
      <c r="E261" s="9"/>
      <c r="F261" s="13"/>
      <c r="G261" s="13"/>
      <c r="H261" s="13"/>
      <c r="I261" s="9"/>
    </row>
    <row r="262">
      <c r="A262" s="9"/>
      <c r="B262" s="9"/>
      <c r="C262" s="9"/>
      <c r="D262" s="9"/>
      <c r="E262" s="9"/>
      <c r="F262" s="13"/>
      <c r="G262" s="13"/>
      <c r="H262" s="13"/>
      <c r="I262" s="9"/>
    </row>
    <row r="263">
      <c r="A263" s="9"/>
      <c r="B263" s="9"/>
      <c r="C263" s="9"/>
      <c r="D263" s="9"/>
      <c r="E263" s="9"/>
      <c r="F263" s="13"/>
      <c r="G263" s="13"/>
      <c r="H263" s="13"/>
      <c r="I263" s="9"/>
    </row>
    <row r="264">
      <c r="A264" s="9"/>
      <c r="B264" s="9"/>
      <c r="C264" s="9"/>
      <c r="D264" s="9"/>
      <c r="E264" s="9"/>
      <c r="F264" s="13"/>
      <c r="G264" s="13"/>
      <c r="H264" s="13"/>
      <c r="I264" s="9"/>
    </row>
    <row r="265">
      <c r="A265" s="9"/>
      <c r="B265" s="9"/>
      <c r="C265" s="9"/>
      <c r="D265" s="9"/>
      <c r="E265" s="9"/>
      <c r="F265" s="13"/>
      <c r="G265" s="13"/>
      <c r="H265" s="13"/>
      <c r="I265" s="9"/>
    </row>
    <row r="266">
      <c r="A266" s="9"/>
      <c r="B266" s="9"/>
      <c r="C266" s="9"/>
      <c r="D266" s="9"/>
      <c r="E266" s="9"/>
      <c r="F266" s="13"/>
      <c r="G266" s="13"/>
      <c r="H266" s="13"/>
      <c r="I266" s="9"/>
    </row>
    <row r="267">
      <c r="A267" s="9"/>
      <c r="B267" s="9"/>
      <c r="C267" s="9"/>
      <c r="D267" s="9"/>
      <c r="E267" s="9"/>
      <c r="F267" s="13"/>
      <c r="G267" s="13"/>
      <c r="H267" s="13"/>
      <c r="I267" s="9"/>
    </row>
    <row r="268">
      <c r="A268" s="9"/>
      <c r="B268" s="9"/>
      <c r="C268" s="9"/>
      <c r="D268" s="9"/>
      <c r="E268" s="9"/>
      <c r="F268" s="13"/>
      <c r="G268" s="13"/>
      <c r="H268" s="13"/>
      <c r="I268" s="9"/>
    </row>
    <row r="269">
      <c r="A269" s="9"/>
      <c r="B269" s="9"/>
      <c r="C269" s="9"/>
      <c r="D269" s="9"/>
      <c r="E269" s="9"/>
      <c r="F269" s="13"/>
      <c r="G269" s="13"/>
      <c r="H269" s="13"/>
      <c r="I269" s="9"/>
    </row>
    <row r="270">
      <c r="A270" s="9"/>
      <c r="B270" s="9"/>
      <c r="C270" s="9"/>
      <c r="D270" s="9"/>
      <c r="E270" s="9"/>
      <c r="F270" s="13"/>
      <c r="G270" s="13"/>
      <c r="H270" s="13"/>
      <c r="I270" s="9"/>
    </row>
    <row r="271">
      <c r="A271" s="9"/>
      <c r="B271" s="9"/>
      <c r="C271" s="9"/>
      <c r="D271" s="9"/>
      <c r="E271" s="9"/>
      <c r="F271" s="13"/>
      <c r="G271" s="13"/>
      <c r="H271" s="13"/>
      <c r="I271" s="9"/>
    </row>
    <row r="272">
      <c r="A272" s="9"/>
      <c r="B272" s="9"/>
      <c r="C272" s="9"/>
      <c r="D272" s="9"/>
      <c r="E272" s="9"/>
      <c r="F272" s="13"/>
      <c r="G272" s="13"/>
      <c r="H272" s="13"/>
      <c r="I272" s="9"/>
    </row>
    <row r="273">
      <c r="A273" s="9"/>
      <c r="B273" s="9"/>
      <c r="C273" s="9"/>
      <c r="D273" s="9"/>
      <c r="E273" s="9"/>
      <c r="F273" s="13"/>
      <c r="G273" s="13"/>
      <c r="H273" s="13"/>
      <c r="I273" s="9"/>
    </row>
    <row r="274">
      <c r="A274" s="9"/>
      <c r="B274" s="9"/>
      <c r="C274" s="9"/>
      <c r="D274" s="9"/>
      <c r="E274" s="9"/>
      <c r="F274" s="13"/>
      <c r="G274" s="13"/>
      <c r="H274" s="13"/>
      <c r="I274" s="9"/>
    </row>
    <row r="275">
      <c r="A275" s="9"/>
      <c r="B275" s="9"/>
      <c r="C275" s="9"/>
      <c r="D275" s="9"/>
      <c r="E275" s="9"/>
      <c r="F275" s="13"/>
      <c r="G275" s="13"/>
      <c r="H275" s="13"/>
      <c r="I275" s="9"/>
    </row>
    <row r="276">
      <c r="A276" s="9"/>
      <c r="B276" s="9"/>
      <c r="C276" s="9"/>
      <c r="D276" s="9"/>
      <c r="E276" s="9"/>
      <c r="F276" s="13"/>
      <c r="G276" s="13"/>
      <c r="H276" s="13"/>
      <c r="I276" s="9"/>
    </row>
    <row r="277">
      <c r="A277" s="9"/>
      <c r="B277" s="9"/>
      <c r="C277" s="9"/>
      <c r="D277" s="9"/>
      <c r="E277" s="9"/>
      <c r="F277" s="13"/>
      <c r="G277" s="13"/>
      <c r="H277" s="13"/>
      <c r="I277" s="9"/>
    </row>
    <row r="278">
      <c r="A278" s="9"/>
      <c r="B278" s="9"/>
      <c r="C278" s="9"/>
      <c r="D278" s="9"/>
      <c r="E278" s="9"/>
      <c r="F278" s="13"/>
      <c r="G278" s="13"/>
      <c r="H278" s="13"/>
      <c r="I278" s="9"/>
    </row>
    <row r="279">
      <c r="A279" s="9"/>
      <c r="B279" s="9"/>
      <c r="C279" s="9"/>
      <c r="D279" s="9"/>
      <c r="E279" s="9"/>
      <c r="F279" s="13"/>
      <c r="G279" s="13"/>
      <c r="H279" s="13"/>
      <c r="I279" s="9"/>
    </row>
    <row r="280">
      <c r="A280" s="9"/>
      <c r="B280" s="9"/>
      <c r="C280" s="9"/>
      <c r="D280" s="9"/>
      <c r="E280" s="9"/>
      <c r="F280" s="13"/>
      <c r="G280" s="13"/>
      <c r="H280" s="13"/>
      <c r="I280" s="9"/>
    </row>
    <row r="281">
      <c r="A281" s="9"/>
      <c r="B281" s="9"/>
      <c r="C281" s="9"/>
      <c r="D281" s="9"/>
      <c r="E281" s="9"/>
      <c r="F281" s="13"/>
      <c r="G281" s="13"/>
      <c r="H281" s="13"/>
      <c r="I281" s="9"/>
    </row>
    <row r="282">
      <c r="A282" s="9"/>
      <c r="B282" s="9"/>
      <c r="C282" s="9"/>
      <c r="D282" s="9"/>
      <c r="E282" s="9"/>
      <c r="F282" s="13"/>
      <c r="G282" s="13"/>
      <c r="H282" s="13"/>
      <c r="I282" s="9"/>
    </row>
    <row r="283">
      <c r="A283" s="9"/>
      <c r="B283" s="9"/>
      <c r="C283" s="9"/>
      <c r="D283" s="9"/>
      <c r="E283" s="9"/>
      <c r="F283" s="13"/>
      <c r="G283" s="13"/>
      <c r="H283" s="13"/>
      <c r="I283" s="9"/>
    </row>
    <row r="284">
      <c r="A284" s="9"/>
      <c r="B284" s="9"/>
      <c r="C284" s="9"/>
      <c r="D284" s="9"/>
      <c r="E284" s="9"/>
      <c r="F284" s="13"/>
      <c r="G284" s="13"/>
      <c r="H284" s="13"/>
      <c r="I284" s="9"/>
    </row>
    <row r="285">
      <c r="A285" s="9"/>
      <c r="B285" s="9"/>
      <c r="C285" s="9"/>
      <c r="D285" s="9"/>
      <c r="E285" s="9"/>
      <c r="F285" s="13"/>
      <c r="G285" s="13"/>
      <c r="H285" s="13"/>
      <c r="I285" s="9"/>
    </row>
    <row r="286">
      <c r="A286" s="9"/>
      <c r="B286" s="9"/>
      <c r="C286" s="9"/>
      <c r="D286" s="9"/>
      <c r="E286" s="9"/>
      <c r="F286" s="13"/>
      <c r="G286" s="13"/>
      <c r="H286" s="13"/>
      <c r="I286" s="9"/>
    </row>
    <row r="287">
      <c r="A287" s="9"/>
      <c r="B287" s="9"/>
      <c r="C287" s="9"/>
      <c r="D287" s="9"/>
      <c r="E287" s="9"/>
      <c r="F287" s="13"/>
      <c r="G287" s="13"/>
      <c r="H287" s="13"/>
      <c r="I287" s="9"/>
    </row>
    <row r="288">
      <c r="A288" s="9"/>
      <c r="B288" s="9"/>
      <c r="C288" s="9"/>
      <c r="D288" s="9"/>
      <c r="E288" s="9"/>
      <c r="F288" s="13"/>
      <c r="G288" s="13"/>
      <c r="H288" s="13"/>
      <c r="I288" s="9"/>
    </row>
    <row r="289">
      <c r="A289" s="9"/>
      <c r="B289" s="9"/>
      <c r="C289" s="9"/>
      <c r="D289" s="9"/>
      <c r="E289" s="9"/>
      <c r="F289" s="13"/>
      <c r="G289" s="13"/>
      <c r="H289" s="13"/>
      <c r="I289" s="9"/>
    </row>
    <row r="290">
      <c r="A290" s="9"/>
      <c r="B290" s="9"/>
      <c r="C290" s="9"/>
      <c r="D290" s="9"/>
      <c r="E290" s="9"/>
      <c r="F290" s="13"/>
      <c r="G290" s="13"/>
      <c r="H290" s="13"/>
      <c r="I290" s="9"/>
    </row>
    <row r="291">
      <c r="A291" s="9"/>
      <c r="B291" s="9"/>
      <c r="C291" s="9"/>
      <c r="D291" s="9"/>
      <c r="E291" s="9"/>
      <c r="F291" s="13"/>
      <c r="G291" s="13"/>
      <c r="H291" s="13"/>
      <c r="I291" s="9"/>
    </row>
    <row r="292">
      <c r="A292" s="9"/>
      <c r="B292" s="9"/>
      <c r="C292" s="9"/>
      <c r="D292" s="9"/>
      <c r="E292" s="9"/>
      <c r="F292" s="13"/>
      <c r="G292" s="13"/>
      <c r="H292" s="13"/>
      <c r="I292" s="9"/>
    </row>
    <row r="293">
      <c r="A293" s="9"/>
      <c r="B293" s="9"/>
      <c r="C293" s="9"/>
      <c r="D293" s="9"/>
      <c r="E293" s="9"/>
      <c r="F293" s="13"/>
      <c r="G293" s="13"/>
      <c r="H293" s="13"/>
      <c r="I293" s="9"/>
    </row>
    <row r="294">
      <c r="A294" s="9"/>
      <c r="B294" s="9"/>
      <c r="C294" s="9"/>
      <c r="D294" s="9"/>
      <c r="E294" s="9"/>
      <c r="F294" s="13"/>
      <c r="G294" s="13"/>
      <c r="H294" s="13"/>
      <c r="I294" s="9"/>
    </row>
    <row r="295">
      <c r="A295" s="9"/>
      <c r="B295" s="9"/>
      <c r="C295" s="9"/>
      <c r="D295" s="9"/>
      <c r="E295" s="9"/>
      <c r="F295" s="13"/>
      <c r="G295" s="13"/>
      <c r="H295" s="13"/>
      <c r="I295" s="9"/>
    </row>
    <row r="296">
      <c r="A296" s="9"/>
      <c r="B296" s="9"/>
      <c r="C296" s="9"/>
      <c r="D296" s="9"/>
      <c r="E296" s="9"/>
      <c r="F296" s="13"/>
      <c r="G296" s="13"/>
      <c r="H296" s="13"/>
      <c r="I296" s="9"/>
    </row>
    <row r="297">
      <c r="A297" s="9"/>
      <c r="B297" s="9"/>
      <c r="C297" s="9"/>
      <c r="D297" s="9"/>
      <c r="E297" s="9"/>
      <c r="F297" s="13"/>
      <c r="G297" s="13"/>
      <c r="H297" s="13"/>
      <c r="I297" s="9"/>
    </row>
    <row r="298">
      <c r="A298" s="9"/>
      <c r="B298" s="9"/>
      <c r="C298" s="9"/>
      <c r="D298" s="9"/>
      <c r="E298" s="9"/>
      <c r="F298" s="13"/>
      <c r="G298" s="13"/>
      <c r="H298" s="13"/>
      <c r="I298" s="9"/>
    </row>
    <row r="299">
      <c r="A299" s="9"/>
      <c r="B299" s="9"/>
      <c r="C299" s="9"/>
      <c r="D299" s="9"/>
      <c r="E299" s="9"/>
      <c r="F299" s="13"/>
      <c r="G299" s="13"/>
      <c r="H299" s="13"/>
      <c r="I299" s="9"/>
    </row>
    <row r="300">
      <c r="A300" s="9"/>
      <c r="B300" s="9"/>
      <c r="C300" s="9"/>
      <c r="D300" s="9"/>
      <c r="E300" s="9"/>
      <c r="F300" s="13"/>
      <c r="G300" s="13"/>
      <c r="H300" s="13"/>
      <c r="I300" s="9"/>
    </row>
    <row r="301">
      <c r="A301" s="9"/>
      <c r="B301" s="9"/>
      <c r="C301" s="9"/>
      <c r="D301" s="9"/>
      <c r="E301" s="9"/>
      <c r="F301" s="13"/>
      <c r="G301" s="13"/>
      <c r="H301" s="13"/>
      <c r="I301" s="9"/>
    </row>
    <row r="302">
      <c r="A302" s="9"/>
      <c r="B302" s="9"/>
      <c r="C302" s="9"/>
      <c r="D302" s="9"/>
      <c r="E302" s="9"/>
      <c r="F302" s="13"/>
      <c r="G302" s="13"/>
      <c r="H302" s="13"/>
      <c r="I302" s="9"/>
    </row>
    <row r="303">
      <c r="A303" s="9"/>
      <c r="B303" s="9"/>
      <c r="C303" s="9"/>
      <c r="D303" s="9"/>
      <c r="E303" s="9"/>
      <c r="F303" s="13"/>
      <c r="G303" s="13"/>
      <c r="H303" s="13"/>
      <c r="I303" s="9"/>
    </row>
    <row r="304">
      <c r="A304" s="9"/>
      <c r="B304" s="9"/>
      <c r="C304" s="9"/>
      <c r="D304" s="9"/>
      <c r="E304" s="9"/>
      <c r="F304" s="13"/>
      <c r="G304" s="13"/>
      <c r="H304" s="13"/>
      <c r="I304" s="9"/>
    </row>
    <row r="305">
      <c r="A305" s="9"/>
      <c r="B305" s="9"/>
      <c r="C305" s="9"/>
      <c r="D305" s="9"/>
      <c r="E305" s="9"/>
      <c r="F305" s="13"/>
      <c r="G305" s="13"/>
      <c r="H305" s="13"/>
      <c r="I305" s="9"/>
    </row>
    <row r="306">
      <c r="A306" s="9"/>
      <c r="B306" s="9"/>
      <c r="C306" s="9"/>
      <c r="D306" s="9"/>
      <c r="E306" s="9"/>
      <c r="F306" s="13"/>
      <c r="G306" s="13"/>
      <c r="H306" s="13"/>
      <c r="I306" s="9"/>
    </row>
    <row r="307">
      <c r="A307" s="9"/>
      <c r="B307" s="9"/>
      <c r="C307" s="9"/>
      <c r="D307" s="9"/>
      <c r="E307" s="9"/>
      <c r="F307" s="13"/>
      <c r="G307" s="13"/>
      <c r="H307" s="13"/>
      <c r="I307" s="9"/>
    </row>
    <row r="308">
      <c r="A308" s="9"/>
      <c r="B308" s="9"/>
      <c r="C308" s="9"/>
      <c r="D308" s="9"/>
      <c r="E308" s="9"/>
      <c r="F308" s="13"/>
      <c r="G308" s="13"/>
      <c r="H308" s="13"/>
      <c r="I308" s="9"/>
    </row>
    <row r="309">
      <c r="A309" s="9"/>
      <c r="B309" s="9"/>
      <c r="C309" s="9"/>
      <c r="D309" s="9"/>
      <c r="E309" s="9"/>
      <c r="F309" s="13"/>
      <c r="G309" s="13"/>
      <c r="H309" s="13"/>
      <c r="I309" s="9"/>
    </row>
    <row r="310">
      <c r="A310" s="9"/>
      <c r="B310" s="9"/>
      <c r="C310" s="9"/>
      <c r="D310" s="9"/>
      <c r="E310" s="9"/>
      <c r="F310" s="13"/>
      <c r="G310" s="13"/>
      <c r="H310" s="13"/>
      <c r="I310" s="9"/>
    </row>
    <row r="311">
      <c r="A311" s="9"/>
      <c r="B311" s="9"/>
      <c r="C311" s="9"/>
      <c r="D311" s="9"/>
      <c r="E311" s="9"/>
      <c r="F311" s="13"/>
      <c r="G311" s="13"/>
      <c r="H311" s="13"/>
      <c r="I311" s="9"/>
    </row>
    <row r="312">
      <c r="A312" s="9"/>
      <c r="B312" s="9"/>
      <c r="C312" s="9"/>
      <c r="D312" s="9"/>
      <c r="E312" s="9"/>
      <c r="F312" s="13"/>
      <c r="G312" s="13"/>
      <c r="H312" s="13"/>
      <c r="I312" s="9"/>
    </row>
    <row r="313">
      <c r="A313" s="9"/>
      <c r="B313" s="9"/>
      <c r="C313" s="9"/>
      <c r="D313" s="9"/>
      <c r="E313" s="9"/>
      <c r="F313" s="13"/>
      <c r="G313" s="13"/>
      <c r="H313" s="13"/>
      <c r="I313" s="9"/>
    </row>
    <row r="314">
      <c r="A314" s="9"/>
      <c r="B314" s="9"/>
      <c r="C314" s="9"/>
      <c r="D314" s="9"/>
      <c r="E314" s="9"/>
      <c r="F314" s="13"/>
      <c r="G314" s="13"/>
      <c r="H314" s="13"/>
      <c r="I314" s="9"/>
    </row>
    <row r="315">
      <c r="A315" s="9"/>
      <c r="B315" s="9"/>
      <c r="C315" s="9"/>
      <c r="D315" s="9"/>
      <c r="E315" s="9"/>
      <c r="F315" s="13"/>
      <c r="G315" s="13"/>
      <c r="H315" s="13"/>
      <c r="I315" s="9"/>
    </row>
    <row r="316">
      <c r="A316" s="9"/>
      <c r="B316" s="9"/>
      <c r="C316" s="9"/>
      <c r="D316" s="9"/>
      <c r="E316" s="9"/>
      <c r="F316" s="13"/>
      <c r="G316" s="13"/>
      <c r="H316" s="13"/>
      <c r="I316" s="9"/>
    </row>
    <row r="317">
      <c r="A317" s="9"/>
      <c r="B317" s="9"/>
      <c r="C317" s="9"/>
      <c r="D317" s="9"/>
      <c r="E317" s="9"/>
      <c r="F317" s="13"/>
      <c r="G317" s="13"/>
      <c r="H317" s="13"/>
      <c r="I317" s="9"/>
    </row>
    <row r="318">
      <c r="A318" s="9"/>
      <c r="B318" s="9"/>
      <c r="C318" s="9"/>
      <c r="D318" s="9"/>
      <c r="E318" s="9"/>
      <c r="F318" s="13"/>
      <c r="G318" s="13"/>
      <c r="H318" s="13"/>
      <c r="I318" s="9"/>
    </row>
    <row r="319">
      <c r="A319" s="9"/>
      <c r="B319" s="9"/>
      <c r="C319" s="9"/>
      <c r="D319" s="9"/>
      <c r="E319" s="9"/>
      <c r="F319" s="13"/>
      <c r="G319" s="13"/>
      <c r="H319" s="13"/>
      <c r="I319" s="9"/>
    </row>
    <row r="320">
      <c r="A320" s="9"/>
      <c r="B320" s="9"/>
      <c r="C320" s="9"/>
      <c r="D320" s="9"/>
      <c r="E320" s="9"/>
      <c r="F320" s="13"/>
      <c r="G320" s="13"/>
      <c r="H320" s="13"/>
      <c r="I320" s="9"/>
    </row>
    <row r="321">
      <c r="A321" s="9"/>
      <c r="B321" s="9"/>
      <c r="C321" s="9"/>
      <c r="D321" s="9"/>
      <c r="E321" s="9"/>
      <c r="F321" s="13"/>
      <c r="G321" s="13"/>
      <c r="H321" s="13"/>
      <c r="I321" s="9"/>
    </row>
    <row r="322">
      <c r="A322" s="9"/>
      <c r="B322" s="9"/>
      <c r="C322" s="9"/>
      <c r="D322" s="9"/>
      <c r="E322" s="9"/>
      <c r="F322" s="13"/>
      <c r="G322" s="13"/>
      <c r="H322" s="13"/>
      <c r="I322" s="9"/>
    </row>
    <row r="323">
      <c r="A323" s="9"/>
      <c r="B323" s="9"/>
      <c r="C323" s="9"/>
      <c r="D323" s="9"/>
      <c r="E323" s="9"/>
      <c r="F323" s="13"/>
      <c r="G323" s="13"/>
      <c r="H323" s="13"/>
      <c r="I323" s="9"/>
    </row>
    <row r="324">
      <c r="A324" s="9"/>
      <c r="B324" s="9"/>
      <c r="C324" s="9"/>
      <c r="D324" s="9"/>
      <c r="E324" s="9"/>
      <c r="F324" s="13"/>
      <c r="G324" s="13"/>
      <c r="H324" s="13"/>
      <c r="I324" s="9"/>
    </row>
    <row r="325">
      <c r="A325" s="9"/>
      <c r="B325" s="9"/>
      <c r="C325" s="9"/>
      <c r="D325" s="9"/>
      <c r="E325" s="9"/>
      <c r="F325" s="13"/>
      <c r="G325" s="13"/>
      <c r="H325" s="13"/>
      <c r="I325" s="9"/>
    </row>
    <row r="326">
      <c r="A326" s="9"/>
      <c r="B326" s="9"/>
      <c r="C326" s="9"/>
      <c r="D326" s="9"/>
      <c r="E326" s="9"/>
      <c r="F326" s="13"/>
      <c r="G326" s="13"/>
      <c r="H326" s="13"/>
      <c r="I326" s="9"/>
    </row>
    <row r="327">
      <c r="A327" s="9"/>
      <c r="B327" s="9"/>
      <c r="C327" s="9"/>
      <c r="D327" s="9"/>
      <c r="E327" s="9"/>
      <c r="F327" s="13"/>
      <c r="G327" s="13"/>
      <c r="H327" s="13"/>
      <c r="I327" s="9"/>
    </row>
    <row r="328">
      <c r="A328" s="9"/>
      <c r="B328" s="9"/>
      <c r="C328" s="9"/>
      <c r="D328" s="9"/>
      <c r="E328" s="9"/>
      <c r="F328" s="13"/>
      <c r="G328" s="13"/>
      <c r="H328" s="13"/>
      <c r="I328" s="9"/>
    </row>
    <row r="329">
      <c r="A329" s="9"/>
      <c r="B329" s="9"/>
      <c r="C329" s="9"/>
      <c r="D329" s="9"/>
      <c r="E329" s="9"/>
      <c r="F329" s="13"/>
      <c r="G329" s="13"/>
      <c r="H329" s="13"/>
      <c r="I329" s="9"/>
    </row>
    <row r="330">
      <c r="A330" s="9"/>
      <c r="B330" s="9"/>
      <c r="C330" s="9"/>
      <c r="D330" s="9"/>
      <c r="E330" s="9"/>
      <c r="F330" s="13"/>
      <c r="G330" s="13"/>
      <c r="H330" s="13"/>
      <c r="I330" s="9"/>
    </row>
    <row r="331">
      <c r="A331" s="9"/>
      <c r="B331" s="9"/>
      <c r="C331" s="9"/>
      <c r="D331" s="9"/>
      <c r="E331" s="9"/>
      <c r="F331" s="13"/>
      <c r="G331" s="13"/>
      <c r="H331" s="13"/>
      <c r="I331" s="9"/>
    </row>
    <row r="332">
      <c r="A332" s="9"/>
      <c r="B332" s="9"/>
      <c r="C332" s="9"/>
      <c r="D332" s="9"/>
      <c r="E332" s="9"/>
      <c r="F332" s="13"/>
      <c r="G332" s="13"/>
      <c r="H332" s="13"/>
      <c r="I332" s="9"/>
    </row>
    <row r="333">
      <c r="A333" s="9"/>
      <c r="B333" s="9"/>
      <c r="C333" s="9"/>
      <c r="D333" s="9"/>
      <c r="E333" s="9"/>
      <c r="F333" s="13"/>
      <c r="G333" s="13"/>
      <c r="H333" s="13"/>
      <c r="I333" s="9"/>
    </row>
    <row r="334">
      <c r="A334" s="9"/>
      <c r="B334" s="9"/>
      <c r="C334" s="9"/>
      <c r="D334" s="9"/>
      <c r="E334" s="9"/>
      <c r="F334" s="13"/>
      <c r="G334" s="13"/>
      <c r="H334" s="13"/>
      <c r="I334" s="9"/>
    </row>
    <row r="335">
      <c r="A335" s="9"/>
      <c r="B335" s="9"/>
      <c r="C335" s="9"/>
      <c r="D335" s="9"/>
      <c r="E335" s="9"/>
      <c r="F335" s="13"/>
      <c r="G335" s="13"/>
      <c r="H335" s="13"/>
      <c r="I335" s="9"/>
    </row>
    <row r="336">
      <c r="A336" s="9"/>
      <c r="B336" s="9"/>
      <c r="C336" s="9"/>
      <c r="D336" s="9"/>
      <c r="E336" s="9"/>
      <c r="F336" s="13"/>
      <c r="G336" s="13"/>
      <c r="H336" s="13"/>
      <c r="I336" s="9"/>
    </row>
    <row r="337">
      <c r="A337" s="9"/>
      <c r="B337" s="9"/>
      <c r="C337" s="9"/>
      <c r="D337" s="9"/>
      <c r="E337" s="9"/>
      <c r="F337" s="13"/>
      <c r="G337" s="13"/>
      <c r="H337" s="13"/>
      <c r="I337" s="9"/>
    </row>
    <row r="338">
      <c r="A338" s="9"/>
      <c r="B338" s="9"/>
      <c r="C338" s="9"/>
      <c r="D338" s="9"/>
      <c r="E338" s="9"/>
      <c r="F338" s="13"/>
      <c r="G338" s="13"/>
      <c r="H338" s="13"/>
      <c r="I338" s="9"/>
    </row>
    <row r="339">
      <c r="A339" s="9"/>
      <c r="B339" s="9"/>
      <c r="C339" s="9"/>
      <c r="D339" s="9"/>
      <c r="E339" s="9"/>
      <c r="F339" s="13"/>
      <c r="G339" s="13"/>
      <c r="H339" s="13"/>
      <c r="I339" s="9"/>
    </row>
    <row r="340">
      <c r="A340" s="9"/>
      <c r="B340" s="9"/>
      <c r="C340" s="9"/>
      <c r="D340" s="9"/>
      <c r="E340" s="9"/>
      <c r="F340" s="13"/>
      <c r="G340" s="13"/>
      <c r="H340" s="13"/>
      <c r="I340" s="9"/>
    </row>
    <row r="341">
      <c r="A341" s="9"/>
      <c r="B341" s="9"/>
      <c r="C341" s="9"/>
      <c r="D341" s="9"/>
      <c r="E341" s="9"/>
      <c r="F341" s="13"/>
      <c r="G341" s="13"/>
      <c r="H341" s="13"/>
      <c r="I341" s="9"/>
    </row>
    <row r="342">
      <c r="A342" s="9"/>
      <c r="B342" s="9"/>
      <c r="C342" s="9"/>
      <c r="D342" s="9"/>
      <c r="E342" s="9"/>
      <c r="F342" s="13"/>
      <c r="G342" s="13"/>
      <c r="H342" s="13"/>
      <c r="I342" s="9"/>
    </row>
    <row r="343">
      <c r="A343" s="9"/>
      <c r="B343" s="9"/>
      <c r="C343" s="9"/>
      <c r="D343" s="9"/>
      <c r="E343" s="9"/>
      <c r="F343" s="13"/>
      <c r="G343" s="13"/>
      <c r="H343" s="13"/>
      <c r="I343" s="9"/>
    </row>
    <row r="344">
      <c r="A344" s="9"/>
      <c r="B344" s="9"/>
      <c r="C344" s="9"/>
      <c r="D344" s="9"/>
      <c r="E344" s="9"/>
      <c r="F344" s="13"/>
      <c r="G344" s="13"/>
      <c r="H344" s="13"/>
      <c r="I344" s="9"/>
    </row>
    <row r="345">
      <c r="A345" s="9"/>
      <c r="B345" s="9"/>
      <c r="C345" s="9"/>
      <c r="D345" s="9"/>
      <c r="E345" s="9"/>
      <c r="F345" s="13"/>
      <c r="G345" s="13"/>
      <c r="H345" s="13"/>
      <c r="I345" s="9"/>
    </row>
    <row r="346">
      <c r="A346" s="9"/>
      <c r="B346" s="9"/>
      <c r="C346" s="9"/>
      <c r="D346" s="9"/>
      <c r="E346" s="9"/>
      <c r="F346" s="13"/>
      <c r="G346" s="13"/>
      <c r="H346" s="13"/>
      <c r="I346" s="9"/>
    </row>
    <row r="347">
      <c r="A347" s="9"/>
      <c r="B347" s="9"/>
      <c r="C347" s="9"/>
      <c r="D347" s="9"/>
      <c r="E347" s="9"/>
      <c r="F347" s="13"/>
      <c r="G347" s="13"/>
      <c r="H347" s="13"/>
      <c r="I347" s="9"/>
    </row>
    <row r="348">
      <c r="A348" s="9"/>
      <c r="B348" s="9"/>
      <c r="C348" s="9"/>
      <c r="D348" s="9"/>
      <c r="E348" s="9"/>
      <c r="F348" s="13"/>
      <c r="G348" s="13"/>
      <c r="H348" s="13"/>
      <c r="I348" s="9"/>
    </row>
    <row r="349">
      <c r="A349" s="9"/>
      <c r="B349" s="9"/>
      <c r="C349" s="9"/>
      <c r="D349" s="9"/>
      <c r="E349" s="9"/>
      <c r="F349" s="13"/>
      <c r="G349" s="13"/>
      <c r="H349" s="13"/>
      <c r="I349" s="9"/>
    </row>
    <row r="350">
      <c r="A350" s="9"/>
      <c r="B350" s="9"/>
      <c r="C350" s="9"/>
      <c r="D350" s="9"/>
      <c r="E350" s="9"/>
      <c r="F350" s="13"/>
      <c r="G350" s="13"/>
      <c r="H350" s="13"/>
      <c r="I350" s="9"/>
    </row>
    <row r="351">
      <c r="A351" s="9"/>
      <c r="B351" s="9"/>
      <c r="C351" s="9"/>
      <c r="D351" s="9"/>
      <c r="E351" s="9"/>
      <c r="F351" s="13"/>
      <c r="G351" s="13"/>
      <c r="H351" s="13"/>
      <c r="I351" s="9"/>
    </row>
    <row r="352">
      <c r="A352" s="9"/>
      <c r="B352" s="9"/>
      <c r="C352" s="9"/>
      <c r="D352" s="9"/>
      <c r="E352" s="9"/>
      <c r="F352" s="13"/>
      <c r="G352" s="13"/>
      <c r="H352" s="13"/>
      <c r="I352" s="9"/>
    </row>
    <row r="353">
      <c r="A353" s="9"/>
      <c r="B353" s="9"/>
      <c r="C353" s="9"/>
      <c r="D353" s="9"/>
      <c r="E353" s="9"/>
      <c r="F353" s="13"/>
      <c r="G353" s="13"/>
      <c r="H353" s="13"/>
      <c r="I353" s="9"/>
    </row>
    <row r="354">
      <c r="A354" s="9"/>
      <c r="B354" s="9"/>
      <c r="C354" s="9"/>
      <c r="D354" s="9"/>
      <c r="E354" s="9"/>
      <c r="F354" s="13"/>
      <c r="G354" s="13"/>
      <c r="H354" s="13"/>
      <c r="I354" s="9"/>
    </row>
    <row r="355">
      <c r="A355" s="9"/>
      <c r="B355" s="9"/>
      <c r="C355" s="9"/>
      <c r="D355" s="9"/>
      <c r="E355" s="9"/>
      <c r="F355" s="13"/>
      <c r="G355" s="13"/>
      <c r="H355" s="13"/>
      <c r="I355" s="9"/>
    </row>
    <row r="356">
      <c r="A356" s="9"/>
      <c r="B356" s="9"/>
      <c r="C356" s="9"/>
      <c r="D356" s="9"/>
      <c r="E356" s="9"/>
      <c r="F356" s="13"/>
      <c r="G356" s="13"/>
      <c r="H356" s="13"/>
      <c r="I356" s="9"/>
    </row>
    <row r="357">
      <c r="A357" s="9"/>
      <c r="B357" s="9"/>
      <c r="C357" s="9"/>
      <c r="D357" s="9"/>
      <c r="E357" s="9"/>
      <c r="F357" s="13"/>
      <c r="G357" s="13"/>
      <c r="H357" s="13"/>
      <c r="I357" s="9"/>
    </row>
    <row r="358">
      <c r="A358" s="9"/>
      <c r="B358" s="9"/>
      <c r="C358" s="9"/>
      <c r="D358" s="9"/>
      <c r="E358" s="9"/>
      <c r="F358" s="13"/>
      <c r="G358" s="13"/>
      <c r="H358" s="13"/>
      <c r="I358" s="9"/>
    </row>
    <row r="359">
      <c r="A359" s="9"/>
      <c r="B359" s="9"/>
      <c r="C359" s="9"/>
      <c r="D359" s="9"/>
      <c r="E359" s="9"/>
      <c r="F359" s="13"/>
      <c r="G359" s="13"/>
      <c r="H359" s="13"/>
      <c r="I359" s="9"/>
    </row>
    <row r="360">
      <c r="A360" s="9"/>
      <c r="B360" s="9"/>
      <c r="C360" s="9"/>
      <c r="D360" s="9"/>
      <c r="E360" s="9"/>
      <c r="F360" s="13"/>
      <c r="G360" s="13"/>
      <c r="H360" s="13"/>
      <c r="I360" s="9"/>
    </row>
    <row r="361">
      <c r="A361" s="9"/>
      <c r="B361" s="9"/>
      <c r="C361" s="9"/>
      <c r="D361" s="9"/>
      <c r="E361" s="9"/>
      <c r="F361" s="13"/>
      <c r="G361" s="13"/>
      <c r="H361" s="13"/>
      <c r="I361" s="9"/>
    </row>
    <row r="362">
      <c r="A362" s="9"/>
      <c r="B362" s="9"/>
      <c r="C362" s="9"/>
      <c r="D362" s="9"/>
      <c r="E362" s="9"/>
      <c r="F362" s="13"/>
      <c r="G362" s="13"/>
      <c r="H362" s="13"/>
      <c r="I362" s="9"/>
    </row>
    <row r="363">
      <c r="A363" s="9"/>
      <c r="B363" s="9"/>
      <c r="C363" s="9"/>
      <c r="D363" s="9"/>
      <c r="E363" s="9"/>
      <c r="F363" s="13"/>
      <c r="G363" s="13"/>
      <c r="H363" s="13"/>
      <c r="I363" s="9"/>
    </row>
    <row r="364">
      <c r="A364" s="9"/>
      <c r="B364" s="9"/>
      <c r="C364" s="9"/>
      <c r="D364" s="9"/>
      <c r="E364" s="9"/>
      <c r="F364" s="13"/>
      <c r="G364" s="13"/>
      <c r="H364" s="13"/>
      <c r="I364" s="9"/>
    </row>
    <row r="365">
      <c r="A365" s="9"/>
      <c r="B365" s="9"/>
      <c r="C365" s="9"/>
      <c r="D365" s="9"/>
      <c r="E365" s="9"/>
      <c r="F365" s="13"/>
      <c r="G365" s="13"/>
      <c r="H365" s="13"/>
      <c r="I365" s="9"/>
    </row>
    <row r="366">
      <c r="A366" s="9"/>
      <c r="B366" s="9"/>
      <c r="C366" s="9"/>
      <c r="D366" s="9"/>
      <c r="E366" s="9"/>
      <c r="F366" s="13"/>
      <c r="G366" s="13"/>
      <c r="H366" s="13"/>
      <c r="I366" s="9"/>
    </row>
    <row r="367">
      <c r="A367" s="9"/>
      <c r="B367" s="9"/>
      <c r="C367" s="9"/>
      <c r="D367" s="9"/>
      <c r="E367" s="9"/>
      <c r="F367" s="13"/>
      <c r="G367" s="13"/>
      <c r="H367" s="13"/>
      <c r="I367" s="9"/>
    </row>
    <row r="368">
      <c r="A368" s="9"/>
      <c r="B368" s="9"/>
      <c r="C368" s="9"/>
      <c r="D368" s="9"/>
      <c r="E368" s="9"/>
      <c r="F368" s="13"/>
      <c r="G368" s="13"/>
      <c r="H368" s="13"/>
      <c r="I368" s="9"/>
    </row>
    <row r="369">
      <c r="A369" s="9"/>
      <c r="B369" s="9"/>
      <c r="C369" s="9"/>
      <c r="D369" s="9"/>
      <c r="E369" s="9"/>
      <c r="F369" s="13"/>
      <c r="G369" s="13"/>
      <c r="H369" s="13"/>
      <c r="I369" s="9"/>
    </row>
    <row r="370">
      <c r="A370" s="9"/>
      <c r="B370" s="9"/>
      <c r="C370" s="9"/>
      <c r="D370" s="9"/>
      <c r="E370" s="9"/>
      <c r="F370" s="13"/>
      <c r="G370" s="13"/>
      <c r="H370" s="13"/>
      <c r="I370" s="9"/>
    </row>
    <row r="371">
      <c r="A371" s="9"/>
      <c r="B371" s="9"/>
      <c r="C371" s="9"/>
      <c r="D371" s="9"/>
      <c r="E371" s="9"/>
      <c r="F371" s="13"/>
      <c r="G371" s="13"/>
      <c r="H371" s="13"/>
      <c r="I371" s="9"/>
    </row>
    <row r="372">
      <c r="A372" s="9"/>
      <c r="B372" s="9"/>
      <c r="C372" s="9"/>
      <c r="D372" s="9"/>
      <c r="E372" s="9"/>
      <c r="F372" s="13"/>
      <c r="G372" s="13"/>
      <c r="H372" s="13"/>
      <c r="I372" s="9"/>
    </row>
    <row r="373">
      <c r="A373" s="9"/>
      <c r="B373" s="9"/>
      <c r="C373" s="9"/>
      <c r="D373" s="9"/>
      <c r="E373" s="9"/>
      <c r="F373" s="13"/>
      <c r="G373" s="13"/>
      <c r="H373" s="13"/>
      <c r="I373" s="9"/>
    </row>
    <row r="374">
      <c r="A374" s="9"/>
      <c r="B374" s="9"/>
      <c r="C374" s="9"/>
      <c r="D374" s="9"/>
      <c r="E374" s="9"/>
      <c r="F374" s="13"/>
      <c r="G374" s="13"/>
      <c r="H374" s="13"/>
      <c r="I374" s="9"/>
    </row>
    <row r="375">
      <c r="A375" s="9"/>
      <c r="B375" s="9"/>
      <c r="C375" s="9"/>
      <c r="D375" s="9"/>
      <c r="E375" s="9"/>
      <c r="F375" s="13"/>
      <c r="G375" s="13"/>
      <c r="H375" s="13"/>
      <c r="I375" s="9"/>
    </row>
    <row r="376">
      <c r="A376" s="9"/>
      <c r="B376" s="9"/>
      <c r="C376" s="9"/>
      <c r="D376" s="9"/>
      <c r="E376" s="9"/>
      <c r="F376" s="13"/>
      <c r="G376" s="13"/>
      <c r="H376" s="13"/>
      <c r="I376" s="9"/>
    </row>
    <row r="377">
      <c r="A377" s="9"/>
      <c r="B377" s="9"/>
      <c r="C377" s="9"/>
      <c r="D377" s="9"/>
      <c r="E377" s="9"/>
      <c r="F377" s="13"/>
      <c r="G377" s="13"/>
      <c r="H377" s="13"/>
      <c r="I377" s="9"/>
    </row>
    <row r="378">
      <c r="A378" s="9"/>
      <c r="B378" s="9"/>
      <c r="C378" s="9"/>
      <c r="D378" s="9"/>
      <c r="E378" s="9"/>
      <c r="F378" s="13"/>
      <c r="G378" s="13"/>
      <c r="H378" s="13"/>
      <c r="I378" s="9"/>
    </row>
    <row r="379">
      <c r="A379" s="9"/>
      <c r="B379" s="9"/>
      <c r="C379" s="9"/>
      <c r="D379" s="9"/>
      <c r="E379" s="9"/>
      <c r="F379" s="13"/>
      <c r="G379" s="13"/>
      <c r="H379" s="13"/>
      <c r="I379" s="9"/>
    </row>
    <row r="380">
      <c r="A380" s="9"/>
      <c r="B380" s="9"/>
      <c r="C380" s="9"/>
      <c r="D380" s="9"/>
      <c r="E380" s="9"/>
      <c r="F380" s="13"/>
      <c r="G380" s="13"/>
      <c r="H380" s="13"/>
      <c r="I380" s="9"/>
    </row>
    <row r="381">
      <c r="A381" s="9"/>
      <c r="B381" s="9"/>
      <c r="C381" s="9"/>
      <c r="D381" s="9"/>
      <c r="E381" s="9"/>
      <c r="F381" s="13"/>
      <c r="G381" s="13"/>
      <c r="H381" s="13"/>
      <c r="I381" s="9"/>
    </row>
    <row r="382">
      <c r="A382" s="9"/>
      <c r="B382" s="9"/>
      <c r="C382" s="9"/>
      <c r="D382" s="9"/>
      <c r="E382" s="9"/>
      <c r="F382" s="13"/>
      <c r="G382" s="13"/>
      <c r="H382" s="13"/>
      <c r="I382" s="9"/>
    </row>
    <row r="383">
      <c r="A383" s="9"/>
      <c r="B383" s="9"/>
      <c r="C383" s="9"/>
      <c r="D383" s="9"/>
      <c r="E383" s="9"/>
      <c r="F383" s="13"/>
      <c r="G383" s="13"/>
      <c r="H383" s="13"/>
      <c r="I383" s="9"/>
    </row>
    <row r="384">
      <c r="A384" s="9"/>
      <c r="B384" s="9"/>
      <c r="C384" s="9"/>
      <c r="D384" s="9"/>
      <c r="E384" s="9"/>
      <c r="F384" s="13"/>
      <c r="G384" s="13"/>
      <c r="H384" s="13"/>
      <c r="I384" s="9"/>
    </row>
    <row r="385">
      <c r="A385" s="9"/>
      <c r="B385" s="9"/>
      <c r="C385" s="9"/>
      <c r="D385" s="9"/>
      <c r="E385" s="9"/>
      <c r="F385" s="13"/>
      <c r="G385" s="13"/>
      <c r="H385" s="13"/>
      <c r="I385" s="9"/>
    </row>
    <row r="386">
      <c r="A386" s="9"/>
      <c r="B386" s="9"/>
      <c r="C386" s="9"/>
      <c r="D386" s="9"/>
      <c r="E386" s="9"/>
      <c r="F386" s="13"/>
      <c r="G386" s="13"/>
      <c r="H386" s="13"/>
      <c r="I386" s="9"/>
    </row>
    <row r="387">
      <c r="A387" s="9"/>
      <c r="B387" s="9"/>
      <c r="C387" s="9"/>
      <c r="D387" s="9"/>
      <c r="E387" s="9"/>
      <c r="F387" s="13"/>
      <c r="G387" s="13"/>
      <c r="H387" s="13"/>
      <c r="I387" s="9"/>
    </row>
    <row r="388">
      <c r="A388" s="9"/>
      <c r="B388" s="9"/>
      <c r="C388" s="9"/>
      <c r="D388" s="9"/>
      <c r="E388" s="9"/>
      <c r="F388" s="13"/>
      <c r="G388" s="13"/>
      <c r="H388" s="13"/>
      <c r="I388" s="9"/>
    </row>
    <row r="389">
      <c r="A389" s="9"/>
      <c r="B389" s="9"/>
      <c r="C389" s="9"/>
      <c r="D389" s="9"/>
      <c r="E389" s="9"/>
      <c r="F389" s="13"/>
      <c r="G389" s="13"/>
      <c r="H389" s="13"/>
      <c r="I389" s="9"/>
    </row>
    <row r="390">
      <c r="A390" s="9"/>
      <c r="B390" s="9"/>
      <c r="C390" s="9"/>
      <c r="D390" s="9"/>
      <c r="E390" s="9"/>
      <c r="F390" s="13"/>
      <c r="G390" s="13"/>
      <c r="H390" s="13"/>
      <c r="I390" s="9"/>
    </row>
    <row r="391">
      <c r="A391" s="9"/>
      <c r="B391" s="9"/>
      <c r="C391" s="9"/>
      <c r="D391" s="9"/>
      <c r="E391" s="9"/>
      <c r="F391" s="13"/>
      <c r="G391" s="13"/>
      <c r="H391" s="13"/>
      <c r="I391" s="9"/>
    </row>
    <row r="392">
      <c r="A392" s="9"/>
      <c r="B392" s="9"/>
      <c r="C392" s="9"/>
      <c r="D392" s="9"/>
      <c r="E392" s="9"/>
      <c r="F392" s="13"/>
      <c r="G392" s="13"/>
      <c r="H392" s="13"/>
      <c r="I392" s="9"/>
    </row>
    <row r="393">
      <c r="A393" s="9"/>
      <c r="B393" s="9"/>
      <c r="C393" s="9"/>
      <c r="D393" s="9"/>
      <c r="E393" s="9"/>
      <c r="F393" s="13"/>
      <c r="G393" s="13"/>
      <c r="H393" s="13"/>
      <c r="I393" s="9"/>
    </row>
    <row r="394">
      <c r="A394" s="9"/>
      <c r="B394" s="9"/>
      <c r="C394" s="9"/>
      <c r="D394" s="9"/>
      <c r="E394" s="9"/>
      <c r="F394" s="13"/>
      <c r="G394" s="13"/>
      <c r="H394" s="13"/>
      <c r="I394" s="9"/>
    </row>
    <row r="395">
      <c r="A395" s="9"/>
      <c r="B395" s="9"/>
      <c r="C395" s="9"/>
      <c r="D395" s="9"/>
      <c r="E395" s="9"/>
      <c r="F395" s="13"/>
      <c r="G395" s="13"/>
      <c r="H395" s="13"/>
      <c r="I395" s="9"/>
    </row>
    <row r="396">
      <c r="A396" s="9"/>
      <c r="B396" s="9"/>
      <c r="C396" s="9"/>
      <c r="D396" s="9"/>
      <c r="E396" s="9"/>
      <c r="F396" s="13"/>
      <c r="G396" s="13"/>
      <c r="H396" s="13"/>
      <c r="I396" s="9"/>
    </row>
    <row r="397">
      <c r="A397" s="9"/>
      <c r="B397" s="9"/>
      <c r="C397" s="9"/>
      <c r="D397" s="9"/>
      <c r="E397" s="9"/>
      <c r="F397" s="13"/>
      <c r="G397" s="13"/>
      <c r="H397" s="13"/>
      <c r="I397" s="9"/>
    </row>
    <row r="398">
      <c r="A398" s="9"/>
      <c r="B398" s="9"/>
      <c r="C398" s="9"/>
      <c r="D398" s="9"/>
      <c r="E398" s="9"/>
      <c r="F398" s="13"/>
      <c r="G398" s="13"/>
      <c r="H398" s="13"/>
      <c r="I398" s="9"/>
    </row>
    <row r="399">
      <c r="A399" s="9"/>
      <c r="B399" s="9"/>
      <c r="C399" s="9"/>
      <c r="D399" s="9"/>
      <c r="E399" s="9"/>
      <c r="F399" s="13"/>
      <c r="G399" s="13"/>
      <c r="H399" s="13"/>
      <c r="I399" s="9"/>
    </row>
    <row r="400">
      <c r="A400" s="9"/>
      <c r="B400" s="9"/>
      <c r="C400" s="9"/>
      <c r="D400" s="9"/>
      <c r="E400" s="9"/>
      <c r="F400" s="13"/>
      <c r="G400" s="13"/>
      <c r="H400" s="13"/>
      <c r="I400" s="9"/>
    </row>
    <row r="401">
      <c r="A401" s="9"/>
      <c r="B401" s="9"/>
      <c r="C401" s="9"/>
      <c r="D401" s="9"/>
      <c r="E401" s="9"/>
      <c r="F401" s="13"/>
      <c r="G401" s="13"/>
      <c r="H401" s="13"/>
      <c r="I401" s="9"/>
    </row>
    <row r="402">
      <c r="A402" s="9"/>
      <c r="B402" s="9"/>
      <c r="C402" s="9"/>
      <c r="D402" s="9"/>
      <c r="E402" s="9"/>
      <c r="F402" s="13"/>
      <c r="G402" s="13"/>
      <c r="H402" s="13"/>
      <c r="I402" s="9"/>
    </row>
    <row r="403">
      <c r="A403" s="9"/>
      <c r="B403" s="9"/>
      <c r="C403" s="9"/>
      <c r="D403" s="9"/>
      <c r="E403" s="9"/>
      <c r="F403" s="13"/>
      <c r="G403" s="13"/>
      <c r="H403" s="13"/>
      <c r="I403" s="9"/>
    </row>
    <row r="404">
      <c r="A404" s="9"/>
      <c r="B404" s="9"/>
      <c r="C404" s="9"/>
      <c r="D404" s="9"/>
      <c r="E404" s="9"/>
      <c r="F404" s="13"/>
      <c r="G404" s="13"/>
      <c r="H404" s="13"/>
      <c r="I404" s="9"/>
    </row>
    <row r="405">
      <c r="A405" s="9"/>
      <c r="B405" s="9"/>
      <c r="C405" s="9"/>
      <c r="D405" s="9"/>
      <c r="E405" s="9"/>
      <c r="F405" s="13"/>
      <c r="G405" s="13"/>
      <c r="H405" s="13"/>
      <c r="I405" s="9"/>
    </row>
    <row r="406">
      <c r="A406" s="9"/>
      <c r="B406" s="9"/>
      <c r="C406" s="9"/>
      <c r="D406" s="9"/>
      <c r="E406" s="9"/>
      <c r="F406" s="13"/>
      <c r="G406" s="13"/>
      <c r="H406" s="13"/>
      <c r="I406" s="9"/>
    </row>
    <row r="407">
      <c r="A407" s="9"/>
      <c r="B407" s="9"/>
      <c r="C407" s="9"/>
      <c r="D407" s="9"/>
      <c r="E407" s="9"/>
      <c r="F407" s="13"/>
      <c r="G407" s="13"/>
      <c r="H407" s="13"/>
      <c r="I407" s="9"/>
    </row>
    <row r="408">
      <c r="A408" s="9"/>
      <c r="B408" s="9"/>
      <c r="C408" s="9"/>
      <c r="D408" s="9"/>
      <c r="E408" s="9"/>
      <c r="F408" s="13"/>
      <c r="G408" s="13"/>
      <c r="H408" s="13"/>
      <c r="I408" s="9"/>
    </row>
    <row r="409">
      <c r="A409" s="9"/>
      <c r="B409" s="9"/>
      <c r="C409" s="9"/>
      <c r="D409" s="9"/>
      <c r="E409" s="9"/>
      <c r="F409" s="13"/>
      <c r="G409" s="13"/>
      <c r="H409" s="13"/>
      <c r="I409" s="9"/>
    </row>
    <row r="410">
      <c r="A410" s="9"/>
      <c r="B410" s="9"/>
      <c r="C410" s="9"/>
      <c r="D410" s="9"/>
      <c r="E410" s="9"/>
      <c r="F410" s="13"/>
      <c r="G410" s="13"/>
      <c r="H410" s="13"/>
      <c r="I410" s="9"/>
    </row>
    <row r="411">
      <c r="A411" s="9"/>
      <c r="B411" s="9"/>
      <c r="C411" s="9"/>
      <c r="D411" s="9"/>
      <c r="E411" s="9"/>
      <c r="F411" s="13"/>
      <c r="G411" s="13"/>
      <c r="H411" s="13"/>
      <c r="I411" s="9"/>
    </row>
    <row r="412">
      <c r="A412" s="9"/>
      <c r="B412" s="9"/>
      <c r="C412" s="9"/>
      <c r="D412" s="9"/>
      <c r="E412" s="9"/>
      <c r="F412" s="13"/>
      <c r="G412" s="13"/>
      <c r="H412" s="13"/>
      <c r="I412" s="9"/>
    </row>
    <row r="413">
      <c r="A413" s="9"/>
      <c r="B413" s="9"/>
      <c r="C413" s="9"/>
      <c r="D413" s="9"/>
      <c r="E413" s="9"/>
      <c r="F413" s="13"/>
      <c r="G413" s="13"/>
      <c r="H413" s="13"/>
      <c r="I413" s="9"/>
    </row>
    <row r="414">
      <c r="A414" s="9"/>
      <c r="B414" s="9"/>
      <c r="C414" s="9"/>
      <c r="D414" s="9"/>
      <c r="E414" s="9"/>
      <c r="F414" s="13"/>
      <c r="G414" s="13"/>
      <c r="H414" s="13"/>
      <c r="I414" s="9"/>
    </row>
    <row r="415">
      <c r="A415" s="9"/>
      <c r="B415" s="9"/>
      <c r="C415" s="9"/>
      <c r="D415" s="9"/>
      <c r="E415" s="9"/>
      <c r="F415" s="13"/>
      <c r="G415" s="13"/>
      <c r="H415" s="13"/>
      <c r="I415" s="9"/>
    </row>
    <row r="416">
      <c r="A416" s="9"/>
      <c r="B416" s="9"/>
      <c r="C416" s="9"/>
      <c r="D416" s="9"/>
      <c r="E416" s="9"/>
      <c r="F416" s="13"/>
      <c r="G416" s="13"/>
      <c r="H416" s="13"/>
      <c r="I416" s="9"/>
    </row>
    <row r="417">
      <c r="A417" s="9"/>
      <c r="B417" s="9"/>
      <c r="C417" s="9"/>
      <c r="D417" s="9"/>
      <c r="E417" s="9"/>
      <c r="F417" s="13"/>
      <c r="G417" s="13"/>
      <c r="H417" s="13"/>
      <c r="I417" s="9"/>
    </row>
    <row r="418">
      <c r="A418" s="9"/>
      <c r="B418" s="9"/>
      <c r="C418" s="9"/>
      <c r="D418" s="9"/>
      <c r="E418" s="9"/>
      <c r="F418" s="13"/>
      <c r="G418" s="13"/>
      <c r="H418" s="13"/>
      <c r="I418" s="9"/>
    </row>
    <row r="419">
      <c r="A419" s="9"/>
      <c r="B419" s="9"/>
      <c r="C419" s="9"/>
      <c r="D419" s="9"/>
      <c r="E419" s="9"/>
      <c r="F419" s="13"/>
      <c r="G419" s="13"/>
      <c r="H419" s="13"/>
      <c r="I419" s="9"/>
    </row>
    <row r="420">
      <c r="A420" s="9"/>
      <c r="B420" s="9"/>
      <c r="C420" s="9"/>
      <c r="D420" s="9"/>
      <c r="E420" s="9"/>
      <c r="F420" s="13"/>
      <c r="G420" s="13"/>
      <c r="H420" s="13"/>
      <c r="I420" s="9"/>
    </row>
    <row r="421">
      <c r="A421" s="9"/>
      <c r="B421" s="9"/>
      <c r="C421" s="9"/>
      <c r="D421" s="9"/>
      <c r="E421" s="9"/>
      <c r="F421" s="13"/>
      <c r="G421" s="13"/>
      <c r="H421" s="13"/>
      <c r="I421" s="9"/>
    </row>
    <row r="422">
      <c r="A422" s="9"/>
      <c r="B422" s="9"/>
      <c r="C422" s="9"/>
      <c r="D422" s="9"/>
      <c r="E422" s="9"/>
      <c r="F422" s="13"/>
      <c r="G422" s="13"/>
      <c r="H422" s="13"/>
      <c r="I422" s="9"/>
    </row>
    <row r="423">
      <c r="A423" s="9"/>
      <c r="B423" s="9"/>
      <c r="C423" s="9"/>
      <c r="D423" s="9"/>
      <c r="E423" s="9"/>
      <c r="F423" s="13"/>
      <c r="G423" s="13"/>
      <c r="H423" s="13"/>
      <c r="I423" s="9"/>
    </row>
    <row r="424">
      <c r="A424" s="9"/>
      <c r="B424" s="9"/>
      <c r="C424" s="9"/>
      <c r="D424" s="9"/>
      <c r="E424" s="9"/>
      <c r="F424" s="13"/>
      <c r="G424" s="13"/>
      <c r="H424" s="13"/>
      <c r="I424" s="9"/>
    </row>
    <row r="425">
      <c r="A425" s="9"/>
      <c r="B425" s="9"/>
      <c r="C425" s="9"/>
      <c r="D425" s="9"/>
      <c r="E425" s="9"/>
      <c r="F425" s="13"/>
      <c r="G425" s="13"/>
      <c r="H425" s="13"/>
      <c r="I425" s="9"/>
    </row>
    <row r="426">
      <c r="A426" s="9"/>
      <c r="B426" s="9"/>
      <c r="C426" s="9"/>
      <c r="D426" s="9"/>
      <c r="E426" s="9"/>
      <c r="F426" s="13"/>
      <c r="G426" s="13"/>
      <c r="H426" s="13"/>
      <c r="I426" s="9"/>
    </row>
    <row r="427">
      <c r="A427" s="9"/>
      <c r="B427" s="9"/>
      <c r="C427" s="9"/>
      <c r="D427" s="9"/>
      <c r="E427" s="9"/>
      <c r="F427" s="13"/>
      <c r="G427" s="13"/>
      <c r="H427" s="13"/>
      <c r="I427" s="9"/>
    </row>
    <row r="428">
      <c r="A428" s="9"/>
      <c r="B428" s="9"/>
      <c r="C428" s="9"/>
      <c r="D428" s="9"/>
      <c r="E428" s="9"/>
      <c r="F428" s="13"/>
      <c r="G428" s="13"/>
      <c r="H428" s="13"/>
      <c r="I428" s="9"/>
    </row>
    <row r="429">
      <c r="A429" s="9"/>
      <c r="B429" s="9"/>
      <c r="C429" s="9"/>
      <c r="D429" s="9"/>
      <c r="E429" s="9"/>
      <c r="F429" s="13"/>
      <c r="G429" s="13"/>
      <c r="H429" s="13"/>
      <c r="I429" s="9"/>
    </row>
    <row r="430">
      <c r="A430" s="9"/>
      <c r="B430" s="9"/>
      <c r="C430" s="9"/>
      <c r="D430" s="9"/>
      <c r="E430" s="9"/>
      <c r="F430" s="13"/>
      <c r="G430" s="13"/>
      <c r="H430" s="13"/>
      <c r="I430" s="9"/>
    </row>
    <row r="431">
      <c r="A431" s="9"/>
      <c r="B431" s="9"/>
      <c r="C431" s="9"/>
      <c r="D431" s="9"/>
      <c r="E431" s="9"/>
      <c r="F431" s="13"/>
      <c r="G431" s="13"/>
      <c r="H431" s="13"/>
      <c r="I431" s="9"/>
    </row>
    <row r="432">
      <c r="A432" s="9"/>
      <c r="B432" s="9"/>
      <c r="C432" s="9"/>
      <c r="D432" s="9"/>
      <c r="E432" s="9"/>
      <c r="F432" s="13"/>
      <c r="G432" s="13"/>
      <c r="H432" s="13"/>
      <c r="I432" s="9"/>
    </row>
    <row r="433">
      <c r="A433" s="9"/>
      <c r="B433" s="9"/>
      <c r="C433" s="9"/>
      <c r="D433" s="9"/>
      <c r="E433" s="9"/>
      <c r="F433" s="13"/>
      <c r="G433" s="13"/>
      <c r="H433" s="13"/>
      <c r="I433" s="9"/>
    </row>
    <row r="434">
      <c r="A434" s="9"/>
      <c r="B434" s="9"/>
      <c r="C434" s="9"/>
      <c r="D434" s="9"/>
      <c r="E434" s="9"/>
      <c r="F434" s="13"/>
      <c r="G434" s="13"/>
      <c r="H434" s="13"/>
      <c r="I434" s="9"/>
    </row>
    <row r="435">
      <c r="A435" s="9"/>
      <c r="B435" s="9"/>
      <c r="C435" s="9"/>
      <c r="D435" s="9"/>
      <c r="E435" s="9"/>
      <c r="F435" s="13"/>
      <c r="G435" s="13"/>
      <c r="H435" s="13"/>
      <c r="I435" s="9"/>
    </row>
    <row r="436">
      <c r="A436" s="9"/>
      <c r="B436" s="9"/>
      <c r="C436" s="9"/>
      <c r="D436" s="9"/>
      <c r="E436" s="9"/>
      <c r="F436" s="13"/>
      <c r="G436" s="13"/>
      <c r="H436" s="13"/>
      <c r="I436" s="9"/>
    </row>
    <row r="437">
      <c r="A437" s="9"/>
      <c r="B437" s="9"/>
      <c r="C437" s="9"/>
      <c r="D437" s="9"/>
      <c r="E437" s="9"/>
      <c r="F437" s="13"/>
      <c r="G437" s="13"/>
      <c r="H437" s="13"/>
      <c r="I437" s="9"/>
    </row>
    <row r="438">
      <c r="A438" s="9"/>
      <c r="B438" s="9"/>
      <c r="C438" s="9"/>
      <c r="D438" s="9"/>
      <c r="E438" s="9"/>
      <c r="F438" s="13"/>
      <c r="G438" s="13"/>
      <c r="H438" s="13"/>
      <c r="I438" s="9"/>
    </row>
    <row r="439">
      <c r="A439" s="9"/>
      <c r="B439" s="9"/>
      <c r="C439" s="9"/>
      <c r="D439" s="9"/>
      <c r="E439" s="9"/>
      <c r="F439" s="13"/>
      <c r="G439" s="13"/>
      <c r="H439" s="13"/>
      <c r="I439" s="9"/>
    </row>
    <row r="440">
      <c r="A440" s="9"/>
      <c r="B440" s="9"/>
      <c r="C440" s="9"/>
      <c r="D440" s="9"/>
      <c r="E440" s="9"/>
      <c r="F440" s="13"/>
      <c r="G440" s="13"/>
      <c r="H440" s="13"/>
      <c r="I440" s="9"/>
    </row>
    <row r="441">
      <c r="A441" s="9"/>
      <c r="B441" s="9"/>
      <c r="C441" s="9"/>
      <c r="D441" s="9"/>
      <c r="E441" s="9"/>
      <c r="F441" s="13"/>
      <c r="G441" s="13"/>
      <c r="H441" s="13"/>
      <c r="I441" s="9"/>
    </row>
    <row r="442">
      <c r="A442" s="9"/>
      <c r="B442" s="9"/>
      <c r="C442" s="9"/>
      <c r="D442" s="9"/>
      <c r="E442" s="9"/>
      <c r="F442" s="13"/>
      <c r="G442" s="13"/>
      <c r="H442" s="13"/>
      <c r="I442" s="9"/>
    </row>
    <row r="443">
      <c r="A443" s="9"/>
      <c r="B443" s="9"/>
      <c r="C443" s="9"/>
      <c r="D443" s="9"/>
      <c r="E443" s="9"/>
      <c r="F443" s="13"/>
      <c r="G443" s="13"/>
      <c r="H443" s="13"/>
      <c r="I443" s="9"/>
    </row>
    <row r="444">
      <c r="A444" s="9"/>
      <c r="B444" s="9"/>
      <c r="C444" s="9"/>
      <c r="D444" s="9"/>
      <c r="E444" s="9"/>
      <c r="F444" s="13"/>
      <c r="G444" s="13"/>
      <c r="H444" s="13"/>
      <c r="I444" s="9"/>
    </row>
    <row r="445">
      <c r="A445" s="9"/>
      <c r="B445" s="9"/>
      <c r="C445" s="9"/>
      <c r="D445" s="9"/>
      <c r="E445" s="9"/>
      <c r="F445" s="13"/>
      <c r="G445" s="13"/>
      <c r="H445" s="13"/>
      <c r="I445" s="9"/>
    </row>
    <row r="446">
      <c r="A446" s="9"/>
      <c r="B446" s="9"/>
      <c r="C446" s="9"/>
      <c r="D446" s="9"/>
      <c r="E446" s="9"/>
      <c r="F446" s="13"/>
      <c r="G446" s="13"/>
      <c r="H446" s="13"/>
      <c r="I446" s="9"/>
    </row>
    <row r="447">
      <c r="A447" s="9"/>
      <c r="B447" s="9"/>
      <c r="C447" s="9"/>
      <c r="D447" s="9"/>
      <c r="E447" s="9"/>
      <c r="F447" s="13"/>
      <c r="G447" s="13"/>
      <c r="H447" s="13"/>
      <c r="I447" s="9"/>
    </row>
    <row r="448">
      <c r="A448" s="9"/>
      <c r="B448" s="9"/>
      <c r="C448" s="9"/>
      <c r="D448" s="9"/>
      <c r="E448" s="9"/>
      <c r="F448" s="13"/>
      <c r="G448" s="13"/>
      <c r="H448" s="13"/>
      <c r="I448" s="9"/>
    </row>
    <row r="449">
      <c r="A449" s="9"/>
      <c r="B449" s="9"/>
      <c r="C449" s="9"/>
      <c r="D449" s="9"/>
      <c r="E449" s="9"/>
      <c r="F449" s="13"/>
      <c r="G449" s="13"/>
      <c r="H449" s="13"/>
      <c r="I449" s="9"/>
    </row>
    <row r="450">
      <c r="A450" s="9"/>
      <c r="B450" s="9"/>
      <c r="C450" s="9"/>
      <c r="D450" s="9"/>
      <c r="E450" s="9"/>
      <c r="F450" s="13"/>
      <c r="G450" s="13"/>
      <c r="H450" s="13"/>
      <c r="I450" s="9"/>
    </row>
    <row r="451">
      <c r="A451" s="9"/>
      <c r="B451" s="9"/>
      <c r="C451" s="9"/>
      <c r="D451" s="9"/>
      <c r="E451" s="9"/>
      <c r="F451" s="13"/>
      <c r="G451" s="13"/>
      <c r="H451" s="13"/>
      <c r="I451" s="9"/>
    </row>
    <row r="452">
      <c r="A452" s="9"/>
      <c r="B452" s="9"/>
      <c r="C452" s="9"/>
      <c r="D452" s="9"/>
      <c r="E452" s="9"/>
      <c r="F452" s="13"/>
      <c r="G452" s="13"/>
      <c r="H452" s="13"/>
      <c r="I452" s="9"/>
    </row>
    <row r="453">
      <c r="A453" s="9"/>
      <c r="B453" s="9"/>
      <c r="C453" s="9"/>
      <c r="D453" s="9"/>
      <c r="E453" s="9"/>
      <c r="F453" s="13"/>
      <c r="G453" s="13"/>
      <c r="H453" s="13"/>
      <c r="I453" s="9"/>
    </row>
    <row r="454">
      <c r="A454" s="9"/>
      <c r="B454" s="9"/>
      <c r="C454" s="9"/>
      <c r="D454" s="9"/>
      <c r="E454" s="9"/>
      <c r="F454" s="13"/>
      <c r="G454" s="13"/>
      <c r="H454" s="13"/>
      <c r="I454" s="9"/>
    </row>
    <row r="455">
      <c r="A455" s="9"/>
      <c r="B455" s="9"/>
      <c r="C455" s="9"/>
      <c r="D455" s="9"/>
      <c r="E455" s="9"/>
      <c r="F455" s="13"/>
      <c r="G455" s="13"/>
      <c r="H455" s="13"/>
      <c r="I455" s="9"/>
    </row>
    <row r="456">
      <c r="A456" s="9"/>
      <c r="B456" s="9"/>
      <c r="C456" s="9"/>
      <c r="D456" s="9"/>
      <c r="E456" s="9"/>
      <c r="F456" s="13"/>
      <c r="G456" s="13"/>
      <c r="H456" s="13"/>
      <c r="I456" s="9"/>
    </row>
    <row r="457">
      <c r="A457" s="9"/>
      <c r="B457" s="9"/>
      <c r="C457" s="9"/>
      <c r="D457" s="9"/>
      <c r="E457" s="9"/>
      <c r="F457" s="13"/>
      <c r="G457" s="13"/>
      <c r="H457" s="13"/>
      <c r="I457" s="9"/>
    </row>
    <row r="458">
      <c r="A458" s="9"/>
      <c r="B458" s="9"/>
      <c r="C458" s="9"/>
      <c r="D458" s="9"/>
      <c r="E458" s="9"/>
      <c r="F458" s="13"/>
      <c r="G458" s="13"/>
      <c r="H458" s="13"/>
      <c r="I458" s="9"/>
    </row>
    <row r="459">
      <c r="A459" s="9"/>
      <c r="B459" s="9"/>
      <c r="C459" s="9"/>
      <c r="D459" s="9"/>
      <c r="E459" s="9"/>
      <c r="F459" s="13"/>
      <c r="G459" s="13"/>
      <c r="H459" s="13"/>
      <c r="I459" s="9"/>
    </row>
    <row r="460">
      <c r="A460" s="9"/>
      <c r="B460" s="9"/>
      <c r="C460" s="9"/>
      <c r="D460" s="9"/>
      <c r="E460" s="9"/>
      <c r="F460" s="13"/>
      <c r="G460" s="13"/>
      <c r="H460" s="13"/>
      <c r="I460" s="9"/>
    </row>
    <row r="461">
      <c r="A461" s="9"/>
      <c r="B461" s="9"/>
      <c r="C461" s="9"/>
      <c r="D461" s="9"/>
      <c r="E461" s="9"/>
      <c r="F461" s="13"/>
      <c r="G461" s="13"/>
      <c r="H461" s="13"/>
      <c r="I461" s="9"/>
    </row>
    <row r="462">
      <c r="A462" s="9"/>
      <c r="B462" s="9"/>
      <c r="C462" s="9"/>
      <c r="D462" s="9"/>
      <c r="E462" s="9"/>
      <c r="F462" s="13"/>
      <c r="G462" s="13"/>
      <c r="H462" s="13"/>
      <c r="I462" s="9"/>
    </row>
    <row r="463">
      <c r="A463" s="9"/>
      <c r="B463" s="9"/>
      <c r="C463" s="9"/>
      <c r="D463" s="9"/>
      <c r="E463" s="9"/>
      <c r="F463" s="13"/>
      <c r="G463" s="13"/>
      <c r="H463" s="13"/>
      <c r="I463" s="9"/>
    </row>
    <row r="464">
      <c r="A464" s="9"/>
      <c r="B464" s="9"/>
      <c r="C464" s="9"/>
      <c r="D464" s="9"/>
      <c r="E464" s="9"/>
      <c r="F464" s="13"/>
      <c r="G464" s="13"/>
      <c r="H464" s="13"/>
      <c r="I464" s="9"/>
    </row>
    <row r="465">
      <c r="A465" s="9"/>
      <c r="B465" s="9"/>
      <c r="C465" s="9"/>
      <c r="D465" s="9"/>
      <c r="E465" s="9"/>
      <c r="F465" s="13"/>
      <c r="G465" s="13"/>
      <c r="H465" s="13"/>
      <c r="I465" s="9"/>
    </row>
    <row r="466">
      <c r="A466" s="9"/>
      <c r="B466" s="9"/>
      <c r="C466" s="9"/>
      <c r="D466" s="9"/>
      <c r="E466" s="9"/>
      <c r="F466" s="13"/>
      <c r="G466" s="13"/>
      <c r="H466" s="13"/>
      <c r="I466" s="9"/>
    </row>
    <row r="467">
      <c r="A467" s="9"/>
      <c r="B467" s="9"/>
      <c r="C467" s="9"/>
      <c r="D467" s="9"/>
      <c r="E467" s="9"/>
      <c r="F467" s="13"/>
      <c r="G467" s="13"/>
      <c r="H467" s="13"/>
      <c r="I467" s="9"/>
    </row>
    <row r="468">
      <c r="A468" s="9"/>
      <c r="B468" s="9"/>
      <c r="C468" s="9"/>
      <c r="D468" s="9"/>
      <c r="E468" s="9"/>
      <c r="F468" s="13"/>
      <c r="G468" s="13"/>
      <c r="H468" s="13"/>
      <c r="I468" s="9"/>
    </row>
    <row r="469">
      <c r="A469" s="9"/>
      <c r="B469" s="9"/>
      <c r="C469" s="9"/>
      <c r="D469" s="9"/>
      <c r="E469" s="9"/>
      <c r="F469" s="13"/>
      <c r="G469" s="13"/>
      <c r="H469" s="13"/>
      <c r="I469" s="9"/>
    </row>
    <row r="470">
      <c r="A470" s="9"/>
      <c r="B470" s="9"/>
      <c r="C470" s="9"/>
      <c r="D470" s="9"/>
      <c r="E470" s="9"/>
      <c r="F470" s="13"/>
      <c r="G470" s="13"/>
      <c r="H470" s="13"/>
      <c r="I470" s="9"/>
    </row>
    <row r="471">
      <c r="A471" s="9"/>
      <c r="B471" s="9"/>
      <c r="C471" s="9"/>
      <c r="D471" s="9"/>
      <c r="E471" s="9"/>
      <c r="F471" s="13"/>
      <c r="G471" s="13"/>
      <c r="H471" s="13"/>
      <c r="I471" s="9"/>
    </row>
    <row r="472">
      <c r="A472" s="9"/>
      <c r="B472" s="9"/>
      <c r="C472" s="9"/>
      <c r="D472" s="9"/>
      <c r="E472" s="9"/>
      <c r="F472" s="13"/>
      <c r="G472" s="13"/>
      <c r="H472" s="13"/>
      <c r="I472" s="9"/>
    </row>
    <row r="473">
      <c r="A473" s="9"/>
      <c r="B473" s="9"/>
      <c r="C473" s="9"/>
      <c r="D473" s="9"/>
      <c r="E473" s="9"/>
      <c r="F473" s="13"/>
      <c r="G473" s="13"/>
      <c r="H473" s="13"/>
      <c r="I473" s="9"/>
    </row>
    <row r="474">
      <c r="A474" s="9"/>
      <c r="B474" s="9"/>
      <c r="C474" s="9"/>
      <c r="D474" s="9"/>
      <c r="E474" s="9"/>
      <c r="F474" s="13"/>
      <c r="G474" s="13"/>
      <c r="H474" s="13"/>
      <c r="I474" s="9"/>
    </row>
    <row r="475">
      <c r="A475" s="9"/>
      <c r="B475" s="9"/>
      <c r="C475" s="9"/>
      <c r="D475" s="9"/>
      <c r="E475" s="9"/>
      <c r="F475" s="13"/>
      <c r="G475" s="13"/>
      <c r="H475" s="13"/>
      <c r="I475" s="9"/>
    </row>
    <row r="476">
      <c r="A476" s="9"/>
      <c r="B476" s="9"/>
      <c r="C476" s="9"/>
      <c r="D476" s="9"/>
      <c r="E476" s="9"/>
      <c r="F476" s="13"/>
      <c r="G476" s="13"/>
      <c r="H476" s="13"/>
      <c r="I476" s="9"/>
    </row>
    <row r="477">
      <c r="A477" s="9"/>
      <c r="B477" s="9"/>
      <c r="C477" s="9"/>
      <c r="D477" s="9"/>
      <c r="E477" s="9"/>
      <c r="F477" s="13"/>
      <c r="G477" s="13"/>
      <c r="H477" s="13"/>
      <c r="I477" s="9"/>
    </row>
    <row r="478">
      <c r="A478" s="9"/>
      <c r="B478" s="9"/>
      <c r="C478" s="9"/>
      <c r="D478" s="9"/>
      <c r="E478" s="9"/>
      <c r="F478" s="13"/>
      <c r="G478" s="13"/>
      <c r="H478" s="13"/>
      <c r="I478" s="9"/>
    </row>
    <row r="479">
      <c r="A479" s="9"/>
      <c r="B479" s="9"/>
      <c r="C479" s="9"/>
      <c r="D479" s="9"/>
      <c r="E479" s="9"/>
      <c r="F479" s="13"/>
      <c r="G479" s="13"/>
      <c r="H479" s="13"/>
      <c r="I479" s="9"/>
    </row>
    <row r="480">
      <c r="A480" s="9"/>
      <c r="B480" s="9"/>
      <c r="C480" s="9"/>
      <c r="D480" s="9"/>
      <c r="E480" s="9"/>
      <c r="F480" s="13"/>
      <c r="G480" s="13"/>
      <c r="H480" s="13"/>
      <c r="I480" s="9"/>
    </row>
    <row r="481">
      <c r="A481" s="9"/>
      <c r="B481" s="9"/>
      <c r="C481" s="9"/>
      <c r="D481" s="9"/>
      <c r="E481" s="9"/>
      <c r="F481" s="13"/>
      <c r="G481" s="13"/>
      <c r="H481" s="13"/>
      <c r="I481" s="9"/>
    </row>
    <row r="482">
      <c r="A482" s="9"/>
      <c r="B482" s="9"/>
      <c r="C482" s="9"/>
      <c r="D482" s="9"/>
      <c r="E482" s="9"/>
      <c r="F482" s="13"/>
      <c r="G482" s="13"/>
      <c r="H482" s="13"/>
      <c r="I482" s="9"/>
    </row>
    <row r="483">
      <c r="A483" s="9"/>
      <c r="B483" s="9"/>
      <c r="C483" s="9"/>
      <c r="D483" s="9"/>
      <c r="E483" s="9"/>
      <c r="F483" s="13"/>
      <c r="G483" s="13"/>
      <c r="H483" s="13"/>
      <c r="I483" s="9"/>
    </row>
    <row r="484">
      <c r="A484" s="9"/>
      <c r="B484" s="9"/>
      <c r="C484" s="9"/>
      <c r="D484" s="9"/>
      <c r="E484" s="9"/>
      <c r="F484" s="13"/>
      <c r="G484" s="13"/>
      <c r="H484" s="13"/>
      <c r="I484" s="9"/>
    </row>
    <row r="485">
      <c r="A485" s="9"/>
      <c r="B485" s="9"/>
      <c r="C485" s="9"/>
      <c r="D485" s="9"/>
      <c r="E485" s="9"/>
      <c r="F485" s="13"/>
      <c r="G485" s="13"/>
      <c r="H485" s="13"/>
      <c r="I485" s="9"/>
    </row>
    <row r="486">
      <c r="A486" s="9"/>
      <c r="B486" s="9"/>
      <c r="C486" s="9"/>
      <c r="D486" s="9"/>
      <c r="E486" s="9"/>
      <c r="F486" s="13"/>
      <c r="G486" s="13"/>
      <c r="H486" s="13"/>
      <c r="I486" s="9"/>
    </row>
    <row r="487">
      <c r="A487" s="9"/>
      <c r="B487" s="9"/>
      <c r="C487" s="9"/>
      <c r="D487" s="9"/>
      <c r="E487" s="9"/>
      <c r="F487" s="13"/>
      <c r="G487" s="13"/>
      <c r="H487" s="13"/>
      <c r="I487" s="9"/>
    </row>
    <row r="488">
      <c r="A488" s="9"/>
      <c r="B488" s="9"/>
      <c r="C488" s="9"/>
      <c r="D488" s="9"/>
      <c r="E488" s="9"/>
      <c r="F488" s="13"/>
      <c r="G488" s="13"/>
      <c r="H488" s="13"/>
      <c r="I488" s="9"/>
    </row>
    <row r="489">
      <c r="A489" s="9"/>
      <c r="B489" s="9"/>
      <c r="C489" s="9"/>
      <c r="D489" s="9"/>
      <c r="E489" s="9"/>
      <c r="F489" s="13"/>
      <c r="G489" s="13"/>
      <c r="H489" s="13"/>
      <c r="I489" s="9"/>
    </row>
    <row r="490">
      <c r="A490" s="9"/>
      <c r="B490" s="9"/>
      <c r="C490" s="9"/>
      <c r="D490" s="9"/>
      <c r="E490" s="9"/>
      <c r="F490" s="13"/>
      <c r="G490" s="13"/>
      <c r="H490" s="13"/>
      <c r="I490" s="9"/>
    </row>
    <row r="491">
      <c r="A491" s="9"/>
      <c r="B491" s="9"/>
      <c r="C491" s="9"/>
      <c r="D491" s="9"/>
      <c r="E491" s="9"/>
      <c r="F491" s="13"/>
      <c r="G491" s="13"/>
      <c r="H491" s="13"/>
      <c r="I491" s="9"/>
    </row>
    <row r="492">
      <c r="A492" s="9"/>
      <c r="B492" s="9"/>
      <c r="C492" s="9"/>
      <c r="D492" s="9"/>
      <c r="E492" s="9"/>
      <c r="F492" s="13"/>
      <c r="G492" s="13"/>
      <c r="H492" s="13"/>
      <c r="I492" s="9"/>
    </row>
    <row r="493">
      <c r="A493" s="9"/>
      <c r="B493" s="9"/>
      <c r="C493" s="9"/>
      <c r="D493" s="9"/>
      <c r="E493" s="9"/>
      <c r="F493" s="13"/>
      <c r="G493" s="13"/>
      <c r="H493" s="13"/>
      <c r="I493" s="9"/>
    </row>
    <row r="494">
      <c r="A494" s="9"/>
      <c r="B494" s="9"/>
      <c r="C494" s="9"/>
      <c r="D494" s="9"/>
      <c r="E494" s="9"/>
      <c r="F494" s="13"/>
      <c r="G494" s="13"/>
      <c r="H494" s="13"/>
      <c r="I494" s="9"/>
    </row>
    <row r="495">
      <c r="A495" s="9"/>
      <c r="B495" s="9"/>
      <c r="C495" s="9"/>
      <c r="D495" s="9"/>
      <c r="E495" s="9"/>
      <c r="F495" s="13"/>
      <c r="G495" s="13"/>
      <c r="H495" s="13"/>
      <c r="I495" s="9"/>
    </row>
    <row r="496">
      <c r="A496" s="9"/>
      <c r="B496" s="9"/>
      <c r="C496" s="9"/>
      <c r="D496" s="9"/>
      <c r="E496" s="9"/>
      <c r="F496" s="13"/>
      <c r="G496" s="13"/>
      <c r="H496" s="13"/>
      <c r="I496" s="9"/>
    </row>
    <row r="497">
      <c r="A497" s="9"/>
      <c r="B497" s="9"/>
      <c r="C497" s="9"/>
      <c r="D497" s="9"/>
      <c r="E497" s="9"/>
      <c r="F497" s="13"/>
      <c r="G497" s="13"/>
      <c r="H497" s="13"/>
      <c r="I497" s="9"/>
    </row>
    <row r="498">
      <c r="A498" s="9"/>
      <c r="B498" s="9"/>
      <c r="C498" s="9"/>
      <c r="D498" s="9"/>
      <c r="E498" s="9"/>
      <c r="F498" s="13"/>
      <c r="G498" s="13"/>
      <c r="H498" s="13"/>
      <c r="I498" s="9"/>
    </row>
    <row r="499">
      <c r="A499" s="9"/>
      <c r="B499" s="9"/>
      <c r="C499" s="9"/>
      <c r="D499" s="9"/>
      <c r="E499" s="9"/>
      <c r="F499" s="13"/>
      <c r="G499" s="13"/>
      <c r="H499" s="13"/>
      <c r="I499" s="9"/>
    </row>
    <row r="500">
      <c r="A500" s="9"/>
      <c r="B500" s="9"/>
      <c r="C500" s="9"/>
      <c r="D500" s="9"/>
      <c r="E500" s="9"/>
      <c r="F500" s="13"/>
      <c r="G500" s="13"/>
      <c r="H500" s="13"/>
      <c r="I500" s="9"/>
    </row>
    <row r="501">
      <c r="A501" s="9"/>
      <c r="B501" s="9"/>
      <c r="C501" s="9"/>
      <c r="D501" s="9"/>
      <c r="E501" s="9"/>
      <c r="F501" s="13"/>
      <c r="G501" s="13"/>
      <c r="H501" s="13"/>
      <c r="I501" s="9"/>
    </row>
    <row r="502">
      <c r="A502" s="9"/>
      <c r="B502" s="9"/>
      <c r="C502" s="9"/>
      <c r="D502" s="9"/>
      <c r="E502" s="9"/>
      <c r="F502" s="13"/>
      <c r="G502" s="13"/>
      <c r="H502" s="13"/>
      <c r="I502" s="9"/>
    </row>
    <row r="503">
      <c r="A503" s="9"/>
      <c r="B503" s="9"/>
      <c r="C503" s="9"/>
      <c r="D503" s="9"/>
      <c r="E503" s="9"/>
      <c r="F503" s="13"/>
      <c r="G503" s="13"/>
      <c r="H503" s="13"/>
      <c r="I503" s="9"/>
    </row>
    <row r="504">
      <c r="A504" s="9"/>
      <c r="B504" s="9"/>
      <c r="C504" s="9"/>
      <c r="D504" s="9"/>
      <c r="E504" s="9"/>
      <c r="F504" s="13"/>
      <c r="G504" s="13"/>
      <c r="H504" s="13"/>
      <c r="I504" s="9"/>
    </row>
    <row r="505">
      <c r="A505" s="9"/>
      <c r="B505" s="9"/>
      <c r="C505" s="9"/>
      <c r="D505" s="9"/>
      <c r="E505" s="9"/>
      <c r="F505" s="13"/>
      <c r="G505" s="13"/>
      <c r="H505" s="13"/>
      <c r="I505" s="9"/>
    </row>
    <row r="506">
      <c r="A506" s="9"/>
      <c r="B506" s="9"/>
      <c r="C506" s="9"/>
      <c r="D506" s="9"/>
      <c r="E506" s="9"/>
      <c r="F506" s="13"/>
      <c r="G506" s="13"/>
      <c r="H506" s="13"/>
      <c r="I506" s="9"/>
    </row>
    <row r="507">
      <c r="A507" s="9"/>
      <c r="B507" s="9"/>
      <c r="C507" s="9"/>
      <c r="D507" s="9"/>
      <c r="E507" s="9"/>
      <c r="F507" s="13"/>
      <c r="G507" s="13"/>
      <c r="H507" s="13"/>
      <c r="I507" s="9"/>
    </row>
    <row r="508">
      <c r="A508" s="9"/>
      <c r="B508" s="9"/>
      <c r="C508" s="9"/>
      <c r="D508" s="9"/>
      <c r="E508" s="9"/>
      <c r="F508" s="13"/>
      <c r="G508" s="13"/>
      <c r="H508" s="13"/>
      <c r="I508" s="9"/>
    </row>
    <row r="509">
      <c r="A509" s="9"/>
      <c r="B509" s="9"/>
      <c r="C509" s="9"/>
      <c r="D509" s="9"/>
      <c r="E509" s="9"/>
      <c r="F509" s="13"/>
      <c r="G509" s="13"/>
      <c r="H509" s="13"/>
      <c r="I509" s="9"/>
    </row>
    <row r="510">
      <c r="A510" s="9"/>
      <c r="B510" s="9"/>
      <c r="C510" s="9"/>
      <c r="D510" s="9"/>
      <c r="E510" s="9"/>
      <c r="F510" s="13"/>
      <c r="G510" s="13"/>
      <c r="H510" s="13"/>
      <c r="I510" s="9"/>
    </row>
    <row r="511">
      <c r="A511" s="9"/>
      <c r="B511" s="9"/>
      <c r="C511" s="9"/>
      <c r="D511" s="9"/>
      <c r="E511" s="9"/>
      <c r="F511" s="13"/>
      <c r="G511" s="13"/>
      <c r="H511" s="13"/>
      <c r="I511" s="9"/>
    </row>
    <row r="512">
      <c r="A512" s="9"/>
      <c r="B512" s="9"/>
      <c r="C512" s="9"/>
      <c r="D512" s="9"/>
      <c r="E512" s="9"/>
      <c r="F512" s="13"/>
      <c r="G512" s="13"/>
      <c r="H512" s="13"/>
      <c r="I512" s="9"/>
    </row>
    <row r="513">
      <c r="A513" s="9"/>
      <c r="B513" s="9"/>
      <c r="C513" s="9"/>
      <c r="D513" s="9"/>
      <c r="E513" s="9"/>
      <c r="F513" s="13"/>
      <c r="G513" s="13"/>
      <c r="H513" s="13"/>
      <c r="I513" s="9"/>
    </row>
    <row r="514">
      <c r="A514" s="9"/>
      <c r="B514" s="9"/>
      <c r="C514" s="9"/>
      <c r="D514" s="9"/>
      <c r="E514" s="9"/>
      <c r="F514" s="13"/>
      <c r="G514" s="13"/>
      <c r="H514" s="13"/>
      <c r="I514" s="9"/>
    </row>
    <row r="515">
      <c r="A515" s="9"/>
      <c r="B515" s="9"/>
      <c r="C515" s="9"/>
      <c r="D515" s="9"/>
      <c r="E515" s="9"/>
      <c r="F515" s="13"/>
      <c r="G515" s="13"/>
      <c r="H515" s="13"/>
      <c r="I515" s="9"/>
    </row>
    <row r="516">
      <c r="A516" s="9"/>
      <c r="B516" s="9"/>
      <c r="C516" s="9"/>
      <c r="D516" s="9"/>
      <c r="E516" s="9"/>
      <c r="F516" s="13"/>
      <c r="G516" s="13"/>
      <c r="H516" s="13"/>
      <c r="I516" s="9"/>
    </row>
    <row r="517">
      <c r="A517" s="9"/>
      <c r="B517" s="9"/>
      <c r="C517" s="9"/>
      <c r="D517" s="9"/>
      <c r="E517" s="9"/>
      <c r="F517" s="13"/>
      <c r="G517" s="13"/>
      <c r="H517" s="13"/>
      <c r="I517" s="9"/>
    </row>
    <row r="518">
      <c r="A518" s="9"/>
      <c r="B518" s="9"/>
      <c r="C518" s="9"/>
      <c r="D518" s="9"/>
      <c r="E518" s="9"/>
      <c r="F518" s="13"/>
      <c r="G518" s="13"/>
      <c r="H518" s="13"/>
      <c r="I518" s="9"/>
    </row>
    <row r="519">
      <c r="A519" s="9"/>
      <c r="B519" s="9"/>
      <c r="C519" s="9"/>
      <c r="D519" s="9"/>
      <c r="E519" s="9"/>
      <c r="F519" s="13"/>
      <c r="G519" s="13"/>
      <c r="H519" s="13"/>
      <c r="I519" s="9"/>
    </row>
    <row r="520">
      <c r="A520" s="9"/>
      <c r="B520" s="9"/>
      <c r="C520" s="9"/>
      <c r="D520" s="9"/>
      <c r="E520" s="9"/>
      <c r="F520" s="13"/>
      <c r="G520" s="13"/>
      <c r="H520" s="13"/>
      <c r="I520" s="9"/>
    </row>
    <row r="521">
      <c r="A521" s="9"/>
      <c r="B521" s="9"/>
      <c r="C521" s="9"/>
      <c r="D521" s="9"/>
      <c r="E521" s="9"/>
      <c r="F521" s="13"/>
      <c r="G521" s="13"/>
      <c r="H521" s="13"/>
      <c r="I521" s="9"/>
    </row>
    <row r="522">
      <c r="A522" s="9"/>
      <c r="B522" s="9"/>
      <c r="C522" s="9"/>
      <c r="D522" s="9"/>
      <c r="E522" s="9"/>
      <c r="F522" s="13"/>
      <c r="G522" s="13"/>
      <c r="H522" s="13"/>
      <c r="I522" s="9"/>
    </row>
    <row r="523">
      <c r="A523" s="9"/>
      <c r="B523" s="9"/>
      <c r="C523" s="9"/>
      <c r="D523" s="9"/>
      <c r="E523" s="9"/>
      <c r="F523" s="13"/>
      <c r="G523" s="13"/>
      <c r="H523" s="13"/>
      <c r="I523" s="9"/>
    </row>
    <row r="524">
      <c r="A524" s="9"/>
      <c r="B524" s="9"/>
      <c r="C524" s="9"/>
      <c r="D524" s="9"/>
      <c r="E524" s="9"/>
      <c r="F524" s="13"/>
      <c r="G524" s="13"/>
      <c r="H524" s="13"/>
      <c r="I524" s="9"/>
    </row>
    <row r="525">
      <c r="A525" s="9"/>
      <c r="B525" s="9"/>
      <c r="C525" s="9"/>
      <c r="D525" s="9"/>
      <c r="E525" s="9"/>
      <c r="F525" s="13"/>
      <c r="G525" s="13"/>
      <c r="H525" s="13"/>
      <c r="I525" s="9"/>
    </row>
    <row r="526">
      <c r="A526" s="9"/>
      <c r="B526" s="9"/>
      <c r="C526" s="9"/>
      <c r="D526" s="9"/>
      <c r="E526" s="9"/>
      <c r="F526" s="13"/>
      <c r="G526" s="13"/>
      <c r="H526" s="13"/>
      <c r="I526" s="9"/>
    </row>
    <row r="527">
      <c r="A527" s="9"/>
      <c r="B527" s="9"/>
      <c r="C527" s="9"/>
      <c r="D527" s="9"/>
      <c r="E527" s="9"/>
      <c r="F527" s="13"/>
      <c r="G527" s="13"/>
      <c r="H527" s="13"/>
      <c r="I527" s="9"/>
    </row>
    <row r="528">
      <c r="A528" s="9"/>
      <c r="B528" s="9"/>
      <c r="C528" s="9"/>
      <c r="D528" s="9"/>
      <c r="E528" s="9"/>
      <c r="F528" s="13"/>
      <c r="G528" s="13"/>
      <c r="H528" s="13"/>
      <c r="I528" s="9"/>
    </row>
    <row r="529">
      <c r="A529" s="9"/>
      <c r="B529" s="9"/>
      <c r="C529" s="9"/>
      <c r="D529" s="9"/>
      <c r="E529" s="9"/>
      <c r="F529" s="13"/>
      <c r="G529" s="13"/>
      <c r="H529" s="13"/>
      <c r="I529" s="9"/>
    </row>
    <row r="530">
      <c r="A530" s="9"/>
      <c r="B530" s="9"/>
      <c r="C530" s="9"/>
      <c r="D530" s="9"/>
      <c r="E530" s="9"/>
      <c r="F530" s="13"/>
      <c r="G530" s="13"/>
      <c r="H530" s="13"/>
      <c r="I530" s="9"/>
    </row>
    <row r="531">
      <c r="A531" s="9"/>
      <c r="B531" s="9"/>
      <c r="C531" s="9"/>
      <c r="D531" s="9"/>
      <c r="E531" s="9"/>
      <c r="F531" s="13"/>
      <c r="G531" s="13"/>
      <c r="H531" s="13"/>
      <c r="I531" s="9"/>
    </row>
    <row r="532">
      <c r="A532" s="9"/>
      <c r="B532" s="9"/>
      <c r="C532" s="9"/>
      <c r="D532" s="9"/>
      <c r="E532" s="9"/>
      <c r="F532" s="13"/>
      <c r="G532" s="13"/>
      <c r="H532" s="13"/>
      <c r="I532" s="9"/>
    </row>
    <row r="533">
      <c r="A533" s="9"/>
      <c r="B533" s="9"/>
      <c r="C533" s="9"/>
      <c r="D533" s="9"/>
      <c r="E533" s="9"/>
      <c r="F533" s="13"/>
      <c r="G533" s="13"/>
      <c r="H533" s="13"/>
      <c r="I533" s="9"/>
    </row>
    <row r="534">
      <c r="A534" s="9"/>
      <c r="B534" s="9"/>
      <c r="C534" s="9"/>
      <c r="D534" s="9"/>
      <c r="E534" s="9"/>
      <c r="F534" s="13"/>
      <c r="G534" s="13"/>
      <c r="H534" s="13"/>
      <c r="I534" s="9"/>
    </row>
    <row r="535">
      <c r="A535" s="9"/>
      <c r="B535" s="9"/>
      <c r="C535" s="9"/>
      <c r="D535" s="9"/>
      <c r="E535" s="9"/>
      <c r="F535" s="13"/>
      <c r="G535" s="13"/>
      <c r="H535" s="13"/>
      <c r="I535" s="9"/>
    </row>
    <row r="536">
      <c r="A536" s="9"/>
      <c r="B536" s="9"/>
      <c r="C536" s="9"/>
      <c r="D536" s="9"/>
      <c r="E536" s="9"/>
      <c r="F536" s="13"/>
      <c r="G536" s="13"/>
      <c r="H536" s="13"/>
      <c r="I536" s="9"/>
    </row>
    <row r="537">
      <c r="A537" s="9"/>
      <c r="B537" s="9"/>
      <c r="C537" s="9"/>
      <c r="D537" s="9"/>
      <c r="E537" s="9"/>
      <c r="F537" s="13"/>
      <c r="G537" s="13"/>
      <c r="H537" s="13"/>
      <c r="I537" s="9"/>
    </row>
    <row r="538">
      <c r="A538" s="9"/>
      <c r="B538" s="9"/>
      <c r="C538" s="9"/>
      <c r="D538" s="9"/>
      <c r="E538" s="9"/>
      <c r="F538" s="13"/>
      <c r="G538" s="13"/>
      <c r="H538" s="13"/>
      <c r="I538" s="9"/>
    </row>
    <row r="539">
      <c r="A539" s="9"/>
      <c r="B539" s="9"/>
      <c r="C539" s="9"/>
      <c r="D539" s="9"/>
      <c r="E539" s="9"/>
      <c r="F539" s="13"/>
      <c r="G539" s="13"/>
      <c r="H539" s="13"/>
      <c r="I539" s="9"/>
    </row>
    <row r="540">
      <c r="A540" s="9"/>
      <c r="B540" s="9"/>
      <c r="C540" s="9"/>
      <c r="D540" s="9"/>
      <c r="E540" s="9"/>
      <c r="F540" s="13"/>
      <c r="G540" s="13"/>
      <c r="H540" s="13"/>
      <c r="I540" s="9"/>
    </row>
    <row r="541">
      <c r="A541" s="9"/>
      <c r="B541" s="9"/>
      <c r="C541" s="9"/>
      <c r="D541" s="9"/>
      <c r="E541" s="9"/>
      <c r="F541" s="13"/>
      <c r="G541" s="13"/>
      <c r="H541" s="13"/>
      <c r="I541" s="9"/>
    </row>
    <row r="542">
      <c r="A542" s="9"/>
      <c r="B542" s="9"/>
      <c r="C542" s="9"/>
      <c r="D542" s="9"/>
      <c r="E542" s="9"/>
      <c r="F542" s="13"/>
      <c r="G542" s="13"/>
      <c r="H542" s="13"/>
      <c r="I542" s="9"/>
    </row>
    <row r="543">
      <c r="A543" s="9"/>
      <c r="B543" s="9"/>
      <c r="C543" s="9"/>
      <c r="D543" s="9"/>
      <c r="E543" s="9"/>
      <c r="F543" s="13"/>
      <c r="G543" s="13"/>
      <c r="H543" s="13"/>
      <c r="I543" s="9"/>
    </row>
    <row r="544">
      <c r="A544" s="9"/>
      <c r="B544" s="9"/>
      <c r="C544" s="9"/>
      <c r="D544" s="9"/>
      <c r="E544" s="9"/>
      <c r="F544" s="13"/>
      <c r="G544" s="13"/>
      <c r="H544" s="13"/>
      <c r="I544" s="9"/>
    </row>
    <row r="545">
      <c r="A545" s="9"/>
      <c r="B545" s="9"/>
      <c r="C545" s="9"/>
      <c r="D545" s="9"/>
      <c r="E545" s="9"/>
      <c r="F545" s="13"/>
      <c r="G545" s="13"/>
      <c r="H545" s="13"/>
      <c r="I545" s="9"/>
    </row>
    <row r="546">
      <c r="A546" s="9"/>
      <c r="B546" s="9"/>
      <c r="C546" s="9"/>
      <c r="D546" s="9"/>
      <c r="E546" s="9"/>
      <c r="F546" s="13"/>
      <c r="G546" s="13"/>
      <c r="H546" s="13"/>
      <c r="I546" s="9"/>
    </row>
    <row r="547">
      <c r="A547" s="9"/>
      <c r="B547" s="9"/>
      <c r="C547" s="9"/>
      <c r="D547" s="9"/>
      <c r="E547" s="9"/>
      <c r="F547" s="13"/>
      <c r="G547" s="13"/>
      <c r="H547" s="13"/>
      <c r="I547" s="9"/>
    </row>
    <row r="548">
      <c r="A548" s="9"/>
      <c r="B548" s="9"/>
      <c r="C548" s="9"/>
      <c r="D548" s="9"/>
      <c r="E548" s="9"/>
      <c r="F548" s="13"/>
      <c r="G548" s="13"/>
      <c r="H548" s="13"/>
      <c r="I548" s="9"/>
    </row>
    <row r="549">
      <c r="A549" s="9"/>
      <c r="B549" s="9"/>
      <c r="C549" s="9"/>
      <c r="D549" s="9"/>
      <c r="E549" s="9"/>
      <c r="F549" s="13"/>
      <c r="G549" s="13"/>
      <c r="H549" s="13"/>
      <c r="I549" s="9"/>
    </row>
    <row r="550">
      <c r="A550" s="9"/>
      <c r="B550" s="9"/>
      <c r="C550" s="9"/>
      <c r="D550" s="9"/>
      <c r="E550" s="9"/>
      <c r="F550" s="13"/>
      <c r="G550" s="13"/>
      <c r="H550" s="13"/>
      <c r="I550" s="9"/>
    </row>
    <row r="551">
      <c r="A551" s="9"/>
      <c r="B551" s="9"/>
      <c r="C551" s="9"/>
      <c r="D551" s="9"/>
      <c r="E551" s="9"/>
      <c r="F551" s="13"/>
      <c r="G551" s="13"/>
      <c r="H551" s="13"/>
      <c r="I551" s="9"/>
    </row>
    <row r="552">
      <c r="A552" s="9"/>
      <c r="B552" s="9"/>
      <c r="C552" s="9"/>
      <c r="D552" s="9"/>
      <c r="E552" s="9"/>
      <c r="F552" s="13"/>
      <c r="G552" s="13"/>
      <c r="H552" s="13"/>
      <c r="I552" s="9"/>
    </row>
    <row r="553">
      <c r="A553" s="9"/>
      <c r="B553" s="9"/>
      <c r="C553" s="9"/>
      <c r="D553" s="9"/>
      <c r="E553" s="9"/>
      <c r="F553" s="13"/>
      <c r="G553" s="13"/>
      <c r="H553" s="13"/>
      <c r="I553" s="9"/>
    </row>
    <row r="554">
      <c r="A554" s="9"/>
      <c r="B554" s="9"/>
      <c r="C554" s="9"/>
      <c r="D554" s="9"/>
      <c r="E554" s="9"/>
      <c r="F554" s="13"/>
      <c r="G554" s="13"/>
      <c r="H554" s="13"/>
      <c r="I554" s="9"/>
    </row>
    <row r="555">
      <c r="A555" s="9"/>
      <c r="B555" s="9"/>
      <c r="C555" s="9"/>
      <c r="D555" s="9"/>
      <c r="E555" s="9"/>
      <c r="F555" s="13"/>
      <c r="G555" s="13"/>
      <c r="H555" s="13"/>
      <c r="I555" s="9"/>
    </row>
    <row r="556">
      <c r="A556" s="9"/>
      <c r="B556" s="9"/>
      <c r="C556" s="9"/>
      <c r="D556" s="9"/>
      <c r="E556" s="9"/>
      <c r="F556" s="13"/>
      <c r="G556" s="13"/>
      <c r="H556" s="13"/>
      <c r="I556" s="9"/>
    </row>
    <row r="557">
      <c r="A557" s="9"/>
      <c r="B557" s="9"/>
      <c r="C557" s="9"/>
      <c r="D557" s="9"/>
      <c r="E557" s="9"/>
      <c r="F557" s="13"/>
      <c r="G557" s="13"/>
      <c r="H557" s="13"/>
      <c r="I557" s="9"/>
    </row>
    <row r="558">
      <c r="A558" s="9"/>
      <c r="B558" s="9"/>
      <c r="C558" s="9"/>
      <c r="D558" s="9"/>
      <c r="E558" s="9"/>
      <c r="F558" s="13"/>
      <c r="G558" s="13"/>
      <c r="H558" s="13"/>
      <c r="I558" s="9"/>
    </row>
    <row r="559">
      <c r="A559" s="9"/>
      <c r="B559" s="9"/>
      <c r="C559" s="9"/>
      <c r="D559" s="9"/>
      <c r="E559" s="9"/>
      <c r="F559" s="13"/>
      <c r="G559" s="13"/>
      <c r="H559" s="13"/>
      <c r="I559" s="9"/>
    </row>
    <row r="560">
      <c r="A560" s="9"/>
      <c r="B560" s="9"/>
      <c r="C560" s="9"/>
      <c r="D560" s="9"/>
      <c r="E560" s="9"/>
      <c r="F560" s="13"/>
      <c r="G560" s="13"/>
      <c r="H560" s="13"/>
      <c r="I560" s="9"/>
    </row>
    <row r="561">
      <c r="A561" s="9"/>
      <c r="B561" s="9"/>
      <c r="C561" s="9"/>
      <c r="D561" s="9"/>
      <c r="E561" s="9"/>
      <c r="F561" s="13"/>
      <c r="G561" s="13"/>
      <c r="H561" s="13"/>
      <c r="I561" s="9"/>
    </row>
    <row r="562">
      <c r="A562" s="9"/>
      <c r="B562" s="9"/>
      <c r="C562" s="9"/>
      <c r="D562" s="9"/>
      <c r="E562" s="9"/>
      <c r="F562" s="13"/>
      <c r="G562" s="13"/>
      <c r="H562" s="13"/>
      <c r="I562" s="9"/>
    </row>
    <row r="563">
      <c r="A563" s="9"/>
      <c r="B563" s="9"/>
      <c r="C563" s="9"/>
      <c r="D563" s="9"/>
      <c r="E563" s="9"/>
      <c r="F563" s="13"/>
      <c r="G563" s="13"/>
      <c r="H563" s="13"/>
      <c r="I563" s="9"/>
    </row>
    <row r="564">
      <c r="A564" s="9"/>
      <c r="B564" s="9"/>
      <c r="C564" s="9"/>
      <c r="D564" s="9"/>
      <c r="E564" s="9"/>
      <c r="F564" s="13"/>
      <c r="G564" s="13"/>
      <c r="H564" s="13"/>
      <c r="I564" s="9"/>
    </row>
    <row r="565">
      <c r="A565" s="9"/>
      <c r="B565" s="9"/>
      <c r="C565" s="9"/>
      <c r="D565" s="9"/>
      <c r="E565" s="9"/>
      <c r="F565" s="13"/>
      <c r="G565" s="13"/>
      <c r="H565" s="13"/>
      <c r="I565" s="9"/>
    </row>
    <row r="566">
      <c r="A566" s="9"/>
      <c r="B566" s="9"/>
      <c r="C566" s="9"/>
      <c r="D566" s="9"/>
      <c r="E566" s="9"/>
      <c r="F566" s="13"/>
      <c r="G566" s="13"/>
      <c r="H566" s="13"/>
      <c r="I566" s="9"/>
    </row>
    <row r="567">
      <c r="A567" s="9"/>
      <c r="B567" s="9"/>
      <c r="C567" s="9"/>
      <c r="D567" s="9"/>
      <c r="E567" s="9"/>
      <c r="F567" s="13"/>
      <c r="G567" s="13"/>
      <c r="H567" s="13"/>
      <c r="I567" s="9"/>
    </row>
    <row r="568">
      <c r="A568" s="9"/>
      <c r="B568" s="9"/>
      <c r="C568" s="9"/>
      <c r="D568" s="9"/>
      <c r="E568" s="9"/>
      <c r="F568" s="13"/>
      <c r="G568" s="13"/>
      <c r="H568" s="13"/>
      <c r="I568" s="9"/>
    </row>
    <row r="569">
      <c r="A569" s="9"/>
      <c r="B569" s="9"/>
      <c r="C569" s="9"/>
      <c r="D569" s="9"/>
      <c r="E569" s="9"/>
      <c r="F569" s="13"/>
      <c r="G569" s="13"/>
      <c r="H569" s="13"/>
      <c r="I569" s="9"/>
    </row>
    <row r="570">
      <c r="A570" s="9"/>
      <c r="B570" s="9"/>
      <c r="C570" s="9"/>
      <c r="D570" s="9"/>
      <c r="E570" s="9"/>
      <c r="F570" s="13"/>
      <c r="G570" s="13"/>
      <c r="H570" s="13"/>
      <c r="I570" s="9"/>
    </row>
    <row r="571">
      <c r="A571" s="9"/>
      <c r="B571" s="9"/>
      <c r="C571" s="9"/>
      <c r="D571" s="9"/>
      <c r="E571" s="9"/>
      <c r="F571" s="13"/>
      <c r="G571" s="13"/>
      <c r="H571" s="13"/>
      <c r="I571" s="9"/>
    </row>
    <row r="572">
      <c r="A572" s="9"/>
      <c r="B572" s="9"/>
      <c r="C572" s="9"/>
      <c r="D572" s="9"/>
      <c r="E572" s="9"/>
      <c r="F572" s="13"/>
      <c r="G572" s="13"/>
      <c r="H572" s="13"/>
      <c r="I572" s="9"/>
    </row>
    <row r="573">
      <c r="A573" s="9"/>
      <c r="B573" s="9"/>
      <c r="C573" s="9"/>
      <c r="D573" s="9"/>
      <c r="E573" s="9"/>
      <c r="F573" s="13"/>
      <c r="G573" s="13"/>
      <c r="H573" s="13"/>
      <c r="I573" s="9"/>
    </row>
    <row r="574">
      <c r="A574" s="9"/>
      <c r="B574" s="9"/>
      <c r="C574" s="9"/>
      <c r="D574" s="9"/>
      <c r="E574" s="9"/>
      <c r="F574" s="13"/>
      <c r="G574" s="13"/>
      <c r="H574" s="13"/>
      <c r="I574" s="9"/>
    </row>
    <row r="575">
      <c r="A575" s="9"/>
      <c r="B575" s="9"/>
      <c r="C575" s="9"/>
      <c r="D575" s="9"/>
      <c r="E575" s="9"/>
      <c r="F575" s="13"/>
      <c r="G575" s="13"/>
      <c r="H575" s="13"/>
      <c r="I575" s="9"/>
    </row>
    <row r="576">
      <c r="A576" s="9"/>
      <c r="B576" s="9"/>
      <c r="C576" s="9"/>
      <c r="D576" s="9"/>
      <c r="E576" s="9"/>
      <c r="F576" s="13"/>
      <c r="G576" s="13"/>
      <c r="H576" s="13"/>
      <c r="I576" s="9"/>
    </row>
    <row r="577">
      <c r="A577" s="9"/>
      <c r="B577" s="9"/>
      <c r="C577" s="9"/>
      <c r="D577" s="9"/>
      <c r="E577" s="9"/>
      <c r="F577" s="13"/>
      <c r="G577" s="13"/>
      <c r="H577" s="13"/>
      <c r="I577" s="9"/>
    </row>
    <row r="578">
      <c r="A578" s="9"/>
      <c r="B578" s="9"/>
      <c r="C578" s="9"/>
      <c r="D578" s="9"/>
      <c r="E578" s="9"/>
      <c r="F578" s="13"/>
      <c r="G578" s="13"/>
      <c r="H578" s="13"/>
      <c r="I578" s="9"/>
    </row>
    <row r="579">
      <c r="A579" s="9"/>
      <c r="B579" s="9"/>
      <c r="C579" s="9"/>
      <c r="D579" s="9"/>
      <c r="E579" s="9"/>
      <c r="F579" s="13"/>
      <c r="G579" s="13"/>
      <c r="H579" s="13"/>
      <c r="I579" s="9"/>
    </row>
    <row r="580">
      <c r="A580" s="9"/>
      <c r="B580" s="9"/>
      <c r="C580" s="9"/>
      <c r="D580" s="9"/>
      <c r="E580" s="9"/>
      <c r="F580" s="13"/>
      <c r="G580" s="13"/>
      <c r="H580" s="13"/>
      <c r="I580" s="9"/>
    </row>
    <row r="581">
      <c r="A581" s="9"/>
      <c r="B581" s="9"/>
      <c r="C581" s="9"/>
      <c r="D581" s="9"/>
      <c r="E581" s="9"/>
      <c r="F581" s="13"/>
      <c r="G581" s="13"/>
      <c r="H581" s="13"/>
      <c r="I581" s="9"/>
    </row>
    <row r="582">
      <c r="A582" s="9"/>
      <c r="B582" s="9"/>
      <c r="C582" s="9"/>
      <c r="D582" s="9"/>
      <c r="E582" s="9"/>
      <c r="F582" s="13"/>
      <c r="G582" s="13"/>
      <c r="H582" s="13"/>
      <c r="I582" s="9"/>
    </row>
    <row r="583">
      <c r="A583" s="9"/>
      <c r="B583" s="9"/>
      <c r="C583" s="9"/>
      <c r="D583" s="9"/>
      <c r="E583" s="9"/>
      <c r="F583" s="13"/>
      <c r="G583" s="13"/>
      <c r="H583" s="13"/>
      <c r="I583" s="9"/>
    </row>
    <row r="584">
      <c r="A584" s="9"/>
      <c r="B584" s="9"/>
      <c r="C584" s="9"/>
      <c r="D584" s="9"/>
      <c r="E584" s="9"/>
      <c r="F584" s="13"/>
      <c r="G584" s="13"/>
      <c r="H584" s="13"/>
      <c r="I584" s="9"/>
    </row>
    <row r="585">
      <c r="A585" s="9"/>
      <c r="B585" s="9"/>
      <c r="C585" s="9"/>
      <c r="D585" s="9"/>
      <c r="E585" s="9"/>
      <c r="F585" s="13"/>
      <c r="G585" s="13"/>
      <c r="H585" s="13"/>
      <c r="I585" s="9"/>
    </row>
    <row r="586">
      <c r="A586" s="9"/>
      <c r="B586" s="9"/>
      <c r="C586" s="9"/>
      <c r="D586" s="9"/>
      <c r="E586" s="9"/>
      <c r="F586" s="13"/>
      <c r="G586" s="13"/>
      <c r="H586" s="13"/>
      <c r="I586" s="9"/>
    </row>
    <row r="587">
      <c r="A587" s="9"/>
      <c r="B587" s="9"/>
      <c r="C587" s="9"/>
      <c r="D587" s="9"/>
      <c r="E587" s="9"/>
      <c r="F587" s="13"/>
      <c r="G587" s="13"/>
      <c r="H587" s="13"/>
      <c r="I587" s="9"/>
    </row>
    <row r="588">
      <c r="A588" s="9"/>
      <c r="B588" s="9"/>
      <c r="C588" s="9"/>
      <c r="D588" s="9"/>
      <c r="E588" s="9"/>
      <c r="F588" s="13"/>
      <c r="G588" s="13"/>
      <c r="H588" s="13"/>
      <c r="I588" s="9"/>
    </row>
    <row r="589">
      <c r="A589" s="9"/>
      <c r="B589" s="9"/>
      <c r="C589" s="9"/>
      <c r="D589" s="9"/>
      <c r="E589" s="9"/>
      <c r="F589" s="13"/>
      <c r="G589" s="13"/>
      <c r="H589" s="13"/>
      <c r="I589" s="9"/>
    </row>
    <row r="590">
      <c r="A590" s="9"/>
      <c r="B590" s="9"/>
      <c r="C590" s="9"/>
      <c r="D590" s="9"/>
      <c r="E590" s="9"/>
      <c r="F590" s="13"/>
      <c r="G590" s="13"/>
      <c r="H590" s="13"/>
      <c r="I590" s="9"/>
    </row>
    <row r="591">
      <c r="A591" s="9"/>
      <c r="B591" s="9"/>
      <c r="C591" s="9"/>
      <c r="D591" s="9"/>
      <c r="E591" s="9"/>
      <c r="F591" s="13"/>
      <c r="G591" s="13"/>
      <c r="H591" s="13"/>
      <c r="I591" s="9"/>
    </row>
    <row r="592">
      <c r="A592" s="9"/>
      <c r="B592" s="9"/>
      <c r="C592" s="9"/>
      <c r="D592" s="9"/>
      <c r="E592" s="9"/>
      <c r="F592" s="13"/>
      <c r="G592" s="13"/>
      <c r="H592" s="13"/>
      <c r="I592" s="9"/>
    </row>
    <row r="593">
      <c r="A593" s="9"/>
      <c r="B593" s="9"/>
      <c r="C593" s="9"/>
      <c r="D593" s="9"/>
      <c r="E593" s="9"/>
      <c r="F593" s="13"/>
      <c r="G593" s="13"/>
      <c r="H593" s="13"/>
      <c r="I593" s="9"/>
    </row>
    <row r="594">
      <c r="A594" s="9"/>
      <c r="B594" s="9"/>
      <c r="C594" s="9"/>
      <c r="D594" s="9"/>
      <c r="E594" s="9"/>
      <c r="F594" s="13"/>
      <c r="G594" s="13"/>
      <c r="H594" s="13"/>
      <c r="I594" s="9"/>
    </row>
    <row r="595">
      <c r="A595" s="9"/>
      <c r="B595" s="9"/>
      <c r="C595" s="9"/>
      <c r="D595" s="9"/>
      <c r="E595" s="9"/>
      <c r="F595" s="13"/>
      <c r="G595" s="13"/>
      <c r="H595" s="13"/>
      <c r="I595" s="9"/>
    </row>
    <row r="596">
      <c r="A596" s="9"/>
      <c r="B596" s="9"/>
      <c r="C596" s="9"/>
      <c r="D596" s="9"/>
      <c r="E596" s="9"/>
      <c r="F596" s="13"/>
      <c r="G596" s="13"/>
      <c r="H596" s="13"/>
      <c r="I596" s="9"/>
    </row>
    <row r="597">
      <c r="A597" s="9"/>
      <c r="B597" s="9"/>
      <c r="C597" s="9"/>
      <c r="D597" s="9"/>
      <c r="E597" s="9"/>
      <c r="F597" s="13"/>
      <c r="G597" s="13"/>
      <c r="H597" s="13"/>
      <c r="I597" s="9"/>
    </row>
    <row r="598">
      <c r="A598" s="9"/>
      <c r="B598" s="9"/>
      <c r="C598" s="9"/>
      <c r="D598" s="9"/>
      <c r="E598" s="9"/>
      <c r="F598" s="13"/>
      <c r="G598" s="13"/>
      <c r="H598" s="13"/>
      <c r="I598" s="9"/>
    </row>
    <row r="599">
      <c r="A599" s="9"/>
      <c r="B599" s="9"/>
      <c r="C599" s="9"/>
      <c r="D599" s="9"/>
      <c r="E599" s="9"/>
      <c r="F599" s="13"/>
      <c r="G599" s="13"/>
      <c r="H599" s="13"/>
      <c r="I599" s="9"/>
    </row>
    <row r="600">
      <c r="A600" s="9"/>
      <c r="B600" s="9"/>
      <c r="C600" s="9"/>
      <c r="D600" s="9"/>
      <c r="E600" s="9"/>
      <c r="F600" s="13"/>
      <c r="G600" s="13"/>
      <c r="H600" s="13"/>
      <c r="I600" s="9"/>
    </row>
    <row r="601">
      <c r="A601" s="9"/>
      <c r="B601" s="9"/>
      <c r="C601" s="9"/>
      <c r="D601" s="9"/>
      <c r="E601" s="9"/>
      <c r="F601" s="13"/>
      <c r="G601" s="13"/>
      <c r="H601" s="13"/>
      <c r="I601" s="9"/>
    </row>
    <row r="602">
      <c r="A602" s="9"/>
      <c r="B602" s="9"/>
      <c r="C602" s="9"/>
      <c r="D602" s="9"/>
      <c r="E602" s="9"/>
      <c r="F602" s="13"/>
      <c r="G602" s="13"/>
      <c r="H602" s="13"/>
      <c r="I602" s="9"/>
    </row>
    <row r="603">
      <c r="A603" s="9"/>
      <c r="B603" s="9"/>
      <c r="C603" s="9"/>
      <c r="D603" s="9"/>
      <c r="E603" s="9"/>
      <c r="F603" s="13"/>
      <c r="G603" s="13"/>
      <c r="H603" s="13"/>
      <c r="I603" s="9"/>
    </row>
    <row r="604">
      <c r="A604" s="9"/>
      <c r="B604" s="9"/>
      <c r="C604" s="9"/>
      <c r="D604" s="9"/>
      <c r="E604" s="9"/>
      <c r="F604" s="13"/>
      <c r="G604" s="13"/>
      <c r="H604" s="13"/>
      <c r="I604" s="9"/>
    </row>
    <row r="605">
      <c r="A605" s="9"/>
      <c r="B605" s="9"/>
      <c r="C605" s="9"/>
      <c r="D605" s="9"/>
      <c r="E605" s="9"/>
      <c r="F605" s="13"/>
      <c r="G605" s="13"/>
      <c r="H605" s="13"/>
      <c r="I605" s="9"/>
    </row>
    <row r="606">
      <c r="A606" s="9"/>
      <c r="B606" s="9"/>
      <c r="C606" s="9"/>
      <c r="D606" s="9"/>
      <c r="E606" s="9"/>
      <c r="F606" s="13"/>
      <c r="G606" s="13"/>
      <c r="H606" s="13"/>
      <c r="I606" s="9"/>
    </row>
    <row r="607">
      <c r="A607" s="9"/>
      <c r="B607" s="9"/>
      <c r="C607" s="9"/>
      <c r="D607" s="9"/>
      <c r="E607" s="9"/>
      <c r="F607" s="13"/>
      <c r="G607" s="13"/>
      <c r="H607" s="13"/>
      <c r="I607" s="9"/>
    </row>
    <row r="608">
      <c r="A608" s="9"/>
      <c r="B608" s="9"/>
      <c r="C608" s="9"/>
      <c r="D608" s="9"/>
      <c r="E608" s="9"/>
      <c r="F608" s="13"/>
      <c r="G608" s="13"/>
      <c r="H608" s="13"/>
      <c r="I608" s="9"/>
    </row>
    <row r="609">
      <c r="A609" s="9"/>
      <c r="B609" s="9"/>
      <c r="C609" s="9"/>
      <c r="D609" s="9"/>
      <c r="E609" s="9"/>
      <c r="F609" s="13"/>
      <c r="G609" s="13"/>
      <c r="H609" s="13"/>
      <c r="I609" s="9"/>
    </row>
    <row r="610">
      <c r="A610" s="9"/>
      <c r="B610" s="9"/>
      <c r="C610" s="9"/>
      <c r="D610" s="9"/>
      <c r="E610" s="9"/>
      <c r="F610" s="13"/>
      <c r="G610" s="13"/>
      <c r="H610" s="13"/>
      <c r="I610" s="9"/>
    </row>
    <row r="611">
      <c r="A611" s="9"/>
      <c r="B611" s="9"/>
      <c r="C611" s="9"/>
      <c r="D611" s="9"/>
      <c r="E611" s="9"/>
      <c r="F611" s="13"/>
      <c r="G611" s="13"/>
      <c r="H611" s="13"/>
      <c r="I611" s="9"/>
    </row>
    <row r="612">
      <c r="A612" s="9"/>
      <c r="B612" s="9"/>
      <c r="C612" s="9"/>
      <c r="D612" s="9"/>
      <c r="E612" s="9"/>
      <c r="F612" s="13"/>
      <c r="G612" s="13"/>
      <c r="H612" s="13"/>
      <c r="I612" s="9"/>
    </row>
    <row r="613">
      <c r="A613" s="9"/>
      <c r="B613" s="9"/>
      <c r="C613" s="9"/>
      <c r="D613" s="9"/>
      <c r="E613" s="9"/>
      <c r="F613" s="13"/>
      <c r="G613" s="13"/>
      <c r="H613" s="13"/>
      <c r="I613" s="9"/>
    </row>
    <row r="614">
      <c r="A614" s="9"/>
      <c r="B614" s="9"/>
      <c r="C614" s="9"/>
      <c r="D614" s="9"/>
      <c r="E614" s="9"/>
      <c r="F614" s="13"/>
      <c r="G614" s="13"/>
      <c r="H614" s="13"/>
      <c r="I614" s="9"/>
    </row>
    <row r="615">
      <c r="A615" s="9"/>
      <c r="B615" s="9"/>
      <c r="C615" s="9"/>
      <c r="D615" s="9"/>
      <c r="E615" s="9"/>
      <c r="F615" s="13"/>
      <c r="G615" s="13"/>
      <c r="H615" s="13"/>
      <c r="I615" s="9"/>
    </row>
    <row r="616">
      <c r="A616" s="9"/>
      <c r="B616" s="9"/>
      <c r="C616" s="9"/>
      <c r="D616" s="9"/>
      <c r="E616" s="9"/>
      <c r="F616" s="13"/>
      <c r="G616" s="13"/>
      <c r="H616" s="13"/>
      <c r="I616" s="9"/>
    </row>
    <row r="617">
      <c r="A617" s="9"/>
      <c r="B617" s="9"/>
      <c r="C617" s="9"/>
      <c r="D617" s="9"/>
      <c r="E617" s="9"/>
      <c r="F617" s="13"/>
      <c r="G617" s="13"/>
      <c r="H617" s="13"/>
      <c r="I617" s="9"/>
    </row>
    <row r="618">
      <c r="A618" s="9"/>
      <c r="B618" s="9"/>
      <c r="C618" s="9"/>
      <c r="D618" s="9"/>
      <c r="E618" s="9"/>
      <c r="F618" s="13"/>
      <c r="G618" s="13"/>
      <c r="H618" s="13"/>
      <c r="I618" s="9"/>
    </row>
    <row r="619">
      <c r="A619" s="9"/>
      <c r="B619" s="9"/>
      <c r="C619" s="9"/>
      <c r="D619" s="9"/>
      <c r="E619" s="9"/>
      <c r="F619" s="13"/>
      <c r="G619" s="13"/>
      <c r="H619" s="13"/>
      <c r="I619" s="9"/>
    </row>
    <row r="620">
      <c r="A620" s="9"/>
      <c r="B620" s="9"/>
      <c r="C620" s="9"/>
      <c r="D620" s="9"/>
      <c r="E620" s="9"/>
      <c r="F620" s="13"/>
      <c r="G620" s="13"/>
      <c r="H620" s="13"/>
      <c r="I620" s="9"/>
    </row>
    <row r="621">
      <c r="A621" s="9"/>
      <c r="B621" s="9"/>
      <c r="C621" s="9"/>
      <c r="D621" s="9"/>
      <c r="E621" s="9"/>
      <c r="F621" s="13"/>
      <c r="G621" s="13"/>
      <c r="H621" s="13"/>
      <c r="I621" s="9"/>
    </row>
    <row r="622">
      <c r="A622" s="9"/>
      <c r="B622" s="9"/>
      <c r="C622" s="9"/>
      <c r="D622" s="9"/>
      <c r="E622" s="9"/>
      <c r="F622" s="13"/>
      <c r="G622" s="13"/>
      <c r="H622" s="13"/>
      <c r="I622" s="9"/>
    </row>
    <row r="623">
      <c r="A623" s="9"/>
      <c r="B623" s="9"/>
      <c r="C623" s="9"/>
      <c r="D623" s="9"/>
      <c r="E623" s="9"/>
      <c r="F623" s="13"/>
      <c r="G623" s="13"/>
      <c r="H623" s="13"/>
      <c r="I623" s="9"/>
    </row>
    <row r="624">
      <c r="A624" s="9"/>
      <c r="B624" s="9"/>
      <c r="C624" s="9"/>
      <c r="D624" s="9"/>
      <c r="E624" s="9"/>
      <c r="F624" s="13"/>
      <c r="G624" s="13"/>
      <c r="H624" s="13"/>
      <c r="I624" s="9"/>
    </row>
    <row r="625">
      <c r="A625" s="9"/>
      <c r="B625" s="9"/>
      <c r="C625" s="9"/>
      <c r="D625" s="9"/>
      <c r="E625" s="9"/>
      <c r="F625" s="13"/>
      <c r="G625" s="13"/>
      <c r="H625" s="13"/>
      <c r="I625" s="9"/>
    </row>
    <row r="626">
      <c r="A626" s="9"/>
      <c r="B626" s="9"/>
      <c r="C626" s="9"/>
      <c r="D626" s="9"/>
      <c r="E626" s="9"/>
      <c r="F626" s="13"/>
      <c r="G626" s="13"/>
      <c r="H626" s="13"/>
      <c r="I626" s="9"/>
    </row>
    <row r="627">
      <c r="A627" s="9"/>
      <c r="B627" s="9"/>
      <c r="C627" s="9"/>
      <c r="D627" s="9"/>
      <c r="E627" s="9"/>
      <c r="F627" s="13"/>
      <c r="G627" s="13"/>
      <c r="H627" s="13"/>
      <c r="I627" s="9"/>
    </row>
    <row r="628">
      <c r="A628" s="9"/>
      <c r="B628" s="9"/>
      <c r="C628" s="9"/>
      <c r="D628" s="9"/>
      <c r="E628" s="9"/>
      <c r="F628" s="13"/>
      <c r="G628" s="13"/>
      <c r="H628" s="13"/>
      <c r="I628" s="9"/>
    </row>
    <row r="629">
      <c r="A629" s="9"/>
      <c r="B629" s="9"/>
      <c r="C629" s="9"/>
      <c r="D629" s="9"/>
      <c r="E629" s="9"/>
      <c r="F629" s="13"/>
      <c r="G629" s="13"/>
      <c r="H629" s="13"/>
      <c r="I629" s="9"/>
    </row>
    <row r="630">
      <c r="A630" s="9"/>
      <c r="B630" s="9"/>
      <c r="C630" s="9"/>
      <c r="D630" s="9"/>
      <c r="E630" s="9"/>
      <c r="F630" s="13"/>
      <c r="G630" s="13"/>
      <c r="H630" s="13"/>
      <c r="I630" s="9"/>
    </row>
    <row r="631">
      <c r="A631" s="9"/>
      <c r="B631" s="9"/>
      <c r="C631" s="9"/>
      <c r="D631" s="9"/>
      <c r="E631" s="9"/>
      <c r="F631" s="13"/>
      <c r="G631" s="13"/>
      <c r="H631" s="13"/>
      <c r="I631" s="9"/>
    </row>
    <row r="632">
      <c r="A632" s="9"/>
      <c r="B632" s="9"/>
      <c r="C632" s="9"/>
      <c r="D632" s="9"/>
      <c r="E632" s="9"/>
      <c r="F632" s="13"/>
      <c r="G632" s="13"/>
      <c r="H632" s="13"/>
      <c r="I632" s="9"/>
    </row>
    <row r="633">
      <c r="A633" s="9"/>
      <c r="B633" s="9"/>
      <c r="C633" s="9"/>
      <c r="D633" s="9"/>
      <c r="E633" s="9"/>
      <c r="F633" s="13"/>
      <c r="G633" s="13"/>
      <c r="H633" s="13"/>
      <c r="I633" s="9"/>
    </row>
    <row r="634">
      <c r="A634" s="9"/>
      <c r="B634" s="9"/>
      <c r="C634" s="9"/>
      <c r="D634" s="9"/>
      <c r="E634" s="9"/>
      <c r="F634" s="13"/>
      <c r="G634" s="13"/>
      <c r="H634" s="13"/>
      <c r="I634" s="9"/>
    </row>
    <row r="635">
      <c r="A635" s="9"/>
      <c r="B635" s="9"/>
      <c r="C635" s="9"/>
      <c r="D635" s="9"/>
      <c r="E635" s="9"/>
      <c r="F635" s="13"/>
      <c r="G635" s="13"/>
      <c r="H635" s="13"/>
      <c r="I635" s="9"/>
    </row>
    <row r="636">
      <c r="A636" s="9"/>
      <c r="B636" s="9"/>
      <c r="C636" s="9"/>
      <c r="D636" s="9"/>
      <c r="E636" s="9"/>
      <c r="F636" s="13"/>
      <c r="G636" s="13"/>
      <c r="H636" s="13"/>
      <c r="I636" s="9"/>
    </row>
    <row r="637">
      <c r="A637" s="9"/>
      <c r="B637" s="9"/>
      <c r="C637" s="9"/>
      <c r="D637" s="9"/>
      <c r="E637" s="9"/>
      <c r="F637" s="13"/>
      <c r="G637" s="13"/>
      <c r="H637" s="13"/>
      <c r="I637" s="9"/>
    </row>
    <row r="638">
      <c r="A638" s="9"/>
      <c r="B638" s="9"/>
      <c r="C638" s="9"/>
      <c r="D638" s="9"/>
      <c r="E638" s="9"/>
      <c r="F638" s="13"/>
      <c r="G638" s="13"/>
      <c r="H638" s="13"/>
      <c r="I638" s="9"/>
    </row>
    <row r="639">
      <c r="A639" s="9"/>
      <c r="B639" s="9"/>
      <c r="C639" s="9"/>
      <c r="D639" s="9"/>
      <c r="E639" s="9"/>
      <c r="F639" s="13"/>
      <c r="G639" s="13"/>
      <c r="H639" s="13"/>
      <c r="I639" s="9"/>
    </row>
    <row r="640">
      <c r="A640" s="9"/>
      <c r="B640" s="9"/>
      <c r="C640" s="9"/>
      <c r="D640" s="9"/>
      <c r="E640" s="9"/>
      <c r="F640" s="13"/>
      <c r="G640" s="13"/>
      <c r="H640" s="13"/>
      <c r="I640" s="9"/>
    </row>
    <row r="641">
      <c r="A641" s="9"/>
      <c r="B641" s="9"/>
      <c r="C641" s="9"/>
      <c r="D641" s="9"/>
      <c r="E641" s="9"/>
      <c r="F641" s="13"/>
      <c r="G641" s="13"/>
      <c r="H641" s="13"/>
      <c r="I641" s="9"/>
    </row>
    <row r="642">
      <c r="A642" s="9"/>
      <c r="B642" s="9"/>
      <c r="C642" s="9"/>
      <c r="D642" s="9"/>
      <c r="E642" s="9"/>
      <c r="F642" s="13"/>
      <c r="G642" s="13"/>
      <c r="H642" s="13"/>
      <c r="I642" s="9"/>
    </row>
    <row r="643">
      <c r="A643" s="9"/>
      <c r="B643" s="9"/>
      <c r="C643" s="9"/>
      <c r="D643" s="9"/>
      <c r="E643" s="9"/>
      <c r="F643" s="13"/>
      <c r="G643" s="13"/>
      <c r="H643" s="13"/>
      <c r="I643" s="9"/>
    </row>
    <row r="644">
      <c r="A644" s="9"/>
      <c r="B644" s="9"/>
      <c r="C644" s="9"/>
      <c r="D644" s="9"/>
      <c r="E644" s="9"/>
      <c r="F644" s="13"/>
      <c r="G644" s="13"/>
      <c r="H644" s="13"/>
      <c r="I644" s="9"/>
    </row>
    <row r="645">
      <c r="A645" s="9"/>
      <c r="B645" s="9"/>
      <c r="C645" s="9"/>
      <c r="D645" s="9"/>
      <c r="E645" s="9"/>
      <c r="F645" s="13"/>
      <c r="G645" s="13"/>
      <c r="H645" s="13"/>
      <c r="I645" s="9"/>
    </row>
    <row r="646">
      <c r="A646" s="9"/>
      <c r="B646" s="9"/>
      <c r="C646" s="9"/>
      <c r="D646" s="9"/>
      <c r="E646" s="9"/>
      <c r="F646" s="13"/>
      <c r="G646" s="13"/>
      <c r="H646" s="13"/>
      <c r="I646" s="9"/>
    </row>
    <row r="647">
      <c r="A647" s="9"/>
      <c r="B647" s="9"/>
      <c r="C647" s="9"/>
      <c r="D647" s="9"/>
      <c r="E647" s="9"/>
      <c r="F647" s="13"/>
      <c r="G647" s="13"/>
      <c r="H647" s="13"/>
      <c r="I647" s="9"/>
    </row>
    <row r="648">
      <c r="A648" s="9"/>
      <c r="B648" s="9"/>
      <c r="C648" s="9"/>
      <c r="D648" s="9"/>
      <c r="E648" s="9"/>
      <c r="F648" s="13"/>
      <c r="G648" s="13"/>
      <c r="H648" s="13"/>
      <c r="I648" s="9"/>
    </row>
    <row r="649">
      <c r="A649" s="9"/>
      <c r="B649" s="9"/>
      <c r="C649" s="9"/>
      <c r="D649" s="9"/>
      <c r="E649" s="9"/>
      <c r="F649" s="13"/>
      <c r="G649" s="13"/>
      <c r="H649" s="13"/>
      <c r="I649" s="9"/>
    </row>
    <row r="650">
      <c r="A650" s="9"/>
      <c r="B650" s="9"/>
      <c r="C650" s="9"/>
      <c r="D650" s="9"/>
      <c r="E650" s="9"/>
      <c r="F650" s="13"/>
      <c r="G650" s="13"/>
      <c r="H650" s="13"/>
      <c r="I650" s="9"/>
    </row>
    <row r="651">
      <c r="A651" s="9"/>
      <c r="B651" s="9"/>
      <c r="C651" s="9"/>
      <c r="D651" s="9"/>
      <c r="E651" s="9"/>
      <c r="F651" s="13"/>
      <c r="G651" s="13"/>
      <c r="H651" s="13"/>
      <c r="I651" s="9"/>
    </row>
    <row r="652">
      <c r="A652" s="9"/>
      <c r="B652" s="9"/>
      <c r="C652" s="9"/>
      <c r="D652" s="9"/>
      <c r="E652" s="9"/>
      <c r="F652" s="13"/>
      <c r="G652" s="13"/>
      <c r="H652" s="13"/>
      <c r="I652" s="9"/>
    </row>
    <row r="653">
      <c r="A653" s="9"/>
      <c r="B653" s="9"/>
      <c r="C653" s="9"/>
      <c r="D653" s="9"/>
      <c r="E653" s="9"/>
      <c r="F653" s="13"/>
      <c r="G653" s="13"/>
      <c r="H653" s="13"/>
      <c r="I653" s="9"/>
    </row>
    <row r="654">
      <c r="A654" s="9"/>
      <c r="B654" s="9"/>
      <c r="C654" s="9"/>
      <c r="D654" s="9"/>
      <c r="E654" s="9"/>
      <c r="F654" s="13"/>
      <c r="G654" s="13"/>
      <c r="H654" s="13"/>
      <c r="I654" s="9"/>
    </row>
    <row r="655">
      <c r="A655" s="9"/>
      <c r="B655" s="9"/>
      <c r="C655" s="9"/>
      <c r="D655" s="9"/>
      <c r="E655" s="9"/>
      <c r="F655" s="13"/>
      <c r="G655" s="13"/>
      <c r="H655" s="13"/>
      <c r="I655" s="9"/>
    </row>
    <row r="656">
      <c r="A656" s="9"/>
      <c r="B656" s="9"/>
      <c r="C656" s="9"/>
      <c r="D656" s="9"/>
      <c r="E656" s="9"/>
      <c r="F656" s="13"/>
      <c r="G656" s="13"/>
      <c r="H656" s="13"/>
      <c r="I656" s="9"/>
    </row>
    <row r="657">
      <c r="A657" s="9"/>
      <c r="B657" s="9"/>
      <c r="C657" s="9"/>
      <c r="D657" s="9"/>
      <c r="E657" s="9"/>
      <c r="F657" s="13"/>
      <c r="G657" s="13"/>
      <c r="H657" s="13"/>
      <c r="I657" s="9"/>
    </row>
    <row r="658">
      <c r="A658" s="9"/>
      <c r="B658" s="9"/>
      <c r="C658" s="9"/>
      <c r="D658" s="9"/>
      <c r="E658" s="9"/>
      <c r="F658" s="13"/>
      <c r="G658" s="13"/>
      <c r="H658" s="13"/>
      <c r="I658" s="9"/>
    </row>
    <row r="659">
      <c r="A659" s="9"/>
      <c r="B659" s="9"/>
      <c r="C659" s="9"/>
      <c r="D659" s="9"/>
      <c r="E659" s="9"/>
      <c r="F659" s="13"/>
      <c r="G659" s="13"/>
      <c r="H659" s="13"/>
      <c r="I659" s="9"/>
    </row>
    <row r="660">
      <c r="A660" s="9"/>
      <c r="B660" s="9"/>
      <c r="C660" s="9"/>
      <c r="D660" s="9"/>
      <c r="E660" s="9"/>
      <c r="F660" s="13"/>
      <c r="G660" s="13"/>
      <c r="H660" s="13"/>
      <c r="I660" s="9"/>
    </row>
    <row r="661">
      <c r="A661" s="9"/>
      <c r="B661" s="9"/>
      <c r="C661" s="9"/>
      <c r="D661" s="9"/>
      <c r="E661" s="9"/>
      <c r="F661" s="13"/>
      <c r="G661" s="13"/>
      <c r="H661" s="13"/>
      <c r="I661" s="9"/>
    </row>
    <row r="662">
      <c r="A662" s="9"/>
      <c r="B662" s="9"/>
      <c r="C662" s="9"/>
      <c r="D662" s="9"/>
      <c r="E662" s="9"/>
      <c r="F662" s="13"/>
      <c r="G662" s="13"/>
      <c r="H662" s="13"/>
      <c r="I662" s="9"/>
    </row>
    <row r="663">
      <c r="A663" s="9"/>
      <c r="B663" s="9"/>
      <c r="C663" s="9"/>
      <c r="D663" s="9"/>
      <c r="E663" s="9"/>
      <c r="F663" s="13"/>
      <c r="G663" s="13"/>
      <c r="H663" s="13"/>
      <c r="I663" s="9"/>
    </row>
    <row r="664">
      <c r="A664" s="9"/>
      <c r="B664" s="9"/>
      <c r="C664" s="9"/>
      <c r="D664" s="9"/>
      <c r="E664" s="9"/>
      <c r="F664" s="13"/>
      <c r="G664" s="13"/>
      <c r="H664" s="13"/>
      <c r="I664" s="9"/>
    </row>
    <row r="665">
      <c r="A665" s="9"/>
      <c r="B665" s="9"/>
      <c r="C665" s="9"/>
      <c r="D665" s="9"/>
      <c r="E665" s="9"/>
      <c r="F665" s="13"/>
      <c r="G665" s="13"/>
      <c r="H665" s="13"/>
      <c r="I665" s="9"/>
    </row>
    <row r="666">
      <c r="A666" s="9"/>
      <c r="B666" s="9"/>
      <c r="C666" s="9"/>
      <c r="D666" s="9"/>
      <c r="E666" s="9"/>
      <c r="F666" s="13"/>
      <c r="G666" s="13"/>
      <c r="H666" s="13"/>
      <c r="I666" s="9"/>
    </row>
    <row r="667">
      <c r="A667" s="9"/>
      <c r="B667" s="9"/>
      <c r="C667" s="9"/>
      <c r="D667" s="9"/>
      <c r="E667" s="9"/>
      <c r="F667" s="13"/>
      <c r="G667" s="13"/>
      <c r="H667" s="13"/>
      <c r="I667" s="9"/>
    </row>
    <row r="668">
      <c r="A668" s="9"/>
      <c r="B668" s="9"/>
      <c r="C668" s="9"/>
      <c r="D668" s="9"/>
      <c r="E668" s="9"/>
      <c r="F668" s="13"/>
      <c r="G668" s="13"/>
      <c r="H668" s="13"/>
      <c r="I668" s="9"/>
    </row>
    <row r="669">
      <c r="A669" s="9"/>
      <c r="B669" s="9"/>
      <c r="C669" s="9"/>
      <c r="D669" s="9"/>
      <c r="E669" s="9"/>
      <c r="F669" s="13"/>
      <c r="G669" s="13"/>
      <c r="H669" s="13"/>
      <c r="I669" s="9"/>
    </row>
    <row r="670">
      <c r="A670" s="9"/>
      <c r="B670" s="9"/>
      <c r="C670" s="9"/>
      <c r="D670" s="9"/>
      <c r="E670" s="9"/>
      <c r="F670" s="13"/>
      <c r="G670" s="13"/>
      <c r="H670" s="13"/>
      <c r="I670" s="9"/>
    </row>
    <row r="671">
      <c r="A671" s="9"/>
      <c r="B671" s="9"/>
      <c r="C671" s="9"/>
      <c r="D671" s="9"/>
      <c r="E671" s="9"/>
      <c r="F671" s="13"/>
      <c r="G671" s="13"/>
      <c r="H671" s="13"/>
      <c r="I671" s="9"/>
    </row>
    <row r="672">
      <c r="A672" s="9"/>
      <c r="B672" s="9"/>
      <c r="C672" s="9"/>
      <c r="D672" s="9"/>
      <c r="E672" s="9"/>
      <c r="F672" s="13"/>
      <c r="G672" s="13"/>
      <c r="H672" s="13"/>
      <c r="I672" s="9"/>
    </row>
    <row r="673">
      <c r="A673" s="9"/>
      <c r="B673" s="9"/>
      <c r="C673" s="9"/>
      <c r="D673" s="9"/>
      <c r="E673" s="9"/>
      <c r="F673" s="13"/>
      <c r="G673" s="13"/>
      <c r="H673" s="13"/>
      <c r="I673" s="9"/>
    </row>
    <row r="674">
      <c r="A674" s="9"/>
      <c r="B674" s="9"/>
      <c r="C674" s="9"/>
      <c r="D674" s="9"/>
      <c r="E674" s="9"/>
      <c r="F674" s="13"/>
      <c r="G674" s="13"/>
      <c r="H674" s="13"/>
      <c r="I674" s="9"/>
    </row>
    <row r="675">
      <c r="A675" s="9"/>
      <c r="B675" s="9"/>
      <c r="C675" s="9"/>
      <c r="D675" s="9"/>
      <c r="E675" s="9"/>
      <c r="F675" s="13"/>
      <c r="G675" s="13"/>
      <c r="H675" s="13"/>
      <c r="I675" s="9"/>
    </row>
    <row r="676">
      <c r="A676" s="9"/>
      <c r="B676" s="9"/>
      <c r="C676" s="9"/>
      <c r="D676" s="9"/>
      <c r="E676" s="9"/>
      <c r="F676" s="13"/>
      <c r="G676" s="13"/>
      <c r="H676" s="13"/>
      <c r="I676" s="9"/>
    </row>
    <row r="677">
      <c r="A677" s="9"/>
      <c r="B677" s="9"/>
      <c r="C677" s="9"/>
      <c r="D677" s="9"/>
      <c r="E677" s="9"/>
      <c r="F677" s="13"/>
      <c r="G677" s="13"/>
      <c r="H677" s="13"/>
      <c r="I677" s="9"/>
    </row>
    <row r="678">
      <c r="A678" s="9"/>
      <c r="B678" s="9"/>
      <c r="C678" s="9"/>
      <c r="D678" s="9"/>
      <c r="E678" s="9"/>
      <c r="F678" s="13"/>
      <c r="G678" s="13"/>
      <c r="H678" s="13"/>
      <c r="I678" s="9"/>
    </row>
    <row r="679">
      <c r="A679" s="9"/>
      <c r="B679" s="9"/>
      <c r="C679" s="9"/>
      <c r="D679" s="9"/>
      <c r="E679" s="9"/>
      <c r="F679" s="13"/>
      <c r="G679" s="13"/>
      <c r="H679" s="13"/>
      <c r="I679" s="9"/>
    </row>
    <row r="680">
      <c r="A680" s="9"/>
      <c r="B680" s="9"/>
      <c r="C680" s="9"/>
      <c r="D680" s="9"/>
      <c r="E680" s="9"/>
      <c r="F680" s="13"/>
      <c r="G680" s="13"/>
      <c r="H680" s="13"/>
      <c r="I680" s="9"/>
    </row>
    <row r="681">
      <c r="A681" s="9"/>
      <c r="B681" s="9"/>
      <c r="C681" s="9"/>
      <c r="D681" s="9"/>
      <c r="E681" s="9"/>
      <c r="F681" s="13"/>
      <c r="G681" s="13"/>
      <c r="H681" s="13"/>
      <c r="I681" s="9"/>
    </row>
    <row r="682">
      <c r="A682" s="9"/>
      <c r="B682" s="9"/>
      <c r="C682" s="9"/>
      <c r="D682" s="9"/>
      <c r="E682" s="9"/>
      <c r="F682" s="13"/>
      <c r="G682" s="13"/>
      <c r="H682" s="13"/>
      <c r="I682" s="9"/>
    </row>
    <row r="683">
      <c r="A683" s="9"/>
      <c r="B683" s="9"/>
      <c r="C683" s="9"/>
      <c r="D683" s="9"/>
      <c r="E683" s="9"/>
      <c r="F683" s="13"/>
      <c r="G683" s="13"/>
      <c r="H683" s="13"/>
      <c r="I683" s="9"/>
    </row>
    <row r="684">
      <c r="A684" s="9"/>
      <c r="B684" s="9"/>
      <c r="C684" s="9"/>
      <c r="D684" s="9"/>
      <c r="E684" s="9"/>
      <c r="F684" s="13"/>
      <c r="G684" s="13"/>
      <c r="H684" s="13"/>
      <c r="I684" s="9"/>
    </row>
    <row r="685">
      <c r="A685" s="9"/>
      <c r="B685" s="9"/>
      <c r="C685" s="9"/>
      <c r="D685" s="9"/>
      <c r="E685" s="9"/>
      <c r="F685" s="13"/>
      <c r="G685" s="13"/>
      <c r="H685" s="13"/>
      <c r="I685" s="9"/>
    </row>
    <row r="686">
      <c r="A686" s="9"/>
      <c r="B686" s="9"/>
      <c r="C686" s="9"/>
      <c r="D686" s="9"/>
      <c r="E686" s="9"/>
      <c r="F686" s="13"/>
      <c r="G686" s="13"/>
      <c r="H686" s="13"/>
      <c r="I686" s="9"/>
    </row>
    <row r="687">
      <c r="A687" s="9"/>
      <c r="B687" s="9"/>
      <c r="C687" s="9"/>
      <c r="D687" s="9"/>
      <c r="E687" s="9"/>
      <c r="F687" s="13"/>
      <c r="G687" s="13"/>
      <c r="H687" s="13"/>
      <c r="I687" s="9"/>
    </row>
    <row r="688">
      <c r="A688" s="9"/>
      <c r="B688" s="9"/>
      <c r="C688" s="9"/>
      <c r="D688" s="9"/>
      <c r="E688" s="9"/>
      <c r="F688" s="13"/>
      <c r="G688" s="13"/>
      <c r="H688" s="13"/>
      <c r="I688" s="9"/>
    </row>
    <row r="689">
      <c r="A689" s="9"/>
      <c r="B689" s="9"/>
      <c r="C689" s="9"/>
      <c r="D689" s="9"/>
      <c r="E689" s="9"/>
      <c r="F689" s="13"/>
      <c r="G689" s="13"/>
      <c r="H689" s="13"/>
      <c r="I689" s="9"/>
    </row>
    <row r="690">
      <c r="A690" s="9"/>
      <c r="B690" s="9"/>
      <c r="C690" s="9"/>
      <c r="D690" s="9"/>
      <c r="E690" s="9"/>
      <c r="F690" s="13"/>
      <c r="G690" s="13"/>
      <c r="H690" s="13"/>
      <c r="I690" s="9"/>
    </row>
    <row r="691">
      <c r="A691" s="9"/>
      <c r="B691" s="9"/>
      <c r="C691" s="9"/>
      <c r="D691" s="9"/>
      <c r="E691" s="9"/>
      <c r="F691" s="13"/>
      <c r="G691" s="13"/>
      <c r="H691" s="13"/>
      <c r="I691" s="9"/>
    </row>
    <row r="692">
      <c r="A692" s="9"/>
      <c r="B692" s="9"/>
      <c r="C692" s="9"/>
      <c r="D692" s="9"/>
      <c r="E692" s="9"/>
      <c r="F692" s="13"/>
      <c r="G692" s="13"/>
      <c r="H692" s="13"/>
      <c r="I692" s="9"/>
    </row>
    <row r="693">
      <c r="A693" s="9"/>
      <c r="B693" s="9"/>
      <c r="C693" s="9"/>
      <c r="D693" s="9"/>
      <c r="E693" s="9"/>
      <c r="F693" s="13"/>
      <c r="G693" s="13"/>
      <c r="H693" s="13"/>
      <c r="I693" s="9"/>
    </row>
    <row r="694">
      <c r="A694" s="9"/>
      <c r="B694" s="9"/>
      <c r="C694" s="9"/>
      <c r="D694" s="9"/>
      <c r="E694" s="9"/>
      <c r="F694" s="13"/>
      <c r="G694" s="13"/>
      <c r="H694" s="13"/>
      <c r="I694" s="9"/>
    </row>
    <row r="695">
      <c r="A695" s="9"/>
      <c r="B695" s="9"/>
      <c r="C695" s="9"/>
      <c r="D695" s="9"/>
      <c r="E695" s="9"/>
      <c r="F695" s="13"/>
      <c r="G695" s="13"/>
      <c r="H695" s="13"/>
      <c r="I695" s="9"/>
    </row>
    <row r="696">
      <c r="A696" s="9"/>
      <c r="B696" s="9"/>
      <c r="C696" s="9"/>
      <c r="D696" s="9"/>
      <c r="E696" s="9"/>
      <c r="F696" s="13"/>
      <c r="G696" s="13"/>
      <c r="H696" s="13"/>
      <c r="I696" s="9"/>
    </row>
    <row r="697">
      <c r="A697" s="9"/>
      <c r="B697" s="9"/>
      <c r="C697" s="9"/>
      <c r="D697" s="9"/>
      <c r="E697" s="9"/>
      <c r="F697" s="13"/>
      <c r="G697" s="13"/>
      <c r="H697" s="13"/>
      <c r="I697" s="9"/>
    </row>
    <row r="698">
      <c r="A698" s="9"/>
      <c r="B698" s="9"/>
      <c r="C698" s="9"/>
      <c r="D698" s="9"/>
      <c r="E698" s="9"/>
      <c r="F698" s="13"/>
      <c r="G698" s="13"/>
      <c r="H698" s="13"/>
      <c r="I698" s="9"/>
    </row>
    <row r="699">
      <c r="A699" s="9"/>
      <c r="B699" s="9"/>
      <c r="C699" s="9"/>
      <c r="D699" s="9"/>
      <c r="E699" s="9"/>
      <c r="F699" s="13"/>
      <c r="G699" s="13"/>
      <c r="H699" s="13"/>
      <c r="I699" s="9"/>
    </row>
    <row r="700">
      <c r="A700" s="9"/>
      <c r="B700" s="9"/>
      <c r="C700" s="9"/>
      <c r="D700" s="9"/>
      <c r="E700" s="9"/>
      <c r="F700" s="13"/>
      <c r="G700" s="13"/>
      <c r="H700" s="13"/>
      <c r="I700" s="9"/>
    </row>
    <row r="701">
      <c r="A701" s="9"/>
      <c r="B701" s="9"/>
      <c r="C701" s="9"/>
      <c r="D701" s="9"/>
      <c r="E701" s="9"/>
      <c r="F701" s="13"/>
      <c r="G701" s="13"/>
      <c r="H701" s="13"/>
      <c r="I701" s="9"/>
    </row>
    <row r="702">
      <c r="A702" s="9"/>
      <c r="B702" s="9"/>
      <c r="C702" s="9"/>
      <c r="D702" s="9"/>
      <c r="E702" s="9"/>
      <c r="F702" s="13"/>
      <c r="G702" s="13"/>
      <c r="H702" s="13"/>
      <c r="I702" s="9"/>
    </row>
    <row r="703">
      <c r="A703" s="9"/>
      <c r="B703" s="9"/>
      <c r="C703" s="9"/>
      <c r="D703" s="9"/>
      <c r="E703" s="9"/>
      <c r="F703" s="13"/>
      <c r="G703" s="13"/>
      <c r="H703" s="13"/>
      <c r="I703" s="9"/>
    </row>
    <row r="704">
      <c r="A704" s="9"/>
      <c r="B704" s="9"/>
      <c r="C704" s="9"/>
      <c r="D704" s="9"/>
      <c r="E704" s="9"/>
      <c r="F704" s="13"/>
      <c r="G704" s="13"/>
      <c r="H704" s="13"/>
      <c r="I704" s="9"/>
    </row>
    <row r="705">
      <c r="A705" s="9"/>
      <c r="B705" s="9"/>
      <c r="C705" s="9"/>
      <c r="D705" s="9"/>
      <c r="E705" s="9"/>
      <c r="F705" s="13"/>
      <c r="G705" s="13"/>
      <c r="H705" s="13"/>
      <c r="I705" s="9"/>
    </row>
    <row r="706">
      <c r="A706" s="9"/>
      <c r="B706" s="9"/>
      <c r="C706" s="9"/>
      <c r="D706" s="9"/>
      <c r="E706" s="9"/>
      <c r="F706" s="13"/>
      <c r="G706" s="13"/>
      <c r="H706" s="13"/>
      <c r="I706" s="9"/>
    </row>
    <row r="707">
      <c r="A707" s="9"/>
      <c r="B707" s="9"/>
      <c r="C707" s="9"/>
      <c r="D707" s="9"/>
      <c r="E707" s="9"/>
      <c r="F707" s="13"/>
      <c r="G707" s="13"/>
      <c r="H707" s="13"/>
      <c r="I707" s="9"/>
    </row>
    <row r="708">
      <c r="A708" s="9"/>
      <c r="B708" s="9"/>
      <c r="C708" s="9"/>
      <c r="D708" s="9"/>
      <c r="E708" s="9"/>
      <c r="F708" s="13"/>
      <c r="G708" s="13"/>
      <c r="H708" s="13"/>
      <c r="I708" s="9"/>
    </row>
    <row r="709">
      <c r="A709" s="9"/>
      <c r="B709" s="9"/>
      <c r="C709" s="9"/>
      <c r="D709" s="9"/>
      <c r="E709" s="9"/>
      <c r="F709" s="13"/>
      <c r="G709" s="13"/>
      <c r="H709" s="13"/>
      <c r="I709" s="9"/>
    </row>
    <row r="710">
      <c r="A710" s="9"/>
      <c r="B710" s="9"/>
      <c r="C710" s="9"/>
      <c r="D710" s="9"/>
      <c r="E710" s="9"/>
      <c r="F710" s="13"/>
      <c r="G710" s="13"/>
      <c r="H710" s="13"/>
      <c r="I710" s="9"/>
    </row>
    <row r="711">
      <c r="A711" s="9"/>
      <c r="B711" s="9"/>
      <c r="C711" s="9"/>
      <c r="D711" s="9"/>
      <c r="E711" s="9"/>
      <c r="F711" s="13"/>
      <c r="G711" s="13"/>
      <c r="H711" s="13"/>
      <c r="I711" s="9"/>
    </row>
    <row r="712">
      <c r="A712" s="9"/>
      <c r="B712" s="9"/>
      <c r="C712" s="9"/>
      <c r="D712" s="9"/>
      <c r="E712" s="9"/>
      <c r="F712" s="13"/>
      <c r="G712" s="13"/>
      <c r="H712" s="13"/>
      <c r="I712" s="9"/>
    </row>
    <row r="713">
      <c r="A713" s="9"/>
      <c r="B713" s="9"/>
      <c r="C713" s="9"/>
      <c r="D713" s="9"/>
      <c r="E713" s="9"/>
      <c r="F713" s="13"/>
      <c r="G713" s="13"/>
      <c r="H713" s="13"/>
      <c r="I713" s="9"/>
    </row>
    <row r="714">
      <c r="A714" s="9"/>
      <c r="B714" s="9"/>
      <c r="C714" s="9"/>
      <c r="D714" s="9"/>
      <c r="E714" s="9"/>
      <c r="F714" s="13"/>
      <c r="G714" s="13"/>
      <c r="H714" s="13"/>
      <c r="I714" s="9"/>
    </row>
    <row r="715">
      <c r="A715" s="9"/>
      <c r="B715" s="9"/>
      <c r="C715" s="9"/>
      <c r="D715" s="9"/>
      <c r="E715" s="9"/>
      <c r="F715" s="13"/>
      <c r="G715" s="13"/>
      <c r="H715" s="13"/>
      <c r="I715" s="9"/>
    </row>
    <row r="716">
      <c r="A716" s="9"/>
      <c r="B716" s="9"/>
      <c r="C716" s="9"/>
      <c r="D716" s="9"/>
      <c r="E716" s="9"/>
      <c r="F716" s="13"/>
      <c r="G716" s="13"/>
      <c r="H716" s="13"/>
      <c r="I716" s="9"/>
    </row>
    <row r="717">
      <c r="A717" s="9"/>
      <c r="B717" s="9"/>
      <c r="C717" s="9"/>
      <c r="D717" s="9"/>
      <c r="E717" s="9"/>
      <c r="F717" s="13"/>
      <c r="G717" s="13"/>
      <c r="H717" s="13"/>
      <c r="I717" s="9"/>
    </row>
    <row r="718">
      <c r="A718" s="9"/>
      <c r="B718" s="9"/>
      <c r="C718" s="9"/>
      <c r="D718" s="9"/>
      <c r="E718" s="9"/>
      <c r="F718" s="13"/>
      <c r="G718" s="13"/>
      <c r="H718" s="13"/>
      <c r="I718" s="9"/>
    </row>
    <row r="719">
      <c r="A719" s="9"/>
      <c r="B719" s="9"/>
      <c r="C719" s="9"/>
      <c r="D719" s="9"/>
      <c r="E719" s="9"/>
      <c r="F719" s="13"/>
      <c r="G719" s="13"/>
      <c r="H719" s="13"/>
      <c r="I719" s="9"/>
    </row>
    <row r="720">
      <c r="A720" s="9"/>
      <c r="B720" s="9"/>
      <c r="C720" s="9"/>
      <c r="D720" s="9"/>
      <c r="E720" s="9"/>
      <c r="F720" s="13"/>
      <c r="G720" s="13"/>
      <c r="H720" s="13"/>
      <c r="I720" s="9"/>
    </row>
    <row r="721">
      <c r="A721" s="9"/>
      <c r="B721" s="9"/>
      <c r="C721" s="9"/>
      <c r="D721" s="9"/>
      <c r="E721" s="9"/>
      <c r="F721" s="13"/>
      <c r="G721" s="13"/>
      <c r="H721" s="13"/>
      <c r="I721" s="9"/>
    </row>
    <row r="722">
      <c r="A722" s="9"/>
      <c r="B722" s="9"/>
      <c r="C722" s="9"/>
      <c r="D722" s="9"/>
      <c r="E722" s="9"/>
      <c r="F722" s="13"/>
      <c r="G722" s="13"/>
      <c r="H722" s="13"/>
      <c r="I722" s="9"/>
    </row>
    <row r="723">
      <c r="A723" s="9"/>
      <c r="B723" s="9"/>
      <c r="C723" s="9"/>
      <c r="D723" s="9"/>
      <c r="E723" s="9"/>
      <c r="F723" s="13"/>
      <c r="G723" s="13"/>
      <c r="H723" s="13"/>
      <c r="I723" s="9"/>
    </row>
    <row r="724">
      <c r="A724" s="9"/>
      <c r="B724" s="9"/>
      <c r="C724" s="9"/>
      <c r="D724" s="9"/>
      <c r="E724" s="9"/>
      <c r="F724" s="13"/>
      <c r="G724" s="13"/>
      <c r="H724" s="13"/>
      <c r="I724" s="9"/>
    </row>
    <row r="725">
      <c r="A725" s="9"/>
      <c r="B725" s="9"/>
      <c r="C725" s="9"/>
      <c r="D725" s="9"/>
      <c r="E725" s="9"/>
      <c r="F725" s="13"/>
      <c r="G725" s="13"/>
      <c r="H725" s="13"/>
      <c r="I725" s="9"/>
    </row>
    <row r="726">
      <c r="A726" s="9"/>
      <c r="B726" s="9"/>
      <c r="C726" s="9"/>
      <c r="D726" s="9"/>
      <c r="E726" s="9"/>
      <c r="F726" s="13"/>
      <c r="G726" s="13"/>
      <c r="H726" s="13"/>
      <c r="I726" s="9"/>
    </row>
    <row r="727">
      <c r="A727" s="9"/>
      <c r="B727" s="9"/>
      <c r="C727" s="9"/>
      <c r="D727" s="9"/>
      <c r="E727" s="9"/>
      <c r="F727" s="13"/>
      <c r="G727" s="13"/>
      <c r="H727" s="13"/>
      <c r="I727" s="9"/>
    </row>
    <row r="728">
      <c r="A728" s="9"/>
      <c r="B728" s="9"/>
      <c r="C728" s="9"/>
      <c r="D728" s="9"/>
      <c r="E728" s="9"/>
      <c r="F728" s="13"/>
      <c r="G728" s="13"/>
      <c r="H728" s="13"/>
      <c r="I728" s="9"/>
    </row>
    <row r="729">
      <c r="A729" s="9"/>
      <c r="B729" s="9"/>
      <c r="C729" s="9"/>
      <c r="D729" s="9"/>
      <c r="E729" s="9"/>
      <c r="F729" s="13"/>
      <c r="G729" s="13"/>
      <c r="H729" s="13"/>
      <c r="I729" s="9"/>
    </row>
    <row r="730">
      <c r="A730" s="9"/>
      <c r="B730" s="9"/>
      <c r="C730" s="9"/>
      <c r="D730" s="9"/>
      <c r="E730" s="9"/>
      <c r="F730" s="13"/>
      <c r="G730" s="13"/>
      <c r="H730" s="13"/>
      <c r="I730" s="9"/>
    </row>
    <row r="731">
      <c r="A731" s="9"/>
      <c r="B731" s="9"/>
      <c r="C731" s="9"/>
      <c r="D731" s="9"/>
      <c r="E731" s="9"/>
      <c r="F731" s="13"/>
      <c r="G731" s="13"/>
      <c r="H731" s="13"/>
      <c r="I731" s="9"/>
    </row>
    <row r="732">
      <c r="A732" s="9"/>
      <c r="B732" s="9"/>
      <c r="C732" s="9"/>
      <c r="D732" s="9"/>
      <c r="E732" s="9"/>
      <c r="F732" s="13"/>
      <c r="G732" s="13"/>
      <c r="H732" s="13"/>
      <c r="I732" s="9"/>
    </row>
    <row r="733">
      <c r="A733" s="9"/>
      <c r="B733" s="9"/>
      <c r="C733" s="9"/>
      <c r="D733" s="9"/>
      <c r="E733" s="9"/>
      <c r="F733" s="13"/>
      <c r="G733" s="13"/>
      <c r="H733" s="13"/>
      <c r="I733" s="9"/>
    </row>
    <row r="734">
      <c r="A734" s="9"/>
      <c r="B734" s="9"/>
      <c r="C734" s="9"/>
      <c r="D734" s="9"/>
      <c r="E734" s="9"/>
      <c r="F734" s="13"/>
      <c r="G734" s="13"/>
      <c r="H734" s="13"/>
      <c r="I734" s="9"/>
    </row>
    <row r="735">
      <c r="A735" s="9"/>
      <c r="B735" s="9"/>
      <c r="C735" s="9"/>
      <c r="D735" s="9"/>
      <c r="E735" s="9"/>
      <c r="F735" s="13"/>
      <c r="G735" s="13"/>
      <c r="H735" s="13"/>
      <c r="I735" s="9"/>
    </row>
    <row r="736">
      <c r="A736" s="9"/>
      <c r="B736" s="9"/>
      <c r="C736" s="9"/>
      <c r="D736" s="9"/>
      <c r="E736" s="9"/>
      <c r="F736" s="13"/>
      <c r="G736" s="13"/>
      <c r="H736" s="13"/>
      <c r="I736" s="9"/>
    </row>
    <row r="737">
      <c r="A737" s="9"/>
      <c r="B737" s="9"/>
      <c r="C737" s="9"/>
      <c r="D737" s="9"/>
      <c r="E737" s="9"/>
      <c r="F737" s="13"/>
      <c r="G737" s="13"/>
      <c r="H737" s="13"/>
      <c r="I737" s="9"/>
    </row>
    <row r="738">
      <c r="A738" s="9"/>
      <c r="B738" s="9"/>
      <c r="C738" s="9"/>
      <c r="D738" s="9"/>
      <c r="E738" s="9"/>
      <c r="F738" s="13"/>
      <c r="G738" s="13"/>
      <c r="H738" s="13"/>
      <c r="I738" s="9"/>
    </row>
    <row r="739">
      <c r="A739" s="9"/>
      <c r="B739" s="9"/>
      <c r="C739" s="9"/>
      <c r="D739" s="9"/>
      <c r="E739" s="9"/>
      <c r="F739" s="13"/>
      <c r="G739" s="13"/>
      <c r="H739" s="13"/>
      <c r="I739" s="9"/>
    </row>
    <row r="740">
      <c r="A740" s="9"/>
      <c r="B740" s="9"/>
      <c r="C740" s="9"/>
      <c r="D740" s="9"/>
      <c r="E740" s="9"/>
      <c r="F740" s="13"/>
      <c r="G740" s="13"/>
      <c r="H740" s="13"/>
      <c r="I740" s="9"/>
    </row>
    <row r="741">
      <c r="A741" s="9"/>
      <c r="B741" s="9"/>
      <c r="C741" s="9"/>
      <c r="D741" s="9"/>
      <c r="E741" s="9"/>
      <c r="F741" s="13"/>
      <c r="G741" s="13"/>
      <c r="H741" s="13"/>
      <c r="I741" s="9"/>
    </row>
    <row r="742">
      <c r="A742" s="9"/>
      <c r="B742" s="9"/>
      <c r="C742" s="9"/>
      <c r="D742" s="9"/>
      <c r="E742" s="9"/>
      <c r="F742" s="13"/>
      <c r="G742" s="13"/>
      <c r="H742" s="13"/>
      <c r="I742" s="9"/>
    </row>
    <row r="743">
      <c r="A743" s="9"/>
      <c r="B743" s="9"/>
      <c r="C743" s="9"/>
      <c r="D743" s="9"/>
      <c r="E743" s="9"/>
      <c r="F743" s="13"/>
      <c r="G743" s="13"/>
      <c r="H743" s="13"/>
      <c r="I743" s="9"/>
    </row>
    <row r="744">
      <c r="A744" s="9"/>
      <c r="B744" s="9"/>
      <c r="C744" s="9"/>
      <c r="D744" s="9"/>
      <c r="E744" s="9"/>
      <c r="F744" s="13"/>
      <c r="G744" s="13"/>
      <c r="H744" s="13"/>
      <c r="I744" s="9"/>
    </row>
    <row r="745">
      <c r="A745" s="9"/>
      <c r="B745" s="9"/>
      <c r="C745" s="9"/>
      <c r="D745" s="9"/>
      <c r="E745" s="9"/>
      <c r="F745" s="13"/>
      <c r="G745" s="13"/>
      <c r="H745" s="13"/>
      <c r="I745" s="9"/>
    </row>
    <row r="746">
      <c r="A746" s="9"/>
      <c r="B746" s="9"/>
      <c r="C746" s="9"/>
      <c r="D746" s="9"/>
      <c r="E746" s="9"/>
      <c r="F746" s="13"/>
      <c r="G746" s="13"/>
      <c r="H746" s="13"/>
      <c r="I746" s="9"/>
    </row>
    <row r="747">
      <c r="A747" s="9"/>
      <c r="B747" s="9"/>
      <c r="C747" s="9"/>
      <c r="D747" s="9"/>
      <c r="E747" s="9"/>
      <c r="F747" s="13"/>
      <c r="G747" s="13"/>
      <c r="H747" s="13"/>
      <c r="I747" s="9"/>
    </row>
    <row r="748">
      <c r="A748" s="9"/>
      <c r="B748" s="9"/>
      <c r="C748" s="9"/>
      <c r="D748" s="9"/>
      <c r="E748" s="9"/>
      <c r="F748" s="13"/>
      <c r="G748" s="13"/>
      <c r="H748" s="13"/>
      <c r="I748" s="9"/>
    </row>
    <row r="749">
      <c r="A749" s="9"/>
      <c r="B749" s="9"/>
      <c r="C749" s="9"/>
      <c r="D749" s="9"/>
      <c r="E749" s="9"/>
      <c r="F749" s="13"/>
      <c r="G749" s="13"/>
      <c r="H749" s="13"/>
      <c r="I749" s="9"/>
    </row>
    <row r="750">
      <c r="A750" s="9"/>
      <c r="B750" s="9"/>
      <c r="C750" s="9"/>
      <c r="D750" s="9"/>
      <c r="E750" s="9"/>
      <c r="F750" s="13"/>
      <c r="G750" s="13"/>
      <c r="H750" s="13"/>
      <c r="I750" s="9"/>
    </row>
    <row r="751">
      <c r="A751" s="9"/>
      <c r="B751" s="9"/>
      <c r="C751" s="9"/>
      <c r="D751" s="9"/>
      <c r="E751" s="9"/>
      <c r="F751" s="13"/>
      <c r="G751" s="13"/>
      <c r="H751" s="13"/>
      <c r="I751" s="9"/>
    </row>
    <row r="752">
      <c r="A752" s="9"/>
      <c r="B752" s="9"/>
      <c r="C752" s="9"/>
      <c r="D752" s="9"/>
      <c r="E752" s="9"/>
      <c r="F752" s="13"/>
      <c r="G752" s="13"/>
      <c r="H752" s="13"/>
      <c r="I752" s="9"/>
    </row>
    <row r="753">
      <c r="A753" s="9"/>
      <c r="B753" s="9"/>
      <c r="C753" s="9"/>
      <c r="D753" s="9"/>
      <c r="E753" s="9"/>
      <c r="F753" s="13"/>
      <c r="G753" s="13"/>
      <c r="H753" s="13"/>
      <c r="I753" s="9"/>
    </row>
    <row r="754">
      <c r="A754" s="9"/>
      <c r="B754" s="9"/>
      <c r="C754" s="9"/>
      <c r="D754" s="9"/>
      <c r="E754" s="9"/>
      <c r="F754" s="13"/>
      <c r="G754" s="13"/>
      <c r="H754" s="13"/>
      <c r="I754" s="9"/>
    </row>
    <row r="755">
      <c r="A755" s="9"/>
      <c r="B755" s="9"/>
      <c r="C755" s="9"/>
      <c r="D755" s="9"/>
      <c r="E755" s="9"/>
      <c r="F755" s="13"/>
      <c r="G755" s="13"/>
      <c r="H755" s="13"/>
      <c r="I755" s="9"/>
    </row>
    <row r="756">
      <c r="A756" s="9"/>
      <c r="B756" s="9"/>
      <c r="C756" s="9"/>
      <c r="D756" s="9"/>
      <c r="E756" s="9"/>
      <c r="F756" s="13"/>
      <c r="G756" s="13"/>
      <c r="H756" s="13"/>
      <c r="I756" s="9"/>
    </row>
    <row r="757">
      <c r="A757" s="9"/>
      <c r="B757" s="9"/>
      <c r="C757" s="9"/>
      <c r="D757" s="9"/>
      <c r="E757" s="9"/>
      <c r="F757" s="13"/>
      <c r="G757" s="13"/>
      <c r="H757" s="13"/>
      <c r="I757" s="9"/>
    </row>
    <row r="758">
      <c r="A758" s="9"/>
      <c r="B758" s="9"/>
      <c r="C758" s="9"/>
      <c r="D758" s="9"/>
      <c r="E758" s="9"/>
      <c r="F758" s="13"/>
      <c r="G758" s="13"/>
      <c r="H758" s="13"/>
      <c r="I758" s="9"/>
    </row>
    <row r="759">
      <c r="A759" s="9"/>
      <c r="B759" s="9"/>
      <c r="C759" s="9"/>
      <c r="D759" s="9"/>
      <c r="E759" s="9"/>
      <c r="F759" s="13"/>
      <c r="G759" s="13"/>
      <c r="H759" s="13"/>
      <c r="I759" s="9"/>
    </row>
    <row r="760">
      <c r="A760" s="9"/>
      <c r="B760" s="9"/>
      <c r="C760" s="9"/>
      <c r="D760" s="9"/>
      <c r="E760" s="9"/>
      <c r="F760" s="13"/>
      <c r="G760" s="13"/>
      <c r="H760" s="13"/>
      <c r="I760" s="9"/>
    </row>
    <row r="761">
      <c r="A761" s="9"/>
      <c r="B761" s="9"/>
      <c r="C761" s="9"/>
      <c r="D761" s="9"/>
      <c r="E761" s="9"/>
      <c r="F761" s="13"/>
      <c r="G761" s="13"/>
      <c r="H761" s="13"/>
      <c r="I761" s="9"/>
    </row>
    <row r="762">
      <c r="A762" s="9"/>
      <c r="B762" s="9"/>
      <c r="C762" s="9"/>
      <c r="D762" s="9"/>
      <c r="E762" s="9"/>
      <c r="F762" s="13"/>
      <c r="G762" s="13"/>
      <c r="H762" s="13"/>
      <c r="I762" s="9"/>
    </row>
    <row r="763">
      <c r="A763" s="9"/>
      <c r="B763" s="9"/>
      <c r="C763" s="9"/>
      <c r="D763" s="9"/>
      <c r="E763" s="9"/>
      <c r="F763" s="13"/>
      <c r="G763" s="13"/>
      <c r="H763" s="13"/>
      <c r="I763" s="9"/>
    </row>
    <row r="764">
      <c r="A764" s="9"/>
      <c r="B764" s="9"/>
      <c r="C764" s="9"/>
      <c r="D764" s="9"/>
      <c r="E764" s="9"/>
      <c r="F764" s="13"/>
      <c r="G764" s="13"/>
      <c r="H764" s="13"/>
      <c r="I764" s="9"/>
    </row>
    <row r="765">
      <c r="A765" s="9"/>
      <c r="B765" s="9"/>
      <c r="C765" s="9"/>
      <c r="D765" s="9"/>
      <c r="E765" s="9"/>
      <c r="F765" s="13"/>
      <c r="G765" s="13"/>
      <c r="H765" s="13"/>
      <c r="I765" s="9"/>
    </row>
    <row r="766">
      <c r="A766" s="9"/>
      <c r="B766" s="9"/>
      <c r="C766" s="9"/>
      <c r="D766" s="9"/>
      <c r="E766" s="9"/>
      <c r="F766" s="13"/>
      <c r="G766" s="13"/>
      <c r="H766" s="13"/>
      <c r="I766" s="9"/>
    </row>
    <row r="767">
      <c r="A767" s="9"/>
      <c r="B767" s="9"/>
      <c r="C767" s="9"/>
      <c r="D767" s="9"/>
      <c r="E767" s="9"/>
      <c r="F767" s="13"/>
      <c r="G767" s="13"/>
      <c r="H767" s="13"/>
      <c r="I767" s="9"/>
    </row>
    <row r="768">
      <c r="A768" s="9"/>
      <c r="B768" s="9"/>
      <c r="C768" s="9"/>
      <c r="D768" s="9"/>
      <c r="E768" s="9"/>
      <c r="F768" s="13"/>
      <c r="G768" s="13"/>
      <c r="H768" s="13"/>
      <c r="I768" s="9"/>
    </row>
    <row r="769">
      <c r="A769" s="9"/>
      <c r="B769" s="9"/>
      <c r="C769" s="9"/>
      <c r="D769" s="9"/>
      <c r="E769" s="9"/>
      <c r="F769" s="13"/>
      <c r="G769" s="13"/>
      <c r="H769" s="13"/>
      <c r="I769" s="9"/>
    </row>
    <row r="770">
      <c r="A770" s="9"/>
      <c r="B770" s="9"/>
      <c r="C770" s="9"/>
      <c r="D770" s="9"/>
      <c r="E770" s="9"/>
      <c r="F770" s="13"/>
      <c r="G770" s="13"/>
      <c r="H770" s="13"/>
      <c r="I770" s="9"/>
    </row>
    <row r="771">
      <c r="A771" s="9"/>
      <c r="B771" s="9"/>
      <c r="C771" s="9"/>
      <c r="D771" s="9"/>
      <c r="E771" s="9"/>
      <c r="F771" s="13"/>
      <c r="G771" s="13"/>
      <c r="H771" s="13"/>
      <c r="I771" s="9"/>
    </row>
    <row r="772">
      <c r="A772" s="9"/>
      <c r="B772" s="9"/>
      <c r="C772" s="9"/>
      <c r="D772" s="9"/>
      <c r="E772" s="9"/>
      <c r="F772" s="13"/>
      <c r="G772" s="13"/>
      <c r="H772" s="13"/>
      <c r="I772" s="9"/>
    </row>
    <row r="773">
      <c r="A773" s="9"/>
      <c r="B773" s="9"/>
      <c r="C773" s="9"/>
      <c r="D773" s="9"/>
      <c r="E773" s="9"/>
      <c r="F773" s="13"/>
      <c r="G773" s="13"/>
      <c r="H773" s="13"/>
      <c r="I773" s="9"/>
    </row>
    <row r="774">
      <c r="A774" s="9"/>
      <c r="B774" s="9"/>
      <c r="C774" s="9"/>
      <c r="D774" s="9"/>
      <c r="E774" s="9"/>
      <c r="F774" s="13"/>
      <c r="G774" s="13"/>
      <c r="H774" s="13"/>
      <c r="I774" s="9"/>
    </row>
    <row r="775">
      <c r="A775" s="9"/>
      <c r="B775" s="9"/>
      <c r="C775" s="9"/>
      <c r="D775" s="9"/>
      <c r="E775" s="9"/>
      <c r="F775" s="13"/>
      <c r="G775" s="13"/>
      <c r="H775" s="13"/>
      <c r="I775" s="9"/>
    </row>
    <row r="776">
      <c r="A776" s="9"/>
      <c r="B776" s="9"/>
      <c r="C776" s="9"/>
      <c r="D776" s="9"/>
      <c r="E776" s="9"/>
      <c r="F776" s="13"/>
      <c r="G776" s="13"/>
      <c r="H776" s="13"/>
      <c r="I776" s="9"/>
    </row>
    <row r="777">
      <c r="A777" s="9"/>
      <c r="B777" s="9"/>
      <c r="C777" s="9"/>
      <c r="D777" s="9"/>
      <c r="E777" s="9"/>
      <c r="F777" s="13"/>
      <c r="G777" s="13"/>
      <c r="H777" s="13"/>
      <c r="I777" s="9"/>
    </row>
    <row r="778">
      <c r="A778" s="9"/>
      <c r="B778" s="9"/>
      <c r="C778" s="9"/>
      <c r="D778" s="9"/>
      <c r="E778" s="9"/>
      <c r="F778" s="13"/>
      <c r="G778" s="13"/>
      <c r="H778" s="13"/>
      <c r="I778" s="9"/>
    </row>
    <row r="779">
      <c r="A779" s="9"/>
      <c r="B779" s="9"/>
      <c r="C779" s="9"/>
      <c r="D779" s="9"/>
      <c r="E779" s="9"/>
      <c r="F779" s="13"/>
      <c r="G779" s="13"/>
      <c r="H779" s="13"/>
      <c r="I779" s="9"/>
    </row>
    <row r="780">
      <c r="A780" s="9"/>
      <c r="B780" s="9"/>
      <c r="C780" s="9"/>
      <c r="D780" s="9"/>
      <c r="E780" s="9"/>
      <c r="F780" s="13"/>
      <c r="G780" s="13"/>
      <c r="H780" s="13"/>
      <c r="I780" s="9"/>
    </row>
    <row r="781">
      <c r="A781" s="9"/>
      <c r="B781" s="9"/>
      <c r="C781" s="9"/>
      <c r="D781" s="9"/>
      <c r="E781" s="9"/>
      <c r="F781" s="13"/>
      <c r="G781" s="13"/>
      <c r="H781" s="13"/>
      <c r="I781" s="9"/>
    </row>
    <row r="782">
      <c r="A782" s="9"/>
      <c r="B782" s="9"/>
      <c r="C782" s="9"/>
      <c r="D782" s="9"/>
      <c r="E782" s="9"/>
      <c r="F782" s="13"/>
      <c r="G782" s="13"/>
      <c r="H782" s="13"/>
      <c r="I782" s="9"/>
    </row>
    <row r="783">
      <c r="A783" s="9"/>
      <c r="B783" s="9"/>
      <c r="C783" s="9"/>
      <c r="D783" s="9"/>
      <c r="E783" s="9"/>
      <c r="F783" s="13"/>
      <c r="G783" s="13"/>
      <c r="H783" s="13"/>
      <c r="I783" s="9"/>
    </row>
    <row r="784">
      <c r="A784" s="9"/>
      <c r="B784" s="9"/>
      <c r="C784" s="9"/>
      <c r="D784" s="9"/>
      <c r="E784" s="9"/>
      <c r="F784" s="13"/>
      <c r="G784" s="13"/>
      <c r="H784" s="13"/>
      <c r="I784" s="9"/>
    </row>
    <row r="785">
      <c r="A785" s="9"/>
      <c r="B785" s="9"/>
      <c r="C785" s="9"/>
      <c r="D785" s="9"/>
      <c r="E785" s="9"/>
      <c r="F785" s="13"/>
      <c r="G785" s="13"/>
      <c r="H785" s="13"/>
      <c r="I785" s="9"/>
    </row>
    <row r="786">
      <c r="A786" s="9"/>
      <c r="B786" s="9"/>
      <c r="C786" s="9"/>
      <c r="D786" s="9"/>
      <c r="E786" s="9"/>
      <c r="F786" s="13"/>
      <c r="G786" s="13"/>
      <c r="H786" s="13"/>
      <c r="I786" s="9"/>
    </row>
    <row r="787">
      <c r="A787" s="9"/>
      <c r="B787" s="9"/>
      <c r="C787" s="9"/>
      <c r="D787" s="9"/>
      <c r="E787" s="9"/>
      <c r="F787" s="13"/>
      <c r="G787" s="13"/>
      <c r="H787" s="13"/>
      <c r="I787" s="9"/>
    </row>
    <row r="788">
      <c r="A788" s="9"/>
      <c r="B788" s="9"/>
      <c r="C788" s="9"/>
      <c r="D788" s="9"/>
      <c r="E788" s="9"/>
      <c r="F788" s="13"/>
      <c r="G788" s="13"/>
      <c r="H788" s="13"/>
      <c r="I788" s="9"/>
    </row>
    <row r="789">
      <c r="A789" s="9"/>
      <c r="B789" s="9"/>
      <c r="C789" s="9"/>
      <c r="D789" s="9"/>
      <c r="E789" s="9"/>
      <c r="F789" s="13"/>
      <c r="G789" s="13"/>
      <c r="H789" s="13"/>
      <c r="I789" s="9"/>
    </row>
    <row r="790">
      <c r="A790" s="9"/>
      <c r="B790" s="9"/>
      <c r="C790" s="9"/>
      <c r="D790" s="9"/>
      <c r="E790" s="9"/>
      <c r="F790" s="13"/>
      <c r="G790" s="13"/>
      <c r="H790" s="13"/>
      <c r="I790" s="9"/>
    </row>
    <row r="791">
      <c r="A791" s="9"/>
      <c r="B791" s="9"/>
      <c r="C791" s="9"/>
      <c r="D791" s="9"/>
      <c r="E791" s="9"/>
      <c r="F791" s="13"/>
      <c r="G791" s="13"/>
      <c r="H791" s="13"/>
      <c r="I791" s="9"/>
    </row>
    <row r="792">
      <c r="A792" s="9"/>
      <c r="B792" s="9"/>
      <c r="C792" s="9"/>
      <c r="D792" s="9"/>
      <c r="E792" s="9"/>
      <c r="F792" s="13"/>
      <c r="G792" s="13"/>
      <c r="H792" s="13"/>
      <c r="I792" s="9"/>
    </row>
    <row r="793">
      <c r="A793" s="9"/>
      <c r="B793" s="9"/>
      <c r="C793" s="9"/>
      <c r="D793" s="9"/>
      <c r="E793" s="9"/>
      <c r="F793" s="13"/>
      <c r="G793" s="13"/>
      <c r="H793" s="13"/>
      <c r="I793" s="9"/>
    </row>
    <row r="794">
      <c r="A794" s="9"/>
      <c r="B794" s="9"/>
      <c r="C794" s="9"/>
      <c r="D794" s="9"/>
      <c r="E794" s="9"/>
      <c r="F794" s="13"/>
      <c r="G794" s="13"/>
      <c r="H794" s="13"/>
      <c r="I794" s="9"/>
    </row>
    <row r="795">
      <c r="A795" s="9"/>
      <c r="B795" s="9"/>
      <c r="C795" s="9"/>
      <c r="D795" s="9"/>
      <c r="E795" s="9"/>
      <c r="F795" s="13"/>
      <c r="G795" s="13"/>
      <c r="H795" s="13"/>
      <c r="I795" s="9"/>
    </row>
    <row r="796">
      <c r="A796" s="9"/>
      <c r="B796" s="9"/>
      <c r="C796" s="9"/>
      <c r="D796" s="9"/>
      <c r="E796" s="9"/>
      <c r="F796" s="13"/>
      <c r="G796" s="13"/>
      <c r="H796" s="13"/>
      <c r="I796" s="9"/>
    </row>
    <row r="797">
      <c r="A797" s="9"/>
      <c r="B797" s="9"/>
      <c r="C797" s="9"/>
      <c r="D797" s="9"/>
      <c r="E797" s="9"/>
      <c r="F797" s="13"/>
      <c r="G797" s="13"/>
      <c r="H797" s="13"/>
      <c r="I797" s="9"/>
    </row>
    <row r="798">
      <c r="A798" s="9"/>
      <c r="B798" s="9"/>
      <c r="C798" s="9"/>
      <c r="D798" s="9"/>
      <c r="E798" s="9"/>
      <c r="F798" s="13"/>
      <c r="G798" s="13"/>
      <c r="H798" s="13"/>
      <c r="I798" s="9"/>
    </row>
    <row r="799">
      <c r="A799" s="9"/>
      <c r="B799" s="9"/>
      <c r="C799" s="9"/>
      <c r="D799" s="9"/>
      <c r="E799" s="9"/>
      <c r="F799" s="13"/>
      <c r="G799" s="13"/>
      <c r="H799" s="13"/>
      <c r="I799" s="9"/>
    </row>
    <row r="800">
      <c r="A800" s="9"/>
      <c r="B800" s="9"/>
      <c r="C800" s="9"/>
      <c r="D800" s="9"/>
      <c r="E800" s="9"/>
      <c r="F800" s="13"/>
      <c r="G800" s="13"/>
      <c r="H800" s="13"/>
      <c r="I800" s="9"/>
    </row>
    <row r="801">
      <c r="A801" s="9"/>
      <c r="B801" s="9"/>
      <c r="C801" s="9"/>
      <c r="D801" s="9"/>
      <c r="E801" s="9"/>
      <c r="F801" s="13"/>
      <c r="G801" s="13"/>
      <c r="H801" s="13"/>
      <c r="I801" s="9"/>
    </row>
    <row r="802">
      <c r="A802" s="9"/>
      <c r="B802" s="9"/>
      <c r="C802" s="9"/>
      <c r="D802" s="9"/>
      <c r="E802" s="9"/>
      <c r="F802" s="13"/>
      <c r="G802" s="13"/>
      <c r="H802" s="13"/>
      <c r="I802" s="9"/>
    </row>
    <row r="803">
      <c r="A803" s="9"/>
      <c r="B803" s="9"/>
      <c r="C803" s="9"/>
      <c r="D803" s="9"/>
      <c r="E803" s="9"/>
      <c r="F803" s="13"/>
      <c r="G803" s="13"/>
      <c r="H803" s="13"/>
      <c r="I803" s="9"/>
    </row>
    <row r="804">
      <c r="A804" s="9"/>
      <c r="B804" s="9"/>
      <c r="C804" s="9"/>
      <c r="D804" s="9"/>
      <c r="E804" s="9"/>
      <c r="F804" s="13"/>
      <c r="G804" s="13"/>
      <c r="H804" s="13"/>
      <c r="I804" s="9"/>
    </row>
    <row r="805">
      <c r="A805" s="9"/>
      <c r="B805" s="9"/>
      <c r="C805" s="9"/>
      <c r="D805" s="9"/>
      <c r="E805" s="9"/>
      <c r="F805" s="13"/>
      <c r="G805" s="13"/>
      <c r="H805" s="13"/>
      <c r="I805" s="9"/>
    </row>
    <row r="806">
      <c r="A806" s="9"/>
      <c r="B806" s="9"/>
      <c r="C806" s="9"/>
      <c r="D806" s="9"/>
      <c r="E806" s="9"/>
      <c r="F806" s="13"/>
      <c r="G806" s="13"/>
      <c r="H806" s="13"/>
      <c r="I806" s="9"/>
    </row>
    <row r="807">
      <c r="A807" s="9"/>
      <c r="B807" s="9"/>
      <c r="C807" s="9"/>
      <c r="D807" s="9"/>
      <c r="E807" s="9"/>
      <c r="F807" s="13"/>
      <c r="G807" s="13"/>
      <c r="H807" s="13"/>
      <c r="I807" s="9"/>
    </row>
    <row r="808">
      <c r="A808" s="9"/>
      <c r="B808" s="9"/>
      <c r="C808" s="9"/>
      <c r="D808" s="9"/>
      <c r="E808" s="9"/>
      <c r="F808" s="13"/>
      <c r="G808" s="13"/>
      <c r="H808" s="13"/>
      <c r="I808" s="9"/>
    </row>
    <row r="809">
      <c r="A809" s="9"/>
      <c r="B809" s="9"/>
      <c r="C809" s="9"/>
      <c r="D809" s="9"/>
      <c r="E809" s="9"/>
      <c r="F809" s="13"/>
      <c r="G809" s="13"/>
      <c r="H809" s="13"/>
      <c r="I809" s="9"/>
    </row>
    <row r="810">
      <c r="A810" s="9"/>
      <c r="B810" s="9"/>
      <c r="C810" s="9"/>
      <c r="D810" s="9"/>
      <c r="E810" s="9"/>
      <c r="F810" s="13"/>
      <c r="G810" s="13"/>
      <c r="H810" s="13"/>
      <c r="I810" s="9"/>
    </row>
    <row r="811">
      <c r="A811" s="9"/>
      <c r="B811" s="9"/>
      <c r="C811" s="9"/>
      <c r="D811" s="9"/>
      <c r="E811" s="9"/>
      <c r="F811" s="13"/>
      <c r="G811" s="13"/>
      <c r="H811" s="13"/>
      <c r="I811" s="9"/>
    </row>
    <row r="812">
      <c r="A812" s="9"/>
      <c r="B812" s="9"/>
      <c r="C812" s="9"/>
      <c r="D812" s="9"/>
      <c r="E812" s="9"/>
      <c r="F812" s="13"/>
      <c r="G812" s="13"/>
      <c r="H812" s="13"/>
      <c r="I812" s="9"/>
    </row>
    <row r="813">
      <c r="A813" s="9"/>
      <c r="B813" s="9"/>
      <c r="C813" s="9"/>
      <c r="D813" s="9"/>
      <c r="E813" s="9"/>
      <c r="F813" s="13"/>
      <c r="G813" s="13"/>
      <c r="H813" s="13"/>
      <c r="I813" s="9"/>
    </row>
    <row r="814">
      <c r="A814" s="9"/>
      <c r="B814" s="9"/>
      <c r="C814" s="9"/>
      <c r="D814" s="9"/>
      <c r="E814" s="9"/>
      <c r="F814" s="13"/>
      <c r="G814" s="13"/>
      <c r="H814" s="13"/>
      <c r="I814" s="9"/>
    </row>
    <row r="815">
      <c r="A815" s="9"/>
      <c r="B815" s="9"/>
      <c r="C815" s="9"/>
      <c r="D815" s="9"/>
      <c r="E815" s="9"/>
      <c r="F815" s="13"/>
      <c r="G815" s="13"/>
      <c r="H815" s="13"/>
      <c r="I815" s="9"/>
    </row>
    <row r="816">
      <c r="A816" s="9"/>
      <c r="B816" s="9"/>
      <c r="C816" s="9"/>
      <c r="D816" s="9"/>
      <c r="E816" s="9"/>
      <c r="F816" s="13"/>
      <c r="G816" s="13"/>
      <c r="H816" s="13"/>
      <c r="I816" s="9"/>
    </row>
    <row r="817">
      <c r="A817" s="9"/>
      <c r="B817" s="9"/>
      <c r="C817" s="9"/>
      <c r="D817" s="9"/>
      <c r="E817" s="9"/>
      <c r="F817" s="13"/>
      <c r="G817" s="13"/>
      <c r="H817" s="13"/>
      <c r="I817" s="9"/>
    </row>
    <row r="818">
      <c r="A818" s="9"/>
      <c r="B818" s="9"/>
      <c r="C818" s="9"/>
      <c r="D818" s="9"/>
      <c r="E818" s="9"/>
      <c r="F818" s="13"/>
      <c r="G818" s="13"/>
      <c r="H818" s="13"/>
      <c r="I818" s="9"/>
    </row>
    <row r="819">
      <c r="A819" s="9"/>
      <c r="B819" s="9"/>
      <c r="C819" s="9"/>
      <c r="D819" s="9"/>
      <c r="E819" s="9"/>
      <c r="F819" s="13"/>
      <c r="G819" s="13"/>
      <c r="H819" s="13"/>
      <c r="I819" s="9"/>
    </row>
    <row r="820">
      <c r="A820" s="9"/>
      <c r="B820" s="9"/>
      <c r="C820" s="9"/>
      <c r="D820" s="9"/>
      <c r="E820" s="9"/>
      <c r="F820" s="13"/>
      <c r="G820" s="13"/>
      <c r="H820" s="13"/>
      <c r="I820" s="9"/>
    </row>
    <row r="821">
      <c r="A821" s="9"/>
      <c r="B821" s="9"/>
      <c r="C821" s="9"/>
      <c r="D821" s="9"/>
      <c r="E821" s="9"/>
      <c r="F821" s="13"/>
      <c r="G821" s="13"/>
      <c r="H821" s="13"/>
      <c r="I821" s="9"/>
    </row>
    <row r="822">
      <c r="A822" s="9"/>
      <c r="B822" s="9"/>
      <c r="C822" s="9"/>
      <c r="D822" s="9"/>
      <c r="E822" s="9"/>
      <c r="F822" s="13"/>
      <c r="G822" s="13"/>
      <c r="H822" s="13"/>
      <c r="I822" s="9"/>
    </row>
    <row r="823">
      <c r="A823" s="9"/>
      <c r="B823" s="9"/>
      <c r="C823" s="9"/>
      <c r="D823" s="9"/>
      <c r="E823" s="9"/>
      <c r="F823" s="13"/>
      <c r="G823" s="13"/>
      <c r="H823" s="13"/>
      <c r="I823" s="9"/>
    </row>
    <row r="824">
      <c r="A824" s="9"/>
      <c r="B824" s="9"/>
      <c r="C824" s="9"/>
      <c r="D824" s="9"/>
      <c r="E824" s="9"/>
      <c r="F824" s="13"/>
      <c r="G824" s="13"/>
      <c r="H824" s="13"/>
      <c r="I824" s="9"/>
    </row>
    <row r="825">
      <c r="A825" s="9"/>
      <c r="B825" s="9"/>
      <c r="C825" s="9"/>
      <c r="D825" s="9"/>
      <c r="E825" s="9"/>
      <c r="F825" s="13"/>
      <c r="G825" s="13"/>
      <c r="H825" s="13"/>
      <c r="I825" s="9"/>
    </row>
    <row r="826">
      <c r="A826" s="9"/>
      <c r="B826" s="9"/>
      <c r="C826" s="9"/>
      <c r="D826" s="9"/>
      <c r="E826" s="9"/>
      <c r="F826" s="13"/>
      <c r="G826" s="13"/>
      <c r="H826" s="13"/>
      <c r="I826" s="9"/>
    </row>
    <row r="827">
      <c r="A827" s="9"/>
      <c r="B827" s="9"/>
      <c r="C827" s="9"/>
      <c r="D827" s="9"/>
      <c r="E827" s="9"/>
      <c r="F827" s="13"/>
      <c r="G827" s="13"/>
      <c r="H827" s="13"/>
      <c r="I827" s="9"/>
    </row>
    <row r="828">
      <c r="A828" s="9"/>
      <c r="B828" s="9"/>
      <c r="C828" s="9"/>
      <c r="D828" s="9"/>
      <c r="E828" s="9"/>
      <c r="F828" s="13"/>
      <c r="G828" s="13"/>
      <c r="H828" s="13"/>
      <c r="I828" s="9"/>
    </row>
    <row r="829">
      <c r="A829" s="9"/>
      <c r="B829" s="9"/>
      <c r="C829" s="9"/>
      <c r="D829" s="9"/>
      <c r="E829" s="9"/>
      <c r="F829" s="13"/>
      <c r="G829" s="13"/>
      <c r="H829" s="13"/>
      <c r="I829" s="9"/>
    </row>
    <row r="830">
      <c r="A830" s="9"/>
      <c r="B830" s="9"/>
      <c r="C830" s="9"/>
      <c r="D830" s="9"/>
      <c r="E830" s="9"/>
      <c r="F830" s="13"/>
      <c r="G830" s="13"/>
      <c r="H830" s="13"/>
      <c r="I830" s="9"/>
    </row>
    <row r="831">
      <c r="A831" s="9"/>
      <c r="B831" s="9"/>
      <c r="C831" s="9"/>
      <c r="D831" s="9"/>
      <c r="E831" s="9"/>
      <c r="F831" s="13"/>
      <c r="G831" s="13"/>
      <c r="H831" s="13"/>
      <c r="I831" s="9"/>
    </row>
    <row r="832">
      <c r="A832" s="9"/>
      <c r="B832" s="9"/>
      <c r="C832" s="9"/>
      <c r="D832" s="9"/>
      <c r="E832" s="9"/>
      <c r="F832" s="13"/>
      <c r="G832" s="13"/>
      <c r="H832" s="13"/>
      <c r="I832" s="9"/>
    </row>
    <row r="833">
      <c r="A833" s="9"/>
      <c r="B833" s="9"/>
      <c r="C833" s="9"/>
      <c r="D833" s="9"/>
      <c r="E833" s="9"/>
      <c r="F833" s="13"/>
      <c r="G833" s="13"/>
      <c r="H833" s="13"/>
      <c r="I833" s="9"/>
    </row>
    <row r="834">
      <c r="A834" s="9"/>
      <c r="B834" s="9"/>
      <c r="C834" s="9"/>
      <c r="D834" s="9"/>
      <c r="E834" s="9"/>
      <c r="F834" s="13"/>
      <c r="G834" s="13"/>
      <c r="H834" s="13"/>
      <c r="I834" s="9"/>
    </row>
    <row r="835">
      <c r="A835" s="9"/>
      <c r="B835" s="9"/>
      <c r="C835" s="9"/>
      <c r="D835" s="9"/>
      <c r="E835" s="9"/>
      <c r="F835" s="13"/>
      <c r="G835" s="13"/>
      <c r="H835" s="13"/>
      <c r="I835" s="9"/>
    </row>
    <row r="836">
      <c r="A836" s="9"/>
      <c r="B836" s="9"/>
      <c r="C836" s="9"/>
      <c r="D836" s="9"/>
      <c r="E836" s="9"/>
      <c r="F836" s="13"/>
      <c r="G836" s="13"/>
      <c r="H836" s="13"/>
      <c r="I836" s="9"/>
    </row>
    <row r="837">
      <c r="A837" s="9"/>
      <c r="B837" s="9"/>
      <c r="C837" s="9"/>
      <c r="D837" s="9"/>
      <c r="E837" s="9"/>
      <c r="F837" s="13"/>
      <c r="G837" s="13"/>
      <c r="H837" s="13"/>
      <c r="I837" s="9"/>
    </row>
    <row r="838">
      <c r="A838" s="9"/>
      <c r="B838" s="9"/>
      <c r="C838" s="9"/>
      <c r="D838" s="9"/>
      <c r="E838" s="9"/>
      <c r="F838" s="13"/>
      <c r="G838" s="13"/>
      <c r="H838" s="13"/>
      <c r="I838" s="9"/>
    </row>
    <row r="839">
      <c r="A839" s="9"/>
      <c r="B839" s="9"/>
      <c r="C839" s="9"/>
      <c r="D839" s="9"/>
      <c r="E839" s="9"/>
      <c r="F839" s="13"/>
      <c r="G839" s="13"/>
      <c r="H839" s="13"/>
      <c r="I839" s="9"/>
    </row>
    <row r="840">
      <c r="A840" s="9"/>
      <c r="B840" s="9"/>
      <c r="C840" s="9"/>
      <c r="D840" s="9"/>
      <c r="E840" s="9"/>
      <c r="F840" s="13"/>
      <c r="G840" s="13"/>
      <c r="H840" s="13"/>
      <c r="I840" s="9"/>
    </row>
    <row r="841">
      <c r="A841" s="9"/>
      <c r="B841" s="9"/>
      <c r="C841" s="9"/>
      <c r="D841" s="9"/>
      <c r="E841" s="9"/>
      <c r="F841" s="13"/>
      <c r="G841" s="13"/>
      <c r="H841" s="13"/>
      <c r="I841" s="9"/>
    </row>
    <row r="842">
      <c r="A842" s="9"/>
      <c r="B842" s="9"/>
      <c r="C842" s="9"/>
      <c r="D842" s="9"/>
      <c r="E842" s="9"/>
      <c r="F842" s="13"/>
      <c r="G842" s="13"/>
      <c r="H842" s="13"/>
      <c r="I842" s="9"/>
    </row>
    <row r="843">
      <c r="A843" s="9"/>
      <c r="B843" s="9"/>
      <c r="C843" s="9"/>
      <c r="D843" s="9"/>
      <c r="E843" s="9"/>
      <c r="F843" s="13"/>
      <c r="G843" s="13"/>
      <c r="H843" s="13"/>
      <c r="I843" s="9"/>
    </row>
    <row r="844">
      <c r="A844" s="9"/>
      <c r="B844" s="9"/>
      <c r="C844" s="9"/>
      <c r="D844" s="9"/>
      <c r="E844" s="9"/>
      <c r="F844" s="13"/>
      <c r="G844" s="13"/>
      <c r="H844" s="13"/>
      <c r="I844" s="9"/>
    </row>
    <row r="845">
      <c r="A845" s="9"/>
      <c r="B845" s="9"/>
      <c r="C845" s="9"/>
      <c r="D845" s="9"/>
      <c r="E845" s="9"/>
      <c r="F845" s="13"/>
      <c r="G845" s="13"/>
      <c r="H845" s="13"/>
      <c r="I845" s="9"/>
    </row>
    <row r="846">
      <c r="A846" s="9"/>
      <c r="B846" s="9"/>
      <c r="C846" s="9"/>
      <c r="D846" s="9"/>
      <c r="E846" s="9"/>
      <c r="F846" s="13"/>
      <c r="G846" s="13"/>
      <c r="H846" s="13"/>
      <c r="I846" s="9"/>
    </row>
    <row r="847">
      <c r="A847" s="9"/>
      <c r="B847" s="9"/>
      <c r="C847" s="9"/>
      <c r="D847" s="9"/>
      <c r="E847" s="9"/>
      <c r="F847" s="13"/>
      <c r="G847" s="13"/>
      <c r="H847" s="13"/>
      <c r="I847" s="9"/>
    </row>
    <row r="848">
      <c r="A848" s="9"/>
      <c r="B848" s="9"/>
      <c r="C848" s="9"/>
      <c r="D848" s="9"/>
      <c r="E848" s="9"/>
      <c r="F848" s="13"/>
      <c r="G848" s="13"/>
      <c r="H848" s="13"/>
      <c r="I848" s="9"/>
    </row>
    <row r="849">
      <c r="A849" s="9"/>
      <c r="B849" s="9"/>
      <c r="C849" s="9"/>
      <c r="D849" s="9"/>
      <c r="E849" s="9"/>
      <c r="F849" s="13"/>
      <c r="G849" s="13"/>
      <c r="H849" s="13"/>
      <c r="I849" s="9"/>
    </row>
    <row r="850">
      <c r="A850" s="9"/>
      <c r="B850" s="9"/>
      <c r="C850" s="9"/>
      <c r="D850" s="9"/>
      <c r="E850" s="9"/>
      <c r="F850" s="13"/>
      <c r="G850" s="13"/>
      <c r="H850" s="13"/>
      <c r="I850" s="9"/>
    </row>
    <row r="851">
      <c r="A851" s="9"/>
      <c r="B851" s="9"/>
      <c r="C851" s="9"/>
      <c r="D851" s="9"/>
      <c r="E851" s="9"/>
      <c r="F851" s="13"/>
      <c r="G851" s="13"/>
      <c r="H851" s="13"/>
      <c r="I851" s="9"/>
    </row>
    <row r="852">
      <c r="A852" s="9"/>
      <c r="B852" s="9"/>
      <c r="C852" s="9"/>
      <c r="D852" s="9"/>
      <c r="E852" s="9"/>
      <c r="F852" s="13"/>
      <c r="G852" s="13"/>
      <c r="H852" s="13"/>
      <c r="I852" s="9"/>
    </row>
    <row r="853">
      <c r="A853" s="9"/>
      <c r="B853" s="9"/>
      <c r="C853" s="9"/>
      <c r="D853" s="9"/>
      <c r="E853" s="9"/>
      <c r="F853" s="13"/>
      <c r="G853" s="13"/>
      <c r="H853" s="13"/>
      <c r="I853" s="9"/>
    </row>
    <row r="854">
      <c r="A854" s="9"/>
      <c r="B854" s="9"/>
      <c r="C854" s="9"/>
      <c r="D854" s="9"/>
      <c r="E854" s="9"/>
      <c r="F854" s="13"/>
      <c r="G854" s="13"/>
      <c r="H854" s="13"/>
      <c r="I854" s="9"/>
    </row>
    <row r="855">
      <c r="A855" s="9"/>
      <c r="B855" s="9"/>
      <c r="C855" s="9"/>
      <c r="D855" s="9"/>
      <c r="E855" s="9"/>
      <c r="F855" s="13"/>
      <c r="G855" s="13"/>
      <c r="H855" s="13"/>
      <c r="I855" s="9"/>
    </row>
    <row r="856">
      <c r="A856" s="9"/>
      <c r="B856" s="9"/>
      <c r="C856" s="9"/>
      <c r="D856" s="9"/>
      <c r="E856" s="9"/>
      <c r="F856" s="13"/>
      <c r="G856" s="13"/>
      <c r="H856" s="13"/>
      <c r="I856" s="9"/>
    </row>
    <row r="857">
      <c r="A857" s="9"/>
      <c r="B857" s="9"/>
      <c r="C857" s="9"/>
      <c r="D857" s="9"/>
      <c r="E857" s="9"/>
      <c r="F857" s="13"/>
      <c r="G857" s="13"/>
      <c r="H857" s="13"/>
      <c r="I857" s="9"/>
    </row>
    <row r="858">
      <c r="A858" s="9"/>
      <c r="B858" s="9"/>
      <c r="C858" s="9"/>
      <c r="D858" s="9"/>
      <c r="E858" s="9"/>
      <c r="F858" s="13"/>
      <c r="G858" s="13"/>
      <c r="H858" s="13"/>
      <c r="I858" s="9"/>
    </row>
    <row r="859">
      <c r="A859" s="9"/>
      <c r="B859" s="9"/>
      <c r="C859" s="9"/>
      <c r="D859" s="9"/>
      <c r="E859" s="9"/>
      <c r="F859" s="13"/>
      <c r="G859" s="13"/>
      <c r="H859" s="13"/>
      <c r="I859" s="9"/>
    </row>
    <row r="860">
      <c r="A860" s="9"/>
      <c r="B860" s="9"/>
      <c r="C860" s="9"/>
      <c r="D860" s="9"/>
      <c r="E860" s="9"/>
      <c r="F860" s="13"/>
      <c r="G860" s="13"/>
      <c r="H860" s="13"/>
      <c r="I860" s="9"/>
    </row>
    <row r="861">
      <c r="A861" s="9"/>
      <c r="B861" s="9"/>
      <c r="C861" s="9"/>
      <c r="D861" s="9"/>
      <c r="E861" s="9"/>
      <c r="F861" s="13"/>
      <c r="G861" s="13"/>
      <c r="H861" s="13"/>
      <c r="I861" s="9"/>
    </row>
    <row r="862">
      <c r="A862" s="9"/>
      <c r="B862" s="9"/>
      <c r="C862" s="9"/>
      <c r="D862" s="9"/>
      <c r="E862" s="9"/>
      <c r="F862" s="13"/>
      <c r="G862" s="13"/>
      <c r="H862" s="13"/>
      <c r="I862" s="9"/>
    </row>
    <row r="863">
      <c r="A863" s="9"/>
      <c r="B863" s="9"/>
      <c r="C863" s="9"/>
      <c r="D863" s="9"/>
      <c r="E863" s="9"/>
      <c r="F863" s="13"/>
      <c r="G863" s="13"/>
      <c r="H863" s="13"/>
      <c r="I863" s="9"/>
    </row>
    <row r="864">
      <c r="A864" s="9"/>
      <c r="B864" s="9"/>
      <c r="C864" s="9"/>
      <c r="D864" s="9"/>
      <c r="E864" s="9"/>
      <c r="F864" s="13"/>
      <c r="G864" s="13"/>
      <c r="H864" s="13"/>
      <c r="I864" s="9"/>
    </row>
    <row r="865">
      <c r="A865" s="9"/>
      <c r="B865" s="9"/>
      <c r="C865" s="9"/>
      <c r="D865" s="9"/>
      <c r="E865" s="9"/>
      <c r="F865" s="13"/>
      <c r="G865" s="13"/>
      <c r="H865" s="13"/>
      <c r="I865" s="9"/>
    </row>
    <row r="866">
      <c r="A866" s="9"/>
      <c r="B866" s="9"/>
      <c r="C866" s="9"/>
      <c r="D866" s="9"/>
      <c r="E866" s="9"/>
      <c r="F866" s="13"/>
      <c r="G866" s="13"/>
      <c r="H866" s="13"/>
      <c r="I866" s="9"/>
    </row>
    <row r="867">
      <c r="A867" s="9"/>
      <c r="B867" s="9"/>
      <c r="C867" s="9"/>
      <c r="D867" s="9"/>
      <c r="E867" s="9"/>
      <c r="F867" s="13"/>
      <c r="G867" s="13"/>
      <c r="H867" s="13"/>
      <c r="I867" s="9"/>
    </row>
    <row r="868">
      <c r="A868" s="9"/>
      <c r="B868" s="9"/>
      <c r="C868" s="9"/>
      <c r="D868" s="9"/>
      <c r="E868" s="9"/>
      <c r="F868" s="13"/>
      <c r="G868" s="13"/>
      <c r="H868" s="13"/>
      <c r="I868" s="9"/>
    </row>
    <row r="869">
      <c r="A869" s="9"/>
      <c r="B869" s="9"/>
      <c r="C869" s="9"/>
      <c r="D869" s="9"/>
      <c r="E869" s="9"/>
      <c r="F869" s="13"/>
      <c r="G869" s="13"/>
      <c r="H869" s="13"/>
      <c r="I869" s="9"/>
    </row>
    <row r="870">
      <c r="A870" s="9"/>
      <c r="B870" s="9"/>
      <c r="C870" s="9"/>
      <c r="D870" s="9"/>
      <c r="E870" s="9"/>
      <c r="F870" s="13"/>
      <c r="G870" s="13"/>
      <c r="H870" s="13"/>
      <c r="I870" s="9"/>
    </row>
    <row r="871">
      <c r="A871" s="9"/>
      <c r="B871" s="9"/>
      <c r="C871" s="9"/>
      <c r="D871" s="9"/>
      <c r="E871" s="9"/>
      <c r="F871" s="13"/>
      <c r="G871" s="13"/>
      <c r="H871" s="13"/>
      <c r="I871" s="9"/>
    </row>
    <row r="872">
      <c r="A872" s="9"/>
      <c r="B872" s="9"/>
      <c r="C872" s="9"/>
      <c r="D872" s="9"/>
      <c r="E872" s="9"/>
      <c r="F872" s="13"/>
      <c r="G872" s="13"/>
      <c r="H872" s="13"/>
      <c r="I872" s="9"/>
    </row>
    <row r="873">
      <c r="A873" s="9"/>
      <c r="B873" s="9"/>
      <c r="C873" s="9"/>
      <c r="D873" s="9"/>
      <c r="E873" s="9"/>
      <c r="F873" s="13"/>
      <c r="G873" s="13"/>
      <c r="H873" s="13"/>
      <c r="I873" s="9"/>
    </row>
    <row r="874">
      <c r="A874" s="9"/>
      <c r="B874" s="9"/>
      <c r="C874" s="9"/>
      <c r="D874" s="9"/>
      <c r="E874" s="9"/>
      <c r="F874" s="13"/>
      <c r="G874" s="13"/>
      <c r="H874" s="13"/>
      <c r="I874" s="9"/>
    </row>
    <row r="875">
      <c r="A875" s="9"/>
      <c r="B875" s="9"/>
      <c r="C875" s="9"/>
      <c r="D875" s="9"/>
      <c r="E875" s="9"/>
      <c r="F875" s="13"/>
      <c r="G875" s="13"/>
      <c r="H875" s="13"/>
      <c r="I875" s="9"/>
    </row>
    <row r="876">
      <c r="A876" s="9"/>
      <c r="B876" s="9"/>
      <c r="C876" s="9"/>
      <c r="D876" s="9"/>
      <c r="E876" s="9"/>
      <c r="F876" s="13"/>
      <c r="G876" s="13"/>
      <c r="H876" s="13"/>
      <c r="I876" s="9"/>
    </row>
    <row r="877">
      <c r="A877" s="9"/>
      <c r="B877" s="9"/>
      <c r="C877" s="9"/>
      <c r="D877" s="9"/>
      <c r="E877" s="9"/>
      <c r="F877" s="13"/>
      <c r="G877" s="13"/>
      <c r="H877" s="13"/>
      <c r="I877" s="9"/>
    </row>
    <row r="878">
      <c r="A878" s="9"/>
      <c r="B878" s="9"/>
      <c r="C878" s="9"/>
      <c r="D878" s="9"/>
      <c r="E878" s="9"/>
      <c r="F878" s="13"/>
      <c r="G878" s="13"/>
      <c r="H878" s="13"/>
      <c r="I878" s="9"/>
    </row>
    <row r="879">
      <c r="A879" s="9"/>
      <c r="B879" s="9"/>
      <c r="C879" s="9"/>
      <c r="D879" s="9"/>
      <c r="E879" s="9"/>
      <c r="F879" s="13"/>
      <c r="G879" s="13"/>
      <c r="H879" s="13"/>
      <c r="I879" s="9"/>
    </row>
    <row r="880">
      <c r="A880" s="9"/>
      <c r="B880" s="9"/>
      <c r="C880" s="9"/>
      <c r="D880" s="9"/>
      <c r="E880" s="9"/>
      <c r="F880" s="13"/>
      <c r="G880" s="13"/>
      <c r="H880" s="13"/>
      <c r="I880" s="9"/>
    </row>
    <row r="881">
      <c r="A881" s="9"/>
      <c r="B881" s="9"/>
      <c r="C881" s="9"/>
      <c r="D881" s="9"/>
      <c r="E881" s="9"/>
      <c r="F881" s="13"/>
      <c r="G881" s="13"/>
      <c r="H881" s="13"/>
      <c r="I881" s="9"/>
    </row>
    <row r="882">
      <c r="A882" s="9"/>
      <c r="B882" s="9"/>
      <c r="C882" s="9"/>
      <c r="D882" s="9"/>
      <c r="E882" s="9"/>
      <c r="F882" s="13"/>
      <c r="G882" s="13"/>
      <c r="H882" s="13"/>
      <c r="I882" s="9"/>
    </row>
    <row r="883">
      <c r="A883" s="9"/>
      <c r="B883" s="9"/>
      <c r="C883" s="9"/>
      <c r="D883" s="9"/>
      <c r="E883" s="9"/>
      <c r="F883" s="13"/>
      <c r="G883" s="13"/>
      <c r="H883" s="13"/>
      <c r="I883" s="9"/>
    </row>
    <row r="884">
      <c r="A884" s="9"/>
      <c r="B884" s="9"/>
      <c r="C884" s="9"/>
      <c r="D884" s="9"/>
      <c r="E884" s="9"/>
      <c r="F884" s="13"/>
      <c r="G884" s="13"/>
      <c r="H884" s="13"/>
      <c r="I884" s="9"/>
    </row>
    <row r="885">
      <c r="A885" s="9"/>
      <c r="B885" s="9"/>
      <c r="C885" s="9"/>
      <c r="D885" s="9"/>
      <c r="E885" s="9"/>
      <c r="F885" s="13"/>
      <c r="G885" s="13"/>
      <c r="H885" s="13"/>
      <c r="I885" s="9"/>
    </row>
    <row r="886">
      <c r="A886" s="9"/>
      <c r="B886" s="9"/>
      <c r="C886" s="9"/>
      <c r="D886" s="9"/>
      <c r="E886" s="9"/>
      <c r="F886" s="13"/>
      <c r="G886" s="13"/>
      <c r="H886" s="13"/>
      <c r="I886" s="9"/>
    </row>
    <row r="887">
      <c r="A887" s="9"/>
      <c r="B887" s="9"/>
      <c r="C887" s="9"/>
      <c r="D887" s="9"/>
      <c r="E887" s="9"/>
      <c r="F887" s="13"/>
      <c r="G887" s="13"/>
      <c r="H887" s="13"/>
      <c r="I887" s="9"/>
    </row>
    <row r="888">
      <c r="A888" s="9"/>
      <c r="B888" s="9"/>
      <c r="C888" s="9"/>
      <c r="D888" s="9"/>
      <c r="E888" s="9"/>
      <c r="F888" s="13"/>
      <c r="G888" s="13"/>
      <c r="H888" s="13"/>
      <c r="I888" s="9"/>
    </row>
    <row r="889">
      <c r="A889" s="9"/>
      <c r="B889" s="9"/>
      <c r="C889" s="9"/>
      <c r="D889" s="9"/>
      <c r="E889" s="9"/>
      <c r="F889" s="13"/>
      <c r="G889" s="13"/>
      <c r="H889" s="13"/>
      <c r="I889" s="9"/>
    </row>
    <row r="890">
      <c r="A890" s="9"/>
      <c r="B890" s="9"/>
      <c r="C890" s="9"/>
      <c r="D890" s="9"/>
      <c r="E890" s="9"/>
      <c r="F890" s="13"/>
      <c r="G890" s="13"/>
      <c r="H890" s="13"/>
      <c r="I890" s="9"/>
    </row>
    <row r="891">
      <c r="A891" s="9"/>
      <c r="B891" s="9"/>
      <c r="C891" s="9"/>
      <c r="D891" s="9"/>
      <c r="E891" s="9"/>
      <c r="F891" s="13"/>
      <c r="G891" s="13"/>
      <c r="H891" s="13"/>
      <c r="I891" s="9"/>
    </row>
    <row r="892">
      <c r="A892" s="9"/>
      <c r="B892" s="9"/>
      <c r="C892" s="9"/>
      <c r="D892" s="9"/>
      <c r="E892" s="9"/>
      <c r="F892" s="13"/>
      <c r="G892" s="13"/>
      <c r="H892" s="13"/>
      <c r="I892" s="9"/>
    </row>
    <row r="893">
      <c r="A893" s="9"/>
      <c r="B893" s="9"/>
      <c r="C893" s="9"/>
      <c r="D893" s="9"/>
      <c r="E893" s="9"/>
      <c r="F893" s="13"/>
      <c r="G893" s="13"/>
      <c r="H893" s="13"/>
      <c r="I893" s="9"/>
    </row>
    <row r="894">
      <c r="A894" s="9"/>
      <c r="B894" s="9"/>
      <c r="C894" s="9"/>
      <c r="D894" s="9"/>
      <c r="E894" s="9"/>
      <c r="F894" s="13"/>
      <c r="G894" s="13"/>
      <c r="H894" s="13"/>
      <c r="I894" s="9"/>
    </row>
    <row r="895">
      <c r="A895" s="9"/>
      <c r="B895" s="9"/>
      <c r="C895" s="9"/>
      <c r="D895" s="9"/>
      <c r="E895" s="9"/>
      <c r="F895" s="13"/>
      <c r="G895" s="13"/>
      <c r="H895" s="13"/>
      <c r="I895" s="9"/>
    </row>
    <row r="896">
      <c r="A896" s="9"/>
      <c r="B896" s="9"/>
      <c r="C896" s="9"/>
      <c r="D896" s="9"/>
      <c r="E896" s="9"/>
      <c r="F896" s="13"/>
      <c r="G896" s="13"/>
      <c r="H896" s="13"/>
      <c r="I896" s="9"/>
    </row>
    <row r="897">
      <c r="A897" s="9"/>
      <c r="B897" s="9"/>
      <c r="C897" s="9"/>
      <c r="D897" s="9"/>
      <c r="E897" s="9"/>
      <c r="F897" s="13"/>
      <c r="G897" s="13"/>
      <c r="H897" s="13"/>
      <c r="I897" s="9"/>
    </row>
    <row r="898">
      <c r="A898" s="9"/>
      <c r="B898" s="9"/>
      <c r="C898" s="9"/>
      <c r="D898" s="9"/>
      <c r="E898" s="9"/>
      <c r="F898" s="13"/>
      <c r="G898" s="13"/>
      <c r="H898" s="13"/>
      <c r="I898" s="9"/>
    </row>
    <row r="899">
      <c r="A899" s="9"/>
      <c r="B899" s="9"/>
      <c r="C899" s="9"/>
      <c r="D899" s="9"/>
      <c r="E899" s="9"/>
      <c r="F899" s="13"/>
      <c r="G899" s="13"/>
      <c r="H899" s="13"/>
      <c r="I899" s="9"/>
    </row>
    <row r="900">
      <c r="A900" s="9"/>
      <c r="B900" s="9"/>
      <c r="C900" s="9"/>
      <c r="D900" s="9"/>
      <c r="E900" s="9"/>
      <c r="F900" s="13"/>
      <c r="G900" s="13"/>
      <c r="H900" s="13"/>
      <c r="I900" s="9"/>
    </row>
    <row r="901">
      <c r="A901" s="9"/>
      <c r="B901" s="9"/>
      <c r="C901" s="9"/>
      <c r="D901" s="9"/>
      <c r="E901" s="9"/>
      <c r="F901" s="13"/>
      <c r="G901" s="13"/>
      <c r="H901" s="13"/>
      <c r="I901" s="9"/>
    </row>
    <row r="902">
      <c r="A902" s="9"/>
      <c r="B902" s="9"/>
      <c r="C902" s="9"/>
      <c r="D902" s="9"/>
      <c r="E902" s="9"/>
      <c r="F902" s="13"/>
      <c r="G902" s="13"/>
      <c r="H902" s="13"/>
      <c r="I902" s="9"/>
    </row>
    <row r="903">
      <c r="A903" s="9"/>
      <c r="B903" s="9"/>
      <c r="C903" s="9"/>
      <c r="D903" s="9"/>
      <c r="E903" s="9"/>
      <c r="F903" s="13"/>
      <c r="G903" s="13"/>
      <c r="H903" s="13"/>
      <c r="I903" s="9"/>
    </row>
    <row r="904">
      <c r="A904" s="9"/>
      <c r="B904" s="9"/>
      <c r="C904" s="9"/>
      <c r="D904" s="9"/>
      <c r="E904" s="9"/>
      <c r="F904" s="13"/>
      <c r="G904" s="13"/>
      <c r="H904" s="13"/>
      <c r="I904" s="9"/>
    </row>
    <row r="905">
      <c r="A905" s="9"/>
      <c r="B905" s="9"/>
      <c r="C905" s="9"/>
      <c r="D905" s="9"/>
      <c r="E905" s="9"/>
      <c r="F905" s="13"/>
      <c r="G905" s="13"/>
      <c r="H905" s="13"/>
      <c r="I905" s="9"/>
    </row>
    <row r="906">
      <c r="A906" s="9"/>
      <c r="B906" s="9"/>
      <c r="C906" s="9"/>
      <c r="D906" s="9"/>
      <c r="E906" s="9"/>
      <c r="F906" s="13"/>
      <c r="G906" s="13"/>
      <c r="H906" s="13"/>
      <c r="I906" s="9"/>
    </row>
    <row r="907">
      <c r="A907" s="9"/>
      <c r="B907" s="9"/>
      <c r="C907" s="9"/>
      <c r="D907" s="9"/>
      <c r="E907" s="9"/>
      <c r="F907" s="13"/>
      <c r="G907" s="13"/>
      <c r="H907" s="13"/>
      <c r="I907" s="9"/>
    </row>
    <row r="908">
      <c r="A908" s="9"/>
      <c r="B908" s="9"/>
      <c r="C908" s="9"/>
      <c r="D908" s="9"/>
      <c r="E908" s="9"/>
      <c r="F908" s="13"/>
      <c r="G908" s="13"/>
      <c r="H908" s="13"/>
      <c r="I908" s="9"/>
    </row>
    <row r="909">
      <c r="A909" s="9"/>
      <c r="B909" s="9"/>
      <c r="C909" s="9"/>
      <c r="D909" s="9"/>
      <c r="E909" s="9"/>
      <c r="F909" s="13"/>
      <c r="G909" s="13"/>
      <c r="H909" s="13"/>
      <c r="I909" s="9"/>
    </row>
    <row r="910">
      <c r="A910" s="9"/>
      <c r="B910" s="9"/>
      <c r="C910" s="9"/>
      <c r="D910" s="9"/>
      <c r="E910" s="9"/>
      <c r="F910" s="13"/>
      <c r="G910" s="13"/>
      <c r="H910" s="13"/>
      <c r="I910" s="9"/>
    </row>
    <row r="911">
      <c r="A911" s="9"/>
      <c r="B911" s="9"/>
      <c r="C911" s="9"/>
      <c r="D911" s="9"/>
      <c r="E911" s="9"/>
      <c r="F911" s="13"/>
      <c r="G911" s="13"/>
      <c r="H911" s="13"/>
      <c r="I911" s="9"/>
    </row>
    <row r="912">
      <c r="A912" s="9"/>
      <c r="B912" s="9"/>
      <c r="C912" s="9"/>
      <c r="D912" s="9"/>
      <c r="E912" s="9"/>
      <c r="F912" s="13"/>
      <c r="G912" s="13"/>
      <c r="H912" s="13"/>
      <c r="I912" s="9"/>
    </row>
    <row r="913">
      <c r="A913" s="9"/>
      <c r="B913" s="9"/>
      <c r="C913" s="9"/>
      <c r="D913" s="9"/>
      <c r="E913" s="9"/>
      <c r="F913" s="13"/>
      <c r="G913" s="13"/>
      <c r="H913" s="13"/>
      <c r="I913" s="9"/>
    </row>
    <row r="914">
      <c r="A914" s="9"/>
      <c r="B914" s="9"/>
      <c r="C914" s="9"/>
      <c r="D914" s="9"/>
      <c r="E914" s="9"/>
      <c r="F914" s="13"/>
      <c r="G914" s="13"/>
      <c r="H914" s="13"/>
      <c r="I914" s="9"/>
    </row>
    <row r="915">
      <c r="A915" s="9"/>
      <c r="B915" s="9"/>
      <c r="C915" s="9"/>
      <c r="D915" s="9"/>
      <c r="E915" s="9"/>
      <c r="F915" s="13"/>
      <c r="G915" s="13"/>
      <c r="H915" s="13"/>
      <c r="I915" s="9"/>
    </row>
    <row r="916">
      <c r="A916" s="9"/>
      <c r="B916" s="9"/>
      <c r="C916" s="9"/>
      <c r="D916" s="9"/>
      <c r="E916" s="9"/>
      <c r="F916" s="13"/>
      <c r="G916" s="13"/>
      <c r="H916" s="13"/>
      <c r="I916" s="9"/>
    </row>
    <row r="917">
      <c r="A917" s="9"/>
      <c r="B917" s="9"/>
      <c r="C917" s="9"/>
      <c r="D917" s="9"/>
      <c r="E917" s="9"/>
      <c r="F917" s="13"/>
      <c r="G917" s="13"/>
      <c r="H917" s="13"/>
      <c r="I917" s="9"/>
    </row>
    <row r="918">
      <c r="A918" s="9"/>
      <c r="B918" s="9"/>
      <c r="C918" s="9"/>
      <c r="D918" s="9"/>
      <c r="E918" s="9"/>
      <c r="F918" s="13"/>
      <c r="G918" s="13"/>
      <c r="H918" s="13"/>
      <c r="I918" s="9"/>
    </row>
    <row r="919">
      <c r="A919" s="9"/>
      <c r="B919" s="9"/>
      <c r="C919" s="9"/>
      <c r="D919" s="9"/>
      <c r="E919" s="9"/>
      <c r="F919" s="13"/>
      <c r="G919" s="13"/>
      <c r="H919" s="13"/>
      <c r="I919" s="9"/>
    </row>
    <row r="920">
      <c r="A920" s="9"/>
      <c r="B920" s="9"/>
      <c r="C920" s="9"/>
      <c r="D920" s="9"/>
      <c r="E920" s="9"/>
      <c r="F920" s="13"/>
      <c r="G920" s="13"/>
      <c r="H920" s="13"/>
      <c r="I920" s="9"/>
    </row>
    <row r="921">
      <c r="A921" s="9"/>
      <c r="B921" s="9"/>
      <c r="C921" s="9"/>
      <c r="D921" s="9"/>
      <c r="E921" s="9"/>
      <c r="F921" s="13"/>
      <c r="G921" s="13"/>
      <c r="H921" s="13"/>
      <c r="I921" s="9"/>
    </row>
    <row r="922">
      <c r="A922" s="9"/>
      <c r="B922" s="9"/>
      <c r="C922" s="9"/>
      <c r="D922" s="9"/>
      <c r="E922" s="9"/>
      <c r="F922" s="13"/>
      <c r="G922" s="13"/>
      <c r="H922" s="13"/>
      <c r="I922" s="9"/>
    </row>
    <row r="923">
      <c r="A923" s="9"/>
      <c r="B923" s="9"/>
      <c r="C923" s="9"/>
      <c r="D923" s="9"/>
      <c r="E923" s="9"/>
      <c r="F923" s="13"/>
      <c r="G923" s="13"/>
      <c r="H923" s="13"/>
      <c r="I923" s="9"/>
    </row>
    <row r="924">
      <c r="A924" s="9"/>
      <c r="B924" s="9"/>
      <c r="C924" s="9"/>
      <c r="D924" s="9"/>
      <c r="E924" s="9"/>
      <c r="F924" s="13"/>
      <c r="G924" s="13"/>
      <c r="H924" s="13"/>
      <c r="I924" s="9"/>
    </row>
    <row r="925">
      <c r="A925" s="9"/>
      <c r="B925" s="9"/>
      <c r="C925" s="9"/>
      <c r="D925" s="9"/>
      <c r="E925" s="9"/>
      <c r="F925" s="13"/>
      <c r="G925" s="13"/>
      <c r="H925" s="13"/>
      <c r="I925" s="9"/>
    </row>
    <row r="926">
      <c r="A926" s="9"/>
      <c r="B926" s="9"/>
      <c r="C926" s="9"/>
      <c r="D926" s="9"/>
      <c r="E926" s="9"/>
      <c r="F926" s="13"/>
      <c r="G926" s="13"/>
      <c r="H926" s="13"/>
      <c r="I926" s="9"/>
    </row>
    <row r="927">
      <c r="A927" s="9"/>
      <c r="B927" s="9"/>
      <c r="C927" s="9"/>
      <c r="D927" s="9"/>
      <c r="E927" s="9"/>
      <c r="F927" s="13"/>
      <c r="G927" s="13"/>
      <c r="H927" s="13"/>
      <c r="I927" s="9"/>
    </row>
    <row r="928">
      <c r="A928" s="9"/>
      <c r="B928" s="9"/>
      <c r="C928" s="9"/>
      <c r="D928" s="9"/>
      <c r="E928" s="9"/>
      <c r="F928" s="13"/>
      <c r="G928" s="13"/>
      <c r="H928" s="13"/>
      <c r="I928" s="9"/>
    </row>
    <row r="929">
      <c r="A929" s="9"/>
      <c r="B929" s="9"/>
      <c r="C929" s="9"/>
      <c r="D929" s="9"/>
      <c r="E929" s="9"/>
      <c r="F929" s="13"/>
      <c r="G929" s="13"/>
      <c r="H929" s="13"/>
      <c r="I929" s="9"/>
    </row>
    <row r="930">
      <c r="A930" s="9"/>
      <c r="B930" s="9"/>
      <c r="C930" s="9"/>
      <c r="D930" s="9"/>
      <c r="E930" s="9"/>
      <c r="F930" s="13"/>
      <c r="G930" s="13"/>
      <c r="H930" s="13"/>
      <c r="I930" s="9"/>
    </row>
    <row r="931">
      <c r="A931" s="9"/>
      <c r="B931" s="9"/>
      <c r="C931" s="9"/>
      <c r="D931" s="9"/>
      <c r="E931" s="9"/>
      <c r="F931" s="13"/>
      <c r="G931" s="13"/>
      <c r="H931" s="13"/>
      <c r="I931" s="9"/>
    </row>
    <row r="932">
      <c r="A932" s="9"/>
      <c r="B932" s="9"/>
      <c r="C932" s="9"/>
      <c r="D932" s="9"/>
      <c r="E932" s="9"/>
      <c r="F932" s="13"/>
      <c r="G932" s="13"/>
      <c r="H932" s="13"/>
      <c r="I932" s="9"/>
    </row>
    <row r="933">
      <c r="A933" s="9"/>
      <c r="B933" s="9"/>
      <c r="C933" s="9"/>
      <c r="D933" s="9"/>
      <c r="E933" s="9"/>
      <c r="F933" s="13"/>
      <c r="G933" s="13"/>
      <c r="H933" s="13"/>
      <c r="I933" s="9"/>
    </row>
    <row r="934">
      <c r="A934" s="9"/>
      <c r="B934" s="9"/>
      <c r="C934" s="9"/>
      <c r="D934" s="9"/>
      <c r="E934" s="9"/>
      <c r="F934" s="13"/>
      <c r="G934" s="13"/>
      <c r="H934" s="13"/>
      <c r="I934" s="9"/>
    </row>
    <row r="935">
      <c r="A935" s="9"/>
      <c r="B935" s="9"/>
      <c r="C935" s="9"/>
      <c r="D935" s="9"/>
      <c r="E935" s="9"/>
      <c r="F935" s="13"/>
      <c r="G935" s="13"/>
      <c r="H935" s="13"/>
      <c r="I935" s="9"/>
    </row>
    <row r="936">
      <c r="A936" s="9"/>
      <c r="B936" s="9"/>
      <c r="C936" s="9"/>
      <c r="D936" s="9"/>
      <c r="E936" s="9"/>
      <c r="F936" s="13"/>
      <c r="G936" s="13"/>
      <c r="H936" s="13"/>
      <c r="I936" s="9"/>
    </row>
    <row r="937">
      <c r="A937" s="9"/>
      <c r="B937" s="9"/>
      <c r="C937" s="9"/>
      <c r="D937" s="9"/>
      <c r="E937" s="9"/>
      <c r="F937" s="13"/>
      <c r="G937" s="13"/>
      <c r="H937" s="13"/>
      <c r="I937" s="9"/>
    </row>
    <row r="938">
      <c r="A938" s="9"/>
      <c r="B938" s="9"/>
      <c r="C938" s="9"/>
      <c r="D938" s="9"/>
      <c r="E938" s="9"/>
      <c r="F938" s="13"/>
      <c r="G938" s="13"/>
      <c r="H938" s="13"/>
      <c r="I938" s="9"/>
    </row>
    <row r="939">
      <c r="A939" s="9"/>
      <c r="B939" s="9"/>
      <c r="C939" s="9"/>
      <c r="D939" s="9"/>
      <c r="E939" s="9"/>
      <c r="F939" s="13"/>
      <c r="G939" s="13"/>
      <c r="H939" s="13"/>
      <c r="I939" s="9"/>
    </row>
    <row r="940">
      <c r="A940" s="9"/>
      <c r="B940" s="9"/>
      <c r="C940" s="9"/>
      <c r="D940" s="9"/>
      <c r="E940" s="9"/>
      <c r="F940" s="13"/>
      <c r="G940" s="13"/>
      <c r="H940" s="13"/>
      <c r="I940" s="9"/>
    </row>
    <row r="941">
      <c r="A941" s="9"/>
      <c r="B941" s="9"/>
      <c r="C941" s="9"/>
      <c r="D941" s="9"/>
      <c r="E941" s="9"/>
      <c r="F941" s="13"/>
      <c r="G941" s="13"/>
      <c r="H941" s="13"/>
      <c r="I941" s="9"/>
    </row>
    <row r="942">
      <c r="A942" s="9"/>
      <c r="B942" s="9"/>
      <c r="C942" s="9"/>
      <c r="D942" s="9"/>
      <c r="E942" s="9"/>
      <c r="F942" s="13"/>
      <c r="G942" s="13"/>
      <c r="H942" s="13"/>
      <c r="I942" s="9"/>
    </row>
    <row r="943">
      <c r="A943" s="9"/>
      <c r="B943" s="9"/>
      <c r="C943" s="9"/>
      <c r="D943" s="9"/>
      <c r="E943" s="9"/>
      <c r="F943" s="13"/>
      <c r="G943" s="13"/>
      <c r="H943" s="13"/>
      <c r="I943" s="9"/>
    </row>
    <row r="944">
      <c r="A944" s="9"/>
      <c r="B944" s="9"/>
      <c r="C944" s="9"/>
      <c r="D944" s="9"/>
      <c r="E944" s="9"/>
      <c r="F944" s="13"/>
      <c r="G944" s="13"/>
      <c r="H944" s="13"/>
      <c r="I944" s="9"/>
    </row>
    <row r="945">
      <c r="A945" s="9"/>
      <c r="B945" s="9"/>
      <c r="C945" s="9"/>
      <c r="D945" s="9"/>
      <c r="E945" s="9"/>
      <c r="F945" s="13"/>
      <c r="G945" s="13"/>
      <c r="H945" s="13"/>
      <c r="I945" s="9"/>
    </row>
    <row r="946">
      <c r="A946" s="9"/>
      <c r="B946" s="9"/>
      <c r="C946" s="9"/>
      <c r="D946" s="9"/>
      <c r="E946" s="9"/>
      <c r="F946" s="13"/>
      <c r="G946" s="13"/>
      <c r="H946" s="13"/>
      <c r="I946" s="9"/>
    </row>
    <row r="947">
      <c r="A947" s="9"/>
      <c r="B947" s="9"/>
      <c r="C947" s="9"/>
      <c r="D947" s="9"/>
      <c r="E947" s="9"/>
      <c r="F947" s="13"/>
      <c r="G947" s="13"/>
      <c r="H947" s="13"/>
      <c r="I947" s="9"/>
    </row>
    <row r="948">
      <c r="A948" s="9"/>
      <c r="B948" s="9"/>
      <c r="C948" s="9"/>
      <c r="D948" s="9"/>
      <c r="E948" s="9"/>
      <c r="F948" s="13"/>
      <c r="G948" s="13"/>
      <c r="H948" s="13"/>
      <c r="I948" s="9"/>
    </row>
    <row r="949">
      <c r="A949" s="9"/>
      <c r="B949" s="9"/>
      <c r="C949" s="9"/>
      <c r="D949" s="9"/>
      <c r="E949" s="9"/>
      <c r="F949" s="13"/>
      <c r="G949" s="13"/>
      <c r="H949" s="13"/>
      <c r="I949" s="9"/>
    </row>
    <row r="950">
      <c r="A950" s="9"/>
      <c r="B950" s="9"/>
      <c r="C950" s="9"/>
      <c r="D950" s="9"/>
      <c r="E950" s="9"/>
      <c r="F950" s="13"/>
      <c r="G950" s="13"/>
      <c r="H950" s="13"/>
      <c r="I950" s="9"/>
    </row>
    <row r="951">
      <c r="A951" s="9"/>
      <c r="B951" s="9"/>
      <c r="C951" s="9"/>
      <c r="D951" s="9"/>
      <c r="E951" s="9"/>
      <c r="F951" s="13"/>
      <c r="G951" s="13"/>
      <c r="H951" s="13"/>
      <c r="I951" s="9"/>
    </row>
    <row r="952">
      <c r="A952" s="9"/>
      <c r="B952" s="9"/>
      <c r="C952" s="9"/>
      <c r="D952" s="9"/>
      <c r="E952" s="9"/>
      <c r="F952" s="13"/>
      <c r="G952" s="13"/>
      <c r="H952" s="13"/>
      <c r="I952" s="9"/>
    </row>
    <row r="953">
      <c r="A953" s="9"/>
      <c r="B953" s="9"/>
      <c r="C953" s="9"/>
      <c r="D953" s="9"/>
      <c r="E953" s="9"/>
      <c r="F953" s="13"/>
      <c r="G953" s="13"/>
      <c r="H953" s="13"/>
      <c r="I953" s="9"/>
    </row>
    <row r="954">
      <c r="A954" s="9"/>
      <c r="B954" s="9"/>
      <c r="C954" s="9"/>
      <c r="D954" s="9"/>
      <c r="E954" s="9"/>
      <c r="F954" s="13"/>
      <c r="G954" s="13"/>
      <c r="H954" s="13"/>
      <c r="I954" s="9"/>
    </row>
    <row r="955">
      <c r="A955" s="9"/>
      <c r="B955" s="9"/>
      <c r="C955" s="9"/>
      <c r="D955" s="9"/>
      <c r="E955" s="9"/>
      <c r="F955" s="13"/>
      <c r="G955" s="13"/>
      <c r="H955" s="13"/>
      <c r="I955" s="9"/>
    </row>
    <row r="956">
      <c r="A956" s="9"/>
      <c r="B956" s="9"/>
      <c r="C956" s="9"/>
      <c r="D956" s="9"/>
      <c r="E956" s="9"/>
      <c r="F956" s="13"/>
      <c r="G956" s="13"/>
      <c r="H956" s="13"/>
      <c r="I956" s="9"/>
    </row>
    <row r="957">
      <c r="A957" s="9"/>
      <c r="B957" s="9"/>
      <c r="C957" s="9"/>
      <c r="D957" s="9"/>
      <c r="E957" s="9"/>
      <c r="F957" s="13"/>
      <c r="G957" s="13"/>
      <c r="H957" s="13"/>
      <c r="I957" s="9"/>
    </row>
    <row r="958">
      <c r="A958" s="9"/>
      <c r="B958" s="9"/>
      <c r="C958" s="9"/>
      <c r="D958" s="9"/>
      <c r="E958" s="9"/>
      <c r="F958" s="13"/>
      <c r="G958" s="13"/>
      <c r="H958" s="13"/>
      <c r="I958" s="9"/>
    </row>
    <row r="959">
      <c r="A959" s="9"/>
      <c r="B959" s="9"/>
      <c r="C959" s="9"/>
      <c r="D959" s="9"/>
      <c r="E959" s="9"/>
      <c r="F959" s="13"/>
      <c r="G959" s="13"/>
      <c r="H959" s="13"/>
      <c r="I959" s="9"/>
    </row>
    <row r="960">
      <c r="A960" s="9"/>
      <c r="B960" s="9"/>
      <c r="C960" s="9"/>
      <c r="D960" s="9"/>
      <c r="E960" s="9"/>
      <c r="F960" s="13"/>
      <c r="G960" s="13"/>
      <c r="H960" s="13"/>
      <c r="I960" s="9"/>
    </row>
    <row r="961">
      <c r="A961" s="9"/>
      <c r="B961" s="9"/>
      <c r="C961" s="9"/>
      <c r="D961" s="9"/>
      <c r="E961" s="9"/>
      <c r="F961" s="13"/>
      <c r="G961" s="13"/>
      <c r="H961" s="13"/>
      <c r="I961" s="9"/>
    </row>
    <row r="962">
      <c r="A962" s="9"/>
      <c r="B962" s="9"/>
      <c r="C962" s="9"/>
      <c r="D962" s="9"/>
      <c r="E962" s="9"/>
      <c r="F962" s="13"/>
      <c r="G962" s="13"/>
      <c r="H962" s="13"/>
      <c r="I962" s="9"/>
    </row>
    <row r="963">
      <c r="A963" s="9"/>
      <c r="B963" s="9"/>
      <c r="C963" s="9"/>
      <c r="D963" s="9"/>
      <c r="E963" s="9"/>
      <c r="F963" s="13"/>
      <c r="G963" s="13"/>
      <c r="H963" s="13"/>
      <c r="I963" s="9"/>
    </row>
    <row r="964">
      <c r="A964" s="9"/>
      <c r="B964" s="9"/>
      <c r="C964" s="9"/>
      <c r="D964" s="9"/>
      <c r="E964" s="9"/>
      <c r="F964" s="13"/>
      <c r="G964" s="13"/>
      <c r="H964" s="13"/>
      <c r="I964" s="9"/>
    </row>
    <row r="965">
      <c r="A965" s="9"/>
      <c r="B965" s="9"/>
      <c r="C965" s="9"/>
      <c r="D965" s="9"/>
      <c r="E965" s="9"/>
      <c r="F965" s="13"/>
      <c r="G965" s="13"/>
      <c r="H965" s="13"/>
      <c r="I965" s="9"/>
    </row>
    <row r="966">
      <c r="A966" s="9"/>
      <c r="B966" s="9"/>
      <c r="C966" s="9"/>
      <c r="D966" s="9"/>
      <c r="E966" s="9"/>
      <c r="F966" s="13"/>
      <c r="G966" s="13"/>
      <c r="H966" s="13"/>
      <c r="I966" s="9"/>
    </row>
    <row r="967">
      <c r="A967" s="9"/>
      <c r="B967" s="9"/>
      <c r="C967" s="9"/>
      <c r="D967" s="9"/>
      <c r="E967" s="9"/>
      <c r="F967" s="13"/>
      <c r="G967" s="13"/>
      <c r="H967" s="13"/>
      <c r="I967" s="9"/>
    </row>
    <row r="968">
      <c r="A968" s="9"/>
      <c r="B968" s="9"/>
      <c r="C968" s="9"/>
      <c r="D968" s="9"/>
      <c r="E968" s="9"/>
      <c r="F968" s="13"/>
      <c r="G968" s="13"/>
      <c r="H968" s="13"/>
      <c r="I968" s="9"/>
    </row>
    <row r="969">
      <c r="A969" s="9"/>
      <c r="B969" s="9"/>
      <c r="C969" s="9"/>
      <c r="D969" s="9"/>
      <c r="E969" s="9"/>
      <c r="F969" s="13"/>
      <c r="G969" s="13"/>
      <c r="H969" s="13"/>
      <c r="I969" s="9"/>
    </row>
    <row r="970">
      <c r="A970" s="9"/>
      <c r="B970" s="9"/>
      <c r="C970" s="9"/>
      <c r="D970" s="9"/>
      <c r="E970" s="9"/>
      <c r="F970" s="13"/>
      <c r="G970" s="13"/>
      <c r="H970" s="13"/>
      <c r="I970" s="9"/>
    </row>
    <row r="971">
      <c r="A971" s="9"/>
      <c r="B971" s="9"/>
      <c r="C971" s="9"/>
      <c r="D971" s="9"/>
      <c r="E971" s="9"/>
      <c r="F971" s="13"/>
      <c r="G971" s="13"/>
      <c r="H971" s="13"/>
      <c r="I971" s="9"/>
    </row>
    <row r="972">
      <c r="A972" s="9"/>
      <c r="B972" s="9"/>
      <c r="C972" s="9"/>
      <c r="D972" s="9"/>
      <c r="E972" s="9"/>
      <c r="F972" s="13"/>
      <c r="G972" s="13"/>
      <c r="H972" s="13"/>
      <c r="I972" s="9"/>
    </row>
    <row r="973">
      <c r="A973" s="9"/>
      <c r="B973" s="9"/>
      <c r="C973" s="9"/>
      <c r="D973" s="9"/>
      <c r="E973" s="9"/>
      <c r="F973" s="13"/>
      <c r="G973" s="13"/>
      <c r="H973" s="13"/>
      <c r="I973" s="9"/>
    </row>
    <row r="974">
      <c r="A974" s="9"/>
      <c r="B974" s="9"/>
      <c r="C974" s="9"/>
      <c r="D974" s="9"/>
      <c r="E974" s="9"/>
      <c r="F974" s="13"/>
      <c r="G974" s="13"/>
      <c r="H974" s="13"/>
      <c r="I974" s="9"/>
    </row>
    <row r="975">
      <c r="A975" s="9"/>
      <c r="B975" s="9"/>
      <c r="C975" s="9"/>
      <c r="D975" s="9"/>
      <c r="E975" s="9"/>
      <c r="F975" s="13"/>
      <c r="G975" s="13"/>
      <c r="H975" s="13"/>
      <c r="I975" s="9"/>
    </row>
    <row r="976">
      <c r="A976" s="9"/>
      <c r="B976" s="9"/>
      <c r="C976" s="9"/>
      <c r="D976" s="9"/>
      <c r="E976" s="9"/>
      <c r="F976" s="13"/>
      <c r="G976" s="13"/>
      <c r="H976" s="13"/>
      <c r="I976" s="9"/>
    </row>
    <row r="977">
      <c r="A977" s="9"/>
      <c r="B977" s="9"/>
      <c r="C977" s="9"/>
      <c r="D977" s="9"/>
      <c r="E977" s="9"/>
      <c r="F977" s="13"/>
      <c r="G977" s="13"/>
      <c r="H977" s="13"/>
      <c r="I977" s="9"/>
    </row>
    <row r="978">
      <c r="A978" s="9"/>
      <c r="B978" s="9"/>
      <c r="C978" s="9"/>
      <c r="D978" s="9"/>
      <c r="E978" s="9"/>
      <c r="F978" s="13"/>
      <c r="G978" s="13"/>
      <c r="H978" s="13"/>
      <c r="I978" s="9"/>
    </row>
    <row r="979">
      <c r="A979" s="9"/>
      <c r="B979" s="9"/>
      <c r="C979" s="9"/>
      <c r="D979" s="9"/>
      <c r="E979" s="9"/>
      <c r="F979" s="13"/>
      <c r="G979" s="13"/>
      <c r="H979" s="13"/>
      <c r="I979" s="9"/>
    </row>
    <row r="980">
      <c r="A980" s="9"/>
      <c r="B980" s="9"/>
      <c r="C980" s="9"/>
      <c r="D980" s="9"/>
      <c r="E980" s="9"/>
      <c r="F980" s="13"/>
      <c r="G980" s="13"/>
      <c r="H980" s="13"/>
      <c r="I980" s="9"/>
    </row>
    <row r="981">
      <c r="A981" s="9"/>
      <c r="B981" s="9"/>
      <c r="C981" s="9"/>
      <c r="D981" s="9"/>
      <c r="E981" s="9"/>
      <c r="F981" s="13"/>
      <c r="G981" s="13"/>
      <c r="H981" s="13"/>
      <c r="I981" s="9"/>
    </row>
    <row r="982">
      <c r="A982" s="9"/>
      <c r="B982" s="9"/>
      <c r="C982" s="9"/>
      <c r="D982" s="9"/>
      <c r="E982" s="9"/>
      <c r="F982" s="13"/>
      <c r="G982" s="13"/>
      <c r="H982" s="13"/>
      <c r="I982" s="9"/>
    </row>
    <row r="983">
      <c r="A983" s="9"/>
      <c r="B983" s="9"/>
      <c r="C983" s="9"/>
      <c r="D983" s="9"/>
      <c r="E983" s="9"/>
      <c r="F983" s="13"/>
      <c r="G983" s="13"/>
      <c r="H983" s="13"/>
      <c r="I983" s="9"/>
    </row>
    <row r="984">
      <c r="A984" s="9"/>
      <c r="B984" s="9"/>
      <c r="C984" s="9"/>
      <c r="D984" s="9"/>
      <c r="E984" s="9"/>
      <c r="F984" s="13"/>
      <c r="G984" s="13"/>
      <c r="H984" s="13"/>
      <c r="I984" s="9"/>
    </row>
    <row r="985">
      <c r="A985" s="9"/>
      <c r="B985" s="9"/>
      <c r="C985" s="9"/>
      <c r="D985" s="9"/>
      <c r="E985" s="9"/>
      <c r="F985" s="13"/>
      <c r="G985" s="13"/>
      <c r="H985" s="13"/>
      <c r="I985" s="9"/>
    </row>
    <row r="986">
      <c r="A986" s="9"/>
      <c r="B986" s="9"/>
      <c r="C986" s="9"/>
      <c r="D986" s="9"/>
      <c r="E986" s="9"/>
      <c r="F986" s="13"/>
      <c r="G986" s="13"/>
      <c r="H986" s="13"/>
      <c r="I986" s="9"/>
    </row>
    <row r="987">
      <c r="A987" s="9"/>
      <c r="B987" s="9"/>
      <c r="C987" s="9"/>
      <c r="D987" s="9"/>
      <c r="E987" s="9"/>
      <c r="F987" s="13"/>
      <c r="G987" s="13"/>
      <c r="H987" s="13"/>
      <c r="I987" s="9"/>
    </row>
    <row r="988">
      <c r="A988" s="9"/>
      <c r="B988" s="9"/>
      <c r="C988" s="9"/>
      <c r="D988" s="9"/>
      <c r="E988" s="9"/>
      <c r="F988" s="13"/>
      <c r="G988" s="13"/>
      <c r="H988" s="13"/>
      <c r="I988" s="9"/>
    </row>
    <row r="989">
      <c r="A989" s="9"/>
      <c r="B989" s="9"/>
      <c r="C989" s="9"/>
      <c r="D989" s="9"/>
      <c r="E989" s="9"/>
      <c r="F989" s="13"/>
      <c r="G989" s="13"/>
      <c r="H989" s="13"/>
      <c r="I989" s="9"/>
    </row>
    <row r="990">
      <c r="A990" s="9"/>
      <c r="B990" s="9"/>
      <c r="C990" s="9"/>
      <c r="D990" s="9"/>
      <c r="E990" s="9"/>
      <c r="F990" s="13"/>
      <c r="G990" s="13"/>
      <c r="H990" s="13"/>
      <c r="I990" s="9"/>
    </row>
    <row r="991">
      <c r="A991" s="9"/>
      <c r="B991" s="9"/>
      <c r="C991" s="9"/>
      <c r="D991" s="9"/>
      <c r="E991" s="9"/>
      <c r="F991" s="13"/>
      <c r="G991" s="13"/>
      <c r="H991" s="13"/>
      <c r="I991" s="9"/>
    </row>
    <row r="992">
      <c r="A992" s="9"/>
      <c r="B992" s="9"/>
      <c r="C992" s="9"/>
      <c r="D992" s="9"/>
      <c r="E992" s="9"/>
      <c r="F992" s="13"/>
      <c r="G992" s="13"/>
      <c r="H992" s="13"/>
      <c r="I992" s="9"/>
    </row>
    <row r="993">
      <c r="A993" s="9"/>
      <c r="B993" s="9"/>
      <c r="C993" s="9"/>
      <c r="D993" s="9"/>
      <c r="E993" s="9"/>
      <c r="F993" s="13"/>
      <c r="G993" s="13"/>
      <c r="H993" s="13"/>
      <c r="I993" s="9"/>
    </row>
    <row r="994">
      <c r="A994" s="9"/>
      <c r="B994" s="9"/>
      <c r="C994" s="9"/>
      <c r="D994" s="9"/>
      <c r="E994" s="9"/>
      <c r="F994" s="13"/>
      <c r="G994" s="13"/>
      <c r="H994" s="13"/>
      <c r="I994" s="9"/>
    </row>
    <row r="995">
      <c r="A995" s="9"/>
      <c r="B995" s="9"/>
      <c r="C995" s="9"/>
      <c r="D995" s="9"/>
      <c r="E995" s="9"/>
      <c r="F995" s="13"/>
      <c r="G995" s="13"/>
      <c r="H995" s="13"/>
      <c r="I995" s="9"/>
    </row>
    <row r="996">
      <c r="A996" s="9"/>
      <c r="B996" s="9"/>
      <c r="C996" s="9"/>
      <c r="D996" s="9"/>
      <c r="E996" s="9"/>
      <c r="F996" s="13"/>
      <c r="G996" s="13"/>
      <c r="H996" s="13"/>
      <c r="I996" s="9"/>
    </row>
    <row r="997">
      <c r="A997" s="9"/>
      <c r="B997" s="9"/>
      <c r="C997" s="9"/>
      <c r="D997" s="9"/>
      <c r="E997" s="9"/>
      <c r="F997" s="13"/>
      <c r="G997" s="13"/>
      <c r="H997" s="13"/>
      <c r="I997" s="9"/>
    </row>
    <row r="998">
      <c r="A998" s="9"/>
      <c r="B998" s="9"/>
      <c r="C998" s="9"/>
      <c r="D998" s="9"/>
      <c r="E998" s="9"/>
      <c r="F998" s="13"/>
      <c r="G998" s="13"/>
      <c r="H998" s="13"/>
      <c r="I998" s="9"/>
    </row>
    <row r="999">
      <c r="A999" s="9"/>
      <c r="B999" s="9"/>
      <c r="C999" s="9"/>
      <c r="D999" s="9"/>
      <c r="E999" s="9"/>
      <c r="F999" s="13"/>
      <c r="G999" s="13"/>
      <c r="H999" s="13"/>
      <c r="I999" s="9"/>
    </row>
    <row r="1000">
      <c r="A1000" s="9"/>
      <c r="B1000" s="9"/>
      <c r="C1000" s="9"/>
      <c r="D1000" s="9"/>
      <c r="E1000" s="9"/>
      <c r="F1000" s="13"/>
      <c r="G1000" s="13"/>
      <c r="H1000" s="13"/>
      <c r="I1000" s="9"/>
    </row>
  </sheetData>
  <dataValidations>
    <dataValidation type="list" allowBlank="1" showDropDown="1" showErrorMessage="1" sqref="K2:K22">
      <formula1>"SBC,GENERAL,OBC"</formula1>
    </dataValidation>
    <dataValidation type="custom" allowBlank="1" showDropDown="1" sqref="A2:C22">
      <formula1>AND(ISNUMBER(A2),(NOT(OR(NOT(ISERROR(DATEVALUE(A2))), AND(ISNUMBER(A2), LEFT(CELL("format", A2))="D")))))</formula1>
    </dataValidation>
    <dataValidation type="list" allowBlank="1" showDropDown="1" showErrorMessage="1" sqref="J2:J22">
      <formula1>"Male,Female"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